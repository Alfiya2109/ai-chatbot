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1DB510-54B0-459A-BBE3-99CD5D8E322E}" xr6:coauthVersionLast="44" xr6:coauthVersionMax="44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80" i="1" l="1"/>
  <c r="F180" i="1"/>
  <c r="E18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3" i="1"/>
  <c r="F43" i="1"/>
  <c r="G42" i="1"/>
  <c r="F42" i="1"/>
  <c r="G41" i="1"/>
  <c r="F41" i="1"/>
  <c r="G40" i="1"/>
  <c r="F40" i="1"/>
  <c r="G39" i="1"/>
  <c r="F39" i="1"/>
  <c r="F38" i="1"/>
  <c r="F37" i="1"/>
  <c r="F36" i="1"/>
  <c r="G35" i="1"/>
  <c r="F35" i="1"/>
  <c r="G34" i="1"/>
  <c r="F34" i="1"/>
  <c r="F33" i="1"/>
  <c r="G32" i="1"/>
  <c r="F32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F23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<sst xmlns="http://schemas.openxmlformats.org/spreadsheetml/2006/main" count="646" uniqueCount="355">
  <si>
    <t>service name</t>
  </si>
  <si>
    <t>URL</t>
  </si>
  <si>
    <t>Categories</t>
  </si>
  <si>
    <t>Technology</t>
  </si>
  <si>
    <t>Full time consultant  Monthly</t>
  </si>
  <si>
    <t>Part time Monthly (4hrs a day)</t>
  </si>
  <si>
    <t>Part time hourly</t>
  </si>
  <si>
    <t>angular consulting service</t>
  </si>
  <si>
    <t>https://iqratechnology.com/angular-consulting-services/</t>
  </si>
  <si>
    <t>Services</t>
  </si>
  <si>
    <t>Angular</t>
  </si>
  <si>
    <t>angular e-commerce development services</t>
  </si>
  <si>
    <t>https://iqratechnology.com/angular-e-commerce-development/</t>
  </si>
  <si>
    <t>angular migration service</t>
  </si>
  <si>
    <t>https://iqratechnology.com/angular-migration-services/</t>
  </si>
  <si>
    <t>angular support &amp; maintenance services</t>
  </si>
  <si>
    <t>https://iqratechnology.com/angular-support-maintenance-services/</t>
  </si>
  <si>
    <t>angular ux /ui development service</t>
  </si>
  <si>
    <t>https://iqratechnology.com/angular-ux-ui-development/</t>
  </si>
  <si>
    <t>angular web application development services</t>
  </si>
  <si>
    <t>https://iqratechnology.com/angular-web-application-development/</t>
  </si>
  <si>
    <t>asp dot net cms services</t>
  </si>
  <si>
    <t>https://iqratechnology.com/asp-dot-net-cms-service/</t>
  </si>
  <si>
    <t>ASP.NET</t>
  </si>
  <si>
    <t>asp dot net integration services</t>
  </si>
  <si>
    <t>https://iqratechnology.com/asp-dot-net-integration-services/</t>
  </si>
  <si>
    <t>asp dot net maintenance services</t>
  </si>
  <si>
    <t>https://iqratechnology.com/asp-dot-net-maintenance-services/</t>
  </si>
  <si>
    <t>asp dot net migration services</t>
  </si>
  <si>
    <t>https://iqratechnology.com/asp-dot-net-migration-services/</t>
  </si>
  <si>
    <t>asp dot net web application services</t>
  </si>
  <si>
    <t>https://iqratechnology.com/asp-dot-net-web-application-development-services/</t>
  </si>
  <si>
    <t>dynamic 365 business central services</t>
  </si>
  <si>
    <t>https://iqratechnology.com/dynamics-365-business-central-services/</t>
  </si>
  <si>
    <t>MS CRM</t>
  </si>
  <si>
    <t>financialforce consulting services</t>
  </si>
  <si>
    <t>https://iqratechnology.com/financialforce-consulting-services/</t>
  </si>
  <si>
    <t>FinancialForce</t>
  </si>
  <si>
    <t>financialforce erp services</t>
  </si>
  <si>
    <t>https://iqratechnology.com/financialforce-erp-services/</t>
  </si>
  <si>
    <t>financialforce implementation services</t>
  </si>
  <si>
    <t>https://iqratechnology.com/financialforce-implementation-services/</t>
  </si>
  <si>
    <t>financialforce psa services</t>
  </si>
  <si>
    <t>https://iqratechnology.com/financialforce-psa-services/</t>
  </si>
  <si>
    <t>financialforce support services</t>
  </si>
  <si>
    <t>https://iqratechnology.com/financialforce-support-services/</t>
  </si>
  <si>
    <t>hire angular js developer</t>
  </si>
  <si>
    <t>https://iqratechnology.com/hire-angular-js-developer/</t>
  </si>
  <si>
    <t>Hire</t>
  </si>
  <si>
    <t>hire asp.core developer</t>
  </si>
  <si>
    <t>https://iqratechnology.com/hire-asp-core-developer/</t>
  </si>
  <si>
    <t>Dot Net</t>
  </si>
  <si>
    <t>hire automation anywhere developer</t>
  </si>
  <si>
    <t>https://iqratechnology.com/hire-automation-anywhere-developer/</t>
  </si>
  <si>
    <t>RPA</t>
  </si>
  <si>
    <t>hire cakephp developer</t>
  </si>
  <si>
    <t>https://iqratechnology.com/hire-cakephp-developer/</t>
  </si>
  <si>
    <t>Cake PHP</t>
  </si>
  <si>
    <t>NA</t>
  </si>
  <si>
    <t>hire dotnuke developer</t>
  </si>
  <si>
    <t>https://iqratechnology.com/hire-dotnetnuke-developer/</t>
  </si>
  <si>
    <t>Dot Nuke</t>
  </si>
  <si>
    <t>hire financialforce accounting consultant</t>
  </si>
  <si>
    <t>https://iqratechnology.com/hire-financialforce-accounting-consultant/</t>
  </si>
  <si>
    <t>hire financialforce consultant</t>
  </si>
  <si>
    <t>https://iqratechnology.com/hire-financialforce-consultant/</t>
  </si>
  <si>
    <t>hire financialforce developer</t>
  </si>
  <si>
    <t>https://iqratechnology.com/hire-financialforce-developer/</t>
  </si>
  <si>
    <t>hire financialforce erp admin</t>
  </si>
  <si>
    <t>https://iqratechnology.com/hire-financialforce-erp-admin/</t>
  </si>
  <si>
    <t>hire financialforce erp developer</t>
  </si>
  <si>
    <t>https://iqratechnology.com/hire-financialforce-erp-developer/</t>
  </si>
  <si>
    <t>hire financialforce psa admin</t>
  </si>
  <si>
    <t>https://iqratechnology.com/hire-financialforce-psa-administrator/</t>
  </si>
  <si>
    <t>hire financialforce psa developer</t>
  </si>
  <si>
    <t>https://iqratechnology.com/hire-financialforce-psa-developer/</t>
  </si>
  <si>
    <t>hire flutter developer</t>
  </si>
  <si>
    <t>https://iqratechnology.com/hire-flutter-developer/</t>
  </si>
  <si>
    <t>Flutter</t>
  </si>
  <si>
    <t>hire force.com developer</t>
  </si>
  <si>
    <t>https://iqratechnology.com/hire-force-com-developer/</t>
  </si>
  <si>
    <t>Salesforce</t>
  </si>
  <si>
    <t>hire html5/css developer</t>
  </si>
  <si>
    <t>https://iqratechnology.com/hire-html5-css-developer/</t>
  </si>
  <si>
    <t>Web Design</t>
  </si>
  <si>
    <t>hire joget consultant</t>
  </si>
  <si>
    <t>https://iqratechnology.com/hire-joget-consultant/</t>
  </si>
  <si>
    <t>Joget</t>
  </si>
  <si>
    <t>hire joget developers</t>
  </si>
  <si>
    <t>https://iqratechnology.com/hire-joget-developer/</t>
  </si>
  <si>
    <t>hire magento developer</t>
  </si>
  <si>
    <t>https://iqratechnology.com/hire-magento-developer/</t>
  </si>
  <si>
    <t>Magento</t>
  </si>
  <si>
    <t>hire mendix consultant</t>
  </si>
  <si>
    <t>https://iqratechnology.com/hire-mendix-consultant/</t>
  </si>
  <si>
    <t>Mendix</t>
  </si>
  <si>
    <t>hire mendix developer</t>
  </si>
  <si>
    <t>https://iqratechnology.com/hire-mendix-developer/</t>
  </si>
  <si>
    <t>hire microsoft crm developer</t>
  </si>
  <si>
    <t>https://iqratechnology.com/hire-microsoft-crm-developer/</t>
  </si>
  <si>
    <t>hire microsoft dynamics 365 consultant</t>
  </si>
  <si>
    <t>https://iqratechnology.com/hire-microsoft-dynamic-365-consultant/</t>
  </si>
  <si>
    <t>hire microsoft dynamics business central developer</t>
  </si>
  <si>
    <t>https://iqratechnology.com/hire-microsoft-dynamics-business-central-consultant/</t>
  </si>
  <si>
    <t>hire microsoft dynamics crm consultant</t>
  </si>
  <si>
    <t>https://iqratechnology.com/hire-microsoft-dynamics-crm-consultant/</t>
  </si>
  <si>
    <t>hire microsoft flow developer</t>
  </si>
  <si>
    <t>https://iqratechnology.com/hire-microsoft-flow-developer/</t>
  </si>
  <si>
    <t>hire nintex developer</t>
  </si>
  <si>
    <t>https://iqratechnology.com/hire-nintex-developer/</t>
  </si>
  <si>
    <t>SharePoint</t>
  </si>
  <si>
    <t>hire nintex k2 developer</t>
  </si>
  <si>
    <t>https://iqratechnology.com/hire-nintex-k2-developer/</t>
  </si>
  <si>
    <t>Nintex</t>
  </si>
  <si>
    <t>hire oracle apex consultant</t>
  </si>
  <si>
    <t>https://iqratechnology.com/hire-oracle-apex-consultant/</t>
  </si>
  <si>
    <t>Oracle Apex</t>
  </si>
  <si>
    <t>hire oracle apex developer</t>
  </si>
  <si>
    <t>https://iqratechnology.com/hire-oracle-apex-developer/</t>
  </si>
  <si>
    <t>hire oracle e-business suite consultant</t>
  </si>
  <si>
    <t>https://iqratechnology.com/hire-oracle-e-business-suite-consultant/</t>
  </si>
  <si>
    <t>Oracle</t>
  </si>
  <si>
    <t>hire oracle ebs technical consultant</t>
  </si>
  <si>
    <t>https://iqratechnology.com/oracle-ebs-technical-consultant/</t>
  </si>
  <si>
    <t>hire oracle integration cloud consultant</t>
  </si>
  <si>
    <t>https://iqratechnology.com/oracle-integration-cloud-consultant/</t>
  </si>
  <si>
    <t>hire outsystems consultant</t>
  </si>
  <si>
    <t>https://iqratechnology.com/hire-outsystem-consultant/</t>
  </si>
  <si>
    <t>Outsystems</t>
  </si>
  <si>
    <t>hire outsystems developer</t>
  </si>
  <si>
    <t>https://iqratechnology.com/hire-outsystems-developer/</t>
  </si>
  <si>
    <t>hire php developer</t>
  </si>
  <si>
    <t>https://iqratechnology.com/hire-php-developer/</t>
  </si>
  <si>
    <t>PHP</t>
  </si>
  <si>
    <t>hire power bi consultant</t>
  </si>
  <si>
    <t>https://iqratechnology.com/hire-power-bi-consultant/</t>
  </si>
  <si>
    <t>PowerBI</t>
  </si>
  <si>
    <t>hire power bi developer</t>
  </si>
  <si>
    <t>https://iqratechnology.com/hire-power-bi-developer/</t>
  </si>
  <si>
    <t>hire powerapps developer</t>
  </si>
  <si>
    <t>https://iqratechnology.com/hire-power-apps-developer/</t>
  </si>
  <si>
    <t>Power apps</t>
  </si>
  <si>
    <t>hire qlik sense consultant</t>
  </si>
  <si>
    <t>https://iqratechnology.com/power-bi-consulting-services/</t>
  </si>
  <si>
    <t>Qlik Sense</t>
  </si>
  <si>
    <t>hire qlik sense developer</t>
  </si>
  <si>
    <t>https://iqratechnology.com/hire-qlik-sense-developers/</t>
  </si>
  <si>
    <t>hire react js developer</t>
  </si>
  <si>
    <t>https://iqratechnology.com/hire-react-js-developer/</t>
  </si>
  <si>
    <t>React</t>
  </si>
  <si>
    <t>hire react native developer</t>
  </si>
  <si>
    <t>https://iqratechnology.com/hire-react-native-developer/</t>
  </si>
  <si>
    <t>hire salesforce admin</t>
  </si>
  <si>
    <t>https://iqratechnology.com/hire-salesforce-admin/</t>
  </si>
  <si>
    <t>hire salesforce billing consultant</t>
  </si>
  <si>
    <t>https://iqratechnology.com/hire-salesforce-billing-consultant/</t>
  </si>
  <si>
    <t>hire salesforce commerce cloud consultant</t>
  </si>
  <si>
    <t>https://iqratechnology.com/hire-salesforce-commerce-cloud-consultant/</t>
  </si>
  <si>
    <t>hire salesforce community cloud consultant</t>
  </si>
  <si>
    <t>https://iqratechnology.com/hire-salesforce-community-cloud-consultant/</t>
  </si>
  <si>
    <t>hire salesforce conga consultant</t>
  </si>
  <si>
    <t>https://iqratechnology.com/hire-salesforce-conga-consultant/</t>
  </si>
  <si>
    <t>hire salesforce consultant</t>
  </si>
  <si>
    <t>https://iqratechnology.com/hire-salesforce-consultant/</t>
  </si>
  <si>
    <t>hire salesforce cpq consultant</t>
  </si>
  <si>
    <t>https://iqratechnology.com/hire-salesforce-cpq-consultants/</t>
  </si>
  <si>
    <t>hire salesforce developers</t>
  </si>
  <si>
    <t>https://iqratechnology.com/hire-salesforce_developer/</t>
  </si>
  <si>
    <t>hire salesforce einstein developer</t>
  </si>
  <si>
    <t>https://iqratechnology.com/hire-salesforce-einstein-developer/</t>
  </si>
  <si>
    <t>hire salesforce lightning developer</t>
  </si>
  <si>
    <t>https://iqratechnology.com/hire-salesforce-lightning-developer/</t>
  </si>
  <si>
    <t>hire salesforce litify consultant</t>
  </si>
  <si>
    <t>https://iqratechnology.com/hire-salesforce-litify-consultant/</t>
  </si>
  <si>
    <t>hire salesforce marketing cloud developer</t>
  </si>
  <si>
    <t>https://iqratechnology.com/hire-salesforce-marketing-cloud-developer/</t>
  </si>
  <si>
    <t>hire salesforce quality assurance engineer</t>
  </si>
  <si>
    <t>https://iqratechnology.com/hire-salesforce-quality-assurance-engineer/</t>
  </si>
  <si>
    <t>hire salesforce sales cloud developer</t>
  </si>
  <si>
    <t>https://iqratechnology.com/hire-salesforce-sales-cloud-developer/</t>
  </si>
  <si>
    <t>hire salesforce service cloud developer</t>
  </si>
  <si>
    <t>https://iqratechnology.com/hire-salesforce-service-cloud/</t>
  </si>
  <si>
    <t>hire seo consultant</t>
  </si>
  <si>
    <t>https://iqratechnology.com/hire-seo-consultant/</t>
  </si>
  <si>
    <t>SEO</t>
  </si>
  <si>
    <t>hire sharepoint developer</t>
  </si>
  <si>
    <t>https://iqratechnology.com/hire-sharepoint-developer/</t>
  </si>
  <si>
    <t>hire sitecore developer</t>
  </si>
  <si>
    <t>https://iqratechnology.com/hire-sitecore-developer/</t>
  </si>
  <si>
    <t>Sitecore</t>
  </si>
  <si>
    <t>hire tableau bi developer</t>
  </si>
  <si>
    <t>https://iqratechnology.com/hire-tableau-bi-developer/</t>
  </si>
  <si>
    <t>Tableau BI</t>
  </si>
  <si>
    <t>hire tableau crm developer</t>
  </si>
  <si>
    <t>https://iqratechnology.com/hire-tableau-crm-developer/</t>
  </si>
  <si>
    <t>hire ui/ux developer</t>
  </si>
  <si>
    <t>https://iqratechnology.com/hire-ui-ux-designers/</t>
  </si>
  <si>
    <t>hire uipath developer</t>
  </si>
  <si>
    <t>https://iqratechnology.com/hire-ui-path-developer/</t>
  </si>
  <si>
    <t>UiPath</t>
  </si>
  <si>
    <t>hire wordpress developer</t>
  </si>
  <si>
    <t>https://iqratechnology.com/hire-wordpress-developer/</t>
  </si>
  <si>
    <t>Wordpress</t>
  </si>
  <si>
    <t>hire xamarin developer</t>
  </si>
  <si>
    <t>https://iqratechnology.com/hire-xamarin-developer/</t>
  </si>
  <si>
    <t>Xamarin</t>
  </si>
  <si>
    <t>hire zoho books accountant</t>
  </si>
  <si>
    <t>https://iqratechnology.com/hire-zoho-books-accountants/</t>
  </si>
  <si>
    <t>Zoho</t>
  </si>
  <si>
    <t>hire zoho developer</t>
  </si>
  <si>
    <t>https://iqratechnology.com/hire-zoho-developer/</t>
  </si>
  <si>
    <t>joget development services</t>
  </si>
  <si>
    <t>https://iqratechnology.com/joget-development-services/</t>
  </si>
  <si>
    <t>joget implementation services</t>
  </si>
  <si>
    <t>https://iqratechnology.com/joget-implementation-services/</t>
  </si>
  <si>
    <t>joget support services</t>
  </si>
  <si>
    <t>https://iqratechnology.com/joget-support-services/</t>
  </si>
  <si>
    <t>microsoft dynamics crm administrator services</t>
  </si>
  <si>
    <t>https://iqratechnology.com/microsoft-dynamics-crm-administrator-services/</t>
  </si>
  <si>
    <t>microsoft dynamics crm customization services</t>
  </si>
  <si>
    <t>https://iqratechnology.com/microsoft-dynamics-crm-development-customization-services/</t>
  </si>
  <si>
    <t>microsoft dynamics crm development services</t>
  </si>
  <si>
    <t>microsoft dynamics crm implementation services</t>
  </si>
  <si>
    <t>https://iqratechnology.com/microsoft-dynamics-crm-implementation-services/</t>
  </si>
  <si>
    <t>microsoft dynamics crm integration services</t>
  </si>
  <si>
    <t>https://iqratechnology.com/microsoft-dynamics-crm-integration-services/</t>
  </si>
  <si>
    <t>microsoft dynamics crm managed services</t>
  </si>
  <si>
    <t>https://iqratechnology.com/microsoft-dynamics-crm-managed-services/</t>
  </si>
  <si>
    <t>microsoft dynamics crm migration services</t>
  </si>
  <si>
    <t>https://iqratechnology.com/microsoft-dynamics-crm-migration-services/</t>
  </si>
  <si>
    <t>microsoft dynamics crm on demand services</t>
  </si>
  <si>
    <t>https://iqratechnology.com/microsoft-dynamics-crm-on-demand-service/</t>
  </si>
  <si>
    <t>microsoft dynamics crm support services</t>
  </si>
  <si>
    <t>https://iqratechnology.com/microsoft-dynamics-crm-support-services/</t>
  </si>
  <si>
    <t>microsoft dynamics crm training services</t>
  </si>
  <si>
    <t>https://iqratechnology.com/microsoft-dynamics-crm-training-services/</t>
  </si>
  <si>
    <t>microsoft power automate services</t>
  </si>
  <si>
    <t>https://iqratechnology.com/microsoft-power-automate-services/</t>
  </si>
  <si>
    <t>microsoft powerapps consulting services</t>
  </si>
  <si>
    <t>https://iqratechnology.com/microsoft-powerapps-consulting-service/</t>
  </si>
  <si>
    <t>microsoft powerapps development service</t>
  </si>
  <si>
    <t>https://iqratechnology.com/microsoft-powerapps-development-service/</t>
  </si>
  <si>
    <t>microsoft powerapps integration service</t>
  </si>
  <si>
    <t>https://iqratechnology.com/microsoft-powerapps-integration-service/</t>
  </si>
  <si>
    <t>microsoft powerapps services</t>
  </si>
  <si>
    <t>https://iqratechnology.com/microsoft-powerapps-services/</t>
  </si>
  <si>
    <t>microsoft powerapps support and maintenance service</t>
  </si>
  <si>
    <t>https://iqratechnology.com/microsoft-powerapps-support-and-maintenance-service/</t>
  </si>
  <si>
    <t>nintex consulting services</t>
  </si>
  <si>
    <t>https://iqratechnology.com/nintex-consulting-services/</t>
  </si>
  <si>
    <t>nintex development services</t>
  </si>
  <si>
    <t>https://iqratechnology.com/nintex-development-services/</t>
  </si>
  <si>
    <t>nintex implementation services</t>
  </si>
  <si>
    <t>https://iqratechnology.com/nintex-implementation-services/</t>
  </si>
  <si>
    <t>nintex support services</t>
  </si>
  <si>
    <t>https://iqratechnology.com/nintex-support-services/</t>
  </si>
  <si>
    <t>oracle apex consulting services</t>
  </si>
  <si>
    <t>https://iqratechnology.com/oracle-apex-consulting-services/</t>
  </si>
  <si>
    <t>oracle apex development services</t>
  </si>
  <si>
    <t>https://iqratechnology.com/oracle-apex-application-development-services/</t>
  </si>
  <si>
    <t>oracle apex support Services</t>
  </si>
  <si>
    <t>https://iqratechnology.com/oracle-apex-support-services/</t>
  </si>
  <si>
    <t>power bi administration services</t>
  </si>
  <si>
    <t>https://iqratechnology.com/power-bi-administration-service/</t>
  </si>
  <si>
    <t>power bi consulting services</t>
  </si>
  <si>
    <t>iqratechnology.com/power-bi-consulting-services/</t>
  </si>
  <si>
    <t>power bi development services</t>
  </si>
  <si>
    <t>https://iqratechnology.com/power-bi-development-service/</t>
  </si>
  <si>
    <t>power bi implementation services</t>
  </si>
  <si>
    <t>https://iqratechnology.com/power-bi-implementation-service/</t>
  </si>
  <si>
    <t>power bi migration services</t>
  </si>
  <si>
    <t>https://iqratechnology.com/power-bi-migration-service/</t>
  </si>
  <si>
    <t>power bi support services</t>
  </si>
  <si>
    <t>https://iqratechnology.com/power-bi-support-services/</t>
  </si>
  <si>
    <t>qlik sense administration services</t>
  </si>
  <si>
    <t>https://iqratechnology.com/qlik-sense-administration-services/</t>
  </si>
  <si>
    <t>qlik sense consulting services</t>
  </si>
  <si>
    <t>https://iqratechnology.com/qlik-sense-consulting-services/</t>
  </si>
  <si>
    <t>qlik sense development services</t>
  </si>
  <si>
    <t>https://iqratechnology.com/qlik-sense-development-services/</t>
  </si>
  <si>
    <t>qlik sense implementation services</t>
  </si>
  <si>
    <t>https://iqratechnology.com/qlik-sense-implementation-services/</t>
  </si>
  <si>
    <t>qlik sense migration services</t>
  </si>
  <si>
    <t>https://iqratechnology.com/qlik-sense-migration-services/</t>
  </si>
  <si>
    <t>qlik sense support services</t>
  </si>
  <si>
    <t>https://iqratechnology.com/qlik-sense-support-services/</t>
  </si>
  <si>
    <t>qlik sense upgrade services</t>
  </si>
  <si>
    <t>https://iqratechnology.com/qlik-sense-upgrade-services/</t>
  </si>
  <si>
    <t>salesforce administration services</t>
  </si>
  <si>
    <t>https://iqratechnology.com/uipath-implementation-services/</t>
  </si>
  <si>
    <t>Salesforce administration services</t>
  </si>
  <si>
    <t>https://iqratechnology.com/salesforce-administration-services/</t>
  </si>
  <si>
    <t>salesforce architecture consulting service</t>
  </si>
  <si>
    <t>https://iqratechnology.com/salesforce-consulting-services/</t>
  </si>
  <si>
    <t>salesforce cloud start service</t>
  </si>
  <si>
    <t>https://iqratechnology.com/salesforce-quick-start-services/</t>
  </si>
  <si>
    <t>salesforce community portal services</t>
  </si>
  <si>
    <t>https://iqratechnology.com/salesforce-community-portal-services/</t>
  </si>
  <si>
    <t>salesforce cpq service</t>
  </si>
  <si>
    <t>https://iqratechnology.com/salesforce-cpq-services/</t>
  </si>
  <si>
    <t>salesforce customization services</t>
  </si>
  <si>
    <t>https://iqratechnology.com/salesforce-customization-services/</t>
  </si>
  <si>
    <t>salesforce development services</t>
  </si>
  <si>
    <t>https://iqratechnology.com/salesforce-development-services/</t>
  </si>
  <si>
    <t>salesforce einstein services</t>
  </si>
  <si>
    <t>https://iqratechnology.com/salesforce-einstein-services/</t>
  </si>
  <si>
    <t>salesforce for npsp service</t>
  </si>
  <si>
    <t>salesforce implementation services</t>
  </si>
  <si>
    <t>https://iqratechnology.com/salesforce-implementation-services/</t>
  </si>
  <si>
    <t>salesforce integration services</t>
  </si>
  <si>
    <t>https://iqratechnology.com/salesforce-integration-services/</t>
  </si>
  <si>
    <t>salesforce lightning experience service</t>
  </si>
  <si>
    <t>https://iqratechnology.com/salesforce-lightning-services/</t>
  </si>
  <si>
    <t>salesforce managed service</t>
  </si>
  <si>
    <t>https://iqratechnology.com/salesforce-managed-services/</t>
  </si>
  <si>
    <t>salesforce on demand services</t>
  </si>
  <si>
    <t>https://iqratechnology.com/salesforce-on-demand-services/</t>
  </si>
  <si>
    <t>salesforce support services</t>
  </si>
  <si>
    <t>https://iqratechnology.com/salesforce-offshore-support-services/</t>
  </si>
  <si>
    <t>salesforce training service</t>
  </si>
  <si>
    <t>https://iqratechnology.com/salesforce-training-services/</t>
  </si>
  <si>
    <t>salesforce.com application development service</t>
  </si>
  <si>
    <t>https://iqratechnology.com/salesforce-force-com-app-development-services/</t>
  </si>
  <si>
    <t>Sharepoint administration services</t>
  </si>
  <si>
    <t>https://iqratechnology.com/uipath-development-services/</t>
  </si>
  <si>
    <t>sharepoint administration services</t>
  </si>
  <si>
    <t>https://iqratechnology.com/sharepoint-administration-services/</t>
  </si>
  <si>
    <t>sharepoint consulting services</t>
  </si>
  <si>
    <t>https://iqratechnology.com/sharepoint-consulting-services/</t>
  </si>
  <si>
    <t>sharepoint custom solution services</t>
  </si>
  <si>
    <t>https://iqratechnology.com/sharepoint-custom-solution-services/</t>
  </si>
  <si>
    <t>sharepoint development services</t>
  </si>
  <si>
    <t>https://iqratechnology.com/sharepoint-development-services/</t>
  </si>
  <si>
    <t>sharepoint document management services</t>
  </si>
  <si>
    <t>https://iqratechnology.com/sharepoint-document-management-services/</t>
  </si>
  <si>
    <t>sharepoint health check services</t>
  </si>
  <si>
    <t>https://iqratechnology.com/sharepoint-health-check-services/</t>
  </si>
  <si>
    <t>sharepoint integration services</t>
  </si>
  <si>
    <t>https://iqratechnology.com/sharepoint-integration-services/</t>
  </si>
  <si>
    <t>sharepoint intranet &amp; portal design services</t>
  </si>
  <si>
    <t>https://iqratechnology.com/sharepoint-intranet-and-portal-design-services/</t>
  </si>
  <si>
    <t>sharepoint managed services</t>
  </si>
  <si>
    <t>https://iqratechnology.com/sharepoint-managed-services/</t>
  </si>
  <si>
    <t>sharepoint migration services</t>
  </si>
  <si>
    <t>https://iqratechnology.com/sharepoint-migration-services/</t>
  </si>
  <si>
    <t>sharepoint support &amp; maintenance services</t>
  </si>
  <si>
    <t>https://iqratechnology.com/sharepoint-support-and-maintenance-services/</t>
  </si>
  <si>
    <t>uipath integration service</t>
  </si>
  <si>
    <t>https://iqratechnology.com/uipath-integration-service/</t>
  </si>
  <si>
    <t>uipath managed services</t>
  </si>
  <si>
    <t>https://iqratechnology.com/uipath-managed-services/</t>
  </si>
  <si>
    <t>uipath support and maintenance services</t>
  </si>
  <si>
    <t>https://iqratechnology.com/uipath-support-and-maintenance-services/</t>
  </si>
  <si>
    <t>zoho books accounting services</t>
  </si>
  <si>
    <t>https://iqratechnology.com/zoho-books-accounting-services/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</si>
</sst>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6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00"/>
      <name val="Calibri"/>
      <charset val="134"/>
    </font>
    <font>
      <sz val="10"/>
      <color theme="1"/>
      <name val="Arial"/>
      <charset val="134"/>
    </font>
    <font>
      <sz val="10"/>
      <color theme="1"/>
      <name val="Hind Guntur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6" fontId="4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66" fontId="5" fillId="4" borderId="0" xfId="0" applyNumberFormat="1" applyFont="1" applyFill="1" applyAlignment="1">
      <alignment horizontal="left"/>
    </xf>
    <xf numFmtId="166" fontId="4" fillId="5" borderId="0" xfId="0" applyNumberFormat="1" applyFont="1" applyFill="1" applyAlignment="1">
      <alignment horizontal="left"/>
    </xf>
    <xf numFmtId="0" fontId="0" fillId="5" borderId="0" xfId="0" applyFill="1" applyAlignment="1">
      <alignment horizontal="left"/>
    </xf>
    <xf numFmtId="1" fontId="0" fillId="5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qratechnology.com/power-bi-administration-service/" TargetMode="External"/><Relationship Id="rId21" Type="http://schemas.openxmlformats.org/officeDocument/2006/relationships/hyperlink" Target="https://iqratechnology.com/financialforce-psa-services/" TargetMode="External"/><Relationship Id="rId42" Type="http://schemas.openxmlformats.org/officeDocument/2006/relationships/hyperlink" Target="https://iqratechnology.com/hire-mendix-developer/" TargetMode="External"/><Relationship Id="rId63" Type="http://schemas.openxmlformats.org/officeDocument/2006/relationships/hyperlink" Target="https://iqratechnology.com/hire-react-js-developer/" TargetMode="External"/><Relationship Id="rId84" Type="http://schemas.openxmlformats.org/officeDocument/2006/relationships/hyperlink" Target="https://iqratechnology.com/hire-tableau-crm-developer/" TargetMode="External"/><Relationship Id="rId138" Type="http://schemas.openxmlformats.org/officeDocument/2006/relationships/hyperlink" Target="https://iqratechnology.com/salesforce-einstein-services/" TargetMode="External"/><Relationship Id="rId159" Type="http://schemas.openxmlformats.org/officeDocument/2006/relationships/hyperlink" Target="https://iqratechnology.com/sharepoint-support-and-maintenance-services/" TargetMode="External"/><Relationship Id="rId107" Type="http://schemas.openxmlformats.org/officeDocument/2006/relationships/hyperlink" Target="https://iqratechnology.com/microsoft-powerapps-integration-service/" TargetMode="External"/><Relationship Id="rId11" Type="http://schemas.openxmlformats.org/officeDocument/2006/relationships/hyperlink" Target="https://iqratechnology.com/asp-dot-net-maintenance-services/" TargetMode="External"/><Relationship Id="rId32" Type="http://schemas.openxmlformats.org/officeDocument/2006/relationships/hyperlink" Target="https://iqratechnology.com/hire-financialforce-erp-developer/" TargetMode="External"/><Relationship Id="rId53" Type="http://schemas.openxmlformats.org/officeDocument/2006/relationships/hyperlink" Target="https://iqratechnology.com/oracle-ebs-technical-consultant/" TargetMode="External"/><Relationship Id="rId74" Type="http://schemas.openxmlformats.org/officeDocument/2006/relationships/hyperlink" Target="https://iqratechnology.com/hire-salesforce-lightning-developer/" TargetMode="External"/><Relationship Id="rId128" Type="http://schemas.openxmlformats.org/officeDocument/2006/relationships/hyperlink" Target="https://iqratechnology.com/qlik-sense-support-services/" TargetMode="External"/><Relationship Id="rId149" Type="http://schemas.openxmlformats.org/officeDocument/2006/relationships/hyperlink" Target="https://iqratechnology.com/sharepoint-administration-services/" TargetMode="External"/><Relationship Id="rId5" Type="http://schemas.openxmlformats.org/officeDocument/2006/relationships/hyperlink" Target="https://iqratechnology.com/angular-ux-ui-development/" TargetMode="External"/><Relationship Id="rId95" Type="http://schemas.openxmlformats.org/officeDocument/2006/relationships/hyperlink" Target="https://iqratechnology.com/microsoft-dynamics-crm-development-customization-services/" TargetMode="External"/><Relationship Id="rId160" Type="http://schemas.openxmlformats.org/officeDocument/2006/relationships/hyperlink" Target="https://iqratechnology.com/uipath-integration-service/" TargetMode="External"/><Relationship Id="rId22" Type="http://schemas.openxmlformats.org/officeDocument/2006/relationships/hyperlink" Target="https://iqratechnology.com/financialforce-support-services/" TargetMode="External"/><Relationship Id="rId43" Type="http://schemas.openxmlformats.org/officeDocument/2006/relationships/hyperlink" Target="https://iqratechnology.com/hire-microsoft-crm-developer/" TargetMode="External"/><Relationship Id="rId64" Type="http://schemas.openxmlformats.org/officeDocument/2006/relationships/hyperlink" Target="https://iqratechnology.com/hire-react-native-developer/" TargetMode="External"/><Relationship Id="rId118" Type="http://schemas.openxmlformats.org/officeDocument/2006/relationships/hyperlink" Target="http://iqratechnology.com/power-bi-consulting-services/" TargetMode="External"/><Relationship Id="rId139" Type="http://schemas.openxmlformats.org/officeDocument/2006/relationships/hyperlink" Target="https://iqratechnology.com/microsoft-dynamics-crm-training-services/" TargetMode="External"/><Relationship Id="rId85" Type="http://schemas.openxmlformats.org/officeDocument/2006/relationships/hyperlink" Target="https://iqratechnology.com/hire-ui-ux-designers/" TargetMode="External"/><Relationship Id="rId150" Type="http://schemas.openxmlformats.org/officeDocument/2006/relationships/hyperlink" Target="https://iqratechnology.com/sharepoint-consulting-services/" TargetMode="External"/><Relationship Id="rId12" Type="http://schemas.openxmlformats.org/officeDocument/2006/relationships/hyperlink" Target="http://asp.net/" TargetMode="External"/><Relationship Id="rId17" Type="http://schemas.openxmlformats.org/officeDocument/2006/relationships/hyperlink" Target="https://iqratechnology.com/dynamics-365-business-central-services/" TargetMode="External"/><Relationship Id="rId33" Type="http://schemas.openxmlformats.org/officeDocument/2006/relationships/hyperlink" Target="https://iqratechnology.com/hire-financialforce-psa-administrator/" TargetMode="External"/><Relationship Id="rId38" Type="http://schemas.openxmlformats.org/officeDocument/2006/relationships/hyperlink" Target="https://iqratechnology.com/hire-joget-consultant/" TargetMode="External"/><Relationship Id="rId59" Type="http://schemas.openxmlformats.org/officeDocument/2006/relationships/hyperlink" Target="https://iqratechnology.com/hire-power-bi-developer/" TargetMode="External"/><Relationship Id="rId103" Type="http://schemas.openxmlformats.org/officeDocument/2006/relationships/hyperlink" Target="https://iqratechnology.com/microsoft-dynamics-crm-training-services/" TargetMode="External"/><Relationship Id="rId108" Type="http://schemas.openxmlformats.org/officeDocument/2006/relationships/hyperlink" Target="https://iqratechnology.com/microsoft-powerapps-services/" TargetMode="External"/><Relationship Id="rId124" Type="http://schemas.openxmlformats.org/officeDocument/2006/relationships/hyperlink" Target="https://iqratechnology.com/qlik-sense-consulting-services/" TargetMode="External"/><Relationship Id="rId129" Type="http://schemas.openxmlformats.org/officeDocument/2006/relationships/hyperlink" Target="https://iqratechnology.com/qlik-sense-upgrade-services/" TargetMode="External"/><Relationship Id="rId54" Type="http://schemas.openxmlformats.org/officeDocument/2006/relationships/hyperlink" Target="https://iqratechnology.com/oracle-integration-cloud-consultant/" TargetMode="External"/><Relationship Id="rId70" Type="http://schemas.openxmlformats.org/officeDocument/2006/relationships/hyperlink" Target="https://iqratechnology.com/hire-salesforce-consultant/" TargetMode="External"/><Relationship Id="rId75" Type="http://schemas.openxmlformats.org/officeDocument/2006/relationships/hyperlink" Target="https://iqratechnology.com/hire-salesforce-litify-consultant/" TargetMode="External"/><Relationship Id="rId91" Type="http://schemas.openxmlformats.org/officeDocument/2006/relationships/hyperlink" Target="https://iqratechnology.com/joget-development-services/" TargetMode="External"/><Relationship Id="rId96" Type="http://schemas.openxmlformats.org/officeDocument/2006/relationships/hyperlink" Target="https://iqratechnology.com/microsoft-dynamics-crm-development-customization-services/" TargetMode="External"/><Relationship Id="rId140" Type="http://schemas.openxmlformats.org/officeDocument/2006/relationships/hyperlink" Target="https://iqratechnology.com/salesforce-implementation-services/" TargetMode="External"/><Relationship Id="rId145" Type="http://schemas.openxmlformats.org/officeDocument/2006/relationships/hyperlink" Target="https://iqratechnology.com/salesforce-offshore-support-services/" TargetMode="External"/><Relationship Id="rId161" Type="http://schemas.openxmlformats.org/officeDocument/2006/relationships/hyperlink" Target="https://iqratechnology.com/uipath-managed-services/" TargetMode="External"/><Relationship Id="rId1" Type="http://schemas.openxmlformats.org/officeDocument/2006/relationships/hyperlink" Target="https://iqratechnology.com/angular-consulting-services/" TargetMode="External"/><Relationship Id="rId6" Type="http://schemas.openxmlformats.org/officeDocument/2006/relationships/hyperlink" Target="https://iqratechnology.com/angular-web-application-development/" TargetMode="External"/><Relationship Id="rId23" Type="http://schemas.openxmlformats.org/officeDocument/2006/relationships/hyperlink" Target="https://iqratechnology.com/hire-angular-js-developer/" TargetMode="External"/><Relationship Id="rId28" Type="http://schemas.openxmlformats.org/officeDocument/2006/relationships/hyperlink" Target="https://iqratechnology.com/hire-financialforce-accounting-consultant/" TargetMode="External"/><Relationship Id="rId49" Type="http://schemas.openxmlformats.org/officeDocument/2006/relationships/hyperlink" Target="https://iqratechnology.com/hire-nintex-k2-developer/" TargetMode="External"/><Relationship Id="rId114" Type="http://schemas.openxmlformats.org/officeDocument/2006/relationships/hyperlink" Target="https://iqratechnology.com/oracle-apex-consulting-services/" TargetMode="External"/><Relationship Id="rId119" Type="http://schemas.openxmlformats.org/officeDocument/2006/relationships/hyperlink" Target="https://iqratechnology.com/power-bi-development-service/" TargetMode="External"/><Relationship Id="rId44" Type="http://schemas.openxmlformats.org/officeDocument/2006/relationships/hyperlink" Target="https://iqratechnology.com/hire-microsoft-dynamic-365-consultant/" TargetMode="External"/><Relationship Id="rId60" Type="http://schemas.openxmlformats.org/officeDocument/2006/relationships/hyperlink" Target="https://iqratechnology.com/hire-power-apps-developer/" TargetMode="External"/><Relationship Id="rId65" Type="http://schemas.openxmlformats.org/officeDocument/2006/relationships/hyperlink" Target="https://iqratechnology.com/hire-salesforce-admin/" TargetMode="External"/><Relationship Id="rId81" Type="http://schemas.openxmlformats.org/officeDocument/2006/relationships/hyperlink" Target="https://iqratechnology.com/hire-sharepoint-developer/" TargetMode="External"/><Relationship Id="rId86" Type="http://schemas.openxmlformats.org/officeDocument/2006/relationships/hyperlink" Target="https://iqratechnology.com/hire-ui-path-developer/" TargetMode="External"/><Relationship Id="rId130" Type="http://schemas.openxmlformats.org/officeDocument/2006/relationships/hyperlink" Target="https://iqratechnology.com/uipath-implementation-services/" TargetMode="External"/><Relationship Id="rId135" Type="http://schemas.openxmlformats.org/officeDocument/2006/relationships/hyperlink" Target="https://iqratechnology.com/salesforce-cpq-services/" TargetMode="External"/><Relationship Id="rId151" Type="http://schemas.openxmlformats.org/officeDocument/2006/relationships/hyperlink" Target="https://iqratechnology.com/sharepoint-custom-solution-services/" TargetMode="External"/><Relationship Id="rId156" Type="http://schemas.openxmlformats.org/officeDocument/2006/relationships/hyperlink" Target="https://iqratechnology.com/sharepoint-intranet-and-portal-design-services/" TargetMode="External"/><Relationship Id="rId13" Type="http://schemas.openxmlformats.org/officeDocument/2006/relationships/hyperlink" Target="https://iqratechnology.com/asp-dot-net-migration-services/" TargetMode="External"/><Relationship Id="rId18" Type="http://schemas.openxmlformats.org/officeDocument/2006/relationships/hyperlink" Target="https://iqratechnology.com/financialforce-consulting-services/" TargetMode="External"/><Relationship Id="rId39" Type="http://schemas.openxmlformats.org/officeDocument/2006/relationships/hyperlink" Target="https://iqratechnology.com/hire-joget-developer/" TargetMode="External"/><Relationship Id="rId109" Type="http://schemas.openxmlformats.org/officeDocument/2006/relationships/hyperlink" Target="https://iqratechnology.com/microsoft-powerapps-support-and-maintenance-service/" TargetMode="External"/><Relationship Id="rId34" Type="http://schemas.openxmlformats.org/officeDocument/2006/relationships/hyperlink" Target="https://iqratechnology.com/hire-financialforce-psa-developer/" TargetMode="External"/><Relationship Id="rId50" Type="http://schemas.openxmlformats.org/officeDocument/2006/relationships/hyperlink" Target="https://iqratechnology.com/hire-oracle-apex-consultant/" TargetMode="External"/><Relationship Id="rId55" Type="http://schemas.openxmlformats.org/officeDocument/2006/relationships/hyperlink" Target="https://iqratechnology.com/hire-outsystem-consultant/" TargetMode="External"/><Relationship Id="rId76" Type="http://schemas.openxmlformats.org/officeDocument/2006/relationships/hyperlink" Target="https://iqratechnology.com/hire-salesforce-marketing-cloud-developer/" TargetMode="External"/><Relationship Id="rId97" Type="http://schemas.openxmlformats.org/officeDocument/2006/relationships/hyperlink" Target="https://iqratechnology.com/microsoft-dynamics-crm-implementation-services/" TargetMode="External"/><Relationship Id="rId104" Type="http://schemas.openxmlformats.org/officeDocument/2006/relationships/hyperlink" Target="https://iqratechnology.com/microsoft-power-automate-services/" TargetMode="External"/><Relationship Id="rId120" Type="http://schemas.openxmlformats.org/officeDocument/2006/relationships/hyperlink" Target="https://iqratechnology.com/power-bi-implementation-service/" TargetMode="External"/><Relationship Id="rId125" Type="http://schemas.openxmlformats.org/officeDocument/2006/relationships/hyperlink" Target="https://iqratechnology.com/qlik-sense-development-services/" TargetMode="External"/><Relationship Id="rId141" Type="http://schemas.openxmlformats.org/officeDocument/2006/relationships/hyperlink" Target="https://iqratechnology.com/salesforce-integration-services/" TargetMode="External"/><Relationship Id="rId146" Type="http://schemas.openxmlformats.org/officeDocument/2006/relationships/hyperlink" Target="https://iqratechnology.com/salesforce-training-services/" TargetMode="External"/><Relationship Id="rId7" Type="http://schemas.openxmlformats.org/officeDocument/2006/relationships/hyperlink" Target="https://iqratechnology.com/asp-dot-net-cms-service/" TargetMode="External"/><Relationship Id="rId71" Type="http://schemas.openxmlformats.org/officeDocument/2006/relationships/hyperlink" Target="https://iqratechnology.com/hire-salesforce-cpq-consultants/" TargetMode="External"/><Relationship Id="rId92" Type="http://schemas.openxmlformats.org/officeDocument/2006/relationships/hyperlink" Target="https://iqratechnology.com/joget-implementation-services/" TargetMode="External"/><Relationship Id="rId162" Type="http://schemas.openxmlformats.org/officeDocument/2006/relationships/hyperlink" Target="https://iqratechnology.com/uipath-support-and-maintenance-services/" TargetMode="External"/><Relationship Id="rId2" Type="http://schemas.openxmlformats.org/officeDocument/2006/relationships/hyperlink" Target="https://iqratechnology.com/angular-e-commerce-development/" TargetMode="External"/><Relationship Id="rId29" Type="http://schemas.openxmlformats.org/officeDocument/2006/relationships/hyperlink" Target="https://iqratechnology.com/hire-financialforce-consultant/" TargetMode="External"/><Relationship Id="rId24" Type="http://schemas.openxmlformats.org/officeDocument/2006/relationships/hyperlink" Target="https://iqratechnology.com/hire-asp-core-developer/" TargetMode="External"/><Relationship Id="rId40" Type="http://schemas.openxmlformats.org/officeDocument/2006/relationships/hyperlink" Target="https://iqratechnology.com/hire-magento-developer/" TargetMode="External"/><Relationship Id="rId45" Type="http://schemas.openxmlformats.org/officeDocument/2006/relationships/hyperlink" Target="https://iqratechnology.com/hire-microsoft-dynamics-business-central-consultant/" TargetMode="External"/><Relationship Id="rId66" Type="http://schemas.openxmlformats.org/officeDocument/2006/relationships/hyperlink" Target="https://iqratechnology.com/hire-salesforce-billing-consultant/" TargetMode="External"/><Relationship Id="rId87" Type="http://schemas.openxmlformats.org/officeDocument/2006/relationships/hyperlink" Target="https://iqratechnology.com/hire-wordpress-developer/" TargetMode="External"/><Relationship Id="rId110" Type="http://schemas.openxmlformats.org/officeDocument/2006/relationships/hyperlink" Target="https://iqratechnology.com/nintex-consulting-services/" TargetMode="External"/><Relationship Id="rId115" Type="http://schemas.openxmlformats.org/officeDocument/2006/relationships/hyperlink" Target="https://iqratechnology.com/oracle-apex-application-development-services/" TargetMode="External"/><Relationship Id="rId131" Type="http://schemas.openxmlformats.org/officeDocument/2006/relationships/hyperlink" Target="https://iqratechnology.com/salesforce-administration-services/" TargetMode="External"/><Relationship Id="rId136" Type="http://schemas.openxmlformats.org/officeDocument/2006/relationships/hyperlink" Target="https://iqratechnology.com/salesforce-customization-services/" TargetMode="External"/><Relationship Id="rId157" Type="http://schemas.openxmlformats.org/officeDocument/2006/relationships/hyperlink" Target="https://iqratechnology.com/sharepoint-managed-services/" TargetMode="External"/><Relationship Id="rId61" Type="http://schemas.openxmlformats.org/officeDocument/2006/relationships/hyperlink" Target="https://iqratechnology.com/power-bi-consulting-services/" TargetMode="External"/><Relationship Id="rId82" Type="http://schemas.openxmlformats.org/officeDocument/2006/relationships/hyperlink" Target="https://iqratechnology.com/hire-sitecore-developer/" TargetMode="External"/><Relationship Id="rId152" Type="http://schemas.openxmlformats.org/officeDocument/2006/relationships/hyperlink" Target="https://iqratechnology.com/sharepoint-development-services/" TargetMode="External"/><Relationship Id="rId19" Type="http://schemas.openxmlformats.org/officeDocument/2006/relationships/hyperlink" Target="https://iqratechnology.com/financialforce-erp-services/" TargetMode="External"/><Relationship Id="rId14" Type="http://schemas.openxmlformats.org/officeDocument/2006/relationships/hyperlink" Target="http://asp.net/" TargetMode="External"/><Relationship Id="rId30" Type="http://schemas.openxmlformats.org/officeDocument/2006/relationships/hyperlink" Target="https://iqratechnology.com/hire-financialforce-developer/" TargetMode="External"/><Relationship Id="rId35" Type="http://schemas.openxmlformats.org/officeDocument/2006/relationships/hyperlink" Target="https://iqratechnology.com/hire-flutter-developer/" TargetMode="External"/><Relationship Id="rId56" Type="http://schemas.openxmlformats.org/officeDocument/2006/relationships/hyperlink" Target="https://iqratechnology.com/hire-outsystems-developer/" TargetMode="External"/><Relationship Id="rId77" Type="http://schemas.openxmlformats.org/officeDocument/2006/relationships/hyperlink" Target="https://iqratechnology.com/hire-salesforce-quality-assurance-engineer/" TargetMode="External"/><Relationship Id="rId100" Type="http://schemas.openxmlformats.org/officeDocument/2006/relationships/hyperlink" Target="https://iqratechnology.com/microsoft-dynamics-crm-migration-services/" TargetMode="External"/><Relationship Id="rId105" Type="http://schemas.openxmlformats.org/officeDocument/2006/relationships/hyperlink" Target="https://iqratechnology.com/microsoft-powerapps-consulting-service/" TargetMode="External"/><Relationship Id="rId126" Type="http://schemas.openxmlformats.org/officeDocument/2006/relationships/hyperlink" Target="https://iqratechnology.com/qlik-sense-implementation-services/" TargetMode="External"/><Relationship Id="rId147" Type="http://schemas.openxmlformats.org/officeDocument/2006/relationships/hyperlink" Target="https://iqratechnology.com/salesforce-force-com-app-development-services/" TargetMode="External"/><Relationship Id="rId8" Type="http://schemas.openxmlformats.org/officeDocument/2006/relationships/hyperlink" Target="http://asp.net/" TargetMode="External"/><Relationship Id="rId51" Type="http://schemas.openxmlformats.org/officeDocument/2006/relationships/hyperlink" Target="https://iqratechnology.com/hire-oracle-apex-developer/" TargetMode="External"/><Relationship Id="rId72" Type="http://schemas.openxmlformats.org/officeDocument/2006/relationships/hyperlink" Target="https://iqratechnology.com/hire-salesforce_developer/" TargetMode="External"/><Relationship Id="rId93" Type="http://schemas.openxmlformats.org/officeDocument/2006/relationships/hyperlink" Target="https://iqratechnology.com/joget-support-services/" TargetMode="External"/><Relationship Id="rId98" Type="http://schemas.openxmlformats.org/officeDocument/2006/relationships/hyperlink" Target="https://iqratechnology.com/microsoft-dynamics-crm-integration-services/" TargetMode="External"/><Relationship Id="rId121" Type="http://schemas.openxmlformats.org/officeDocument/2006/relationships/hyperlink" Target="https://iqratechnology.com/power-bi-migration-service/" TargetMode="External"/><Relationship Id="rId142" Type="http://schemas.openxmlformats.org/officeDocument/2006/relationships/hyperlink" Target="https://iqratechnology.com/salesforce-lightning-services/" TargetMode="External"/><Relationship Id="rId163" Type="http://schemas.openxmlformats.org/officeDocument/2006/relationships/hyperlink" Target="https://iqratechnology.com/zoho-books-accounting-services/" TargetMode="External"/><Relationship Id="rId3" Type="http://schemas.openxmlformats.org/officeDocument/2006/relationships/hyperlink" Target="https://iqratechnology.com/angular-migration-services/" TargetMode="External"/><Relationship Id="rId25" Type="http://schemas.openxmlformats.org/officeDocument/2006/relationships/hyperlink" Target="https://iqratechnology.com/hire-automation-anywhere-developer/" TargetMode="External"/><Relationship Id="rId46" Type="http://schemas.openxmlformats.org/officeDocument/2006/relationships/hyperlink" Target="https://iqratechnology.com/hire-microsoft-dynamics-crm-consultant/" TargetMode="External"/><Relationship Id="rId67" Type="http://schemas.openxmlformats.org/officeDocument/2006/relationships/hyperlink" Target="https://iqratechnology.com/hire-salesforce-commerce-cloud-consultant/" TargetMode="External"/><Relationship Id="rId116" Type="http://schemas.openxmlformats.org/officeDocument/2006/relationships/hyperlink" Target="https://iqratechnology.com/oracle-apex-support-services/" TargetMode="External"/><Relationship Id="rId137" Type="http://schemas.openxmlformats.org/officeDocument/2006/relationships/hyperlink" Target="https://iqratechnology.com/salesforce-development-services/" TargetMode="External"/><Relationship Id="rId158" Type="http://schemas.openxmlformats.org/officeDocument/2006/relationships/hyperlink" Target="https://iqratechnology.com/sharepoint-migration-services/" TargetMode="External"/><Relationship Id="rId20" Type="http://schemas.openxmlformats.org/officeDocument/2006/relationships/hyperlink" Target="https://iqratechnology.com/financialforce-implementation-services/" TargetMode="External"/><Relationship Id="rId41" Type="http://schemas.openxmlformats.org/officeDocument/2006/relationships/hyperlink" Target="https://iqratechnology.com/hire-mendix-consultant/" TargetMode="External"/><Relationship Id="rId62" Type="http://schemas.openxmlformats.org/officeDocument/2006/relationships/hyperlink" Target="https://iqratechnology.com/hire-qlik-sense-developer/" TargetMode="External"/><Relationship Id="rId83" Type="http://schemas.openxmlformats.org/officeDocument/2006/relationships/hyperlink" Target="https://iqratechnology.com/hire-tableau-bi-developer/" TargetMode="External"/><Relationship Id="rId88" Type="http://schemas.openxmlformats.org/officeDocument/2006/relationships/hyperlink" Target="https://iqratechnology.com/hire-xamarin-developer/" TargetMode="External"/><Relationship Id="rId111" Type="http://schemas.openxmlformats.org/officeDocument/2006/relationships/hyperlink" Target="https://iqratechnology.com/nintex-development-services/" TargetMode="External"/><Relationship Id="rId132" Type="http://schemas.openxmlformats.org/officeDocument/2006/relationships/hyperlink" Target="https://iqratechnology.com/salesforce-consulting-services/" TargetMode="External"/><Relationship Id="rId153" Type="http://schemas.openxmlformats.org/officeDocument/2006/relationships/hyperlink" Target="https://iqratechnology.com/sharepoint-document-management-services/" TargetMode="External"/><Relationship Id="rId15" Type="http://schemas.openxmlformats.org/officeDocument/2006/relationships/hyperlink" Target="https://iqratechnology.com/asp-dot-net-web-application-development-services/" TargetMode="External"/><Relationship Id="rId36" Type="http://schemas.openxmlformats.org/officeDocument/2006/relationships/hyperlink" Target="https://iqratechnology.com/hire-force-com-developer/" TargetMode="External"/><Relationship Id="rId57" Type="http://schemas.openxmlformats.org/officeDocument/2006/relationships/hyperlink" Target="https://iqratechnology.com/hire-php-developer/" TargetMode="External"/><Relationship Id="rId106" Type="http://schemas.openxmlformats.org/officeDocument/2006/relationships/hyperlink" Target="https://iqratechnology.com/microsoft-powerapps-development-service/" TargetMode="External"/><Relationship Id="rId127" Type="http://schemas.openxmlformats.org/officeDocument/2006/relationships/hyperlink" Target="https://iqratechnology.com/qlik-sense-migration-services/" TargetMode="External"/><Relationship Id="rId10" Type="http://schemas.openxmlformats.org/officeDocument/2006/relationships/hyperlink" Target="http://asp.net/" TargetMode="External"/><Relationship Id="rId31" Type="http://schemas.openxmlformats.org/officeDocument/2006/relationships/hyperlink" Target="https://iqratechnology.com/hire-financialforce-erp-admin/" TargetMode="External"/><Relationship Id="rId52" Type="http://schemas.openxmlformats.org/officeDocument/2006/relationships/hyperlink" Target="https://iqratechnology.com/hire-oracle-e-business-suite-consultant/" TargetMode="External"/><Relationship Id="rId73" Type="http://schemas.openxmlformats.org/officeDocument/2006/relationships/hyperlink" Target="https://iqratechnology.com/hire-salesforce-einstein-developer/" TargetMode="External"/><Relationship Id="rId78" Type="http://schemas.openxmlformats.org/officeDocument/2006/relationships/hyperlink" Target="https://iqratechnology.com/hire-salesforce-sales-cloud-developer/" TargetMode="External"/><Relationship Id="rId94" Type="http://schemas.openxmlformats.org/officeDocument/2006/relationships/hyperlink" Target="https://iqratechnology.com/microsoft-dynamics-crm-administrator-services/" TargetMode="External"/><Relationship Id="rId99" Type="http://schemas.openxmlformats.org/officeDocument/2006/relationships/hyperlink" Target="https://iqratechnology.com/microsoft-dynamics-crm-managed-services/" TargetMode="External"/><Relationship Id="rId101" Type="http://schemas.openxmlformats.org/officeDocument/2006/relationships/hyperlink" Target="https://iqratechnology.com/microsoft-dynamics-crm-on-demand-service/" TargetMode="External"/><Relationship Id="rId122" Type="http://schemas.openxmlformats.org/officeDocument/2006/relationships/hyperlink" Target="https://iqratechnology.com/power-bi-support-services/" TargetMode="External"/><Relationship Id="rId143" Type="http://schemas.openxmlformats.org/officeDocument/2006/relationships/hyperlink" Target="https://iqratechnology.com/salesforce-managed-services/" TargetMode="External"/><Relationship Id="rId148" Type="http://schemas.openxmlformats.org/officeDocument/2006/relationships/hyperlink" Target="https://iqratechnology.com/uipath-development-services/" TargetMode="External"/><Relationship Id="rId4" Type="http://schemas.openxmlformats.org/officeDocument/2006/relationships/hyperlink" Target="https://iqratechnology.com/angular-support-maintenance-services/" TargetMode="External"/><Relationship Id="rId9" Type="http://schemas.openxmlformats.org/officeDocument/2006/relationships/hyperlink" Target="https://iqratechnology.com/asp-dot-net-integration-services/" TargetMode="External"/><Relationship Id="rId26" Type="http://schemas.openxmlformats.org/officeDocument/2006/relationships/hyperlink" Target="https://iqratechnology.com/hire-cakephp-developer/" TargetMode="External"/><Relationship Id="rId47" Type="http://schemas.openxmlformats.org/officeDocument/2006/relationships/hyperlink" Target="https://iqratechnology.com/hire-microsoft-flow-developer/" TargetMode="External"/><Relationship Id="rId68" Type="http://schemas.openxmlformats.org/officeDocument/2006/relationships/hyperlink" Target="https://iqratechnology.com/hire-salesforce-community-cloud-consultant/" TargetMode="External"/><Relationship Id="rId89" Type="http://schemas.openxmlformats.org/officeDocument/2006/relationships/hyperlink" Target="https://iqratechnology.com/hire-zoho-books-accountants/" TargetMode="External"/><Relationship Id="rId112" Type="http://schemas.openxmlformats.org/officeDocument/2006/relationships/hyperlink" Target="https://iqratechnology.com/nintex-implementation-services/" TargetMode="External"/><Relationship Id="rId133" Type="http://schemas.openxmlformats.org/officeDocument/2006/relationships/hyperlink" Target="https://iqratechnology.com/salesforce-quick-start-services/" TargetMode="External"/><Relationship Id="rId154" Type="http://schemas.openxmlformats.org/officeDocument/2006/relationships/hyperlink" Target="https://iqratechnology.com/sharepoint-health-check-services/" TargetMode="External"/><Relationship Id="rId16" Type="http://schemas.openxmlformats.org/officeDocument/2006/relationships/hyperlink" Target="http://asp.net/" TargetMode="External"/><Relationship Id="rId37" Type="http://schemas.openxmlformats.org/officeDocument/2006/relationships/hyperlink" Target="https://iqratechnology.com/hire-html5-css-developer/" TargetMode="External"/><Relationship Id="rId58" Type="http://schemas.openxmlformats.org/officeDocument/2006/relationships/hyperlink" Target="https://iqratechnology.com/hire-power-bi-consultant/" TargetMode="External"/><Relationship Id="rId79" Type="http://schemas.openxmlformats.org/officeDocument/2006/relationships/hyperlink" Target="https://iqratechnology.com/hire-salesforce-service-cloud/" TargetMode="External"/><Relationship Id="rId102" Type="http://schemas.openxmlformats.org/officeDocument/2006/relationships/hyperlink" Target="https://iqratechnology.com/microsoft-dynamics-crm-support-services/" TargetMode="External"/><Relationship Id="rId123" Type="http://schemas.openxmlformats.org/officeDocument/2006/relationships/hyperlink" Target="https://iqratechnology.com/qlik-sense-administration-services/" TargetMode="External"/><Relationship Id="rId144" Type="http://schemas.openxmlformats.org/officeDocument/2006/relationships/hyperlink" Target="https://iqratechnology.com/salesforce-on-demand-services/" TargetMode="External"/><Relationship Id="rId90" Type="http://schemas.openxmlformats.org/officeDocument/2006/relationships/hyperlink" Target="https://iqratechnology.com/hire-zoho-developer/" TargetMode="External"/><Relationship Id="rId27" Type="http://schemas.openxmlformats.org/officeDocument/2006/relationships/hyperlink" Target="https://iqratechnology.com/hire-dotnetnuke-developer/" TargetMode="External"/><Relationship Id="rId48" Type="http://schemas.openxmlformats.org/officeDocument/2006/relationships/hyperlink" Target="https://iqratechnology.com/hire-nintex-developer/" TargetMode="External"/><Relationship Id="rId69" Type="http://schemas.openxmlformats.org/officeDocument/2006/relationships/hyperlink" Target="https://iqratechnology.com/hire-salesforce-conga-consultant/" TargetMode="External"/><Relationship Id="rId113" Type="http://schemas.openxmlformats.org/officeDocument/2006/relationships/hyperlink" Target="https://iqratechnology.com/nintex-support-services/" TargetMode="External"/><Relationship Id="rId134" Type="http://schemas.openxmlformats.org/officeDocument/2006/relationships/hyperlink" Target="https://iqratechnology.com/salesforce-community-portal-services/" TargetMode="External"/><Relationship Id="rId80" Type="http://schemas.openxmlformats.org/officeDocument/2006/relationships/hyperlink" Target="https://iqratechnology.com/hire-seo-consultant/" TargetMode="External"/><Relationship Id="rId155" Type="http://schemas.openxmlformats.org/officeDocument/2006/relationships/hyperlink" Target="https://iqratechnology.com/sharepoint-integration-serv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0"/>
  <sheetViews>
    <sheetView tabSelected="1" workbookViewId="0">
      <pane xSplit="1" ySplit="1" topLeftCell="C108" activePane="bottomRight" state="frozen"/>
      <selection pane="topRight"/>
      <selection pane="bottomLeft"/>
      <selection pane="bottomRight" activeCell="H117" sqref="H117"/>
    </sheetView>
  </sheetViews>
  <sheetFormatPr defaultColWidth="12.54296875" defaultRowHeight="15.75" customHeight="1"/>
  <cols>
    <col min="1" max="1" width="32.81640625" style="2" customWidth="1"/>
    <col min="2" max="2" width="85.81640625" style="2" customWidth="1"/>
    <col min="3" max="3" width="12.54296875" style="2"/>
    <col min="4" max="4" width="19.453125" style="2" customWidth="1"/>
    <col min="5" max="5" width="24.26953125" style="2" customWidth="1"/>
    <col min="6" max="6" width="24.08984375" style="2" customWidth="1"/>
    <col min="7" max="16384" width="12.54296875" style="2"/>
  </cols>
  <sheetData>
    <row r="1" spans="1:7" s="1" customFormat="1" ht="37.5" customHeight="1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pans="1:7" ht="15.75" customHeight="1">
      <c r="A2" s="6" t="s">
        <v>7</v>
      </c>
      <c r="B2" s="7" t="s">
        <v>8</v>
      </c>
      <c r="C2" s="8" t="s">
        <v>9</v>
      </c>
      <c r="D2" s="8" t="s">
        <v>10</v>
      </c>
      <c r="E2" s="9">
        <v>2100</v>
      </c>
      <c r="F2" s="2">
        <f t="shared" ref="F2:F43" si="0">E2*1.2/2</f>
        <v>1260</v>
      </c>
      <c r="G2" s="10">
        <f t="shared" ref="G2:G4" si="1">F2/(21*4)</f>
        <v>15</v>
      </c>
    </row>
    <row r="3" spans="1:7" ht="15.75" customHeight="1">
      <c r="A3" s="6" t="s">
        <v>11</v>
      </c>
      <c r="B3" s="7" t="s">
        <v>12</v>
      </c>
      <c r="C3" s="8" t="s">
        <v>9</v>
      </c>
      <c r="D3" s="8" t="s">
        <v>10</v>
      </c>
      <c r="E3" s="9">
        <v>2100</v>
      </c>
      <c r="F3" s="2">
        <f t="shared" si="0"/>
        <v>1260</v>
      </c>
      <c r="G3" s="10">
        <f t="shared" si="1"/>
        <v>15</v>
      </c>
    </row>
    <row r="4" spans="1:7" ht="15.75" customHeight="1">
      <c r="A4" s="6" t="s">
        <v>13</v>
      </c>
      <c r="B4" s="7" t="s">
        <v>14</v>
      </c>
      <c r="C4" s="8" t="s">
        <v>9</v>
      </c>
      <c r="D4" s="8" t="s">
        <v>10</v>
      </c>
      <c r="E4" s="9">
        <v>2100</v>
      </c>
      <c r="F4" s="2">
        <f t="shared" si="0"/>
        <v>1260</v>
      </c>
      <c r="G4" s="10">
        <f t="shared" si="1"/>
        <v>15</v>
      </c>
    </row>
    <row r="5" spans="1:7" ht="15.75" customHeight="1">
      <c r="A5" s="6" t="s">
        <v>15</v>
      </c>
      <c r="B5" s="7" t="s">
        <v>16</v>
      </c>
      <c r="C5" s="8" t="s">
        <v>9</v>
      </c>
      <c r="D5" s="8" t="s">
        <v>10</v>
      </c>
      <c r="E5" s="9">
        <v>2100</v>
      </c>
      <c r="F5" s="2">
        <f t="shared" si="0"/>
        <v>1260</v>
      </c>
      <c r="G5" s="10">
        <f t="shared" ref="G5:G14" si="2">F5/(21*4)</f>
        <v>15</v>
      </c>
    </row>
    <row r="6" spans="1:7" ht="15.75" customHeight="1">
      <c r="A6" s="6" t="s">
        <v>17</v>
      </c>
      <c r="B6" s="7" t="s">
        <v>18</v>
      </c>
      <c r="C6" s="8" t="s">
        <v>9</v>
      </c>
      <c r="D6" s="8" t="s">
        <v>10</v>
      </c>
      <c r="E6" s="9">
        <v>2100</v>
      </c>
      <c r="F6" s="2">
        <f t="shared" si="0"/>
        <v>1260</v>
      </c>
      <c r="G6" s="10">
        <f t="shared" si="2"/>
        <v>15</v>
      </c>
    </row>
    <row r="7" spans="1:7" ht="15.75" customHeight="1">
      <c r="A7" s="6" t="s">
        <v>19</v>
      </c>
      <c r="B7" s="7" t="s">
        <v>20</v>
      </c>
      <c r="C7" s="8" t="s">
        <v>9</v>
      </c>
      <c r="D7" s="8" t="s">
        <v>10</v>
      </c>
      <c r="E7" s="9">
        <v>2100</v>
      </c>
      <c r="F7" s="2">
        <f t="shared" si="0"/>
        <v>1260</v>
      </c>
      <c r="G7" s="10">
        <f t="shared" si="2"/>
        <v>15</v>
      </c>
    </row>
    <row r="8" spans="1:7" ht="15.75" customHeight="1">
      <c r="A8" s="6" t="s">
        <v>21</v>
      </c>
      <c r="B8" s="7" t="s">
        <v>22</v>
      </c>
      <c r="C8" s="8" t="s">
        <v>9</v>
      </c>
      <c r="D8" s="7" t="s">
        <v>23</v>
      </c>
      <c r="E8" s="9">
        <v>2100</v>
      </c>
      <c r="F8" s="2">
        <f t="shared" si="0"/>
        <v>1260</v>
      </c>
      <c r="G8" s="10">
        <f t="shared" si="2"/>
        <v>15</v>
      </c>
    </row>
    <row r="9" spans="1:7" ht="15.75" customHeight="1">
      <c r="A9" s="6" t="s">
        <v>24</v>
      </c>
      <c r="B9" s="7" t="s">
        <v>25</v>
      </c>
      <c r="C9" s="8" t="s">
        <v>9</v>
      </c>
      <c r="D9" s="7" t="s">
        <v>23</v>
      </c>
      <c r="E9" s="9">
        <v>2100</v>
      </c>
      <c r="F9" s="2">
        <f t="shared" si="0"/>
        <v>1260</v>
      </c>
      <c r="G9" s="10">
        <f t="shared" si="2"/>
        <v>15</v>
      </c>
    </row>
    <row r="10" spans="1:7" ht="15.75" customHeight="1">
      <c r="A10" s="6" t="s">
        <v>26</v>
      </c>
      <c r="B10" s="7" t="s">
        <v>27</v>
      </c>
      <c r="C10" s="8" t="s">
        <v>9</v>
      </c>
      <c r="D10" s="7" t="s">
        <v>23</v>
      </c>
      <c r="E10" s="9">
        <v>2100</v>
      </c>
      <c r="F10" s="2">
        <f t="shared" si="0"/>
        <v>1260</v>
      </c>
      <c r="G10" s="10">
        <f t="shared" si="2"/>
        <v>15</v>
      </c>
    </row>
    <row r="11" spans="1:7" ht="15.75" customHeight="1">
      <c r="A11" s="6" t="s">
        <v>28</v>
      </c>
      <c r="B11" s="7" t="s">
        <v>29</v>
      </c>
      <c r="C11" s="8" t="s">
        <v>9</v>
      </c>
      <c r="D11" s="7" t="s">
        <v>23</v>
      </c>
      <c r="E11" s="9">
        <v>2100</v>
      </c>
      <c r="F11" s="2">
        <f t="shared" si="0"/>
        <v>1260</v>
      </c>
      <c r="G11" s="10">
        <f t="shared" si="2"/>
        <v>15</v>
      </c>
    </row>
    <row r="12" spans="1:7" ht="15.75" customHeight="1">
      <c r="A12" s="6" t="s">
        <v>30</v>
      </c>
      <c r="B12" s="7" t="s">
        <v>31</v>
      </c>
      <c r="C12" s="8" t="s">
        <v>9</v>
      </c>
      <c r="D12" s="7" t="s">
        <v>23</v>
      </c>
      <c r="E12" s="9">
        <v>2100</v>
      </c>
      <c r="F12" s="2">
        <f t="shared" si="0"/>
        <v>1260</v>
      </c>
      <c r="G12" s="10">
        <f t="shared" si="2"/>
        <v>15</v>
      </c>
    </row>
    <row r="13" spans="1:7" ht="15.75" customHeight="1">
      <c r="A13" s="6" t="s">
        <v>32</v>
      </c>
      <c r="B13" s="7" t="s">
        <v>33</v>
      </c>
      <c r="C13" s="8" t="s">
        <v>9</v>
      </c>
      <c r="D13" s="8" t="s">
        <v>34</v>
      </c>
      <c r="E13" s="9">
        <v>2100</v>
      </c>
      <c r="F13" s="2">
        <f t="shared" si="0"/>
        <v>1260</v>
      </c>
      <c r="G13" s="10">
        <f t="shared" si="2"/>
        <v>15</v>
      </c>
    </row>
    <row r="14" spans="1:7" ht="15.75" customHeight="1">
      <c r="A14" s="6" t="s">
        <v>35</v>
      </c>
      <c r="B14" s="7" t="s">
        <v>36</v>
      </c>
      <c r="C14" s="8" t="s">
        <v>9</v>
      </c>
      <c r="D14" s="8" t="s">
        <v>37</v>
      </c>
      <c r="E14" s="9">
        <v>1800</v>
      </c>
      <c r="F14" s="2">
        <f t="shared" si="0"/>
        <v>1080</v>
      </c>
      <c r="G14" s="10">
        <f t="shared" si="2"/>
        <v>12.8571428571429</v>
      </c>
    </row>
    <row r="15" spans="1:7" ht="15.75" customHeight="1">
      <c r="A15" s="6" t="s">
        <v>38</v>
      </c>
      <c r="B15" s="7" t="s">
        <v>39</v>
      </c>
      <c r="C15" s="8" t="s">
        <v>9</v>
      </c>
      <c r="D15" s="8" t="s">
        <v>37</v>
      </c>
      <c r="E15" s="9">
        <v>1800</v>
      </c>
      <c r="F15" s="2">
        <f t="shared" si="0"/>
        <v>1080</v>
      </c>
      <c r="G15" s="10">
        <f t="shared" ref="G15:G21" si="3">F15/(21*4)</f>
        <v>12.8571428571429</v>
      </c>
    </row>
    <row r="16" spans="1:7" ht="15.75" customHeight="1">
      <c r="A16" s="6" t="s">
        <v>40</v>
      </c>
      <c r="B16" s="7" t="s">
        <v>41</v>
      </c>
      <c r="C16" s="8" t="s">
        <v>9</v>
      </c>
      <c r="D16" s="8" t="s">
        <v>37</v>
      </c>
      <c r="E16" s="9">
        <v>1800</v>
      </c>
      <c r="F16" s="2">
        <f t="shared" si="0"/>
        <v>1080</v>
      </c>
      <c r="G16" s="10">
        <f t="shared" si="3"/>
        <v>12.8571428571429</v>
      </c>
    </row>
    <row r="17" spans="1:7" ht="15.75" customHeight="1">
      <c r="A17" s="6" t="s">
        <v>42</v>
      </c>
      <c r="B17" s="7" t="s">
        <v>43</v>
      </c>
      <c r="C17" s="8" t="s">
        <v>9</v>
      </c>
      <c r="D17" s="8" t="s">
        <v>37</v>
      </c>
      <c r="E17" s="9">
        <v>2100</v>
      </c>
      <c r="F17" s="2">
        <f t="shared" si="0"/>
        <v>1260</v>
      </c>
      <c r="G17" s="10">
        <f t="shared" si="3"/>
        <v>15</v>
      </c>
    </row>
    <row r="18" spans="1:7" ht="15.75" customHeight="1">
      <c r="A18" s="6" t="s">
        <v>44</v>
      </c>
      <c r="B18" s="7" t="s">
        <v>45</v>
      </c>
      <c r="C18" s="8" t="s">
        <v>9</v>
      </c>
      <c r="D18" s="8" t="s">
        <v>37</v>
      </c>
      <c r="E18" s="9">
        <v>1800</v>
      </c>
      <c r="F18" s="2">
        <f t="shared" si="0"/>
        <v>1080</v>
      </c>
      <c r="G18" s="10">
        <f t="shared" si="3"/>
        <v>12.8571428571429</v>
      </c>
    </row>
    <row r="19" spans="1:7" ht="15.75" customHeight="1">
      <c r="A19" s="6" t="s">
        <v>46</v>
      </c>
      <c r="B19" s="7" t="s">
        <v>47</v>
      </c>
      <c r="C19" s="8" t="s">
        <v>48</v>
      </c>
      <c r="D19" s="8" t="s">
        <v>10</v>
      </c>
      <c r="E19" s="9">
        <v>1800</v>
      </c>
      <c r="F19" s="2">
        <f t="shared" si="0"/>
        <v>1080</v>
      </c>
      <c r="G19" s="10">
        <f t="shared" si="3"/>
        <v>12.8571428571429</v>
      </c>
    </row>
    <row r="20" spans="1:7" ht="15.75" customHeight="1">
      <c r="A20" s="6" t="s">
        <v>49</v>
      </c>
      <c r="B20" s="7" t="s">
        <v>50</v>
      </c>
      <c r="C20" s="8" t="s">
        <v>48</v>
      </c>
      <c r="D20" s="8" t="s">
        <v>51</v>
      </c>
      <c r="E20" s="9">
        <v>2100</v>
      </c>
      <c r="F20" s="2">
        <f t="shared" si="0"/>
        <v>1260</v>
      </c>
      <c r="G20" s="10">
        <f t="shared" si="3"/>
        <v>15</v>
      </c>
    </row>
    <row r="21" spans="1:7" ht="14.5">
      <c r="A21" s="6" t="s">
        <v>52</v>
      </c>
      <c r="B21" s="7" t="s">
        <v>53</v>
      </c>
      <c r="C21" s="8" t="s">
        <v>48</v>
      </c>
      <c r="D21" s="8" t="s">
        <v>54</v>
      </c>
      <c r="E21" s="9">
        <v>2100</v>
      </c>
      <c r="F21" s="2">
        <f t="shared" si="0"/>
        <v>1260</v>
      </c>
      <c r="G21" s="10">
        <f t="shared" si="3"/>
        <v>15</v>
      </c>
    </row>
    <row r="22" spans="1:7" ht="14.5">
      <c r="A22" s="6" t="s">
        <v>55</v>
      </c>
      <c r="B22" s="7" t="s">
        <v>56</v>
      </c>
      <c r="C22" s="8" t="s">
        <v>48</v>
      </c>
      <c r="D22" s="8" t="s">
        <v>57</v>
      </c>
      <c r="E22" s="9">
        <v>2100</v>
      </c>
      <c r="F22" s="2">
        <f t="shared" si="0"/>
        <v>1260</v>
      </c>
      <c r="G22" s="2" t="s">
        <v>58</v>
      </c>
    </row>
    <row r="23" spans="1:7" ht="14.5">
      <c r="A23" s="6" t="s">
        <v>59</v>
      </c>
      <c r="B23" s="7" t="s">
        <v>60</v>
      </c>
      <c r="C23" s="8" t="s">
        <v>48</v>
      </c>
      <c r="D23" s="8" t="s">
        <v>61</v>
      </c>
      <c r="E23" s="9">
        <v>2100</v>
      </c>
      <c r="F23" s="2">
        <f t="shared" si="0"/>
        <v>1260</v>
      </c>
      <c r="G23" s="2" t="s">
        <v>58</v>
      </c>
    </row>
    <row r="24" spans="1:7" ht="14.5">
      <c r="A24" s="6" t="s">
        <v>62</v>
      </c>
      <c r="B24" s="7" t="s">
        <v>63</v>
      </c>
      <c r="C24" s="8" t="s">
        <v>48</v>
      </c>
      <c r="D24" s="8" t="s">
        <v>37</v>
      </c>
      <c r="E24" s="9">
        <v>2100</v>
      </c>
      <c r="F24" s="2">
        <f t="shared" si="0"/>
        <v>1260</v>
      </c>
      <c r="G24" s="10">
        <f t="shared" ref="G24:G30" si="4">F24/(21*4)</f>
        <v>15</v>
      </c>
    </row>
    <row r="25" spans="1:7" ht="14.5">
      <c r="A25" s="6" t="s">
        <v>64</v>
      </c>
      <c r="B25" s="7" t="s">
        <v>65</v>
      </c>
      <c r="C25" s="8" t="s">
        <v>48</v>
      </c>
      <c r="D25" s="8" t="s">
        <v>37</v>
      </c>
      <c r="E25" s="9">
        <v>2500</v>
      </c>
      <c r="F25" s="2">
        <f t="shared" si="0"/>
        <v>1500</v>
      </c>
      <c r="G25" s="10">
        <f t="shared" si="4"/>
        <v>17.8571428571429</v>
      </c>
    </row>
    <row r="26" spans="1:7" ht="14.5">
      <c r="A26" s="6" t="s">
        <v>66</v>
      </c>
      <c r="B26" s="7" t="s">
        <v>67</v>
      </c>
      <c r="C26" s="8" t="s">
        <v>48</v>
      </c>
      <c r="D26" s="8" t="s">
        <v>37</v>
      </c>
      <c r="E26" s="9">
        <v>2500</v>
      </c>
      <c r="F26" s="2">
        <f t="shared" si="0"/>
        <v>1500</v>
      </c>
      <c r="G26" s="10">
        <f t="shared" si="4"/>
        <v>17.8571428571429</v>
      </c>
    </row>
    <row r="27" spans="1:7" ht="14.5">
      <c r="A27" s="6" t="s">
        <v>68</v>
      </c>
      <c r="B27" s="7" t="s">
        <v>69</v>
      </c>
      <c r="C27" s="8" t="s">
        <v>48</v>
      </c>
      <c r="D27" s="8" t="s">
        <v>37</v>
      </c>
      <c r="E27" s="9">
        <v>2500</v>
      </c>
      <c r="F27" s="2">
        <f t="shared" si="0"/>
        <v>1500</v>
      </c>
      <c r="G27" s="10">
        <f t="shared" si="4"/>
        <v>17.8571428571429</v>
      </c>
    </row>
    <row r="28" spans="1:7" ht="14.5">
      <c r="A28" s="6" t="s">
        <v>70</v>
      </c>
      <c r="B28" s="7" t="s">
        <v>71</v>
      </c>
      <c r="C28" s="8" t="s">
        <v>48</v>
      </c>
      <c r="D28" s="8" t="s">
        <v>37</v>
      </c>
      <c r="E28" s="9">
        <v>2100</v>
      </c>
      <c r="F28" s="2">
        <f t="shared" si="0"/>
        <v>1260</v>
      </c>
      <c r="G28" s="10">
        <f t="shared" si="4"/>
        <v>15</v>
      </c>
    </row>
    <row r="29" spans="1:7" ht="14.5">
      <c r="A29" s="6" t="s">
        <v>72</v>
      </c>
      <c r="B29" s="7" t="s">
        <v>73</v>
      </c>
      <c r="C29" s="8" t="s">
        <v>48</v>
      </c>
      <c r="D29" s="8" t="s">
        <v>37</v>
      </c>
      <c r="E29" s="9">
        <v>2100</v>
      </c>
      <c r="F29" s="2">
        <f t="shared" si="0"/>
        <v>1260</v>
      </c>
      <c r="G29" s="10">
        <f t="shared" si="4"/>
        <v>15</v>
      </c>
    </row>
    <row r="30" spans="1:7" ht="28.5" customHeight="1">
      <c r="A30" s="6" t="s">
        <v>74</v>
      </c>
      <c r="B30" s="7" t="s">
        <v>75</v>
      </c>
      <c r="C30" s="8" t="s">
        <v>48</v>
      </c>
      <c r="D30" s="8" t="s">
        <v>37</v>
      </c>
      <c r="E30" s="9">
        <v>1800</v>
      </c>
      <c r="F30" s="2">
        <f t="shared" si="0"/>
        <v>1080</v>
      </c>
      <c r="G30" s="10">
        <f t="shared" si="4"/>
        <v>12.8571428571429</v>
      </c>
    </row>
    <row r="31" spans="1:7" ht="15.75" customHeight="1">
      <c r="A31" s="6" t="s">
        <v>76</v>
      </c>
      <c r="B31" s="7" t="s">
        <v>77</v>
      </c>
      <c r="C31" s="8" t="s">
        <v>48</v>
      </c>
      <c r="D31" s="8" t="s">
        <v>78</v>
      </c>
      <c r="E31" s="9">
        <v>2100</v>
      </c>
      <c r="F31" s="2">
        <f t="shared" si="0"/>
        <v>1260</v>
      </c>
      <c r="G31" s="2" t="s">
        <v>58</v>
      </c>
    </row>
    <row r="32" spans="1:7" ht="14.5">
      <c r="A32" s="6" t="s">
        <v>79</v>
      </c>
      <c r="B32" s="7" t="s">
        <v>80</v>
      </c>
      <c r="C32" s="8" t="s">
        <v>48</v>
      </c>
      <c r="D32" s="8" t="s">
        <v>81</v>
      </c>
      <c r="E32" s="9">
        <v>1800</v>
      </c>
      <c r="F32" s="2">
        <f t="shared" si="0"/>
        <v>1080</v>
      </c>
      <c r="G32" s="10">
        <f>F32/(21*4)</f>
        <v>12.8571428571429</v>
      </c>
    </row>
    <row r="33" spans="1:7" ht="14.5">
      <c r="A33" s="6" t="s">
        <v>82</v>
      </c>
      <c r="B33" s="7" t="s">
        <v>83</v>
      </c>
      <c r="C33" s="8" t="s">
        <v>48</v>
      </c>
      <c r="D33" s="8" t="s">
        <v>84</v>
      </c>
      <c r="E33" s="9">
        <v>2100</v>
      </c>
      <c r="F33" s="2">
        <f t="shared" si="0"/>
        <v>1260</v>
      </c>
      <c r="G33" s="2" t="s">
        <v>58</v>
      </c>
    </row>
    <row r="34" spans="1:7" ht="14.5">
      <c r="A34" s="6" t="s">
        <v>85</v>
      </c>
      <c r="B34" s="7" t="s">
        <v>86</v>
      </c>
      <c r="C34" s="8" t="s">
        <v>48</v>
      </c>
      <c r="D34" s="8" t="s">
        <v>87</v>
      </c>
      <c r="E34" s="2">
        <v>2500</v>
      </c>
      <c r="F34" s="2">
        <f t="shared" si="0"/>
        <v>1500</v>
      </c>
      <c r="G34" s="10">
        <f t="shared" ref="G34:G35" si="5">F34/(21*4)</f>
        <v>17.8571428571429</v>
      </c>
    </row>
    <row r="35" spans="1:7" ht="14.5">
      <c r="A35" s="6" t="s">
        <v>88</v>
      </c>
      <c r="B35" s="7" t="s">
        <v>89</v>
      </c>
      <c r="C35" s="8" t="s">
        <v>48</v>
      </c>
      <c r="D35" s="8" t="s">
        <v>87</v>
      </c>
      <c r="E35" s="2">
        <v>2500</v>
      </c>
      <c r="F35" s="2">
        <f t="shared" si="0"/>
        <v>1500</v>
      </c>
      <c r="G35" s="10">
        <f t="shared" si="5"/>
        <v>17.8571428571429</v>
      </c>
    </row>
    <row r="36" spans="1:7" ht="14.5">
      <c r="A36" s="6" t="s">
        <v>90</v>
      </c>
      <c r="B36" s="7" t="s">
        <v>91</v>
      </c>
      <c r="C36" s="8" t="s">
        <v>48</v>
      </c>
      <c r="D36" s="8" t="s">
        <v>92</v>
      </c>
      <c r="E36" s="9">
        <v>2100</v>
      </c>
      <c r="F36" s="2">
        <f t="shared" si="0"/>
        <v>1260</v>
      </c>
      <c r="G36" s="2" t="s">
        <v>58</v>
      </c>
    </row>
    <row r="37" spans="1:7" ht="14.5">
      <c r="A37" s="6" t="s">
        <v>93</v>
      </c>
      <c r="B37" s="7" t="s">
        <v>94</v>
      </c>
      <c r="C37" s="8" t="s">
        <v>48</v>
      </c>
      <c r="D37" s="8" t="s">
        <v>95</v>
      </c>
      <c r="E37" s="9">
        <v>2500</v>
      </c>
      <c r="F37" s="2">
        <f t="shared" si="0"/>
        <v>1500</v>
      </c>
      <c r="G37" s="2" t="s">
        <v>58</v>
      </c>
    </row>
    <row r="38" spans="1:7" ht="14.5">
      <c r="A38" s="6" t="s">
        <v>96</v>
      </c>
      <c r="B38" s="7" t="s">
        <v>97</v>
      </c>
      <c r="C38" s="8" t="s">
        <v>48</v>
      </c>
      <c r="D38" s="8" t="s">
        <v>95</v>
      </c>
      <c r="E38" s="9">
        <v>2500</v>
      </c>
      <c r="F38" s="2">
        <f t="shared" si="0"/>
        <v>1500</v>
      </c>
      <c r="G38" s="2" t="s">
        <v>58</v>
      </c>
    </row>
    <row r="39" spans="1:7" ht="14.5">
      <c r="A39" s="6" t="s">
        <v>98</v>
      </c>
      <c r="B39" s="7" t="s">
        <v>99</v>
      </c>
      <c r="C39" s="8" t="s">
        <v>48</v>
      </c>
      <c r="D39" s="8" t="s">
        <v>34</v>
      </c>
      <c r="E39" s="9">
        <v>2100</v>
      </c>
      <c r="F39" s="2">
        <f t="shared" si="0"/>
        <v>1260</v>
      </c>
      <c r="G39" s="10">
        <f t="shared" ref="G39:G43" si="6">F39/(21*4)</f>
        <v>15</v>
      </c>
    </row>
    <row r="40" spans="1:7" ht="14.5">
      <c r="A40" s="6" t="s">
        <v>100</v>
      </c>
      <c r="B40" s="7" t="s">
        <v>101</v>
      </c>
      <c r="C40" s="8" t="s">
        <v>48</v>
      </c>
      <c r="D40" s="8" t="s">
        <v>34</v>
      </c>
      <c r="E40" s="11">
        <v>2100</v>
      </c>
      <c r="F40" s="2">
        <f t="shared" si="0"/>
        <v>1260</v>
      </c>
      <c r="G40" s="10">
        <f t="shared" si="6"/>
        <v>15</v>
      </c>
    </row>
    <row r="41" spans="1:7" ht="14.5">
      <c r="A41" s="6" t="s">
        <v>102</v>
      </c>
      <c r="B41" s="7" t="s">
        <v>103</v>
      </c>
      <c r="C41" s="8" t="s">
        <v>48</v>
      </c>
      <c r="D41" s="8" t="s">
        <v>34</v>
      </c>
      <c r="E41" s="11">
        <v>2100</v>
      </c>
      <c r="F41" s="2">
        <f t="shared" si="0"/>
        <v>1260</v>
      </c>
      <c r="G41" s="10">
        <f t="shared" si="6"/>
        <v>15</v>
      </c>
    </row>
    <row r="42" spans="1:7" ht="14.5">
      <c r="A42" s="6" t="s">
        <v>104</v>
      </c>
      <c r="B42" s="7" t="s">
        <v>105</v>
      </c>
      <c r="C42" s="8" t="s">
        <v>48</v>
      </c>
      <c r="D42" s="8" t="s">
        <v>34</v>
      </c>
      <c r="E42" s="11">
        <v>2100</v>
      </c>
      <c r="F42" s="2">
        <f t="shared" si="0"/>
        <v>1260</v>
      </c>
      <c r="G42" s="10">
        <f t="shared" si="6"/>
        <v>15</v>
      </c>
    </row>
    <row r="43" spans="1:7" ht="14.5">
      <c r="A43" s="6" t="s">
        <v>106</v>
      </c>
      <c r="B43" s="7" t="s">
        <v>107</v>
      </c>
      <c r="C43" s="8" t="s">
        <v>48</v>
      </c>
      <c r="D43" s="8" t="s">
        <v>54</v>
      </c>
      <c r="E43" s="11">
        <v>2100</v>
      </c>
      <c r="F43" s="2">
        <f t="shared" si="0"/>
        <v>1260</v>
      </c>
      <c r="G43" s="10">
        <f t="shared" si="6"/>
        <v>15</v>
      </c>
    </row>
    <row r="44" spans="1:7" ht="14.5">
      <c r="A44" s="6" t="s">
        <v>108</v>
      </c>
      <c r="B44" s="7" t="s">
        <v>109</v>
      </c>
      <c r="C44" s="8" t="s">
        <v>48</v>
      </c>
      <c r="D44" s="8" t="s">
        <v>110</v>
      </c>
      <c r="E44" s="11">
        <v>2500</v>
      </c>
      <c r="F44" s="2">
        <v>1500</v>
      </c>
      <c r="G44" s="10">
        <v>18</v>
      </c>
    </row>
    <row r="45" spans="1:7" ht="14.5">
      <c r="A45" s="6" t="s">
        <v>111</v>
      </c>
      <c r="B45" s="7" t="s">
        <v>112</v>
      </c>
      <c r="C45" s="8" t="s">
        <v>48</v>
      </c>
      <c r="D45" s="8" t="s">
        <v>113</v>
      </c>
      <c r="E45" s="2">
        <v>2500</v>
      </c>
      <c r="F45" s="2">
        <v>1500</v>
      </c>
      <c r="G45" s="10">
        <v>18</v>
      </c>
    </row>
    <row r="46" spans="1:7" ht="14.5">
      <c r="A46" s="6" t="s">
        <v>114</v>
      </c>
      <c r="B46" s="7" t="s">
        <v>115</v>
      </c>
      <c r="C46" s="8" t="s">
        <v>48</v>
      </c>
      <c r="D46" s="8" t="s">
        <v>116</v>
      </c>
      <c r="E46" s="9">
        <v>2100</v>
      </c>
      <c r="F46" s="2">
        <f t="shared" ref="F46:F53" si="7">E46/2*1.2</f>
        <v>1260</v>
      </c>
      <c r="G46" s="2">
        <f>F46/(21*4)</f>
        <v>15</v>
      </c>
    </row>
    <row r="47" spans="1:7" ht="14.5">
      <c r="A47" s="6" t="s">
        <v>117</v>
      </c>
      <c r="B47" s="7" t="s">
        <v>118</v>
      </c>
      <c r="C47" s="8" t="s">
        <v>48</v>
      </c>
      <c r="D47" s="8" t="s">
        <v>116</v>
      </c>
      <c r="E47" s="9">
        <v>2100</v>
      </c>
      <c r="F47" s="2">
        <f t="shared" si="7"/>
        <v>1260</v>
      </c>
      <c r="G47" s="10">
        <f t="shared" ref="G47:G54" si="8">F47/(21*4)</f>
        <v>15</v>
      </c>
    </row>
    <row r="48" spans="1:7" ht="14.5">
      <c r="A48" s="6" t="s">
        <v>119</v>
      </c>
      <c r="B48" s="7" t="s">
        <v>120</v>
      </c>
      <c r="C48" s="8" t="s">
        <v>48</v>
      </c>
      <c r="D48" s="8" t="s">
        <v>121</v>
      </c>
      <c r="E48" s="9">
        <v>2500</v>
      </c>
      <c r="F48" s="2">
        <f t="shared" si="7"/>
        <v>1500</v>
      </c>
      <c r="G48" s="10">
        <f t="shared" si="8"/>
        <v>17.8571428571429</v>
      </c>
    </row>
    <row r="49" spans="1:7" ht="14.5">
      <c r="A49" s="6" t="s">
        <v>122</v>
      </c>
      <c r="B49" s="7" t="s">
        <v>123</v>
      </c>
      <c r="C49" s="8" t="s">
        <v>48</v>
      </c>
      <c r="D49" s="8" t="s">
        <v>121</v>
      </c>
      <c r="E49" s="9">
        <v>2500</v>
      </c>
      <c r="F49" s="2">
        <f t="shared" si="7"/>
        <v>1500</v>
      </c>
      <c r="G49" s="10">
        <f t="shared" si="8"/>
        <v>17.8571428571429</v>
      </c>
    </row>
    <row r="50" spans="1:7" ht="14.5">
      <c r="A50" s="6" t="s">
        <v>124</v>
      </c>
      <c r="B50" s="7" t="s">
        <v>125</v>
      </c>
      <c r="C50" s="8" t="s">
        <v>48</v>
      </c>
      <c r="D50" s="8" t="s">
        <v>121</v>
      </c>
      <c r="E50" s="9">
        <v>2500</v>
      </c>
      <c r="F50" s="2">
        <f t="shared" si="7"/>
        <v>1500</v>
      </c>
      <c r="G50" s="10">
        <f t="shared" si="8"/>
        <v>17.8571428571429</v>
      </c>
    </row>
    <row r="51" spans="1:7" ht="14.5">
      <c r="A51" s="6" t="s">
        <v>126</v>
      </c>
      <c r="B51" s="7" t="s">
        <v>127</v>
      </c>
      <c r="C51" s="8" t="s">
        <v>48</v>
      </c>
      <c r="D51" s="8" t="s">
        <v>128</v>
      </c>
      <c r="E51" s="9">
        <v>2100</v>
      </c>
      <c r="F51" s="2">
        <f t="shared" si="7"/>
        <v>1260</v>
      </c>
      <c r="G51" s="10">
        <f t="shared" si="8"/>
        <v>15</v>
      </c>
    </row>
    <row r="52" spans="1:7" ht="14.5">
      <c r="A52" s="6" t="s">
        <v>129</v>
      </c>
      <c r="B52" s="7" t="s">
        <v>130</v>
      </c>
      <c r="C52" s="8" t="s">
        <v>48</v>
      </c>
      <c r="D52" s="8" t="s">
        <v>128</v>
      </c>
      <c r="E52" s="9">
        <v>2100</v>
      </c>
      <c r="F52" s="2">
        <f t="shared" si="7"/>
        <v>1260</v>
      </c>
      <c r="G52" s="10">
        <f t="shared" si="8"/>
        <v>15</v>
      </c>
    </row>
    <row r="53" spans="1:7" ht="14.5">
      <c r="A53" s="6" t="s">
        <v>131</v>
      </c>
      <c r="B53" s="7" t="s">
        <v>132</v>
      </c>
      <c r="C53" s="8" t="s">
        <v>48</v>
      </c>
      <c r="D53" s="8" t="s">
        <v>133</v>
      </c>
      <c r="E53" s="9">
        <v>1800</v>
      </c>
      <c r="F53" s="2">
        <f t="shared" si="7"/>
        <v>1080</v>
      </c>
      <c r="G53" s="10">
        <f t="shared" si="8"/>
        <v>12.8571428571429</v>
      </c>
    </row>
    <row r="54" spans="1:7" ht="14.5">
      <c r="A54" s="6" t="s">
        <v>134</v>
      </c>
      <c r="B54" s="7" t="s">
        <v>135</v>
      </c>
      <c r="C54" s="8" t="s">
        <v>48</v>
      </c>
      <c r="D54" s="8" t="s">
        <v>136</v>
      </c>
      <c r="E54" s="2">
        <v>2300</v>
      </c>
      <c r="F54" s="2">
        <f>E54*1.2/2</f>
        <v>1380</v>
      </c>
      <c r="G54" s="10">
        <f t="shared" si="8"/>
        <v>16.428571428571399</v>
      </c>
    </row>
    <row r="55" spans="1:7" ht="14.5">
      <c r="A55" s="6" t="s">
        <v>137</v>
      </c>
      <c r="B55" s="7" t="s">
        <v>138</v>
      </c>
      <c r="C55" s="8" t="s">
        <v>48</v>
      </c>
      <c r="D55" s="8" t="s">
        <v>136</v>
      </c>
      <c r="E55" s="2">
        <v>2300</v>
      </c>
      <c r="F55" s="2">
        <f>E55*1.2/2</f>
        <v>1380</v>
      </c>
      <c r="G55" s="10">
        <f t="shared" ref="G55:G58" si="9">F55/(21*4)</f>
        <v>16.428571428571399</v>
      </c>
    </row>
    <row r="56" spans="1:7" ht="14.5">
      <c r="A56" s="6" t="s">
        <v>139</v>
      </c>
      <c r="B56" s="7" t="s">
        <v>140</v>
      </c>
      <c r="C56" s="8" t="s">
        <v>48</v>
      </c>
      <c r="D56" s="8" t="s">
        <v>141</v>
      </c>
      <c r="E56" s="2">
        <v>2300</v>
      </c>
      <c r="F56" s="2">
        <f>E56*1.2/2</f>
        <v>1380</v>
      </c>
      <c r="G56" s="10">
        <f t="shared" si="9"/>
        <v>16.428571428571399</v>
      </c>
    </row>
    <row r="57" spans="1:7" ht="14.5">
      <c r="A57" s="6" t="s">
        <v>142</v>
      </c>
      <c r="B57" s="7" t="s">
        <v>143</v>
      </c>
      <c r="C57" s="8" t="s">
        <v>9</v>
      </c>
      <c r="D57" s="8" t="s">
        <v>144</v>
      </c>
      <c r="E57" s="2">
        <v>2300</v>
      </c>
      <c r="F57" s="2">
        <f>E57*1.2/2</f>
        <v>1380</v>
      </c>
      <c r="G57" s="10">
        <f t="shared" si="9"/>
        <v>16.428571428571399</v>
      </c>
    </row>
    <row r="58" spans="1:7" ht="14.5">
      <c r="A58" s="6" t="s">
        <v>145</v>
      </c>
      <c r="B58" s="7" t="s">
        <v>146</v>
      </c>
      <c r="C58" s="8" t="s">
        <v>48</v>
      </c>
      <c r="D58" s="8" t="s">
        <v>144</v>
      </c>
      <c r="E58" s="2">
        <v>2300</v>
      </c>
      <c r="F58" s="2">
        <f>E58*1.2/2</f>
        <v>1380</v>
      </c>
      <c r="G58" s="10">
        <f t="shared" si="9"/>
        <v>16.428571428571399</v>
      </c>
    </row>
    <row r="59" spans="1:7" ht="14.5">
      <c r="A59" s="6" t="s">
        <v>147</v>
      </c>
      <c r="B59" s="7" t="s">
        <v>148</v>
      </c>
      <c r="C59" s="8" t="s">
        <v>48</v>
      </c>
      <c r="D59" s="8" t="s">
        <v>149</v>
      </c>
      <c r="E59" s="9">
        <v>2100</v>
      </c>
      <c r="F59" s="2">
        <f>E59/2*1.2</f>
        <v>1260</v>
      </c>
      <c r="G59" s="10">
        <f t="shared" ref="G59:G62" si="10">F59/(21*4)</f>
        <v>15</v>
      </c>
    </row>
    <row r="60" spans="1:7" ht="14.5">
      <c r="A60" s="6" t="s">
        <v>150</v>
      </c>
      <c r="B60" s="7" t="s">
        <v>151</v>
      </c>
      <c r="C60" s="8" t="s">
        <v>48</v>
      </c>
      <c r="D60" s="8" t="s">
        <v>149</v>
      </c>
      <c r="E60" s="9">
        <v>1800</v>
      </c>
      <c r="F60" s="2">
        <f>E60/2*1.2</f>
        <v>1080</v>
      </c>
      <c r="G60" s="10">
        <f t="shared" si="10"/>
        <v>12.8571428571429</v>
      </c>
    </row>
    <row r="61" spans="1:7" ht="14.5">
      <c r="A61" s="6" t="s">
        <v>152</v>
      </c>
      <c r="B61" s="7" t="s">
        <v>153</v>
      </c>
      <c r="C61" s="8" t="s">
        <v>48</v>
      </c>
      <c r="D61" s="8" t="s">
        <v>81</v>
      </c>
      <c r="E61" s="9">
        <v>2100</v>
      </c>
      <c r="F61" s="2">
        <f t="shared" ref="F61:F75" si="11">E61*1.2/2</f>
        <v>1260</v>
      </c>
      <c r="G61" s="10">
        <f t="shared" si="10"/>
        <v>15</v>
      </c>
    </row>
    <row r="62" spans="1:7" ht="14.5">
      <c r="A62" s="6" t="s">
        <v>154</v>
      </c>
      <c r="B62" s="7" t="s">
        <v>155</v>
      </c>
      <c r="C62" s="8" t="s">
        <v>48</v>
      </c>
      <c r="D62" s="8" t="s">
        <v>81</v>
      </c>
      <c r="E62" s="9">
        <v>2500</v>
      </c>
      <c r="F62" s="2">
        <f t="shared" si="11"/>
        <v>1500</v>
      </c>
      <c r="G62" s="10">
        <f t="shared" si="10"/>
        <v>17.8571428571429</v>
      </c>
    </row>
    <row r="63" spans="1:7" ht="14.5">
      <c r="A63" s="6" t="s">
        <v>156</v>
      </c>
      <c r="B63" s="7" t="s">
        <v>157</v>
      </c>
      <c r="C63" s="8" t="s">
        <v>48</v>
      </c>
      <c r="D63" s="8" t="s">
        <v>81</v>
      </c>
      <c r="E63" s="9">
        <v>2500</v>
      </c>
      <c r="F63" s="2">
        <f t="shared" si="11"/>
        <v>1500</v>
      </c>
      <c r="G63" s="10">
        <f t="shared" ref="G63:G65" si="12">F63/(21*4)</f>
        <v>17.8571428571429</v>
      </c>
    </row>
    <row r="64" spans="1:7" ht="14.5">
      <c r="A64" s="6" t="s">
        <v>158</v>
      </c>
      <c r="B64" s="7" t="s">
        <v>159</v>
      </c>
      <c r="C64" s="8" t="s">
        <v>48</v>
      </c>
      <c r="D64" s="8" t="s">
        <v>81</v>
      </c>
      <c r="E64" s="2">
        <v>2500</v>
      </c>
      <c r="F64" s="2">
        <f t="shared" si="11"/>
        <v>1500</v>
      </c>
      <c r="G64" s="10">
        <f t="shared" si="12"/>
        <v>17.8571428571429</v>
      </c>
    </row>
    <row r="65" spans="1:7" ht="14.5">
      <c r="A65" s="6" t="s">
        <v>160</v>
      </c>
      <c r="B65" s="7" t="s">
        <v>161</v>
      </c>
      <c r="C65" s="8" t="s">
        <v>48</v>
      </c>
      <c r="D65" s="8" t="s">
        <v>81</v>
      </c>
      <c r="E65" s="2">
        <v>2500</v>
      </c>
      <c r="F65" s="2">
        <f t="shared" si="11"/>
        <v>1500</v>
      </c>
      <c r="G65" s="10">
        <f t="shared" si="12"/>
        <v>17.8571428571429</v>
      </c>
    </row>
    <row r="66" spans="1:7" ht="14.5">
      <c r="A66" s="6" t="s">
        <v>162</v>
      </c>
      <c r="B66" s="7" t="s">
        <v>163</v>
      </c>
      <c r="C66" s="8" t="s">
        <v>48</v>
      </c>
      <c r="D66" s="8" t="s">
        <v>81</v>
      </c>
      <c r="E66" s="2">
        <v>2500</v>
      </c>
      <c r="F66" s="2">
        <f t="shared" si="11"/>
        <v>1500</v>
      </c>
      <c r="G66" s="10">
        <f t="shared" ref="G66:G75" si="13">F66/(21*4)</f>
        <v>17.8571428571429</v>
      </c>
    </row>
    <row r="67" spans="1:7" ht="14.5">
      <c r="A67" s="6" t="s">
        <v>164</v>
      </c>
      <c r="B67" s="7" t="s">
        <v>165</v>
      </c>
      <c r="C67" s="8" t="s">
        <v>48</v>
      </c>
      <c r="D67" s="8" t="s">
        <v>81</v>
      </c>
      <c r="E67" s="2">
        <v>2500</v>
      </c>
      <c r="F67" s="2">
        <f t="shared" si="11"/>
        <v>1500</v>
      </c>
      <c r="G67" s="10">
        <f t="shared" si="13"/>
        <v>17.8571428571429</v>
      </c>
    </row>
    <row r="68" spans="1:7" ht="14.5">
      <c r="A68" s="6" t="s">
        <v>166</v>
      </c>
      <c r="B68" s="7" t="s">
        <v>167</v>
      </c>
      <c r="C68" s="8" t="s">
        <v>48</v>
      </c>
      <c r="D68" s="8" t="s">
        <v>81</v>
      </c>
      <c r="E68" s="2">
        <v>2500</v>
      </c>
      <c r="F68" s="2">
        <f t="shared" si="11"/>
        <v>1500</v>
      </c>
      <c r="G68" s="10">
        <f t="shared" si="13"/>
        <v>17.8571428571429</v>
      </c>
    </row>
    <row r="69" spans="1:7" ht="14.5">
      <c r="A69" s="6" t="s">
        <v>168</v>
      </c>
      <c r="B69" s="7" t="s">
        <v>169</v>
      </c>
      <c r="C69" s="8" t="s">
        <v>48</v>
      </c>
      <c r="D69" s="8" t="s">
        <v>81</v>
      </c>
      <c r="E69" s="2">
        <v>2500</v>
      </c>
      <c r="F69" s="2">
        <f t="shared" si="11"/>
        <v>1500</v>
      </c>
      <c r="G69" s="10">
        <f t="shared" si="13"/>
        <v>17.8571428571429</v>
      </c>
    </row>
    <row r="70" spans="1:7" ht="14.5">
      <c r="A70" s="6" t="s">
        <v>170</v>
      </c>
      <c r="B70" s="7" t="s">
        <v>171</v>
      </c>
      <c r="C70" s="8" t="s">
        <v>48</v>
      </c>
      <c r="D70" s="8" t="s">
        <v>81</v>
      </c>
      <c r="E70" s="2">
        <v>2500</v>
      </c>
      <c r="F70" s="2">
        <f t="shared" si="11"/>
        <v>1500</v>
      </c>
      <c r="G70" s="10">
        <f t="shared" si="13"/>
        <v>17.8571428571429</v>
      </c>
    </row>
    <row r="71" spans="1:7" ht="14.5">
      <c r="A71" s="6" t="s">
        <v>172</v>
      </c>
      <c r="B71" s="7" t="s">
        <v>173</v>
      </c>
      <c r="C71" s="8" t="s">
        <v>48</v>
      </c>
      <c r="D71" s="8" t="s">
        <v>81</v>
      </c>
      <c r="E71" s="2">
        <v>2500</v>
      </c>
      <c r="F71" s="2">
        <f t="shared" si="11"/>
        <v>1500</v>
      </c>
      <c r="G71" s="10">
        <f t="shared" si="13"/>
        <v>17.8571428571429</v>
      </c>
    </row>
    <row r="72" spans="1:7" ht="14.5">
      <c r="A72" s="6" t="s">
        <v>174</v>
      </c>
      <c r="B72" s="7" t="s">
        <v>175</v>
      </c>
      <c r="C72" s="8" t="s">
        <v>48</v>
      </c>
      <c r="D72" s="8" t="s">
        <v>81</v>
      </c>
      <c r="E72" s="2">
        <v>2500</v>
      </c>
      <c r="F72" s="2">
        <f t="shared" si="11"/>
        <v>1500</v>
      </c>
      <c r="G72" s="10">
        <f t="shared" si="13"/>
        <v>17.8571428571429</v>
      </c>
    </row>
    <row r="73" spans="1:7" ht="14.5">
      <c r="A73" s="6" t="s">
        <v>176</v>
      </c>
      <c r="B73" s="7" t="s">
        <v>177</v>
      </c>
      <c r="C73" s="8" t="s">
        <v>48</v>
      </c>
      <c r="D73" s="8" t="s">
        <v>81</v>
      </c>
      <c r="E73" s="2">
        <v>2500</v>
      </c>
      <c r="F73" s="2">
        <f t="shared" si="11"/>
        <v>1500</v>
      </c>
      <c r="G73" s="10">
        <f t="shared" si="13"/>
        <v>17.8571428571429</v>
      </c>
    </row>
    <row r="74" spans="1:7" ht="14.5">
      <c r="A74" s="6" t="s">
        <v>178</v>
      </c>
      <c r="B74" s="7" t="s">
        <v>179</v>
      </c>
      <c r="C74" s="8" t="s">
        <v>48</v>
      </c>
      <c r="D74" s="8" t="s">
        <v>81</v>
      </c>
      <c r="E74" s="2">
        <v>2500</v>
      </c>
      <c r="F74" s="2">
        <f t="shared" si="11"/>
        <v>1500</v>
      </c>
      <c r="G74" s="10">
        <f t="shared" si="13"/>
        <v>17.8571428571429</v>
      </c>
    </row>
    <row r="75" spans="1:7" ht="14.5">
      <c r="A75" s="6" t="s">
        <v>180</v>
      </c>
      <c r="B75" s="7" t="s">
        <v>181</v>
      </c>
      <c r="C75" s="8" t="s">
        <v>48</v>
      </c>
      <c r="D75" s="8" t="s">
        <v>81</v>
      </c>
      <c r="E75" s="2">
        <v>2500</v>
      </c>
      <c r="F75" s="2">
        <f t="shared" si="11"/>
        <v>1500</v>
      </c>
      <c r="G75" s="10">
        <f t="shared" si="13"/>
        <v>17.8571428571429</v>
      </c>
    </row>
    <row r="76" spans="1:7" ht="14.5">
      <c r="A76" s="6" t="s">
        <v>182</v>
      </c>
      <c r="B76" s="7" t="s">
        <v>183</v>
      </c>
      <c r="C76" s="8" t="s">
        <v>48</v>
      </c>
      <c r="D76" s="8" t="s">
        <v>184</v>
      </c>
      <c r="E76" s="9">
        <v>2100</v>
      </c>
      <c r="F76" s="2">
        <f>E76/2*1.2</f>
        <v>1260</v>
      </c>
      <c r="G76" s="10">
        <f t="shared" ref="G76:G82" si="14">F76/(21*4)</f>
        <v>15</v>
      </c>
    </row>
    <row r="77" spans="1:7" ht="14.5">
      <c r="A77" s="6" t="s">
        <v>185</v>
      </c>
      <c r="B77" s="7" t="s">
        <v>186</v>
      </c>
      <c r="C77" s="8" t="s">
        <v>48</v>
      </c>
      <c r="D77" s="8" t="s">
        <v>110</v>
      </c>
      <c r="E77" s="12">
        <v>2300</v>
      </c>
      <c r="F77" s="13">
        <f>E77*1.2/2</f>
        <v>1380</v>
      </c>
      <c r="G77" s="14">
        <f t="shared" si="14"/>
        <v>16.428571428571399</v>
      </c>
    </row>
    <row r="78" spans="1:7" ht="14.5">
      <c r="A78" s="6" t="s">
        <v>187</v>
      </c>
      <c r="B78" s="7" t="s">
        <v>188</v>
      </c>
      <c r="C78" s="8" t="s">
        <v>48</v>
      </c>
      <c r="D78" s="8" t="s">
        <v>189</v>
      </c>
      <c r="E78" s="9">
        <v>2100</v>
      </c>
      <c r="F78" s="2">
        <f>E78/2*1.2</f>
        <v>1260</v>
      </c>
      <c r="G78" s="10">
        <f t="shared" si="14"/>
        <v>15</v>
      </c>
    </row>
    <row r="79" spans="1:7" ht="14.5">
      <c r="A79" s="6" t="s">
        <v>190</v>
      </c>
      <c r="B79" s="7" t="s">
        <v>191</v>
      </c>
      <c r="C79" s="8" t="s">
        <v>48</v>
      </c>
      <c r="D79" s="8" t="s">
        <v>192</v>
      </c>
      <c r="E79" s="9">
        <v>2100</v>
      </c>
      <c r="F79" s="2">
        <f>E79*1.2/2</f>
        <v>1260</v>
      </c>
      <c r="G79" s="10">
        <f t="shared" si="14"/>
        <v>15</v>
      </c>
    </row>
    <row r="80" spans="1:7" ht="14.5">
      <c r="A80" s="6" t="s">
        <v>193</v>
      </c>
      <c r="B80" s="7" t="s">
        <v>194</v>
      </c>
      <c r="C80" s="8" t="s">
        <v>48</v>
      </c>
      <c r="D80" s="8" t="s">
        <v>81</v>
      </c>
      <c r="E80" s="9">
        <v>2500</v>
      </c>
      <c r="F80" s="2">
        <f>E80*1.2/2</f>
        <v>1500</v>
      </c>
      <c r="G80" s="10">
        <f t="shared" si="14"/>
        <v>17.8571428571429</v>
      </c>
    </row>
    <row r="81" spans="1:7" ht="14.5">
      <c r="A81" s="6" t="s">
        <v>195</v>
      </c>
      <c r="B81" s="7" t="s">
        <v>196</v>
      </c>
      <c r="C81" s="8" t="s">
        <v>48</v>
      </c>
      <c r="D81" s="8" t="s">
        <v>84</v>
      </c>
      <c r="E81" s="9">
        <v>1800</v>
      </c>
      <c r="F81" s="2">
        <f>E81/2*1.2</f>
        <v>1080</v>
      </c>
      <c r="G81" s="10">
        <f t="shared" si="14"/>
        <v>12.8571428571429</v>
      </c>
    </row>
    <row r="82" spans="1:7" ht="14.5">
      <c r="A82" s="6" t="s">
        <v>197</v>
      </c>
      <c r="B82" s="7" t="s">
        <v>198</v>
      </c>
      <c r="C82" s="8" t="s">
        <v>48</v>
      </c>
      <c r="D82" s="8" t="s">
        <v>199</v>
      </c>
      <c r="E82" s="2">
        <v>2300</v>
      </c>
      <c r="F82" s="2">
        <f>E82*1.2/2</f>
        <v>1380</v>
      </c>
      <c r="G82" s="10">
        <f t="shared" si="14"/>
        <v>16.428571428571399</v>
      </c>
    </row>
    <row r="83" spans="1:7" ht="14.5">
      <c r="A83" s="6" t="s">
        <v>200</v>
      </c>
      <c r="B83" s="7" t="s">
        <v>201</v>
      </c>
      <c r="C83" s="8" t="s">
        <v>48</v>
      </c>
      <c r="D83" s="8" t="s">
        <v>202</v>
      </c>
      <c r="E83" s="9">
        <v>2100</v>
      </c>
      <c r="F83" s="2">
        <f t="shared" ref="F83:F146" si="15">E83/2*1.2</f>
        <v>1260</v>
      </c>
      <c r="G83" s="10">
        <f t="shared" ref="G83:G146" si="16">F83/(21*4)</f>
        <v>15</v>
      </c>
    </row>
    <row r="84" spans="1:7" ht="14.5">
      <c r="A84" s="6" t="s">
        <v>203</v>
      </c>
      <c r="B84" s="7" t="s">
        <v>204</v>
      </c>
      <c r="C84" s="8" t="s">
        <v>48</v>
      </c>
      <c r="D84" s="8" t="s">
        <v>205</v>
      </c>
      <c r="E84" s="9">
        <v>1800</v>
      </c>
      <c r="F84" s="2">
        <f t="shared" si="15"/>
        <v>1080</v>
      </c>
      <c r="G84" s="10">
        <f t="shared" si="16"/>
        <v>12.8571428571429</v>
      </c>
    </row>
    <row r="85" spans="1:7" ht="14.5">
      <c r="A85" s="6" t="s">
        <v>206</v>
      </c>
      <c r="B85" s="7" t="s">
        <v>207</v>
      </c>
      <c r="C85" s="8" t="s">
        <v>48</v>
      </c>
      <c r="D85" s="8" t="s">
        <v>208</v>
      </c>
      <c r="E85" s="9">
        <v>2500</v>
      </c>
      <c r="F85" s="2">
        <f t="shared" si="15"/>
        <v>1500</v>
      </c>
      <c r="G85" s="10">
        <f t="shared" si="16"/>
        <v>17.8571428571429</v>
      </c>
    </row>
    <row r="86" spans="1:7" ht="14.5">
      <c r="A86" s="6" t="s">
        <v>209</v>
      </c>
      <c r="B86" s="7" t="s">
        <v>210</v>
      </c>
      <c r="C86" s="8" t="s">
        <v>48</v>
      </c>
      <c r="D86" s="8" t="s">
        <v>208</v>
      </c>
      <c r="E86" s="9">
        <v>2100</v>
      </c>
      <c r="F86" s="2">
        <f t="shared" si="15"/>
        <v>1260</v>
      </c>
      <c r="G86" s="10">
        <f t="shared" si="16"/>
        <v>15</v>
      </c>
    </row>
    <row r="87" spans="1:7" ht="14.5">
      <c r="A87" s="6" t="s">
        <v>211</v>
      </c>
      <c r="B87" s="7" t="s">
        <v>212</v>
      </c>
      <c r="C87" s="8" t="s">
        <v>9</v>
      </c>
      <c r="D87" s="8" t="s">
        <v>87</v>
      </c>
      <c r="E87" s="2">
        <v>2500</v>
      </c>
      <c r="F87" s="2">
        <f t="shared" si="15"/>
        <v>1500</v>
      </c>
      <c r="G87" s="10">
        <f t="shared" si="16"/>
        <v>17.8571428571429</v>
      </c>
    </row>
    <row r="88" spans="1:7" ht="14.5">
      <c r="A88" s="6" t="s">
        <v>213</v>
      </c>
      <c r="B88" s="7" t="s">
        <v>214</v>
      </c>
      <c r="C88" s="8" t="s">
        <v>9</v>
      </c>
      <c r="D88" s="8" t="s">
        <v>87</v>
      </c>
      <c r="E88" s="2">
        <v>2500</v>
      </c>
      <c r="F88" s="2">
        <f t="shared" si="15"/>
        <v>1500</v>
      </c>
      <c r="G88" s="10">
        <f t="shared" si="16"/>
        <v>17.8571428571429</v>
      </c>
    </row>
    <row r="89" spans="1:7" ht="14.5">
      <c r="A89" s="6" t="s">
        <v>215</v>
      </c>
      <c r="B89" s="7" t="s">
        <v>216</v>
      </c>
      <c r="C89" s="8" t="s">
        <v>9</v>
      </c>
      <c r="D89" s="8" t="s">
        <v>87</v>
      </c>
      <c r="E89" s="2">
        <v>2500</v>
      </c>
      <c r="F89" s="2">
        <f t="shared" si="15"/>
        <v>1500</v>
      </c>
      <c r="G89" s="10">
        <f t="shared" si="16"/>
        <v>17.8571428571429</v>
      </c>
    </row>
    <row r="90" spans="1:7" ht="14.5">
      <c r="A90" s="6" t="s">
        <v>217</v>
      </c>
      <c r="B90" s="7" t="s">
        <v>218</v>
      </c>
      <c r="C90" s="8" t="s">
        <v>9</v>
      </c>
      <c r="D90" s="8" t="s">
        <v>34</v>
      </c>
      <c r="E90" s="2">
        <v>2500</v>
      </c>
      <c r="F90" s="2">
        <f t="shared" si="15"/>
        <v>1500</v>
      </c>
      <c r="G90" s="10">
        <f t="shared" si="16"/>
        <v>17.8571428571429</v>
      </c>
    </row>
    <row r="91" spans="1:7" ht="14.5">
      <c r="A91" s="6" t="s">
        <v>219</v>
      </c>
      <c r="B91" s="7" t="s">
        <v>220</v>
      </c>
      <c r="C91" s="8" t="s">
        <v>9</v>
      </c>
      <c r="D91" s="8" t="s">
        <v>34</v>
      </c>
      <c r="E91" s="2">
        <v>2500</v>
      </c>
      <c r="F91" s="2">
        <f t="shared" si="15"/>
        <v>1500</v>
      </c>
      <c r="G91" s="10">
        <f t="shared" si="16"/>
        <v>17.8571428571429</v>
      </c>
    </row>
    <row r="92" spans="1:7" ht="14.5">
      <c r="A92" s="6" t="s">
        <v>221</v>
      </c>
      <c r="B92" s="7" t="s">
        <v>220</v>
      </c>
      <c r="C92" s="8" t="s">
        <v>9</v>
      </c>
      <c r="D92" s="8" t="s">
        <v>34</v>
      </c>
      <c r="E92" s="2">
        <v>2500</v>
      </c>
      <c r="F92" s="2">
        <f t="shared" si="15"/>
        <v>1500</v>
      </c>
      <c r="G92" s="10">
        <f t="shared" si="16"/>
        <v>17.8571428571429</v>
      </c>
    </row>
    <row r="93" spans="1:7" ht="14.5">
      <c r="A93" s="6" t="s">
        <v>222</v>
      </c>
      <c r="B93" s="7" t="s">
        <v>223</v>
      </c>
      <c r="C93" s="8" t="s">
        <v>9</v>
      </c>
      <c r="D93" s="8" t="s">
        <v>34</v>
      </c>
      <c r="E93" s="2">
        <v>2500</v>
      </c>
      <c r="F93" s="2">
        <f t="shared" si="15"/>
        <v>1500</v>
      </c>
      <c r="G93" s="10">
        <f t="shared" si="16"/>
        <v>17.8571428571429</v>
      </c>
    </row>
    <row r="94" spans="1:7" ht="14.5">
      <c r="A94" s="6" t="s">
        <v>224</v>
      </c>
      <c r="B94" s="7" t="s">
        <v>225</v>
      </c>
      <c r="C94" s="8" t="s">
        <v>9</v>
      </c>
      <c r="D94" s="8" t="s">
        <v>34</v>
      </c>
      <c r="E94" s="2">
        <v>2500</v>
      </c>
      <c r="F94" s="2">
        <f t="shared" si="15"/>
        <v>1500</v>
      </c>
      <c r="G94" s="10">
        <f t="shared" si="16"/>
        <v>17.8571428571429</v>
      </c>
    </row>
    <row r="95" spans="1:7" ht="14.5">
      <c r="A95" s="6" t="s">
        <v>226</v>
      </c>
      <c r="B95" s="7" t="s">
        <v>227</v>
      </c>
      <c r="C95" s="8" t="s">
        <v>9</v>
      </c>
      <c r="D95" s="8" t="s">
        <v>34</v>
      </c>
      <c r="E95" s="2">
        <v>2500</v>
      </c>
      <c r="F95" s="2">
        <f t="shared" si="15"/>
        <v>1500</v>
      </c>
      <c r="G95" s="10">
        <f t="shared" si="16"/>
        <v>17.8571428571429</v>
      </c>
    </row>
    <row r="96" spans="1:7" ht="14.5">
      <c r="A96" s="6" t="s">
        <v>228</v>
      </c>
      <c r="B96" s="7" t="s">
        <v>229</v>
      </c>
      <c r="C96" s="8" t="s">
        <v>9</v>
      </c>
      <c r="D96" s="8" t="s">
        <v>34</v>
      </c>
      <c r="E96" s="2">
        <v>2500</v>
      </c>
      <c r="F96" s="2">
        <f t="shared" si="15"/>
        <v>1500</v>
      </c>
      <c r="G96" s="10">
        <f t="shared" si="16"/>
        <v>17.8571428571429</v>
      </c>
    </row>
    <row r="97" spans="1:7" ht="14.5">
      <c r="A97" s="6" t="s">
        <v>230</v>
      </c>
      <c r="B97" s="7" t="s">
        <v>231</v>
      </c>
      <c r="C97" s="8" t="s">
        <v>9</v>
      </c>
      <c r="D97" s="8" t="s">
        <v>34</v>
      </c>
      <c r="E97" s="2">
        <v>2500</v>
      </c>
      <c r="F97" s="2">
        <f t="shared" si="15"/>
        <v>1500</v>
      </c>
      <c r="G97" s="10">
        <f t="shared" si="16"/>
        <v>17.8571428571429</v>
      </c>
    </row>
    <row r="98" spans="1:7" ht="14.5">
      <c r="A98" s="6" t="s">
        <v>232</v>
      </c>
      <c r="B98" s="7" t="s">
        <v>233</v>
      </c>
      <c r="C98" s="8" t="s">
        <v>9</v>
      </c>
      <c r="D98" s="8" t="s">
        <v>34</v>
      </c>
      <c r="E98" s="2">
        <v>2500</v>
      </c>
      <c r="F98" s="2">
        <f t="shared" si="15"/>
        <v>1500</v>
      </c>
      <c r="G98" s="10">
        <f t="shared" si="16"/>
        <v>17.8571428571429</v>
      </c>
    </row>
    <row r="99" spans="1:7" ht="14.5">
      <c r="A99" s="6" t="s">
        <v>234</v>
      </c>
      <c r="B99" s="7" t="s">
        <v>235</v>
      </c>
      <c r="C99" s="8" t="s">
        <v>9</v>
      </c>
      <c r="D99" s="8" t="s">
        <v>34</v>
      </c>
      <c r="E99" s="2">
        <v>2500</v>
      </c>
      <c r="F99" s="2">
        <f t="shared" si="15"/>
        <v>1500</v>
      </c>
      <c r="G99" s="10">
        <f t="shared" si="16"/>
        <v>17.8571428571429</v>
      </c>
    </row>
    <row r="100" spans="1:7" ht="14.5">
      <c r="A100" s="6" t="s">
        <v>236</v>
      </c>
      <c r="B100" s="7" t="s">
        <v>237</v>
      </c>
      <c r="C100" s="8" t="s">
        <v>9</v>
      </c>
      <c r="D100" s="8" t="s">
        <v>141</v>
      </c>
      <c r="E100" s="2">
        <v>2300</v>
      </c>
      <c r="F100" s="2">
        <f t="shared" si="15"/>
        <v>1380</v>
      </c>
      <c r="G100" s="10">
        <f t="shared" si="16"/>
        <v>16.428571428571399</v>
      </c>
    </row>
    <row r="101" spans="1:7" ht="14.5">
      <c r="A101" s="6" t="s">
        <v>238</v>
      </c>
      <c r="B101" s="7" t="s">
        <v>239</v>
      </c>
      <c r="C101" s="8" t="s">
        <v>9</v>
      </c>
      <c r="D101" s="8" t="s">
        <v>141</v>
      </c>
      <c r="E101" s="2">
        <v>2300</v>
      </c>
      <c r="F101" s="2">
        <f t="shared" si="15"/>
        <v>1380</v>
      </c>
      <c r="G101" s="10">
        <f t="shared" si="16"/>
        <v>16.428571428571399</v>
      </c>
    </row>
    <row r="102" spans="1:7" ht="14.5">
      <c r="A102" s="6" t="s">
        <v>240</v>
      </c>
      <c r="B102" s="7" t="s">
        <v>241</v>
      </c>
      <c r="C102" s="8" t="s">
        <v>9</v>
      </c>
      <c r="D102" s="8" t="s">
        <v>141</v>
      </c>
      <c r="E102" s="2">
        <v>2300</v>
      </c>
      <c r="F102" s="2">
        <f t="shared" si="15"/>
        <v>1380</v>
      </c>
      <c r="G102" s="10">
        <f t="shared" si="16"/>
        <v>16.428571428571399</v>
      </c>
    </row>
    <row r="103" spans="1:7" ht="14.5">
      <c r="A103" s="6" t="s">
        <v>242</v>
      </c>
      <c r="B103" s="7" t="s">
        <v>243</v>
      </c>
      <c r="C103" s="8" t="s">
        <v>9</v>
      </c>
      <c r="D103" s="8" t="s">
        <v>141</v>
      </c>
      <c r="E103" s="2">
        <v>2300</v>
      </c>
      <c r="F103" s="2">
        <f t="shared" si="15"/>
        <v>1380</v>
      </c>
      <c r="G103" s="10">
        <f t="shared" si="16"/>
        <v>16.428571428571399</v>
      </c>
    </row>
    <row r="104" spans="1:7" ht="14.5">
      <c r="A104" s="6" t="s">
        <v>244</v>
      </c>
      <c r="B104" s="7" t="s">
        <v>245</v>
      </c>
      <c r="C104" s="8" t="s">
        <v>9</v>
      </c>
      <c r="D104" s="8" t="s">
        <v>141</v>
      </c>
      <c r="E104" s="2">
        <v>2300</v>
      </c>
      <c r="F104" s="2">
        <f t="shared" si="15"/>
        <v>1380</v>
      </c>
      <c r="G104" s="10">
        <f t="shared" si="16"/>
        <v>16.428571428571399</v>
      </c>
    </row>
    <row r="105" spans="1:7" ht="14.5">
      <c r="A105" s="6" t="s">
        <v>246</v>
      </c>
      <c r="B105" s="7" t="s">
        <v>247</v>
      </c>
      <c r="C105" s="8" t="s">
        <v>9</v>
      </c>
      <c r="D105" s="8" t="s">
        <v>141</v>
      </c>
      <c r="E105" s="2">
        <v>2300</v>
      </c>
      <c r="F105" s="2">
        <f t="shared" si="15"/>
        <v>1380</v>
      </c>
      <c r="G105" s="10">
        <f t="shared" si="16"/>
        <v>16.428571428571399</v>
      </c>
    </row>
    <row r="106" spans="1:7" ht="14.5">
      <c r="A106" s="6" t="s">
        <v>248</v>
      </c>
      <c r="B106" s="7" t="s">
        <v>249</v>
      </c>
      <c r="C106" s="8" t="s">
        <v>9</v>
      </c>
      <c r="D106" s="8" t="s">
        <v>113</v>
      </c>
      <c r="E106" s="2">
        <v>2500</v>
      </c>
      <c r="F106" s="2">
        <f t="shared" si="15"/>
        <v>1500</v>
      </c>
      <c r="G106" s="10">
        <f t="shared" si="16"/>
        <v>17.8571428571429</v>
      </c>
    </row>
    <row r="107" spans="1:7" ht="14.5">
      <c r="A107" s="6" t="s">
        <v>250</v>
      </c>
      <c r="B107" s="7" t="s">
        <v>251</v>
      </c>
      <c r="C107" s="8" t="s">
        <v>9</v>
      </c>
      <c r="D107" s="8" t="s">
        <v>113</v>
      </c>
      <c r="E107" s="2">
        <v>2500</v>
      </c>
      <c r="F107" s="2">
        <f t="shared" si="15"/>
        <v>1500</v>
      </c>
      <c r="G107" s="10">
        <f t="shared" si="16"/>
        <v>17.8571428571429</v>
      </c>
    </row>
    <row r="108" spans="1:7" ht="14.5">
      <c r="A108" s="6" t="s">
        <v>252</v>
      </c>
      <c r="B108" s="7" t="s">
        <v>253</v>
      </c>
      <c r="C108" s="8" t="s">
        <v>9</v>
      </c>
      <c r="D108" s="8" t="s">
        <v>113</v>
      </c>
      <c r="E108" s="2">
        <v>2500</v>
      </c>
      <c r="F108" s="2">
        <f t="shared" si="15"/>
        <v>1500</v>
      </c>
      <c r="G108" s="10">
        <f t="shared" si="16"/>
        <v>17.8571428571429</v>
      </c>
    </row>
    <row r="109" spans="1:7" ht="14.5">
      <c r="A109" s="6" t="s">
        <v>254</v>
      </c>
      <c r="B109" s="7" t="s">
        <v>255</v>
      </c>
      <c r="C109" s="8" t="s">
        <v>9</v>
      </c>
      <c r="D109" s="8" t="s">
        <v>113</v>
      </c>
      <c r="E109" s="2">
        <v>2500</v>
      </c>
      <c r="F109" s="2">
        <f t="shared" si="15"/>
        <v>1500</v>
      </c>
      <c r="G109" s="10">
        <f t="shared" si="16"/>
        <v>17.8571428571429</v>
      </c>
    </row>
    <row r="110" spans="1:7" ht="14.5">
      <c r="A110" s="6" t="s">
        <v>256</v>
      </c>
      <c r="B110" s="7" t="s">
        <v>257</v>
      </c>
      <c r="C110" s="8" t="s">
        <v>9</v>
      </c>
      <c r="D110" s="8" t="s">
        <v>116</v>
      </c>
      <c r="E110" s="9">
        <v>2100</v>
      </c>
      <c r="F110" s="2">
        <f t="shared" si="15"/>
        <v>1260</v>
      </c>
      <c r="G110" s="10">
        <f t="shared" si="16"/>
        <v>15</v>
      </c>
    </row>
    <row r="111" spans="1:7" ht="14.5">
      <c r="A111" s="6" t="s">
        <v>258</v>
      </c>
      <c r="B111" s="7" t="s">
        <v>259</v>
      </c>
      <c r="C111" s="8" t="s">
        <v>9</v>
      </c>
      <c r="D111" s="8" t="s">
        <v>116</v>
      </c>
      <c r="E111" s="9">
        <v>2100</v>
      </c>
      <c r="F111" s="2">
        <f t="shared" si="15"/>
        <v>1260</v>
      </c>
      <c r="G111" s="10">
        <f t="shared" si="16"/>
        <v>15</v>
      </c>
    </row>
    <row r="112" spans="1:7" ht="14.5">
      <c r="A112" s="6" t="s">
        <v>260</v>
      </c>
      <c r="B112" s="7" t="s">
        <v>261</v>
      </c>
      <c r="C112" s="8" t="s">
        <v>9</v>
      </c>
      <c r="D112" s="8" t="s">
        <v>116</v>
      </c>
      <c r="E112" s="9">
        <v>2100</v>
      </c>
      <c r="F112" s="2">
        <f t="shared" si="15"/>
        <v>1260</v>
      </c>
      <c r="G112" s="10">
        <f t="shared" si="16"/>
        <v>15</v>
      </c>
    </row>
    <row r="113" spans="1:7" ht="14.5">
      <c r="A113" s="6" t="s">
        <v>262</v>
      </c>
      <c r="B113" s="7" t="s">
        <v>263</v>
      </c>
      <c r="C113" s="8" t="s">
        <v>9</v>
      </c>
      <c r="D113" s="8" t="s">
        <v>136</v>
      </c>
      <c r="E113" s="2">
        <v>2300</v>
      </c>
      <c r="F113" s="2">
        <f t="shared" si="15"/>
        <v>1380</v>
      </c>
      <c r="G113" s="10">
        <f t="shared" si="16"/>
        <v>16.428571428571399</v>
      </c>
    </row>
    <row r="114" spans="1:7" ht="14.5">
      <c r="A114" s="6" t="s">
        <v>264</v>
      </c>
      <c r="B114" s="7" t="s">
        <v>265</v>
      </c>
      <c r="C114" s="8" t="s">
        <v>9</v>
      </c>
      <c r="D114" s="8" t="s">
        <v>136</v>
      </c>
      <c r="E114" s="2">
        <v>2300</v>
      </c>
      <c r="F114" s="2">
        <f t="shared" si="15"/>
        <v>1380</v>
      </c>
      <c r="G114" s="10">
        <f t="shared" si="16"/>
        <v>16.428571428571399</v>
      </c>
    </row>
    <row r="115" spans="1:7" ht="14.5">
      <c r="A115" s="6" t="s">
        <v>266</v>
      </c>
      <c r="B115" s="7" t="s">
        <v>267</v>
      </c>
      <c r="C115" s="8" t="s">
        <v>9</v>
      </c>
      <c r="D115" s="8" t="s">
        <v>136</v>
      </c>
      <c r="E115" s="2">
        <v>2300</v>
      </c>
      <c r="F115" s="2">
        <f t="shared" si="15"/>
        <v>1380</v>
      </c>
      <c r="G115" s="10">
        <f t="shared" si="16"/>
        <v>16.428571428571399</v>
      </c>
    </row>
    <row r="116" spans="1:7" ht="14.5">
      <c r="A116" s="6" t="s">
        <v>268</v>
      </c>
      <c r="B116" s="7" t="s">
        <v>269</v>
      </c>
      <c r="C116" s="8" t="s">
        <v>9</v>
      </c>
      <c r="D116" s="8" t="s">
        <v>136</v>
      </c>
      <c r="E116" s="2">
        <v>2300</v>
      </c>
      <c r="F116" s="2">
        <f t="shared" si="15"/>
        <v>1380</v>
      </c>
      <c r="G116" s="10">
        <f t="shared" si="16"/>
        <v>16.428571428571399</v>
      </c>
    </row>
    <row r="117" spans="1:7" ht="14.5">
      <c r="A117" s="6" t="s">
        <v>270</v>
      </c>
      <c r="B117" s="7" t="s">
        <v>271</v>
      </c>
      <c r="C117" s="8" t="s">
        <v>9</v>
      </c>
      <c r="D117" s="8" t="s">
        <v>136</v>
      </c>
      <c r="E117" s="2">
        <v>2300</v>
      </c>
      <c r="F117" s="2">
        <f t="shared" si="15"/>
        <v>1380</v>
      </c>
      <c r="G117" s="10">
        <f t="shared" si="16"/>
        <v>16.428571428571399</v>
      </c>
    </row>
    <row r="118" spans="1:7" ht="14.5">
      <c r="A118" s="6" t="s">
        <v>272</v>
      </c>
      <c r="B118" s="7" t="s">
        <v>273</v>
      </c>
      <c r="C118" s="8" t="s">
        <v>9</v>
      </c>
      <c r="D118" s="8" t="s">
        <v>136</v>
      </c>
      <c r="E118" s="2">
        <v>2300</v>
      </c>
      <c r="F118" s="2">
        <f t="shared" si="15"/>
        <v>1380</v>
      </c>
      <c r="G118" s="10">
        <f t="shared" si="16"/>
        <v>16.428571428571399</v>
      </c>
    </row>
    <row r="119" spans="1:7" ht="14.5">
      <c r="A119" s="6" t="s">
        <v>274</v>
      </c>
      <c r="B119" s="7" t="s">
        <v>275</v>
      </c>
      <c r="C119" s="8" t="s">
        <v>9</v>
      </c>
      <c r="D119" s="8" t="s">
        <v>144</v>
      </c>
      <c r="E119" s="2">
        <v>2300</v>
      </c>
      <c r="F119" s="2">
        <f t="shared" si="15"/>
        <v>1380</v>
      </c>
      <c r="G119" s="10">
        <f t="shared" si="16"/>
        <v>16.428571428571399</v>
      </c>
    </row>
    <row r="120" spans="1:7" ht="14.5">
      <c r="A120" s="6" t="s">
        <v>276</v>
      </c>
      <c r="B120" s="7" t="s">
        <v>277</v>
      </c>
      <c r="C120" s="8" t="s">
        <v>9</v>
      </c>
      <c r="D120" s="8" t="s">
        <v>144</v>
      </c>
      <c r="E120" s="2">
        <v>2300</v>
      </c>
      <c r="F120" s="2">
        <f t="shared" si="15"/>
        <v>1380</v>
      </c>
      <c r="G120" s="10">
        <f t="shared" si="16"/>
        <v>16.428571428571399</v>
      </c>
    </row>
    <row r="121" spans="1:7" ht="14.5">
      <c r="A121" s="6" t="s">
        <v>278</v>
      </c>
      <c r="B121" s="7" t="s">
        <v>279</v>
      </c>
      <c r="C121" s="8" t="s">
        <v>9</v>
      </c>
      <c r="D121" s="8" t="s">
        <v>144</v>
      </c>
      <c r="E121" s="2">
        <v>2300</v>
      </c>
      <c r="F121" s="2">
        <f t="shared" si="15"/>
        <v>1380</v>
      </c>
      <c r="G121" s="10">
        <f t="shared" si="16"/>
        <v>16.428571428571399</v>
      </c>
    </row>
    <row r="122" spans="1:7" ht="14.5">
      <c r="A122" s="6" t="s">
        <v>280</v>
      </c>
      <c r="B122" s="7" t="s">
        <v>281</v>
      </c>
      <c r="C122" s="8" t="s">
        <v>9</v>
      </c>
      <c r="D122" s="8" t="s">
        <v>144</v>
      </c>
      <c r="E122" s="2">
        <v>2300</v>
      </c>
      <c r="F122" s="2">
        <v>1000</v>
      </c>
      <c r="G122" s="10">
        <f t="shared" si="16"/>
        <v>11.904761904761905</v>
      </c>
    </row>
    <row r="123" spans="1:7" ht="14.5">
      <c r="A123" s="6" t="s">
        <v>282</v>
      </c>
      <c r="B123" s="7" t="s">
        <v>283</v>
      </c>
      <c r="C123" s="8" t="s">
        <v>9</v>
      </c>
      <c r="D123" s="8" t="s">
        <v>144</v>
      </c>
      <c r="E123" s="2">
        <v>2300</v>
      </c>
      <c r="F123" s="2">
        <f t="shared" si="15"/>
        <v>1380</v>
      </c>
      <c r="G123" s="10">
        <f t="shared" si="16"/>
        <v>16.428571428571399</v>
      </c>
    </row>
    <row r="124" spans="1:7" ht="14.5">
      <c r="A124" s="6" t="s">
        <v>284</v>
      </c>
      <c r="B124" s="7" t="s">
        <v>285</v>
      </c>
      <c r="C124" s="8" t="s">
        <v>9</v>
      </c>
      <c r="D124" s="8" t="s">
        <v>144</v>
      </c>
      <c r="E124" s="2">
        <v>2300</v>
      </c>
      <c r="F124" s="2">
        <f t="shared" si="15"/>
        <v>1380</v>
      </c>
      <c r="G124" s="10">
        <f t="shared" si="16"/>
        <v>16.428571428571399</v>
      </c>
    </row>
    <row r="125" spans="1:7" ht="14.5">
      <c r="A125" s="6" t="s">
        <v>286</v>
      </c>
      <c r="B125" s="7" t="s">
        <v>287</v>
      </c>
      <c r="C125" s="8" t="s">
        <v>9</v>
      </c>
      <c r="D125" s="8" t="s">
        <v>144</v>
      </c>
      <c r="E125" s="2">
        <v>2300</v>
      </c>
      <c r="F125" s="2">
        <f t="shared" si="15"/>
        <v>1380</v>
      </c>
      <c r="G125" s="10">
        <f t="shared" si="16"/>
        <v>16.428571428571399</v>
      </c>
    </row>
    <row r="126" spans="1:7" ht="14.5">
      <c r="A126" s="6" t="s">
        <v>288</v>
      </c>
      <c r="B126" s="7" t="s">
        <v>289</v>
      </c>
      <c r="C126" s="8" t="s">
        <v>9</v>
      </c>
      <c r="D126" s="8" t="s">
        <v>199</v>
      </c>
      <c r="E126" s="2">
        <v>2300</v>
      </c>
      <c r="F126" s="2">
        <f t="shared" si="15"/>
        <v>1380</v>
      </c>
      <c r="G126" s="10">
        <f t="shared" si="16"/>
        <v>16.428571428571399</v>
      </c>
    </row>
    <row r="127" spans="1:7" ht="14.5">
      <c r="A127" s="6" t="s">
        <v>290</v>
      </c>
      <c r="B127" s="7" t="s">
        <v>291</v>
      </c>
      <c r="C127" s="8" t="s">
        <v>9</v>
      </c>
      <c r="D127" s="8" t="s">
        <v>81</v>
      </c>
      <c r="E127" s="9">
        <v>2100</v>
      </c>
      <c r="F127" s="2">
        <f t="shared" si="15"/>
        <v>1260</v>
      </c>
      <c r="G127" s="10">
        <f t="shared" si="16"/>
        <v>15</v>
      </c>
    </row>
    <row r="128" spans="1:7" ht="14.5">
      <c r="A128" s="6" t="s">
        <v>292</v>
      </c>
      <c r="B128" s="7" t="s">
        <v>293</v>
      </c>
      <c r="C128" s="8" t="s">
        <v>9</v>
      </c>
      <c r="D128" s="8" t="s">
        <v>81</v>
      </c>
      <c r="E128" s="2">
        <v>3500</v>
      </c>
      <c r="F128" s="2">
        <f t="shared" si="15"/>
        <v>2100</v>
      </c>
      <c r="G128" s="10">
        <f t="shared" si="16"/>
        <v>25</v>
      </c>
    </row>
    <row r="129" spans="1:7" ht="14.5">
      <c r="A129" s="6" t="s">
        <v>294</v>
      </c>
      <c r="B129" s="7" t="s">
        <v>295</v>
      </c>
      <c r="C129" s="8" t="s">
        <v>9</v>
      </c>
      <c r="D129" s="8" t="s">
        <v>81</v>
      </c>
      <c r="E129" s="2">
        <v>2500</v>
      </c>
      <c r="F129" s="2">
        <f t="shared" si="15"/>
        <v>1500</v>
      </c>
      <c r="G129" s="10">
        <f t="shared" si="16"/>
        <v>17.8571428571429</v>
      </c>
    </row>
    <row r="130" spans="1:7" ht="14.5">
      <c r="A130" s="6" t="s">
        <v>296</v>
      </c>
      <c r="B130" s="7" t="s">
        <v>297</v>
      </c>
      <c r="C130" s="8" t="s">
        <v>9</v>
      </c>
      <c r="D130" s="8" t="s">
        <v>81</v>
      </c>
      <c r="E130" s="2">
        <v>2500</v>
      </c>
      <c r="F130" s="2">
        <f t="shared" si="15"/>
        <v>1500</v>
      </c>
      <c r="G130" s="10">
        <f t="shared" si="16"/>
        <v>17.8571428571429</v>
      </c>
    </row>
    <row r="131" spans="1:7" ht="14.5">
      <c r="A131" s="6" t="s">
        <v>298</v>
      </c>
      <c r="B131" s="7" t="s">
        <v>299</v>
      </c>
      <c r="C131" s="8" t="s">
        <v>9</v>
      </c>
      <c r="D131" s="8" t="s">
        <v>81</v>
      </c>
      <c r="E131" s="2">
        <v>2500</v>
      </c>
      <c r="F131" s="2">
        <f t="shared" si="15"/>
        <v>1500</v>
      </c>
      <c r="G131" s="10">
        <f t="shared" si="16"/>
        <v>17.8571428571429</v>
      </c>
    </row>
    <row r="132" spans="1:7" ht="14.5">
      <c r="A132" s="6" t="s">
        <v>300</v>
      </c>
      <c r="B132" s="7" t="s">
        <v>301</v>
      </c>
      <c r="C132" s="8" t="s">
        <v>9</v>
      </c>
      <c r="D132" s="8" t="s">
        <v>81</v>
      </c>
      <c r="E132" s="2">
        <v>2500</v>
      </c>
      <c r="F132" s="2">
        <f t="shared" si="15"/>
        <v>1500</v>
      </c>
      <c r="G132" s="10">
        <f t="shared" si="16"/>
        <v>17.8571428571429</v>
      </c>
    </row>
    <row r="133" spans="1:7" ht="14.5">
      <c r="A133" s="6" t="s">
        <v>302</v>
      </c>
      <c r="B133" s="7" t="s">
        <v>303</v>
      </c>
      <c r="C133" s="8" t="s">
        <v>9</v>
      </c>
      <c r="D133" s="8" t="s">
        <v>81</v>
      </c>
      <c r="E133" s="2">
        <v>2500</v>
      </c>
      <c r="F133" s="2">
        <f t="shared" si="15"/>
        <v>1500</v>
      </c>
      <c r="G133" s="10">
        <f t="shared" si="16"/>
        <v>17.8571428571429</v>
      </c>
    </row>
    <row r="134" spans="1:7" ht="14.5">
      <c r="A134" s="6" t="s">
        <v>304</v>
      </c>
      <c r="B134" s="7" t="s">
        <v>305</v>
      </c>
      <c r="C134" s="8" t="s">
        <v>9</v>
      </c>
      <c r="D134" s="8" t="s">
        <v>81</v>
      </c>
      <c r="E134" s="2">
        <v>2500</v>
      </c>
      <c r="F134" s="2">
        <f t="shared" si="15"/>
        <v>1500</v>
      </c>
      <c r="G134" s="10">
        <f t="shared" si="16"/>
        <v>17.8571428571429</v>
      </c>
    </row>
    <row r="135" spans="1:7" ht="14.5">
      <c r="A135" s="6" t="s">
        <v>306</v>
      </c>
      <c r="B135" s="7" t="s">
        <v>235</v>
      </c>
      <c r="C135" s="8" t="s">
        <v>9</v>
      </c>
      <c r="D135" s="8" t="s">
        <v>81</v>
      </c>
      <c r="E135" s="2">
        <v>2500</v>
      </c>
      <c r="F135" s="2">
        <f t="shared" si="15"/>
        <v>1500</v>
      </c>
      <c r="G135" s="10">
        <f t="shared" si="16"/>
        <v>17.8571428571429</v>
      </c>
    </row>
    <row r="136" spans="1:7" ht="14.5">
      <c r="A136" s="6" t="s">
        <v>307</v>
      </c>
      <c r="B136" s="7" t="s">
        <v>308</v>
      </c>
      <c r="C136" s="8" t="s">
        <v>9</v>
      </c>
      <c r="D136" s="8" t="s">
        <v>81</v>
      </c>
      <c r="E136" s="2">
        <v>2500</v>
      </c>
      <c r="F136" s="2">
        <f t="shared" si="15"/>
        <v>1500</v>
      </c>
      <c r="G136" s="10">
        <f t="shared" si="16"/>
        <v>17.8571428571429</v>
      </c>
    </row>
    <row r="137" spans="1:7" ht="14.5">
      <c r="A137" s="6" t="s">
        <v>309</v>
      </c>
      <c r="B137" s="7" t="s">
        <v>310</v>
      </c>
      <c r="C137" s="8" t="s">
        <v>9</v>
      </c>
      <c r="D137" s="8" t="s">
        <v>81</v>
      </c>
      <c r="E137" s="2">
        <v>2500</v>
      </c>
      <c r="F137" s="2">
        <f t="shared" si="15"/>
        <v>1500</v>
      </c>
      <c r="G137" s="10">
        <f t="shared" si="16"/>
        <v>17.8571428571429</v>
      </c>
    </row>
    <row r="138" spans="1:7" ht="14.5">
      <c r="A138" s="6" t="s">
        <v>311</v>
      </c>
      <c r="B138" s="7" t="s">
        <v>312</v>
      </c>
      <c r="C138" s="8" t="s">
        <v>9</v>
      </c>
      <c r="D138" s="8" t="s">
        <v>81</v>
      </c>
      <c r="E138" s="2">
        <v>2500</v>
      </c>
      <c r="F138" s="2">
        <f t="shared" si="15"/>
        <v>1500</v>
      </c>
      <c r="G138" s="10">
        <f t="shared" si="16"/>
        <v>17.8571428571429</v>
      </c>
    </row>
    <row r="139" spans="1:7" ht="14.5">
      <c r="A139" s="6" t="s">
        <v>313</v>
      </c>
      <c r="B139" s="7" t="s">
        <v>314</v>
      </c>
      <c r="C139" s="8" t="s">
        <v>9</v>
      </c>
      <c r="D139" s="8" t="s">
        <v>81</v>
      </c>
      <c r="E139" s="2">
        <v>2500</v>
      </c>
      <c r="F139" s="2">
        <f t="shared" si="15"/>
        <v>1500</v>
      </c>
      <c r="G139" s="10">
        <f t="shared" si="16"/>
        <v>17.8571428571429</v>
      </c>
    </row>
    <row r="140" spans="1:7" ht="14.5">
      <c r="A140" s="6" t="s">
        <v>315</v>
      </c>
      <c r="B140" s="7" t="s">
        <v>316</v>
      </c>
      <c r="C140" s="8" t="s">
        <v>9</v>
      </c>
      <c r="D140" s="8" t="s">
        <v>81</v>
      </c>
      <c r="E140" s="2">
        <v>2500</v>
      </c>
      <c r="F140" s="2">
        <f t="shared" si="15"/>
        <v>1500</v>
      </c>
      <c r="G140" s="10">
        <f t="shared" si="16"/>
        <v>17.8571428571429</v>
      </c>
    </row>
    <row r="141" spans="1:7" ht="14.5">
      <c r="A141" s="6" t="s">
        <v>317</v>
      </c>
      <c r="B141" s="7" t="s">
        <v>318</v>
      </c>
      <c r="C141" s="8" t="s">
        <v>9</v>
      </c>
      <c r="D141" s="8" t="s">
        <v>81</v>
      </c>
      <c r="E141" s="2">
        <v>2500</v>
      </c>
      <c r="F141" s="2">
        <f t="shared" si="15"/>
        <v>1500</v>
      </c>
      <c r="G141" s="10">
        <f t="shared" si="16"/>
        <v>17.8571428571429</v>
      </c>
    </row>
    <row r="142" spans="1:7" ht="14.5">
      <c r="A142" s="6" t="s">
        <v>319</v>
      </c>
      <c r="B142" s="7" t="s">
        <v>320</v>
      </c>
      <c r="C142" s="8" t="s">
        <v>9</v>
      </c>
      <c r="D142" s="8" t="s">
        <v>81</v>
      </c>
      <c r="E142" s="2">
        <v>2500</v>
      </c>
      <c r="F142" s="2">
        <f t="shared" si="15"/>
        <v>1500</v>
      </c>
      <c r="G142" s="10">
        <f t="shared" si="16"/>
        <v>17.8571428571429</v>
      </c>
    </row>
    <row r="143" spans="1:7" ht="14.5">
      <c r="A143" s="6" t="s">
        <v>321</v>
      </c>
      <c r="B143" s="7" t="s">
        <v>322</v>
      </c>
      <c r="C143" s="8" t="s">
        <v>9</v>
      </c>
      <c r="D143" s="8" t="s">
        <v>81</v>
      </c>
      <c r="E143" s="2">
        <v>2500</v>
      </c>
      <c r="F143" s="2">
        <f t="shared" si="15"/>
        <v>1500</v>
      </c>
      <c r="G143" s="10">
        <f t="shared" si="16"/>
        <v>17.8571428571429</v>
      </c>
    </row>
    <row r="144" spans="1:7" ht="14.5">
      <c r="A144" s="6" t="s">
        <v>323</v>
      </c>
      <c r="B144" s="7" t="s">
        <v>324</v>
      </c>
      <c r="C144" s="8" t="s">
        <v>9</v>
      </c>
      <c r="D144" s="8" t="s">
        <v>199</v>
      </c>
      <c r="E144" s="2">
        <v>2300</v>
      </c>
      <c r="F144" s="2">
        <f t="shared" si="15"/>
        <v>1380</v>
      </c>
      <c r="G144" s="10">
        <f t="shared" si="16"/>
        <v>16.428571428571399</v>
      </c>
    </row>
    <row r="145" spans="1:7" ht="14.5">
      <c r="A145" s="6" t="s">
        <v>325</v>
      </c>
      <c r="B145" s="7" t="s">
        <v>326</v>
      </c>
      <c r="C145" s="8" t="s">
        <v>9</v>
      </c>
      <c r="D145" s="8" t="s">
        <v>110</v>
      </c>
      <c r="E145" s="2">
        <v>2300</v>
      </c>
      <c r="F145" s="2">
        <f t="shared" si="15"/>
        <v>1380</v>
      </c>
      <c r="G145" s="10">
        <f t="shared" si="16"/>
        <v>16.428571428571399</v>
      </c>
    </row>
    <row r="146" spans="1:7" ht="14.5">
      <c r="A146" s="6" t="s">
        <v>327</v>
      </c>
      <c r="B146" s="7" t="s">
        <v>328</v>
      </c>
      <c r="C146" s="8" t="s">
        <v>9</v>
      </c>
      <c r="D146" s="8" t="s">
        <v>110</v>
      </c>
      <c r="E146" s="2">
        <v>2300</v>
      </c>
      <c r="F146" s="2">
        <f t="shared" si="15"/>
        <v>1380</v>
      </c>
      <c r="G146" s="10">
        <f t="shared" si="16"/>
        <v>16.428571428571399</v>
      </c>
    </row>
    <row r="147" spans="1:7" ht="14.5">
      <c r="A147" s="6" t="s">
        <v>329</v>
      </c>
      <c r="B147" s="7" t="s">
        <v>330</v>
      </c>
      <c r="C147" s="8" t="s">
        <v>9</v>
      </c>
      <c r="D147" s="8" t="s">
        <v>110</v>
      </c>
      <c r="E147" s="2">
        <v>2300</v>
      </c>
      <c r="F147" s="2">
        <f t="shared" ref="F147:F159" si="17">E147/2*1.2</f>
        <v>1380</v>
      </c>
      <c r="G147" s="10">
        <f t="shared" ref="G147:G159" si="18">F147/(21*4)</f>
        <v>16.428571428571399</v>
      </c>
    </row>
    <row r="148" spans="1:7" ht="14.5">
      <c r="A148" s="6" t="s">
        <v>331</v>
      </c>
      <c r="B148" s="7" t="s">
        <v>332</v>
      </c>
      <c r="C148" s="8" t="s">
        <v>9</v>
      </c>
      <c r="D148" s="8" t="s">
        <v>110</v>
      </c>
      <c r="E148" s="2">
        <v>2300</v>
      </c>
      <c r="F148" s="2">
        <f t="shared" si="17"/>
        <v>1380</v>
      </c>
      <c r="G148" s="10">
        <f t="shared" si="18"/>
        <v>16.428571428571399</v>
      </c>
    </row>
    <row r="149" spans="1:7" ht="14.5">
      <c r="A149" s="6" t="s">
        <v>333</v>
      </c>
      <c r="B149" s="7" t="s">
        <v>334</v>
      </c>
      <c r="C149" s="8" t="s">
        <v>9</v>
      </c>
      <c r="D149" s="8" t="s">
        <v>110</v>
      </c>
      <c r="E149" s="2">
        <v>2300</v>
      </c>
      <c r="F149" s="2">
        <f t="shared" si="17"/>
        <v>1380</v>
      </c>
      <c r="G149" s="10">
        <f t="shared" si="18"/>
        <v>16.428571428571399</v>
      </c>
    </row>
    <row r="150" spans="1:7" ht="14.5">
      <c r="A150" s="6" t="s">
        <v>335</v>
      </c>
      <c r="B150" s="7" t="s">
        <v>336</v>
      </c>
      <c r="C150" s="8" t="s">
        <v>9</v>
      </c>
      <c r="D150" s="8" t="s">
        <v>110</v>
      </c>
      <c r="E150" s="2">
        <v>2300</v>
      </c>
      <c r="F150" s="2">
        <f t="shared" si="17"/>
        <v>1380</v>
      </c>
      <c r="G150" s="10">
        <f t="shared" si="18"/>
        <v>16.428571428571399</v>
      </c>
    </row>
    <row r="151" spans="1:7" ht="14.5">
      <c r="A151" s="6" t="s">
        <v>337</v>
      </c>
      <c r="B151" s="7" t="s">
        <v>338</v>
      </c>
      <c r="C151" s="8" t="s">
        <v>9</v>
      </c>
      <c r="D151" s="8" t="s">
        <v>110</v>
      </c>
      <c r="E151" s="2">
        <v>2300</v>
      </c>
      <c r="F151" s="2">
        <f t="shared" si="17"/>
        <v>1380</v>
      </c>
      <c r="G151" s="10">
        <f t="shared" si="18"/>
        <v>16.428571428571399</v>
      </c>
    </row>
    <row r="152" spans="1:7" ht="14.5">
      <c r="A152" s="6" t="s">
        <v>339</v>
      </c>
      <c r="B152" s="7" t="s">
        <v>340</v>
      </c>
      <c r="C152" s="8" t="s">
        <v>9</v>
      </c>
      <c r="D152" s="8" t="s">
        <v>110</v>
      </c>
      <c r="E152" s="2">
        <v>2300</v>
      </c>
      <c r="F152" s="2">
        <f t="shared" si="17"/>
        <v>1380</v>
      </c>
      <c r="G152" s="10">
        <f t="shared" si="18"/>
        <v>16.428571428571399</v>
      </c>
    </row>
    <row r="153" spans="1:7" ht="14.5">
      <c r="A153" s="6" t="s">
        <v>341</v>
      </c>
      <c r="B153" s="7" t="s">
        <v>342</v>
      </c>
      <c r="C153" s="8" t="s">
        <v>9</v>
      </c>
      <c r="D153" s="8" t="s">
        <v>110</v>
      </c>
      <c r="E153" s="2">
        <v>2300</v>
      </c>
      <c r="F153" s="2">
        <f t="shared" si="17"/>
        <v>1380</v>
      </c>
      <c r="G153" s="10">
        <f t="shared" si="18"/>
        <v>16.428571428571399</v>
      </c>
    </row>
    <row r="154" spans="1:7" ht="14.5">
      <c r="A154" s="6" t="s">
        <v>343</v>
      </c>
      <c r="B154" s="7" t="s">
        <v>344</v>
      </c>
      <c r="C154" s="8" t="s">
        <v>9</v>
      </c>
      <c r="D154" s="8" t="s">
        <v>110</v>
      </c>
      <c r="E154" s="2">
        <v>2300</v>
      </c>
      <c r="F154" s="2">
        <f t="shared" si="17"/>
        <v>1380</v>
      </c>
      <c r="G154" s="10">
        <f t="shared" si="18"/>
        <v>16.428571428571399</v>
      </c>
    </row>
    <row r="155" spans="1:7" ht="14.5">
      <c r="A155" s="6" t="s">
        <v>345</v>
      </c>
      <c r="B155" s="7" t="s">
        <v>346</v>
      </c>
      <c r="C155" s="8" t="s">
        <v>9</v>
      </c>
      <c r="D155" s="8" t="s">
        <v>110</v>
      </c>
      <c r="E155" s="2">
        <v>2300</v>
      </c>
      <c r="F155" s="2">
        <f t="shared" si="17"/>
        <v>1380</v>
      </c>
      <c r="G155" s="10">
        <f t="shared" si="18"/>
        <v>16.428571428571399</v>
      </c>
    </row>
    <row r="156" spans="1:7" ht="14.5">
      <c r="A156" s="6" t="s">
        <v>347</v>
      </c>
      <c r="B156" s="7" t="s">
        <v>348</v>
      </c>
      <c r="C156" s="8" t="s">
        <v>9</v>
      </c>
      <c r="D156" s="8" t="s">
        <v>199</v>
      </c>
      <c r="E156" s="2">
        <v>2300</v>
      </c>
      <c r="F156" s="2">
        <f t="shared" si="17"/>
        <v>1380</v>
      </c>
      <c r="G156" s="10">
        <f t="shared" si="18"/>
        <v>16.428571428571399</v>
      </c>
    </row>
    <row r="157" spans="1:7" ht="14.5">
      <c r="A157" s="6" t="s">
        <v>349</v>
      </c>
      <c r="B157" s="7" t="s">
        <v>350</v>
      </c>
      <c r="C157" s="8" t="s">
        <v>9</v>
      </c>
      <c r="D157" s="8" t="s">
        <v>199</v>
      </c>
      <c r="E157" s="2">
        <v>2300</v>
      </c>
      <c r="F157" s="2">
        <f t="shared" si="17"/>
        <v>1380</v>
      </c>
      <c r="G157" s="10">
        <f t="shared" si="18"/>
        <v>16.428571428571399</v>
      </c>
    </row>
    <row r="158" spans="1:7" ht="14.5">
      <c r="A158" s="6" t="s">
        <v>351</v>
      </c>
      <c r="B158" s="7" t="s">
        <v>352</v>
      </c>
      <c r="C158" s="8" t="s">
        <v>9</v>
      </c>
      <c r="D158" s="8" t="s">
        <v>199</v>
      </c>
      <c r="E158" s="2">
        <v>2300</v>
      </c>
      <c r="F158" s="2">
        <f t="shared" si="17"/>
        <v>1380</v>
      </c>
      <c r="G158" s="10">
        <f t="shared" si="18"/>
        <v>16.428571428571399</v>
      </c>
    </row>
    <row r="159" spans="1:7" ht="14.5">
      <c r="A159" s="6" t="s">
        <v>353</v>
      </c>
      <c r="B159" s="7" t="s">
        <v>354</v>
      </c>
      <c r="C159" s="8" t="s">
        <v>9</v>
      </c>
      <c r="D159" s="8" t="s">
        <v>208</v>
      </c>
      <c r="E159" s="9">
        <v>1800</v>
      </c>
      <c r="F159" s="2">
        <f t="shared" si="17"/>
        <v>1080</v>
      </c>
      <c r="G159" s="10">
        <f t="shared" si="18"/>
        <v>12.8571428571429</v>
      </c>
    </row>
    <row r="160" spans="1:7" ht="12.5"/>
    <row r="161" ht="12.5"/>
    <row r="162" ht="12.5"/>
    <row r="163" ht="12.5"/>
    <row r="164" ht="12.5"/>
    <row r="165" ht="12.5"/>
    <row r="166" ht="12.5"/>
    <row r="167" ht="12.5"/>
    <row r="168" ht="12.5"/>
    <row r="169" ht="12.5"/>
    <row r="170" ht="12.5"/>
    <row r="179" spans="5:7" ht="15.75" customHeight="1">
      <c r="E179" s="10">
        <v>15</v>
      </c>
      <c r="F179" s="10">
        <v>18</v>
      </c>
      <c r="G179" s="10">
        <v>20</v>
      </c>
    </row>
    <row r="180" spans="5:7" ht="15.75" customHeight="1">
      <c r="E180" s="10" t="e">
        <f>#REF!/(21*8)</f>
        <v>#REF!</v>
      </c>
      <c r="F180" s="10" t="e">
        <f>#REF!/(21*4)</f>
        <v>#REF!</v>
      </c>
      <c r="G180" s="10" t="e">
        <f>+F180*1.2</f>
        <v>#REF!</v>
      </c>
    </row>
  </sheetData>
  <autoFilter ref="A1:G160" xr:uid="{00000000-0009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D8" r:id="rId8" xr:uid="{00000000-0004-0000-0000-000007000000}"/>
    <hyperlink ref="B9" r:id="rId9" xr:uid="{00000000-0004-0000-0000-000008000000}"/>
    <hyperlink ref="D9" r:id="rId10" xr:uid="{00000000-0004-0000-0000-000009000000}"/>
    <hyperlink ref="B10" r:id="rId11" xr:uid="{00000000-0004-0000-0000-00000A000000}"/>
    <hyperlink ref="D10" r:id="rId12" xr:uid="{00000000-0004-0000-0000-00000B000000}"/>
    <hyperlink ref="B11" r:id="rId13" xr:uid="{00000000-0004-0000-0000-00000C000000}"/>
    <hyperlink ref="D11" r:id="rId14" xr:uid="{00000000-0004-0000-0000-00000D000000}"/>
    <hyperlink ref="B12" r:id="rId15" xr:uid="{00000000-0004-0000-0000-00000E000000}"/>
    <hyperlink ref="D12" r:id="rId16" xr:uid="{00000000-0004-0000-0000-00000F000000}"/>
    <hyperlink ref="B13" r:id="rId17" xr:uid="{00000000-0004-0000-0000-000010000000}"/>
    <hyperlink ref="B14" r:id="rId18" xr:uid="{00000000-0004-0000-0000-000011000000}"/>
    <hyperlink ref="B15" r:id="rId19" xr:uid="{00000000-0004-0000-0000-000012000000}"/>
    <hyperlink ref="B16" r:id="rId20" xr:uid="{00000000-0004-0000-0000-000013000000}"/>
    <hyperlink ref="B17" r:id="rId21" xr:uid="{00000000-0004-0000-0000-000014000000}"/>
    <hyperlink ref="B18" r:id="rId22" xr:uid="{00000000-0004-0000-0000-000015000000}"/>
    <hyperlink ref="B19" r:id="rId23" xr:uid="{00000000-0004-0000-0000-000016000000}"/>
    <hyperlink ref="B20" r:id="rId24" xr:uid="{00000000-0004-0000-0000-000017000000}"/>
    <hyperlink ref="B21" r:id="rId25" xr:uid="{00000000-0004-0000-0000-000018000000}"/>
    <hyperlink ref="B22" r:id="rId26" xr:uid="{00000000-0004-0000-0000-000019000000}"/>
    <hyperlink ref="B23" r:id="rId27" xr:uid="{00000000-0004-0000-0000-00001A000000}"/>
    <hyperlink ref="B24" r:id="rId28" xr:uid="{00000000-0004-0000-0000-00001B000000}"/>
    <hyperlink ref="B25" r:id="rId29" xr:uid="{00000000-0004-0000-0000-00001C000000}"/>
    <hyperlink ref="B26" r:id="rId30" xr:uid="{00000000-0004-0000-0000-00001D000000}"/>
    <hyperlink ref="B27" r:id="rId31" xr:uid="{00000000-0004-0000-0000-00001E000000}"/>
    <hyperlink ref="B28" r:id="rId32" xr:uid="{00000000-0004-0000-0000-00001F000000}"/>
    <hyperlink ref="B29" r:id="rId33" xr:uid="{00000000-0004-0000-0000-000020000000}"/>
    <hyperlink ref="B30" r:id="rId34" xr:uid="{00000000-0004-0000-0000-000021000000}"/>
    <hyperlink ref="B31" r:id="rId35" xr:uid="{00000000-0004-0000-0000-000022000000}"/>
    <hyperlink ref="B32" r:id="rId36" xr:uid="{00000000-0004-0000-0000-000023000000}"/>
    <hyperlink ref="B33" r:id="rId37" xr:uid="{00000000-0004-0000-0000-000024000000}"/>
    <hyperlink ref="B34" r:id="rId38" xr:uid="{00000000-0004-0000-0000-000025000000}"/>
    <hyperlink ref="B35" r:id="rId39" xr:uid="{00000000-0004-0000-0000-000026000000}"/>
    <hyperlink ref="B36" r:id="rId40" xr:uid="{00000000-0004-0000-0000-000027000000}"/>
    <hyperlink ref="B37" r:id="rId41" xr:uid="{00000000-0004-0000-0000-000028000000}"/>
    <hyperlink ref="B38" r:id="rId42" xr:uid="{00000000-0004-0000-0000-000029000000}"/>
    <hyperlink ref="B39" r:id="rId43" xr:uid="{00000000-0004-0000-0000-00002A000000}"/>
    <hyperlink ref="B40" r:id="rId44" xr:uid="{00000000-0004-0000-0000-00002B000000}"/>
    <hyperlink ref="B41" r:id="rId45" xr:uid="{00000000-0004-0000-0000-00002C000000}"/>
    <hyperlink ref="B42" r:id="rId46" xr:uid="{00000000-0004-0000-0000-00002D000000}"/>
    <hyperlink ref="B43" r:id="rId47" xr:uid="{00000000-0004-0000-0000-00002E000000}"/>
    <hyperlink ref="B44" r:id="rId48" xr:uid="{00000000-0004-0000-0000-00002F000000}"/>
    <hyperlink ref="B45" r:id="rId49" xr:uid="{00000000-0004-0000-0000-000030000000}"/>
    <hyperlink ref="B46" r:id="rId50" xr:uid="{00000000-0004-0000-0000-000031000000}"/>
    <hyperlink ref="B47" r:id="rId51" xr:uid="{00000000-0004-0000-0000-000032000000}"/>
    <hyperlink ref="B48" r:id="rId52" xr:uid="{00000000-0004-0000-0000-000033000000}"/>
    <hyperlink ref="B49" r:id="rId53" xr:uid="{00000000-0004-0000-0000-000034000000}"/>
    <hyperlink ref="B50" r:id="rId54" xr:uid="{00000000-0004-0000-0000-000035000000}"/>
    <hyperlink ref="B51" r:id="rId55" xr:uid="{00000000-0004-0000-0000-000036000000}"/>
    <hyperlink ref="B52" r:id="rId56" xr:uid="{00000000-0004-0000-0000-000037000000}"/>
    <hyperlink ref="B53" r:id="rId57" xr:uid="{00000000-0004-0000-0000-000038000000}"/>
    <hyperlink ref="B54" r:id="rId58" xr:uid="{00000000-0004-0000-0000-000039000000}"/>
    <hyperlink ref="B55" r:id="rId59" xr:uid="{00000000-0004-0000-0000-00003A000000}"/>
    <hyperlink ref="B56" r:id="rId60" xr:uid="{00000000-0004-0000-0000-00003B000000}"/>
    <hyperlink ref="B57" r:id="rId61" xr:uid="{00000000-0004-0000-0000-00003C000000}"/>
    <hyperlink ref="B58" r:id="rId62" xr:uid="{00000000-0004-0000-0000-00003D000000}"/>
    <hyperlink ref="B59" r:id="rId63" xr:uid="{00000000-0004-0000-0000-00003E000000}"/>
    <hyperlink ref="B60" r:id="rId64" xr:uid="{00000000-0004-0000-0000-00003F000000}"/>
    <hyperlink ref="B61" r:id="rId65" xr:uid="{00000000-0004-0000-0000-000040000000}"/>
    <hyperlink ref="B62" r:id="rId66" xr:uid="{00000000-0004-0000-0000-000041000000}"/>
    <hyperlink ref="B63" r:id="rId67" xr:uid="{00000000-0004-0000-0000-000042000000}"/>
    <hyperlink ref="B64" r:id="rId68" xr:uid="{00000000-0004-0000-0000-000043000000}"/>
    <hyperlink ref="B65" r:id="rId69" xr:uid="{00000000-0004-0000-0000-000044000000}"/>
    <hyperlink ref="B66" r:id="rId70" xr:uid="{00000000-0004-0000-0000-000045000000}"/>
    <hyperlink ref="B67" r:id="rId71" xr:uid="{00000000-0004-0000-0000-000046000000}"/>
    <hyperlink ref="B68" r:id="rId72" xr:uid="{00000000-0004-0000-0000-000047000000}"/>
    <hyperlink ref="B69" r:id="rId73" xr:uid="{00000000-0004-0000-0000-000048000000}"/>
    <hyperlink ref="B70" r:id="rId74" xr:uid="{00000000-0004-0000-0000-000049000000}"/>
    <hyperlink ref="B71" r:id="rId75" xr:uid="{00000000-0004-0000-0000-00004A000000}"/>
    <hyperlink ref="B72" r:id="rId76" xr:uid="{00000000-0004-0000-0000-00004B000000}"/>
    <hyperlink ref="B73" r:id="rId77" xr:uid="{00000000-0004-0000-0000-00004C000000}"/>
    <hyperlink ref="B74" r:id="rId78" xr:uid="{00000000-0004-0000-0000-00004D000000}"/>
    <hyperlink ref="B75" r:id="rId79" xr:uid="{00000000-0004-0000-0000-00004E000000}"/>
    <hyperlink ref="B76" r:id="rId80" xr:uid="{00000000-0004-0000-0000-00004F000000}"/>
    <hyperlink ref="B77" r:id="rId81" xr:uid="{00000000-0004-0000-0000-000050000000}"/>
    <hyperlink ref="B78" r:id="rId82" xr:uid="{00000000-0004-0000-0000-000051000000}"/>
    <hyperlink ref="B79" r:id="rId83" xr:uid="{00000000-0004-0000-0000-000052000000}"/>
    <hyperlink ref="B80" r:id="rId84" xr:uid="{00000000-0004-0000-0000-000053000000}"/>
    <hyperlink ref="B81" r:id="rId85" xr:uid="{00000000-0004-0000-0000-000054000000}"/>
    <hyperlink ref="B82" r:id="rId86" xr:uid="{00000000-0004-0000-0000-000055000000}"/>
    <hyperlink ref="B83" r:id="rId87" xr:uid="{00000000-0004-0000-0000-000056000000}"/>
    <hyperlink ref="B84" r:id="rId88" xr:uid="{00000000-0004-0000-0000-000057000000}"/>
    <hyperlink ref="B85" r:id="rId89" xr:uid="{00000000-0004-0000-0000-000058000000}"/>
    <hyperlink ref="B86" r:id="rId90" xr:uid="{00000000-0004-0000-0000-000059000000}"/>
    <hyperlink ref="B87" r:id="rId91" xr:uid="{00000000-0004-0000-0000-00005A000000}"/>
    <hyperlink ref="B88" r:id="rId92" xr:uid="{00000000-0004-0000-0000-00005B000000}"/>
    <hyperlink ref="B89" r:id="rId93" xr:uid="{00000000-0004-0000-0000-00005C000000}"/>
    <hyperlink ref="B90" r:id="rId94" xr:uid="{00000000-0004-0000-0000-00005D000000}"/>
    <hyperlink ref="B91" r:id="rId95" xr:uid="{00000000-0004-0000-0000-00005E000000}"/>
    <hyperlink ref="B92" r:id="rId96" xr:uid="{00000000-0004-0000-0000-00005F000000}"/>
    <hyperlink ref="B93" r:id="rId97" xr:uid="{00000000-0004-0000-0000-000060000000}"/>
    <hyperlink ref="B94" r:id="rId98" xr:uid="{00000000-0004-0000-0000-000061000000}"/>
    <hyperlink ref="B95" r:id="rId99" xr:uid="{00000000-0004-0000-0000-000062000000}"/>
    <hyperlink ref="B96" r:id="rId100" xr:uid="{00000000-0004-0000-0000-000063000000}"/>
    <hyperlink ref="B97" r:id="rId101" xr:uid="{00000000-0004-0000-0000-000064000000}"/>
    <hyperlink ref="B98" r:id="rId102" xr:uid="{00000000-0004-0000-0000-000065000000}"/>
    <hyperlink ref="B99" r:id="rId103" xr:uid="{00000000-0004-0000-0000-000066000000}"/>
    <hyperlink ref="B100" r:id="rId104" xr:uid="{00000000-0004-0000-0000-000067000000}"/>
    <hyperlink ref="B101" r:id="rId105" xr:uid="{00000000-0004-0000-0000-000068000000}"/>
    <hyperlink ref="B102" r:id="rId106" xr:uid="{00000000-0004-0000-0000-000069000000}"/>
    <hyperlink ref="B103" r:id="rId107" xr:uid="{00000000-0004-0000-0000-00006A000000}"/>
    <hyperlink ref="B104" r:id="rId108" xr:uid="{00000000-0004-0000-0000-00006B000000}"/>
    <hyperlink ref="B105" r:id="rId109" xr:uid="{00000000-0004-0000-0000-00006C000000}"/>
    <hyperlink ref="B106" r:id="rId110" xr:uid="{00000000-0004-0000-0000-00006D000000}"/>
    <hyperlink ref="B107" r:id="rId111" xr:uid="{00000000-0004-0000-0000-00006E000000}"/>
    <hyperlink ref="B108" r:id="rId112" xr:uid="{00000000-0004-0000-0000-00006F000000}"/>
    <hyperlink ref="B109" r:id="rId113" xr:uid="{00000000-0004-0000-0000-000070000000}"/>
    <hyperlink ref="B110" r:id="rId114" xr:uid="{00000000-0004-0000-0000-000071000000}"/>
    <hyperlink ref="B111" r:id="rId115" xr:uid="{00000000-0004-0000-0000-000072000000}"/>
    <hyperlink ref="B112" r:id="rId116" xr:uid="{00000000-0004-0000-0000-000073000000}"/>
    <hyperlink ref="B113" r:id="rId117" xr:uid="{00000000-0004-0000-0000-000074000000}"/>
    <hyperlink ref="B114" r:id="rId118" xr:uid="{00000000-0004-0000-0000-000075000000}"/>
    <hyperlink ref="B115" r:id="rId119" xr:uid="{00000000-0004-0000-0000-000076000000}"/>
    <hyperlink ref="B116" r:id="rId120" xr:uid="{00000000-0004-0000-0000-000077000000}"/>
    <hyperlink ref="B117" r:id="rId121" xr:uid="{00000000-0004-0000-0000-000078000000}"/>
    <hyperlink ref="B118" r:id="rId122" xr:uid="{00000000-0004-0000-0000-000079000000}"/>
    <hyperlink ref="B119" r:id="rId123" xr:uid="{00000000-0004-0000-0000-00007A000000}"/>
    <hyperlink ref="B120" r:id="rId124" xr:uid="{00000000-0004-0000-0000-00007B000000}"/>
    <hyperlink ref="B121" r:id="rId125" xr:uid="{00000000-0004-0000-0000-00007C000000}"/>
    <hyperlink ref="B122" r:id="rId126" xr:uid="{00000000-0004-0000-0000-00007D000000}"/>
    <hyperlink ref="B123" r:id="rId127" xr:uid="{00000000-0004-0000-0000-00007E000000}"/>
    <hyperlink ref="B124" r:id="rId128" xr:uid="{00000000-0004-0000-0000-00007F000000}"/>
    <hyperlink ref="B125" r:id="rId129" xr:uid="{00000000-0004-0000-0000-000080000000}"/>
    <hyperlink ref="B126" r:id="rId130" xr:uid="{00000000-0004-0000-0000-000081000000}"/>
    <hyperlink ref="B127" r:id="rId131" xr:uid="{00000000-0004-0000-0000-000082000000}"/>
    <hyperlink ref="B128" r:id="rId132" xr:uid="{00000000-0004-0000-0000-000083000000}"/>
    <hyperlink ref="B129" r:id="rId133" xr:uid="{00000000-0004-0000-0000-000084000000}"/>
    <hyperlink ref="B130" r:id="rId134" xr:uid="{00000000-0004-0000-0000-000085000000}"/>
    <hyperlink ref="B131" r:id="rId135" xr:uid="{00000000-0004-0000-0000-000086000000}"/>
    <hyperlink ref="B132" r:id="rId136" xr:uid="{00000000-0004-0000-0000-000087000000}"/>
    <hyperlink ref="B133" r:id="rId137" xr:uid="{00000000-0004-0000-0000-000088000000}"/>
    <hyperlink ref="B134" r:id="rId138" xr:uid="{00000000-0004-0000-0000-000089000000}"/>
    <hyperlink ref="B135" r:id="rId139" xr:uid="{00000000-0004-0000-0000-00008A000000}"/>
    <hyperlink ref="B136" r:id="rId140" xr:uid="{00000000-0004-0000-0000-00008B000000}"/>
    <hyperlink ref="B137" r:id="rId141" xr:uid="{00000000-0004-0000-0000-00008C000000}"/>
    <hyperlink ref="B138" r:id="rId142" xr:uid="{00000000-0004-0000-0000-00008D000000}"/>
    <hyperlink ref="B139" r:id="rId143" xr:uid="{00000000-0004-0000-0000-00008E000000}"/>
    <hyperlink ref="B140" r:id="rId144" xr:uid="{00000000-0004-0000-0000-00008F000000}"/>
    <hyperlink ref="B141" r:id="rId145" xr:uid="{00000000-0004-0000-0000-000090000000}"/>
    <hyperlink ref="B142" r:id="rId146" xr:uid="{00000000-0004-0000-0000-000091000000}"/>
    <hyperlink ref="B143" r:id="rId147" xr:uid="{00000000-0004-0000-0000-000092000000}"/>
    <hyperlink ref="B144" r:id="rId148" xr:uid="{00000000-0004-0000-0000-000093000000}"/>
    <hyperlink ref="B145" r:id="rId149" xr:uid="{00000000-0004-0000-0000-000094000000}"/>
    <hyperlink ref="B146" r:id="rId150" xr:uid="{00000000-0004-0000-0000-000095000000}"/>
    <hyperlink ref="B147" r:id="rId151" xr:uid="{00000000-0004-0000-0000-000096000000}"/>
    <hyperlink ref="B148" r:id="rId152" xr:uid="{00000000-0004-0000-0000-000097000000}"/>
    <hyperlink ref="B149" r:id="rId153" xr:uid="{00000000-0004-0000-0000-000098000000}"/>
    <hyperlink ref="B150" r:id="rId154" xr:uid="{00000000-0004-0000-0000-000099000000}"/>
    <hyperlink ref="B151" r:id="rId155" xr:uid="{00000000-0004-0000-0000-00009A000000}"/>
    <hyperlink ref="B152" r:id="rId156" xr:uid="{00000000-0004-0000-0000-00009B000000}"/>
    <hyperlink ref="B153" r:id="rId157" xr:uid="{00000000-0004-0000-0000-00009C000000}"/>
    <hyperlink ref="B154" r:id="rId158" xr:uid="{00000000-0004-0000-0000-00009D000000}"/>
    <hyperlink ref="B155" r:id="rId159" xr:uid="{00000000-0004-0000-0000-00009E000000}"/>
    <hyperlink ref="B156" r:id="rId160" xr:uid="{00000000-0004-0000-0000-00009F000000}"/>
    <hyperlink ref="B157" r:id="rId161" xr:uid="{00000000-0004-0000-0000-0000A0000000}"/>
    <hyperlink ref="B158" r:id="rId162" xr:uid="{00000000-0004-0000-0000-0000A1000000}"/>
    <hyperlink ref="B159" r:id="rId163" xr:uid="{00000000-0004-0000-0000-0000A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2025-03-11T06:04:00Z</dcterms:created>
  <dcterms:modified xsi:type="dcterms:W3CDTF">2025-05-05T15:25:21Z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2025-03-11T06:04:06Z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6a0ddb0e-68ae-4d27-aec0-b96612400cc0</vt:lpwstr>
  </property>
  <property fmtid="{D5CDD505-2E9C-101B-9397-08002B2CF9AE}" pid="7" name="MSIP_Label_defa4170-0d19-0005-0004-bc88714345d2_ActionId">
    <vt:lpwstr>22dae11e-5a7a-4513-ab8f-6c75e3f3228e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6A0891F2DEC0492C9D830947C31635B8_12</vt:lpwstr>
  </property>
  <property fmtid="{D5CDD505-2E9C-101B-9397-08002B2CF9AE}" pid="11" name="KSOProductBuildVer">
    <vt:lpwstr>2057-12.2.0.20341</vt:lpwstr>
  </property>
</Properties>
</file>
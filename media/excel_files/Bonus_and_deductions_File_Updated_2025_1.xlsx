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aman\Downloads\"/>
    </mc:Choice>
  </mc:AlternateContent>
  <xr:revisionPtr revIDLastSave="0" documentId="13_ncr:1_{C689EF2D-19B0-49A6-8A4D-50E973D34751}" xr6:coauthVersionLast="47" xr6:coauthVersionMax="47" xr10:uidLastSave="{00000000-0000-0000-0000-000000000000}"/>
  <bookViews>
    <workbookView xWindow="-108" yWindow="-108" windowWidth="23256" windowHeight="12456" firstSheet="5" activeTab="7" xr2:uid="{00000000-000D-0000-FFFF-FFFF00000000}"/>
  </bookViews>
  <sheets>
    <sheet name="2019" sheetId="1" r:id="rId1"/>
    <sheet name="2020" sheetId="2" r:id="rId2"/>
    <sheet name="2021" sheetId="3" r:id="rId3"/>
    <sheet name="2022" sheetId="4" r:id="rId4"/>
    <sheet name="2023" sheetId="5" r:id="rId5"/>
    <sheet name="2024" sheetId="6" r:id="rId6"/>
    <sheet name="2025" sheetId="33" r:id="rId7"/>
    <sheet name="Client Facing Bonus 2025" sheetId="34" r:id="rId8"/>
    <sheet name="Hold Bonus updated Feb 2025" sheetId="35" r:id="rId9"/>
    <sheet name="One time bonus sheet march 2025" sheetId="36" r:id="rId10"/>
    <sheet name="On hold bonus" sheetId="9" r:id="rId11"/>
    <sheet name="To beDeleted" sheetId="29" r:id="rId12"/>
    <sheet name="Marketing Bouns sheet" sheetId="32" r:id="rId13"/>
    <sheet name="Sales Bonus Rule" sheetId="8" r:id="rId14"/>
    <sheet name="Deposited-Hold Bonus" sheetId="10" r:id="rId15"/>
    <sheet name="Shahed Summary Sheet" sheetId="11" r:id="rId16"/>
    <sheet name="March Target" sheetId="12" r:id="rId17"/>
    <sheet name="Feb Target" sheetId="13" r:id="rId18"/>
    <sheet name="Marketing Bonus Rule" sheetId="14" r:id="rId19"/>
    <sheet name="Client facing Bonus 2023" sheetId="15" r:id="rId20"/>
    <sheet name="Client Facing Bonus 2024" sheetId="7" r:id="rId21"/>
    <sheet name="Dec Target" sheetId="16" r:id="rId22"/>
    <sheet name="Jan Target" sheetId="17" r:id="rId23"/>
    <sheet name="Calculation" sheetId="18" r:id="rId24"/>
    <sheet name="One Time Bonus" sheetId="19" r:id="rId25"/>
    <sheet name="Nov Target" sheetId="20" r:id="rId26"/>
    <sheet name="Oct Target" sheetId="21" r:id="rId27"/>
    <sheet name="Sep Target" sheetId="22" r:id="rId28"/>
    <sheet name="Aug Target" sheetId="23" r:id="rId29"/>
    <sheet name="July Target" sheetId="24" r:id="rId30"/>
    <sheet name="June Target" sheetId="25" r:id="rId31"/>
    <sheet name="1 time bonus " sheetId="26" r:id="rId32"/>
    <sheet name="Target Bonus" sheetId="27" r:id="rId33"/>
    <sheet name="Sql Bonus" sheetId="28" r:id="rId34"/>
    <sheet name="Hold bonus paid sheet" sheetId="30" r:id="rId35"/>
    <sheet name="Client facing Bonus 2022" sheetId="31" r:id="rId36"/>
  </sheets>
  <externalReferences>
    <externalReference r:id="rId37"/>
    <externalReference r:id="rId38"/>
    <externalReference r:id="rId39"/>
    <externalReference r:id="rId40"/>
    <externalReference r:id="rId41"/>
  </externalReferences>
  <definedNames>
    <definedName name="_xlnm._FilterDatabase" localSheetId="0" hidden="1">'2019'!$A$1:$R$21</definedName>
    <definedName name="_xlnm._FilterDatabase" localSheetId="1" hidden="1">'2020'!$A$1:$AI$35</definedName>
    <definedName name="_xlnm._FilterDatabase" localSheetId="2" hidden="1">'2021'!$A$1:$AJ$58</definedName>
    <definedName name="_xlnm._FilterDatabase" localSheetId="3" hidden="1">'2022'!$A$1:$AN$74</definedName>
    <definedName name="_xlnm._FilterDatabase" localSheetId="4" hidden="1">'2023'!$A$1:$AN$54</definedName>
    <definedName name="_xlnm._FilterDatabase" localSheetId="5" hidden="1">'2024'!$A$1:$AP$46</definedName>
    <definedName name="_xlnm._FilterDatabase" localSheetId="6" hidden="1">'2025'!$A$1:$XBA$41</definedName>
    <definedName name="_xlnm._FilterDatabase" localSheetId="19" hidden="1">'Client facing Bonus 2023'!$A$1:$T$9</definedName>
    <definedName name="_xlnm._FilterDatabase" localSheetId="20" hidden="1">'Client Facing Bonus 2024'!$A$1:$U$17</definedName>
    <definedName name="_xlnm._FilterDatabase" localSheetId="7" hidden="1">'Client Facing Bonus 2025'!$A$1:$S$31</definedName>
    <definedName name="_xlnm._FilterDatabase" localSheetId="14" hidden="1">'Deposited-Hold Bonus'!$A$1:$J$60</definedName>
    <definedName name="_xlnm._FilterDatabase" localSheetId="8" hidden="1">'Hold Bonus updated Feb 2025'!$A$1:$I$42</definedName>
    <definedName name="_xlnm._FilterDatabase" localSheetId="10" hidden="1">'On hold bonus'!$A$1:$E$77</definedName>
    <definedName name="_xlnm._FilterDatabase" localSheetId="11" hidden="1">'To beDeleted'!$A$1:$AT$100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9" i="34" l="1"/>
  <c r="K26" i="34"/>
  <c r="K25" i="34"/>
  <c r="K18" i="34"/>
  <c r="L24" i="33"/>
  <c r="R12" i="34"/>
  <c r="K30" i="34"/>
  <c r="K24" i="34"/>
  <c r="K28" i="34"/>
  <c r="K27" i="34"/>
  <c r="K6" i="34"/>
  <c r="K23" i="34"/>
  <c r="K22" i="34"/>
  <c r="K21" i="34"/>
  <c r="K20" i="34"/>
  <c r="K19" i="34"/>
  <c r="K16" i="34"/>
  <c r="K15" i="34"/>
  <c r="K14" i="34"/>
  <c r="K13" i="34"/>
  <c r="K12" i="34"/>
  <c r="K11" i="34"/>
  <c r="K10" i="34"/>
  <c r="K7" i="34"/>
  <c r="K3" i="34"/>
  <c r="K2" i="34"/>
  <c r="L41" i="33"/>
  <c r="L39" i="33"/>
  <c r="L38" i="33"/>
  <c r="L37" i="33"/>
  <c r="L36" i="33"/>
  <c r="L35" i="33"/>
  <c r="L32" i="33"/>
  <c r="L31" i="33"/>
  <c r="AC132" i="29"/>
  <c r="S132" i="29"/>
  <c r="R132" i="29"/>
  <c r="P132" i="29"/>
  <c r="J132" i="29"/>
  <c r="I132" i="29"/>
  <c r="Q132" i="29" s="1"/>
  <c r="L29" i="33"/>
  <c r="L27" i="33"/>
  <c r="L26" i="33"/>
  <c r="L28" i="33"/>
  <c r="L25" i="33"/>
  <c r="P131" i="29"/>
  <c r="K131" i="29"/>
  <c r="J131" i="29"/>
  <c r="L23" i="33"/>
  <c r="L20" i="33"/>
  <c r="L19" i="33"/>
  <c r="L18" i="33"/>
  <c r="L16" i="33"/>
  <c r="L15" i="33"/>
  <c r="L14" i="33"/>
  <c r="L13" i="33"/>
  <c r="L12" i="33"/>
  <c r="L10" i="33"/>
  <c r="L9" i="33"/>
  <c r="L8" i="33"/>
  <c r="L7" i="33"/>
  <c r="L6" i="33"/>
  <c r="L5" i="33"/>
  <c r="L4" i="33"/>
  <c r="L3" i="33"/>
  <c r="L2" i="33"/>
  <c r="AE28" i="6"/>
  <c r="AF28" i="6"/>
  <c r="AG28" i="6"/>
  <c r="AH28" i="6"/>
  <c r="AD28" i="6"/>
  <c r="C11" i="35"/>
  <c r="K31" i="34" l="1"/>
  <c r="C4" i="35"/>
  <c r="C23" i="35"/>
  <c r="O36" i="6" l="1"/>
  <c r="P52" i="4" l="1"/>
  <c r="O52" i="4" l="1"/>
  <c r="G43" i="2" l="1"/>
  <c r="V59" i="4" l="1"/>
  <c r="I59" i="4"/>
  <c r="M59" i="4"/>
  <c r="M60" i="3"/>
  <c r="L59" i="4"/>
  <c r="O25" i="6" l="1"/>
  <c r="C2" i="35" l="1"/>
  <c r="AE2" i="33"/>
  <c r="AI2" i="33" s="1"/>
  <c r="AL11" i="6"/>
  <c r="AP11" i="6" s="1"/>
  <c r="AK11" i="6"/>
  <c r="V5" i="5"/>
  <c r="AJ5" i="5"/>
  <c r="AN5" i="5" s="1"/>
  <c r="X11" i="6" s="1"/>
  <c r="AC4" i="33"/>
  <c r="AF4" i="33"/>
  <c r="AM37" i="6"/>
  <c r="AK4" i="5"/>
  <c r="I25" i="5"/>
  <c r="O41" i="6"/>
  <c r="N41" i="6"/>
  <c r="M41" i="6"/>
  <c r="L41" i="6"/>
  <c r="J41" i="6"/>
  <c r="L31" i="6"/>
  <c r="R12" i="6"/>
  <c r="Q12" i="6"/>
  <c r="P12" i="6"/>
  <c r="O12" i="6"/>
  <c r="N12" i="6"/>
  <c r="L12" i="6"/>
  <c r="S4" i="6"/>
  <c r="R4" i="6"/>
  <c r="Q4" i="6"/>
  <c r="P4" i="6"/>
  <c r="O4" i="6"/>
  <c r="L3" i="6"/>
  <c r="N33" i="6"/>
  <c r="L33" i="6"/>
  <c r="I33" i="6"/>
  <c r="M5" i="6"/>
  <c r="L5" i="6"/>
  <c r="I5" i="6"/>
  <c r="H45" i="6"/>
  <c r="M22" i="6"/>
  <c r="I22" i="6"/>
  <c r="W9" i="5"/>
  <c r="L22" i="6"/>
  <c r="P22" i="6"/>
  <c r="J30" i="34" l="1"/>
  <c r="J24" i="34"/>
  <c r="J6" i="34"/>
  <c r="J4" i="34"/>
  <c r="J14" i="34"/>
  <c r="K3" i="33"/>
  <c r="J2" i="34"/>
  <c r="K40" i="33"/>
  <c r="K36" i="33"/>
  <c r="K35" i="33"/>
  <c r="K20" i="33"/>
  <c r="S21" i="33"/>
  <c r="S15" i="33"/>
  <c r="F31" i="34"/>
  <c r="E31" i="34"/>
  <c r="D31" i="34"/>
  <c r="I30" i="34"/>
  <c r="H30" i="34"/>
  <c r="M30" i="34" s="1"/>
  <c r="J27" i="34"/>
  <c r="J25" i="34"/>
  <c r="I24" i="34"/>
  <c r="M24" i="34" s="1"/>
  <c r="M23" i="34"/>
  <c r="J23" i="34"/>
  <c r="J22" i="34"/>
  <c r="I22" i="34"/>
  <c r="M22" i="34" s="1"/>
  <c r="J21" i="34"/>
  <c r="I21" i="34"/>
  <c r="M21" i="34" s="1"/>
  <c r="J20" i="34"/>
  <c r="I20" i="34"/>
  <c r="M20" i="34" s="1"/>
  <c r="J19" i="34"/>
  <c r="I19" i="34"/>
  <c r="M19" i="34" s="1"/>
  <c r="I18" i="34"/>
  <c r="H18" i="34"/>
  <c r="I17" i="34"/>
  <c r="H17" i="34"/>
  <c r="J16" i="34"/>
  <c r="I16" i="34"/>
  <c r="M16" i="34" s="1"/>
  <c r="J15" i="34"/>
  <c r="I15" i="34"/>
  <c r="M15" i="34" s="1"/>
  <c r="I14" i="34"/>
  <c r="M14" i="34" s="1"/>
  <c r="J13" i="34"/>
  <c r="I13" i="34"/>
  <c r="M13" i="34" s="1"/>
  <c r="J12" i="34"/>
  <c r="I12" i="34"/>
  <c r="M12" i="34" s="1"/>
  <c r="J11" i="34"/>
  <c r="J10" i="34"/>
  <c r="I10" i="34"/>
  <c r="H10" i="34"/>
  <c r="I9" i="34"/>
  <c r="H9" i="34"/>
  <c r="I8" i="34"/>
  <c r="H8" i="34"/>
  <c r="J7" i="34"/>
  <c r="I7" i="34"/>
  <c r="H7" i="34"/>
  <c r="M7" i="34" s="1"/>
  <c r="I6" i="34"/>
  <c r="M6" i="34" s="1"/>
  <c r="J5" i="34"/>
  <c r="I5" i="34"/>
  <c r="H5" i="34"/>
  <c r="I4" i="34"/>
  <c r="H4" i="34"/>
  <c r="J3" i="34"/>
  <c r="I3" i="34"/>
  <c r="M3" i="34" s="1"/>
  <c r="I2" i="34"/>
  <c r="H2" i="34"/>
  <c r="AI42" i="33"/>
  <c r="AH42" i="33"/>
  <c r="AG42" i="33"/>
  <c r="AF42" i="33"/>
  <c r="AE42" i="33"/>
  <c r="AC42" i="33"/>
  <c r="AB42" i="33"/>
  <c r="AA42" i="33"/>
  <c r="Z42" i="33"/>
  <c r="X42" i="33"/>
  <c r="W42" i="33"/>
  <c r="V42" i="33"/>
  <c r="U42" i="33"/>
  <c r="T42" i="33"/>
  <c r="Q42" i="33"/>
  <c r="N42" i="33"/>
  <c r="H42" i="33"/>
  <c r="E42" i="33"/>
  <c r="D42" i="33"/>
  <c r="AC41" i="33"/>
  <c r="R41" i="33"/>
  <c r="Q41" i="33"/>
  <c r="P41" i="33"/>
  <c r="K41" i="33"/>
  <c r="Q40" i="33"/>
  <c r="J40" i="33"/>
  <c r="R40" i="33" s="1"/>
  <c r="Q39" i="33"/>
  <c r="P39" i="33"/>
  <c r="K39" i="33"/>
  <c r="C39" i="35" s="1"/>
  <c r="J39" i="33"/>
  <c r="I39" i="33"/>
  <c r="Q38" i="33"/>
  <c r="P38" i="33"/>
  <c r="R38" i="33" s="1"/>
  <c r="K38" i="33"/>
  <c r="J38" i="33"/>
  <c r="I38" i="33"/>
  <c r="P37" i="33"/>
  <c r="K37" i="33"/>
  <c r="S37" i="33" s="1"/>
  <c r="J37" i="33"/>
  <c r="R37" i="33" s="1"/>
  <c r="I37" i="33"/>
  <c r="Q37" i="33" s="1"/>
  <c r="J36" i="33"/>
  <c r="I36" i="33"/>
  <c r="J35" i="33"/>
  <c r="I35" i="33"/>
  <c r="J34" i="33"/>
  <c r="I34" i="33"/>
  <c r="K31" i="33"/>
  <c r="J31" i="33"/>
  <c r="R31" i="33" s="1"/>
  <c r="I31" i="33"/>
  <c r="Q31" i="33" s="1"/>
  <c r="P30" i="33"/>
  <c r="J30" i="33"/>
  <c r="I30" i="33"/>
  <c r="AC29" i="33"/>
  <c r="Q29" i="33"/>
  <c r="P29" i="33"/>
  <c r="K29" i="33"/>
  <c r="J29" i="33"/>
  <c r="R29" i="33" s="1"/>
  <c r="AC28" i="33"/>
  <c r="O28" i="33"/>
  <c r="P28" i="33" s="1"/>
  <c r="K28" i="33"/>
  <c r="J28" i="33"/>
  <c r="AC27" i="33"/>
  <c r="Q27" i="33"/>
  <c r="P27" i="33"/>
  <c r="K27" i="33"/>
  <c r="S27" i="33" s="1"/>
  <c r="J27" i="33"/>
  <c r="R27" i="33" s="1"/>
  <c r="K26" i="33"/>
  <c r="J26" i="33"/>
  <c r="R26" i="33" s="1"/>
  <c r="I26" i="33"/>
  <c r="Q26" i="33" s="1"/>
  <c r="K25" i="33"/>
  <c r="S25" i="33" s="1"/>
  <c r="J25" i="33"/>
  <c r="R25" i="33" s="1"/>
  <c r="I25" i="33"/>
  <c r="Q25" i="33" s="1"/>
  <c r="J24" i="33"/>
  <c r="I24" i="33"/>
  <c r="K23" i="33"/>
  <c r="J23" i="33"/>
  <c r="I23" i="33"/>
  <c r="K22" i="33"/>
  <c r="J22" i="33"/>
  <c r="I22" i="33"/>
  <c r="Q21" i="33"/>
  <c r="P21" i="33"/>
  <c r="J21" i="33"/>
  <c r="R21" i="33" s="1"/>
  <c r="P20" i="33"/>
  <c r="J20" i="33"/>
  <c r="I20" i="33"/>
  <c r="J19" i="33"/>
  <c r="I19" i="33"/>
  <c r="P18" i="33"/>
  <c r="K18" i="33"/>
  <c r="C17" i="35" s="1"/>
  <c r="J18" i="33"/>
  <c r="I18" i="33"/>
  <c r="K16" i="33"/>
  <c r="J16" i="33"/>
  <c r="I16" i="33"/>
  <c r="Q15" i="33"/>
  <c r="P15" i="33"/>
  <c r="J15" i="33"/>
  <c r="R15" i="33" s="1"/>
  <c r="P14" i="33"/>
  <c r="K14" i="33"/>
  <c r="J14" i="33"/>
  <c r="I14" i="33"/>
  <c r="P13" i="33"/>
  <c r="K13" i="33"/>
  <c r="J13" i="33"/>
  <c r="I13" i="33"/>
  <c r="K12" i="33"/>
  <c r="J12" i="33"/>
  <c r="R12" i="33" s="1"/>
  <c r="I12" i="33"/>
  <c r="Q12" i="33" s="1"/>
  <c r="K11" i="33"/>
  <c r="AC10" i="33"/>
  <c r="P10" i="33"/>
  <c r="K10" i="33"/>
  <c r="S10" i="33" s="1"/>
  <c r="J10" i="33"/>
  <c r="R10" i="33" s="1"/>
  <c r="I10" i="33"/>
  <c r="Q10" i="33" s="1"/>
  <c r="P9" i="33"/>
  <c r="K9" i="33"/>
  <c r="S9" i="33" s="1"/>
  <c r="J9" i="33"/>
  <c r="R9" i="33" s="1"/>
  <c r="I9" i="33"/>
  <c r="Q9" i="33" s="1"/>
  <c r="P8" i="33"/>
  <c r="I8" i="33"/>
  <c r="P7" i="33"/>
  <c r="J7" i="33"/>
  <c r="I7" i="33"/>
  <c r="P6" i="33"/>
  <c r="K6" i="33"/>
  <c r="S6" i="33" s="1"/>
  <c r="J6" i="33"/>
  <c r="R6" i="33" s="1"/>
  <c r="I6" i="33"/>
  <c r="Q6" i="33" s="1"/>
  <c r="Q5" i="33"/>
  <c r="K5" i="33"/>
  <c r="S5" i="33" s="1"/>
  <c r="J5" i="33"/>
  <c r="R5" i="33" s="1"/>
  <c r="R4" i="33"/>
  <c r="P4" i="33"/>
  <c r="K4" i="33"/>
  <c r="S4" i="33" s="1"/>
  <c r="I4" i="33"/>
  <c r="K2" i="33"/>
  <c r="S2" i="33" s="1"/>
  <c r="J2" i="33"/>
  <c r="R2" i="33" s="1"/>
  <c r="I2" i="33"/>
  <c r="I130" i="29"/>
  <c r="H130" i="29"/>
  <c r="L130" i="29" s="1"/>
  <c r="M5" i="34" l="1"/>
  <c r="M8" i="34"/>
  <c r="M10" i="34"/>
  <c r="M18" i="34"/>
  <c r="M4" i="34"/>
  <c r="M2" i="34"/>
  <c r="M9" i="34"/>
  <c r="M17" i="34"/>
  <c r="C12" i="35"/>
  <c r="S12" i="33"/>
  <c r="I11" i="35"/>
  <c r="S31" i="33"/>
  <c r="I31" i="35"/>
  <c r="S29" i="33"/>
  <c r="I29" i="35"/>
  <c r="I28" i="35"/>
  <c r="S26" i="33"/>
  <c r="I26" i="35"/>
  <c r="S40" i="33"/>
  <c r="I40" i="35"/>
  <c r="S41" i="33"/>
  <c r="I41" i="35"/>
  <c r="O2" i="33"/>
  <c r="Q2" i="33"/>
  <c r="AC2" i="33" s="1"/>
  <c r="Q4" i="33"/>
  <c r="O4" i="33"/>
  <c r="P42" i="33"/>
  <c r="J31" i="34"/>
  <c r="R42" i="33"/>
  <c r="AI28" i="33"/>
  <c r="S42" i="33"/>
  <c r="M31" i="34"/>
  <c r="H31" i="34"/>
  <c r="I31" i="34"/>
  <c r="L10" i="6"/>
  <c r="S2" i="7" l="1"/>
  <c r="J128" i="29"/>
  <c r="S6" i="6" l="1"/>
  <c r="T14" i="7" l="1"/>
  <c r="S14" i="7" s="1"/>
  <c r="U14" i="7" s="1"/>
  <c r="S15" i="7"/>
  <c r="U15" i="7" s="1"/>
  <c r="AJ26" i="6"/>
  <c r="T16" i="6"/>
  <c r="T23" i="6"/>
  <c r="AJ23" i="6" s="1"/>
  <c r="AP45" i="6"/>
  <c r="AO45" i="6"/>
  <c r="AN45" i="6"/>
  <c r="AM45" i="6"/>
  <c r="AL45" i="6"/>
  <c r="AB45" i="6"/>
  <c r="AA45" i="6"/>
  <c r="V45" i="6"/>
  <c r="E45" i="6"/>
  <c r="D45" i="6"/>
  <c r="AK7" i="6"/>
  <c r="T7" i="6"/>
  <c r="AJ7" i="6" s="1"/>
  <c r="S7" i="6"/>
  <c r="AI7" i="6" s="1"/>
  <c r="R7" i="6"/>
  <c r="AH7" i="6" s="1"/>
  <c r="Q7" i="6"/>
  <c r="AG7" i="6" s="1"/>
  <c r="P7" i="6"/>
  <c r="AF7" i="6" s="1"/>
  <c r="N7" i="6"/>
  <c r="AE7" i="6" s="1"/>
  <c r="L7" i="6"/>
  <c r="I7" i="6"/>
  <c r="Z7" i="6" s="1"/>
  <c r="S26" i="6"/>
  <c r="AI26" i="6" s="1"/>
  <c r="R26" i="6"/>
  <c r="P26" i="6"/>
  <c r="C40" i="35" s="1"/>
  <c r="T31" i="6"/>
  <c r="R31" i="6"/>
  <c r="O31" i="6"/>
  <c r="N31" i="6"/>
  <c r="I31" i="6"/>
  <c r="T25" i="6"/>
  <c r="S25" i="6"/>
  <c r="R25" i="6"/>
  <c r="Q25" i="6"/>
  <c r="C38" i="35" s="1"/>
  <c r="P25" i="6"/>
  <c r="N25" i="6"/>
  <c r="I38" i="35" s="1"/>
  <c r="AD19" i="6"/>
  <c r="AC19" i="6"/>
  <c r="Y19" i="6"/>
  <c r="T19" i="6"/>
  <c r="AJ19" i="6" s="1"/>
  <c r="S19" i="6"/>
  <c r="AI19" i="6" s="1"/>
  <c r="R19" i="6"/>
  <c r="AH19" i="6" s="1"/>
  <c r="Q19" i="6"/>
  <c r="AG19" i="6" s="1"/>
  <c r="P19" i="6"/>
  <c r="AF19" i="6" s="1"/>
  <c r="O19" i="6"/>
  <c r="N19" i="6"/>
  <c r="AE19" i="6" s="1"/>
  <c r="T43" i="6"/>
  <c r="S43" i="6"/>
  <c r="R43" i="6"/>
  <c r="Q43" i="6"/>
  <c r="P43" i="6"/>
  <c r="O43" i="6"/>
  <c r="N43" i="6"/>
  <c r="M43" i="6"/>
  <c r="L43" i="6"/>
  <c r="K43" i="6"/>
  <c r="T2" i="6"/>
  <c r="S2" i="6"/>
  <c r="C35" i="35" s="1"/>
  <c r="AD42" i="6"/>
  <c r="Y42" i="6"/>
  <c r="T42" i="6"/>
  <c r="S42" i="6"/>
  <c r="R42" i="6"/>
  <c r="Q42" i="6"/>
  <c r="P42" i="6"/>
  <c r="O42" i="6"/>
  <c r="N42" i="6"/>
  <c r="L42" i="6"/>
  <c r="K42" i="6"/>
  <c r="I42" i="6"/>
  <c r="C34" i="35" s="1"/>
  <c r="T34" i="6"/>
  <c r="S34" i="6"/>
  <c r="R34" i="6"/>
  <c r="P34" i="6"/>
  <c r="O34" i="6"/>
  <c r="C33" i="35" s="1"/>
  <c r="T20" i="6"/>
  <c r="S20" i="6"/>
  <c r="R20" i="6"/>
  <c r="P20" i="6"/>
  <c r="C32" i="35" s="1"/>
  <c r="AF40" i="6"/>
  <c r="T40" i="6"/>
  <c r="AJ40" i="6" s="1"/>
  <c r="S40" i="6"/>
  <c r="AI40" i="6" s="1"/>
  <c r="R40" i="6"/>
  <c r="AH40" i="6" s="1"/>
  <c r="Q40" i="6"/>
  <c r="AG40" i="6" s="1"/>
  <c r="O40" i="6"/>
  <c r="N40" i="6"/>
  <c r="AE40" i="6" s="1"/>
  <c r="L40" i="6"/>
  <c r="Y29" i="6"/>
  <c r="R29" i="6"/>
  <c r="P29" i="6"/>
  <c r="K29" i="6"/>
  <c r="AK21" i="6"/>
  <c r="AJ21" i="6"/>
  <c r="AI21" i="6"/>
  <c r="AD21" i="6"/>
  <c r="AC21" i="6"/>
  <c r="Z21" i="6"/>
  <c r="Z45" i="6" s="1"/>
  <c r="Y21" i="6"/>
  <c r="R21" i="6"/>
  <c r="AH21" i="6" s="1"/>
  <c r="Q21" i="6"/>
  <c r="AG21" i="6" s="1"/>
  <c r="P21" i="6"/>
  <c r="AF21" i="6" s="1"/>
  <c r="O21" i="6"/>
  <c r="N21" i="6"/>
  <c r="AK15" i="6"/>
  <c r="AD15" i="6"/>
  <c r="AC15" i="6"/>
  <c r="Y15" i="6"/>
  <c r="T15" i="6"/>
  <c r="AJ15" i="6" s="1"/>
  <c r="S15" i="6"/>
  <c r="AI15" i="6" s="1"/>
  <c r="R15" i="6"/>
  <c r="AH15" i="6" s="1"/>
  <c r="Q15" i="6"/>
  <c r="AG15" i="6" s="1"/>
  <c r="P15" i="6"/>
  <c r="AF15" i="6" s="1"/>
  <c r="O15" i="6"/>
  <c r="N15" i="6"/>
  <c r="AE15" i="6" s="1"/>
  <c r="I15" i="6"/>
  <c r="Z15" i="6" s="1"/>
  <c r="S44" i="6"/>
  <c r="R44" i="6"/>
  <c r="AH44" i="6" s="1"/>
  <c r="AK44" i="6" s="1"/>
  <c r="Q44" i="6"/>
  <c r="P44" i="6"/>
  <c r="O44" i="6"/>
  <c r="AK39" i="6"/>
  <c r="AJ39" i="6"/>
  <c r="AH39" i="6"/>
  <c r="AG39" i="6"/>
  <c r="AF39" i="6"/>
  <c r="AE39" i="6"/>
  <c r="Z39" i="6"/>
  <c r="S39" i="6"/>
  <c r="C36" i="35" s="1"/>
  <c r="T38" i="6"/>
  <c r="AJ38" i="6" s="1"/>
  <c r="S38" i="6"/>
  <c r="AI38" i="6" s="1"/>
  <c r="R38" i="6"/>
  <c r="AH38" i="6" s="1"/>
  <c r="Q38" i="6"/>
  <c r="AG38" i="6" s="1"/>
  <c r="P38" i="6"/>
  <c r="AF38" i="6" s="1"/>
  <c r="O38" i="6"/>
  <c r="M38" i="6"/>
  <c r="C26" i="35" s="1"/>
  <c r="AJ36" i="6"/>
  <c r="AH36" i="6"/>
  <c r="S36" i="6"/>
  <c r="AI36" i="6" s="1"/>
  <c r="Q36" i="6"/>
  <c r="P36" i="6"/>
  <c r="T27" i="6"/>
  <c r="S27" i="6"/>
  <c r="R27" i="6"/>
  <c r="P27" i="6"/>
  <c r="O27" i="6"/>
  <c r="N27" i="6"/>
  <c r="M27" i="6"/>
  <c r="K27" i="6"/>
  <c r="C24" i="35" s="1"/>
  <c r="Q18" i="6"/>
  <c r="P18" i="6"/>
  <c r="O18" i="6"/>
  <c r="I18" i="6"/>
  <c r="S41" i="6"/>
  <c r="R41" i="6"/>
  <c r="Q41" i="6"/>
  <c r="C22" i="35" s="1"/>
  <c r="P41" i="6"/>
  <c r="T33" i="6"/>
  <c r="S33" i="6"/>
  <c r="R33" i="6"/>
  <c r="Q33" i="6"/>
  <c r="P33" i="6"/>
  <c r="O33" i="6"/>
  <c r="Y14" i="6"/>
  <c r="R14" i="6"/>
  <c r="P14" i="6"/>
  <c r="N14" i="6"/>
  <c r="M14" i="6"/>
  <c r="I14" i="6"/>
  <c r="T3" i="6"/>
  <c r="S3" i="6"/>
  <c r="R3" i="6"/>
  <c r="Q3" i="6"/>
  <c r="P3" i="6"/>
  <c r="O3" i="6"/>
  <c r="N3" i="6"/>
  <c r="S16" i="6"/>
  <c r="R16" i="6"/>
  <c r="Q16" i="6"/>
  <c r="P16" i="6"/>
  <c r="C18" i="35" s="1"/>
  <c r="T10" i="6"/>
  <c r="S10" i="6"/>
  <c r="R10" i="6"/>
  <c r="Q10" i="6"/>
  <c r="P10" i="6"/>
  <c r="O10" i="6"/>
  <c r="N10" i="6"/>
  <c r="T22" i="6"/>
  <c r="S22" i="6"/>
  <c r="R22" i="6"/>
  <c r="Q22" i="6"/>
  <c r="AG23" i="6"/>
  <c r="AE23" i="6"/>
  <c r="Y23" i="6"/>
  <c r="S23" i="6"/>
  <c r="AI23" i="6" s="1"/>
  <c r="R23" i="6"/>
  <c r="AH23" i="6" s="1"/>
  <c r="P23" i="6"/>
  <c r="AF23" i="6" s="1"/>
  <c r="M23" i="6"/>
  <c r="AD23" i="6" s="1"/>
  <c r="L23" i="6"/>
  <c r="AC23" i="6" s="1"/>
  <c r="K23" i="6"/>
  <c r="T12" i="6"/>
  <c r="S12" i="6"/>
  <c r="AK6" i="6"/>
  <c r="AJ6" i="6"/>
  <c r="AH6" i="6"/>
  <c r="AG6" i="6"/>
  <c r="AF6" i="6"/>
  <c r="AD6" i="6"/>
  <c r="AC6" i="6"/>
  <c r="Y6" i="6"/>
  <c r="N6" i="6"/>
  <c r="AE6" i="6" s="1"/>
  <c r="I6" i="6"/>
  <c r="Y30" i="6"/>
  <c r="T30" i="6"/>
  <c r="S30" i="6"/>
  <c r="R30" i="6"/>
  <c r="Q30" i="6"/>
  <c r="P30" i="6"/>
  <c r="O30" i="6"/>
  <c r="N30" i="6"/>
  <c r="T28" i="6"/>
  <c r="AJ28" i="6" s="1"/>
  <c r="S28" i="6"/>
  <c r="AI28" i="6" s="1"/>
  <c r="R28" i="6"/>
  <c r="Q28" i="6"/>
  <c r="P28" i="6"/>
  <c r="O28" i="6"/>
  <c r="N28" i="6"/>
  <c r="M28" i="6"/>
  <c r="K28" i="6"/>
  <c r="AD32" i="6"/>
  <c r="T32" i="6"/>
  <c r="AJ32" i="6" s="1"/>
  <c r="S32" i="6"/>
  <c r="AI32" i="6" s="1"/>
  <c r="R32" i="6"/>
  <c r="AH32" i="6" s="1"/>
  <c r="Q32" i="6"/>
  <c r="AG32" i="6" s="1"/>
  <c r="P32" i="6"/>
  <c r="AF32" i="6" s="1"/>
  <c r="O32" i="6"/>
  <c r="N32" i="6"/>
  <c r="AK24" i="6"/>
  <c r="AD24" i="6"/>
  <c r="AC24" i="6"/>
  <c r="Y24" i="6"/>
  <c r="T24" i="6"/>
  <c r="AJ24" i="6" s="1"/>
  <c r="S24" i="6"/>
  <c r="AI24" i="6" s="1"/>
  <c r="R24" i="6"/>
  <c r="AH24" i="6" s="1"/>
  <c r="Q24" i="6"/>
  <c r="AG24" i="6" s="1"/>
  <c r="P24" i="6"/>
  <c r="AF24" i="6" s="1"/>
  <c r="O24" i="6"/>
  <c r="N24" i="6"/>
  <c r="AE24" i="6" s="1"/>
  <c r="AD13" i="6"/>
  <c r="AC13" i="6"/>
  <c r="T13" i="6"/>
  <c r="AJ13" i="6" s="1"/>
  <c r="S13" i="6"/>
  <c r="AI13" i="6" s="1"/>
  <c r="R13" i="6"/>
  <c r="AH13" i="6" s="1"/>
  <c r="Q13" i="6"/>
  <c r="AG13" i="6" s="1"/>
  <c r="P13" i="6"/>
  <c r="AF13" i="6" s="1"/>
  <c r="O13" i="6"/>
  <c r="N13" i="6"/>
  <c r="Y9" i="6"/>
  <c r="T9" i="6"/>
  <c r="S9" i="6"/>
  <c r="R9" i="6"/>
  <c r="Q9" i="6"/>
  <c r="O9" i="6"/>
  <c r="N9" i="6"/>
  <c r="K9" i="6"/>
  <c r="J9" i="6"/>
  <c r="AD35" i="6"/>
  <c r="Y35" i="6"/>
  <c r="T35" i="6"/>
  <c r="S35" i="6"/>
  <c r="R35" i="6"/>
  <c r="O35" i="6"/>
  <c r="N35" i="6"/>
  <c r="I35" i="6"/>
  <c r="AF8" i="6"/>
  <c r="AD8" i="6"/>
  <c r="AC8" i="6"/>
  <c r="Y8" i="6"/>
  <c r="T8" i="6"/>
  <c r="AJ8" i="6" s="1"/>
  <c r="S8" i="6"/>
  <c r="AI8" i="6" s="1"/>
  <c r="R8" i="6"/>
  <c r="AH8" i="6" s="1"/>
  <c r="Q8" i="6"/>
  <c r="AG8" i="6" s="1"/>
  <c r="N8" i="6"/>
  <c r="AE8" i="6" s="1"/>
  <c r="I8" i="6"/>
  <c r="AH4" i="6"/>
  <c r="T4" i="6"/>
  <c r="AJ4" i="6" s="1"/>
  <c r="Y17" i="6"/>
  <c r="T17" i="6"/>
  <c r="S17" i="6"/>
  <c r="R17" i="6"/>
  <c r="P17" i="6"/>
  <c r="O17" i="6"/>
  <c r="N17" i="6"/>
  <c r="L17" i="6"/>
  <c r="C15" i="35" s="1"/>
  <c r="AJ37" i="6"/>
  <c r="AD37" i="6"/>
  <c r="Z37" i="6"/>
  <c r="S37" i="6"/>
  <c r="AI37" i="6" s="1"/>
  <c r="R37" i="6"/>
  <c r="AH37" i="6" s="1"/>
  <c r="P37" i="6"/>
  <c r="AF37" i="6" s="1"/>
  <c r="O37" i="6"/>
  <c r="N37" i="6"/>
  <c r="AE37" i="6" s="1"/>
  <c r="L37" i="6"/>
  <c r="T11" i="6"/>
  <c r="S11" i="6"/>
  <c r="R11" i="6"/>
  <c r="P11" i="6"/>
  <c r="O11" i="6"/>
  <c r="N11" i="6"/>
  <c r="S13" i="7"/>
  <c r="S12" i="7"/>
  <c r="S11" i="7"/>
  <c r="S10" i="7"/>
  <c r="S9" i="7"/>
  <c r="S8" i="7"/>
  <c r="S7" i="7"/>
  <c r="S6" i="7"/>
  <c r="S5" i="7"/>
  <c r="S4" i="7"/>
  <c r="S3" i="7"/>
  <c r="Q127" i="29"/>
  <c r="N127" i="29"/>
  <c r="L127" i="29"/>
  <c r="X127" i="29" s="1"/>
  <c r="R126" i="29"/>
  <c r="O126" i="29"/>
  <c r="N126" i="29"/>
  <c r="X126" i="29" s="1"/>
  <c r="Y125" i="29"/>
  <c r="T125" i="29"/>
  <c r="S125" i="29"/>
  <c r="R125" i="29"/>
  <c r="Q125" i="29"/>
  <c r="P125" i="29"/>
  <c r="O125" i="29"/>
  <c r="N125" i="29"/>
  <c r="X125" i="29" s="1"/>
  <c r="Y124" i="29"/>
  <c r="S124" i="29"/>
  <c r="R124" i="29"/>
  <c r="Q124" i="29"/>
  <c r="P124" i="29"/>
  <c r="O124" i="29"/>
  <c r="N124" i="29"/>
  <c r="AH123" i="29"/>
  <c r="AD123" i="29"/>
  <c r="P123" i="29"/>
  <c r="N123" i="29"/>
  <c r="X123" i="29" s="1"/>
  <c r="L123" i="29"/>
  <c r="Q122" i="29"/>
  <c r="P122" i="29"/>
  <c r="O122" i="29"/>
  <c r="N122" i="29"/>
  <c r="X122" i="29" s="1"/>
  <c r="N121" i="29"/>
  <c r="M121" i="29"/>
  <c r="C30" i="35" l="1"/>
  <c r="C21" i="35"/>
  <c r="AE21" i="6"/>
  <c r="AI39" i="6"/>
  <c r="W11" i="6"/>
  <c r="W37" i="6"/>
  <c r="AK45" i="6"/>
  <c r="AC45" i="6"/>
  <c r="AE45" i="6"/>
  <c r="AF45" i="6"/>
  <c r="AI45" i="6"/>
  <c r="AE13" i="6"/>
  <c r="I12" i="35"/>
  <c r="AH45" i="6"/>
  <c r="M45" i="6"/>
  <c r="AJ45" i="6"/>
  <c r="I17" i="35"/>
  <c r="I23" i="35"/>
  <c r="X124" i="29"/>
  <c r="W44" i="6"/>
  <c r="K45" i="6"/>
  <c r="X25" i="6"/>
  <c r="X5" i="6"/>
  <c r="X35" i="6"/>
  <c r="T45" i="6"/>
  <c r="X17" i="6"/>
  <c r="AD45" i="6"/>
  <c r="X42" i="6"/>
  <c r="I45" i="6"/>
  <c r="X30" i="6"/>
  <c r="X6" i="6"/>
  <c r="X12" i="6"/>
  <c r="X10" i="6"/>
  <c r="X3" i="6"/>
  <c r="X14" i="6"/>
  <c r="X18" i="6"/>
  <c r="X21" i="6"/>
  <c r="J45" i="6"/>
  <c r="R45" i="6"/>
  <c r="Y18" i="6"/>
  <c r="Y45" i="6" s="1"/>
  <c r="X39" i="6"/>
  <c r="X15" i="6"/>
  <c r="X29" i="6"/>
  <c r="X31" i="6"/>
  <c r="S17" i="7"/>
  <c r="X23" i="6"/>
  <c r="X13" i="6"/>
  <c r="X24" i="6"/>
  <c r="Z6" i="6"/>
  <c r="L45" i="6"/>
  <c r="Z8" i="6"/>
  <c r="AC37" i="6"/>
  <c r="AK37" i="6" s="1"/>
  <c r="X8" i="6"/>
  <c r="X19" i="6"/>
  <c r="X7" i="6"/>
  <c r="X9" i="6"/>
  <c r="AP44" i="6" l="1"/>
  <c r="X44" i="6"/>
  <c r="X45" i="6"/>
  <c r="AI51" i="5" l="1"/>
  <c r="AF9" i="4" l="1"/>
  <c r="I9" i="4"/>
  <c r="B541" i="18" l="1"/>
  <c r="R13" i="7"/>
  <c r="R12" i="7"/>
  <c r="U12" i="7" s="1"/>
  <c r="F17" i="7" l="1"/>
  <c r="E17" i="7"/>
  <c r="D17" i="7"/>
  <c r="R16" i="7"/>
  <c r="Q16" i="7"/>
  <c r="O16" i="7"/>
  <c r="Q13" i="7"/>
  <c r="P13" i="7"/>
  <c r="O13" i="7"/>
  <c r="R11" i="7"/>
  <c r="Q11" i="7"/>
  <c r="P11" i="7"/>
  <c r="O11" i="7"/>
  <c r="N11" i="7"/>
  <c r="R10" i="7"/>
  <c r="Q10" i="7"/>
  <c r="P10" i="7"/>
  <c r="O10" i="7"/>
  <c r="N10" i="7"/>
  <c r="R9" i="7"/>
  <c r="Q9" i="7"/>
  <c r="P9" i="7"/>
  <c r="O9" i="7"/>
  <c r="N9" i="7"/>
  <c r="M9" i="7"/>
  <c r="R8" i="7"/>
  <c r="Q8" i="7"/>
  <c r="P8" i="7"/>
  <c r="N8" i="7"/>
  <c r="M8" i="7"/>
  <c r="K8" i="7"/>
  <c r="J8" i="7"/>
  <c r="H8" i="7"/>
  <c r="R7" i="7"/>
  <c r="Q7" i="7"/>
  <c r="P7" i="7"/>
  <c r="O7" i="7"/>
  <c r="N7" i="7"/>
  <c r="M7" i="7"/>
  <c r="L7" i="7"/>
  <c r="K7" i="7"/>
  <c r="J7" i="7"/>
  <c r="I7" i="7"/>
  <c r="H7" i="7"/>
  <c r="R6" i="7"/>
  <c r="Q6" i="7"/>
  <c r="P6" i="7"/>
  <c r="O6" i="7"/>
  <c r="N6" i="7"/>
  <c r="M6" i="7"/>
  <c r="K6" i="7"/>
  <c r="J6" i="7"/>
  <c r="I6" i="7"/>
  <c r="R5" i="7"/>
  <c r="Q5" i="7"/>
  <c r="P5" i="7"/>
  <c r="O5" i="7"/>
  <c r="N5" i="7"/>
  <c r="M5" i="7"/>
  <c r="K5" i="7"/>
  <c r="J5" i="7"/>
  <c r="I5" i="7"/>
  <c r="H5" i="7"/>
  <c r="R4" i="7"/>
  <c r="Q4" i="7"/>
  <c r="P4" i="7"/>
  <c r="O4" i="7"/>
  <c r="N4" i="7"/>
  <c r="M4" i="7"/>
  <c r="K4" i="7"/>
  <c r="J4" i="7"/>
  <c r="I4" i="7"/>
  <c r="R3" i="7"/>
  <c r="Q3" i="7"/>
  <c r="P3" i="7"/>
  <c r="O3" i="7"/>
  <c r="N3" i="7"/>
  <c r="I3" i="7"/>
  <c r="H3" i="7"/>
  <c r="R2" i="7"/>
  <c r="Q2" i="7"/>
  <c r="P2" i="7"/>
  <c r="O2" i="7"/>
  <c r="N2" i="7"/>
  <c r="M2" i="7"/>
  <c r="L2" i="7"/>
  <c r="K2" i="7"/>
  <c r="J2" i="7"/>
  <c r="I2" i="7"/>
  <c r="H2" i="7"/>
  <c r="U10" i="7" l="1"/>
  <c r="U11" i="7"/>
  <c r="U16" i="7"/>
  <c r="U9" i="7"/>
  <c r="U13" i="7"/>
  <c r="U3" i="7"/>
  <c r="O17" i="7"/>
  <c r="I17" i="7"/>
  <c r="M17" i="7"/>
  <c r="N17" i="7"/>
  <c r="U6" i="7"/>
  <c r="U7" i="7"/>
  <c r="H17" i="7"/>
  <c r="P17" i="7"/>
  <c r="J17" i="7"/>
  <c r="K17" i="7"/>
  <c r="U5" i="7"/>
  <c r="Q17" i="7"/>
  <c r="U8" i="7"/>
  <c r="U2" i="7"/>
  <c r="P120" i="29"/>
  <c r="O120" i="29"/>
  <c r="P119" i="29"/>
  <c r="O119" i="29"/>
  <c r="N119" i="29"/>
  <c r="M119" i="29"/>
  <c r="L119" i="29"/>
  <c r="K119" i="29"/>
  <c r="J119" i="29"/>
  <c r="U17" i="7" l="1"/>
  <c r="E137" i="18"/>
  <c r="B424" i="18" l="1"/>
  <c r="B426" i="18" s="1"/>
  <c r="S36" i="31"/>
  <c r="S28" i="31"/>
  <c r="R27" i="31"/>
  <c r="P27" i="31"/>
  <c r="O27" i="31"/>
  <c r="N27" i="31"/>
  <c r="M27" i="31"/>
  <c r="K27" i="31"/>
  <c r="J27" i="31"/>
  <c r="I27" i="31"/>
  <c r="G27" i="31"/>
  <c r="F27" i="31"/>
  <c r="E27" i="31"/>
  <c r="D27" i="31"/>
  <c r="C27" i="31"/>
  <c r="S26" i="31"/>
  <c r="S25" i="31"/>
  <c r="S24" i="31"/>
  <c r="S23" i="31"/>
  <c r="S22" i="31"/>
  <c r="S21" i="31"/>
  <c r="S20" i="31"/>
  <c r="S19" i="31"/>
  <c r="S18" i="31"/>
  <c r="S17" i="31"/>
  <c r="S16" i="31"/>
  <c r="S15" i="31"/>
  <c r="S14" i="31"/>
  <c r="S13" i="31"/>
  <c r="S12" i="31"/>
  <c r="S11" i="31"/>
  <c r="S10" i="31"/>
  <c r="S9" i="31"/>
  <c r="S8" i="31"/>
  <c r="S7" i="31"/>
  <c r="S6" i="31"/>
  <c r="S5" i="31"/>
  <c r="S4" i="31"/>
  <c r="Q3" i="31"/>
  <c r="Q27" i="31" s="1"/>
  <c r="L3" i="31"/>
  <c r="L27" i="31" s="1"/>
  <c r="H2" i="31"/>
  <c r="C13" i="30"/>
  <c r="Y118" i="29"/>
  <c r="N118" i="29"/>
  <c r="M118" i="29"/>
  <c r="L118" i="29"/>
  <c r="M117" i="29"/>
  <c r="AL116" i="29"/>
  <c r="AK116" i="29"/>
  <c r="AJ116" i="29"/>
  <c r="AI116" i="29"/>
  <c r="AH116" i="29"/>
  <c r="AG116" i="29"/>
  <c r="Z116" i="29"/>
  <c r="O116" i="29"/>
  <c r="N116" i="29"/>
  <c r="AF116" i="29" s="1"/>
  <c r="M116" i="29"/>
  <c r="L116" i="29"/>
  <c r="I116" i="29"/>
  <c r="V115" i="29"/>
  <c r="O114" i="29"/>
  <c r="L114" i="29"/>
  <c r="I114" i="29"/>
  <c r="Y114" i="29" s="1"/>
  <c r="L112" i="29"/>
  <c r="K112" i="29"/>
  <c r="J112" i="29"/>
  <c r="I112" i="29"/>
  <c r="T112" i="29" s="1"/>
  <c r="H112" i="29"/>
  <c r="L111" i="29"/>
  <c r="AK110" i="29"/>
  <c r="AJ110" i="29"/>
  <c r="AI110" i="29"/>
  <c r="Y110" i="29"/>
  <c r="L110" i="29"/>
  <c r="X110" i="29" s="1"/>
  <c r="I110" i="29"/>
  <c r="Z110" i="29" s="1"/>
  <c r="Y109" i="29"/>
  <c r="L109" i="29"/>
  <c r="X109" i="29" s="1"/>
  <c r="Y108" i="29"/>
  <c r="X108" i="29"/>
  <c r="AE107" i="29"/>
  <c r="L107" i="29"/>
  <c r="AC107" i="29" s="1"/>
  <c r="I107" i="29"/>
  <c r="L106" i="29"/>
  <c r="I106" i="29"/>
  <c r="X106" i="29" s="1"/>
  <c r="AK105" i="29"/>
  <c r="AJ105" i="29"/>
  <c r="AI105" i="29"/>
  <c r="AH105" i="29"/>
  <c r="AG105" i="29"/>
  <c r="AF105" i="29"/>
  <c r="AE105" i="29"/>
  <c r="AD105" i="29"/>
  <c r="K105" i="29"/>
  <c r="I105" i="29"/>
  <c r="X105" i="29" s="1"/>
  <c r="S104" i="29"/>
  <c r="L104" i="29"/>
  <c r="S102" i="29"/>
  <c r="J100" i="29"/>
  <c r="I100" i="29"/>
  <c r="Y99" i="29"/>
  <c r="J99" i="29"/>
  <c r="X99" i="29" s="1"/>
  <c r="AK98" i="29"/>
  <c r="AJ98" i="29"/>
  <c r="AI98" i="29"/>
  <c r="AH98" i="29"/>
  <c r="AG98" i="29"/>
  <c r="AF98" i="29"/>
  <c r="AE98" i="29"/>
  <c r="AD98" i="29"/>
  <c r="AC98" i="29"/>
  <c r="Y98" i="29"/>
  <c r="J98" i="29"/>
  <c r="I98" i="29"/>
  <c r="Z98" i="29" s="1"/>
  <c r="AK97" i="29"/>
  <c r="AJ97" i="29"/>
  <c r="AI97" i="29"/>
  <c r="AH97" i="29"/>
  <c r="AG97" i="29"/>
  <c r="AF97" i="29"/>
  <c r="I97" i="29"/>
  <c r="Z97" i="29" s="1"/>
  <c r="AH96" i="29"/>
  <c r="AG96" i="29"/>
  <c r="AF96" i="29"/>
  <c r="X96" i="29"/>
  <c r="I96" i="29"/>
  <c r="W96" i="29" s="1"/>
  <c r="AJ95" i="29"/>
  <c r="AI95" i="29"/>
  <c r="AH95" i="29"/>
  <c r="AG95" i="29"/>
  <c r="AF95" i="29"/>
  <c r="AE95" i="29"/>
  <c r="AC95" i="29"/>
  <c r="AB95" i="29"/>
  <c r="AA95" i="29"/>
  <c r="X95" i="29"/>
  <c r="I95" i="29"/>
  <c r="W95" i="29" s="1"/>
  <c r="W94" i="29"/>
  <c r="V94" i="29"/>
  <c r="AP93" i="29"/>
  <c r="AI93" i="29"/>
  <c r="AH93" i="29"/>
  <c r="AK93" i="29" s="1"/>
  <c r="W93" i="29"/>
  <c r="U93" i="29"/>
  <c r="AG92" i="29"/>
  <c r="Q92" i="29"/>
  <c r="AF92" i="29" s="1"/>
  <c r="AP91" i="29"/>
  <c r="AI91" i="29"/>
  <c r="AH91" i="29"/>
  <c r="W91" i="29"/>
  <c r="N91" i="29"/>
  <c r="B154" i="18" s="1"/>
  <c r="K91" i="29"/>
  <c r="I91" i="29"/>
  <c r="B149" i="18" s="1"/>
  <c r="AP90" i="29"/>
  <c r="AI90" i="29"/>
  <c r="AH90" i="29"/>
  <c r="AF90" i="29"/>
  <c r="AE90" i="29"/>
  <c r="AD90" i="29"/>
  <c r="AC90" i="29"/>
  <c r="AB90" i="29"/>
  <c r="AA90" i="29"/>
  <c r="Z90" i="29"/>
  <c r="X90" i="29"/>
  <c r="W90" i="29"/>
  <c r="V90" i="29"/>
  <c r="U90" i="29"/>
  <c r="AP89" i="29"/>
  <c r="AI89" i="29"/>
  <c r="AH89" i="29"/>
  <c r="AD89" i="29"/>
  <c r="W89" i="29"/>
  <c r="J89" i="29"/>
  <c r="I89" i="29"/>
  <c r="U89" i="29" s="1"/>
  <c r="AP88" i="29"/>
  <c r="AI88" i="29"/>
  <c r="AH88" i="29"/>
  <c r="W88" i="29"/>
  <c r="U88" i="29"/>
  <c r="AI87" i="29"/>
  <c r="AH87" i="29"/>
  <c r="W87" i="29"/>
  <c r="AM87" i="29" s="1"/>
  <c r="I87" i="29"/>
  <c r="U87" i="29" s="1"/>
  <c r="AP86" i="29"/>
  <c r="AI86" i="29"/>
  <c r="AH86" i="29"/>
  <c r="AG86" i="29"/>
  <c r="W86" i="29"/>
  <c r="B67" i="9" s="1"/>
  <c r="I86" i="29"/>
  <c r="U86" i="29" s="1"/>
  <c r="AP85" i="29"/>
  <c r="AI85" i="29"/>
  <c r="AH85" i="29"/>
  <c r="AG85" i="29"/>
  <c r="U85" i="29"/>
  <c r="AP83" i="29"/>
  <c r="AI83" i="29"/>
  <c r="AH83" i="29"/>
  <c r="AG83" i="29"/>
  <c r="AF83" i="29"/>
  <c r="AE83" i="29"/>
  <c r="W83" i="29"/>
  <c r="K83" i="29"/>
  <c r="J83" i="29"/>
  <c r="O82" i="29"/>
  <c r="AP80" i="29"/>
  <c r="AI80" i="29"/>
  <c r="AH80" i="29"/>
  <c r="AG80" i="29"/>
  <c r="AF80" i="29"/>
  <c r="AE80" i="29"/>
  <c r="W80" i="29"/>
  <c r="O80" i="29"/>
  <c r="K80" i="29"/>
  <c r="AP79" i="29"/>
  <c r="AK79" i="29"/>
  <c r="U79" i="29"/>
  <c r="AL79" i="29" s="1"/>
  <c r="AB77" i="29"/>
  <c r="AP76" i="29"/>
  <c r="AI76" i="29"/>
  <c r="AH76" i="29"/>
  <c r="AG76" i="29"/>
  <c r="AF76" i="29"/>
  <c r="AE76" i="29"/>
  <c r="AD76" i="29"/>
  <c r="AC76" i="29"/>
  <c r="AA76" i="29"/>
  <c r="K76" i="29"/>
  <c r="U76" i="29" s="1"/>
  <c r="AP75" i="29"/>
  <c r="AI75" i="29"/>
  <c r="AH75" i="29"/>
  <c r="AG75" i="29"/>
  <c r="AF75" i="29"/>
  <c r="AE75" i="29"/>
  <c r="AD75" i="29"/>
  <c r="AC75" i="29"/>
  <c r="U75" i="29"/>
  <c r="AP74" i="29"/>
  <c r="AI74" i="29"/>
  <c r="AH74" i="29"/>
  <c r="AG74" i="29"/>
  <c r="AF74" i="29"/>
  <c r="AE74" i="29"/>
  <c r="AD74" i="29"/>
  <c r="AC74" i="29"/>
  <c r="AA74" i="29"/>
  <c r="W74" i="29"/>
  <c r="U74" i="29"/>
  <c r="T73" i="29"/>
  <c r="AN72" i="29"/>
  <c r="AG72" i="29"/>
  <c r="AF72" i="29"/>
  <c r="AE72" i="29"/>
  <c r="AD72" i="29"/>
  <c r="AC72" i="29"/>
  <c r="AB72" i="29"/>
  <c r="AA72" i="29"/>
  <c r="Z72" i="29"/>
  <c r="Y72" i="29"/>
  <c r="X72" i="29"/>
  <c r="U72" i="29"/>
  <c r="S72" i="29"/>
  <c r="AN70" i="29"/>
  <c r="AG70" i="29"/>
  <c r="AF70" i="29"/>
  <c r="AE70" i="29"/>
  <c r="AD70" i="29"/>
  <c r="AC70" i="29"/>
  <c r="AB70" i="29"/>
  <c r="AA70" i="29"/>
  <c r="Z70" i="29"/>
  <c r="Y70" i="29"/>
  <c r="S70" i="29"/>
  <c r="AN69" i="29"/>
  <c r="AG69" i="29"/>
  <c r="AF69" i="29"/>
  <c r="AE69" i="29"/>
  <c r="AD69" i="29"/>
  <c r="AC69" i="29"/>
  <c r="AB69" i="29"/>
  <c r="AA69" i="29"/>
  <c r="Z69" i="29"/>
  <c r="Y69" i="29"/>
  <c r="X69" i="29"/>
  <c r="V69" i="29"/>
  <c r="H69" i="29"/>
  <c r="W69" i="29" s="1"/>
  <c r="AG68" i="29"/>
  <c r="AF68" i="29"/>
  <c r="AE68" i="29"/>
  <c r="AD68" i="29"/>
  <c r="AC68" i="29"/>
  <c r="AB68" i="29"/>
  <c r="AA68" i="29"/>
  <c r="Z68" i="29"/>
  <c r="Y68" i="29"/>
  <c r="X68" i="29"/>
  <c r="S68" i="29"/>
  <c r="AN67" i="29"/>
  <c r="AG67" i="29"/>
  <c r="AF67" i="29"/>
  <c r="AE67" i="29"/>
  <c r="AD67" i="29"/>
  <c r="AC67" i="29"/>
  <c r="AB67" i="29"/>
  <c r="AA67" i="29"/>
  <c r="Z67" i="29"/>
  <c r="Y67" i="29"/>
  <c r="X67" i="29"/>
  <c r="V67" i="29"/>
  <c r="U67" i="29"/>
  <c r="T67" i="29"/>
  <c r="S67" i="29"/>
  <c r="AN66" i="29"/>
  <c r="AG66" i="29"/>
  <c r="AF66" i="29"/>
  <c r="AE66" i="29"/>
  <c r="AD66" i="29"/>
  <c r="AC66" i="29"/>
  <c r="AB66" i="29"/>
  <c r="AA66" i="29"/>
  <c r="Z66" i="29"/>
  <c r="Y66" i="29"/>
  <c r="W66" i="29"/>
  <c r="V66" i="29"/>
  <c r="T66" i="29"/>
  <c r="S66" i="29"/>
  <c r="AF65" i="29"/>
  <c r="AE65" i="29"/>
  <c r="AD65" i="29"/>
  <c r="AA65" i="29"/>
  <c r="Y65" i="29"/>
  <c r="W65" i="29"/>
  <c r="T65" i="29"/>
  <c r="Q65" i="29"/>
  <c r="AG65" i="29" s="1"/>
  <c r="M65" i="29"/>
  <c r="AC65" i="29" s="1"/>
  <c r="L65" i="29"/>
  <c r="AB65" i="29" s="1"/>
  <c r="H65" i="29"/>
  <c r="X65" i="29" s="1"/>
  <c r="AF64" i="29"/>
  <c r="AE64" i="29"/>
  <c r="AC64" i="29"/>
  <c r="AB64" i="29"/>
  <c r="AA64" i="29"/>
  <c r="Y64" i="29"/>
  <c r="X64" i="29"/>
  <c r="W64" i="29"/>
  <c r="T64" i="29"/>
  <c r="Q64" i="29"/>
  <c r="AG64" i="29" s="1"/>
  <c r="N64" i="29"/>
  <c r="AD64" i="29" s="1"/>
  <c r="J64" i="29"/>
  <c r="Z64" i="29" s="1"/>
  <c r="AD63" i="29"/>
  <c r="AC63" i="29"/>
  <c r="AB63" i="29"/>
  <c r="AA63" i="29"/>
  <c r="Y63" i="29"/>
  <c r="X63" i="29"/>
  <c r="W63" i="29"/>
  <c r="T63" i="29"/>
  <c r="Q63" i="29"/>
  <c r="AG63" i="29" s="1"/>
  <c r="O63" i="29"/>
  <c r="J63" i="29"/>
  <c r="Z63" i="29" s="1"/>
  <c r="AI62" i="29"/>
  <c r="U62" i="29"/>
  <c r="T62" i="29"/>
  <c r="S62" i="29"/>
  <c r="AG61" i="29"/>
  <c r="AF61" i="29"/>
  <c r="AD61" i="29"/>
  <c r="AA61" i="29"/>
  <c r="T61" i="29"/>
  <c r="O61" i="29"/>
  <c r="AE61" i="29" s="1"/>
  <c r="L61" i="29"/>
  <c r="AB61" i="29" s="1"/>
  <c r="J61" i="29"/>
  <c r="AF60" i="29"/>
  <c r="AE60" i="29"/>
  <c r="AD60" i="29"/>
  <c r="AA60" i="29"/>
  <c r="Y60" i="29"/>
  <c r="X60" i="29"/>
  <c r="W60" i="29"/>
  <c r="T60" i="29"/>
  <c r="L60" i="29"/>
  <c r="AB60" i="29" s="1"/>
  <c r="J60" i="29"/>
  <c r="AH59" i="29"/>
  <c r="AG59" i="29"/>
  <c r="AF59" i="29"/>
  <c r="AD59" i="29"/>
  <c r="AC59" i="29"/>
  <c r="U59" i="29"/>
  <c r="N59" i="29"/>
  <c r="K59" i="29"/>
  <c r="S58" i="29"/>
  <c r="AF57" i="29"/>
  <c r="AC57" i="29"/>
  <c r="AB57" i="29"/>
  <c r="AA57" i="29"/>
  <c r="Y57" i="29"/>
  <c r="U57" i="29"/>
  <c r="Q57" i="29"/>
  <c r="AG57" i="29" s="1"/>
  <c r="O57" i="29"/>
  <c r="J57" i="29"/>
  <c r="Z57" i="29" s="1"/>
  <c r="F57" i="29"/>
  <c r="AE56" i="29"/>
  <c r="Z56" i="29"/>
  <c r="U56" i="29"/>
  <c r="Q56" i="29"/>
  <c r="AG56" i="29" s="1"/>
  <c r="K56" i="29"/>
  <c r="L56" i="29" s="1"/>
  <c r="AB56" i="29" s="1"/>
  <c r="K55" i="29"/>
  <c r="L55" i="29" s="1"/>
  <c r="AF54" i="29"/>
  <c r="U54" i="29"/>
  <c r="K54" i="29"/>
  <c r="AF53" i="29"/>
  <c r="AE53" i="29"/>
  <c r="AD53" i="29"/>
  <c r="AC53" i="29"/>
  <c r="Z53" i="29"/>
  <c r="Y53" i="29"/>
  <c r="X53" i="29"/>
  <c r="U53" i="29"/>
  <c r="K53" i="29"/>
  <c r="L53" i="29" s="1"/>
  <c r="T53" i="29" s="1"/>
  <c r="M52" i="29"/>
  <c r="AB51" i="29"/>
  <c r="AA51" i="29"/>
  <c r="Z51" i="29"/>
  <c r="T51" i="29"/>
  <c r="S51" i="29"/>
  <c r="T49" i="29"/>
  <c r="S49" i="29"/>
  <c r="J48" i="29"/>
  <c r="T47" i="29"/>
  <c r="S47" i="29"/>
  <c r="T46" i="29"/>
  <c r="S46" i="29"/>
  <c r="Y45" i="29"/>
  <c r="X45" i="29"/>
  <c r="W45" i="29"/>
  <c r="T45" i="29"/>
  <c r="S45" i="29"/>
  <c r="X44" i="29"/>
  <c r="W44" i="29"/>
  <c r="T44" i="29"/>
  <c r="S44" i="29"/>
  <c r="X43" i="29"/>
  <c r="W43" i="29"/>
  <c r="T43" i="29"/>
  <c r="I43" i="29"/>
  <c r="S43" i="29" s="1"/>
  <c r="Y42" i="29"/>
  <c r="X42" i="29"/>
  <c r="W42" i="29"/>
  <c r="T42" i="29"/>
  <c r="S42" i="29"/>
  <c r="T41" i="29"/>
  <c r="G41" i="29"/>
  <c r="S41" i="29" s="1"/>
  <c r="T40" i="29"/>
  <c r="S40" i="29"/>
  <c r="T39" i="29"/>
  <c r="S39" i="29"/>
  <c r="T38" i="29"/>
  <c r="S38" i="29"/>
  <c r="AI36" i="29"/>
  <c r="AH36" i="29"/>
  <c r="AG36" i="29"/>
  <c r="AI35" i="29"/>
  <c r="AH35" i="29"/>
  <c r="AG35" i="29"/>
  <c r="AF34" i="29"/>
  <c r="AE34" i="29"/>
  <c r="AB34" i="29"/>
  <c r="AA34" i="29"/>
  <c r="Z34" i="29"/>
  <c r="V34" i="29"/>
  <c r="T34" i="29"/>
  <c r="S34" i="29"/>
  <c r="AG33" i="29"/>
  <c r="P33" i="29"/>
  <c r="AH33" i="29" s="1"/>
  <c r="AH32" i="29"/>
  <c r="AG32" i="29"/>
  <c r="AH31" i="29"/>
  <c r="AC31" i="29"/>
  <c r="O31" i="29"/>
  <c r="AG31" i="29" s="1"/>
  <c r="AG30" i="29"/>
  <c r="AH29" i="29"/>
  <c r="AG29" i="29"/>
  <c r="AH28" i="29"/>
  <c r="AG28" i="29"/>
  <c r="AH27" i="29"/>
  <c r="AG27" i="29"/>
  <c r="P26" i="29"/>
  <c r="O23" i="29"/>
  <c r="V22" i="29"/>
  <c r="AE21" i="29"/>
  <c r="AD21" i="29"/>
  <c r="AC21" i="29"/>
  <c r="Y21" i="29"/>
  <c r="V21" i="29"/>
  <c r="W21" i="29" s="1"/>
  <c r="S21" i="29"/>
  <c r="U21" i="29" s="1"/>
  <c r="AB20" i="29"/>
  <c r="AA20" i="29"/>
  <c r="Z20" i="29"/>
  <c r="Y20" i="29"/>
  <c r="V20" i="29"/>
  <c r="S20" i="29"/>
  <c r="AB19" i="29"/>
  <c r="Z19" i="29"/>
  <c r="Y19" i="29"/>
  <c r="V19" i="29"/>
  <c r="S19" i="29"/>
  <c r="AK18" i="29"/>
  <c r="V18" i="29"/>
  <c r="W18" i="29" s="1"/>
  <c r="S18" i="29"/>
  <c r="U18" i="29" s="1"/>
  <c r="AR15" i="29"/>
  <c r="AQ15" i="29"/>
  <c r="AB15" i="29"/>
  <c r="AA15" i="29"/>
  <c r="Z15" i="29"/>
  <c r="Y15" i="29"/>
  <c r="V15" i="29"/>
  <c r="S15" i="29"/>
  <c r="AO15" i="29" s="1"/>
  <c r="AR14" i="29"/>
  <c r="AQ14" i="29"/>
  <c r="AB14" i="29"/>
  <c r="AA14" i="29"/>
  <c r="Y14" i="29"/>
  <c r="V14" i="29"/>
  <c r="S14" i="29"/>
  <c r="AO14" i="29" s="1"/>
  <c r="S13" i="29"/>
  <c r="X12" i="29"/>
  <c r="AJ12" i="29" s="1"/>
  <c r="W12" i="29"/>
  <c r="S12" i="29"/>
  <c r="U12" i="29" s="1"/>
  <c r="Y11" i="29"/>
  <c r="AJ11" i="29" s="1"/>
  <c r="V11" i="29"/>
  <c r="S11" i="29"/>
  <c r="S10" i="29"/>
  <c r="S9" i="29"/>
  <c r="U9" i="29" s="1"/>
  <c r="AD8" i="29"/>
  <c r="AC8" i="29"/>
  <c r="AB8" i="29"/>
  <c r="V8" i="29"/>
  <c r="M8" i="29"/>
  <c r="S8" i="29" s="1"/>
  <c r="U8" i="29" s="1"/>
  <c r="AC7" i="29"/>
  <c r="V7" i="29"/>
  <c r="S7" i="29"/>
  <c r="U7" i="29" s="1"/>
  <c r="V6" i="29"/>
  <c r="S6" i="29"/>
  <c r="U6" i="29" s="1"/>
  <c r="AC5" i="29"/>
  <c r="AG5" i="29" s="1"/>
  <c r="V5" i="29"/>
  <c r="S5" i="29"/>
  <c r="U5" i="29" s="1"/>
  <c r="X4" i="29"/>
  <c r="U4" i="29"/>
  <c r="W4" i="29" s="1"/>
  <c r="AE3" i="29"/>
  <c r="AI3" i="29" s="1"/>
  <c r="X3" i="29"/>
  <c r="U3" i="29"/>
  <c r="W3" i="29" s="1"/>
  <c r="AE2" i="29"/>
  <c r="AI2" i="29" s="1"/>
  <c r="X2" i="29"/>
  <c r="U2" i="29"/>
  <c r="V2" i="29" s="1"/>
  <c r="W2" i="29" s="1"/>
  <c r="E10" i="28"/>
  <c r="D10" i="28"/>
  <c r="C6" i="26"/>
  <c r="J15" i="24"/>
  <c r="J13" i="24"/>
  <c r="F2" i="19"/>
  <c r="B915" i="18"/>
  <c r="B901" i="18"/>
  <c r="B900" i="18"/>
  <c r="B899" i="18"/>
  <c r="B898" i="18"/>
  <c r="B897" i="18"/>
  <c r="B896" i="18"/>
  <c r="B895" i="18"/>
  <c r="B894" i="18"/>
  <c r="B893" i="18"/>
  <c r="B892" i="18"/>
  <c r="B883" i="18"/>
  <c r="B882" i="18"/>
  <c r="B881" i="18"/>
  <c r="B880" i="18"/>
  <c r="B879" i="18"/>
  <c r="B868" i="18"/>
  <c r="B867" i="18"/>
  <c r="B866" i="18"/>
  <c r="B859" i="18"/>
  <c r="B851" i="18"/>
  <c r="B850" i="18"/>
  <c r="B843" i="18"/>
  <c r="B842" i="18"/>
  <c r="B816" i="18"/>
  <c r="B815" i="18"/>
  <c r="B808" i="18"/>
  <c r="B807" i="18"/>
  <c r="B806" i="18"/>
  <c r="B805" i="18"/>
  <c r="B804" i="18"/>
  <c r="B803" i="18"/>
  <c r="B802" i="18"/>
  <c r="B801" i="18"/>
  <c r="B800" i="18"/>
  <c r="B799" i="18"/>
  <c r="B797" i="18"/>
  <c r="B796" i="18"/>
  <c r="B788" i="18"/>
  <c r="B787" i="18"/>
  <c r="B786" i="18"/>
  <c r="B785" i="18"/>
  <c r="B784" i="18"/>
  <c r="B783" i="18"/>
  <c r="B776" i="18"/>
  <c r="B775" i="18"/>
  <c r="B774" i="18"/>
  <c r="B772" i="18"/>
  <c r="B770" i="18"/>
  <c r="B769" i="18"/>
  <c r="B768" i="18"/>
  <c r="B767" i="18"/>
  <c r="B760" i="18"/>
  <c r="B759" i="18"/>
  <c r="B758" i="18"/>
  <c r="B757" i="18"/>
  <c r="B738" i="18"/>
  <c r="B737" i="18"/>
  <c r="B736" i="18"/>
  <c r="B729" i="18"/>
  <c r="B728" i="18"/>
  <c r="B727" i="18"/>
  <c r="B720" i="18"/>
  <c r="B719" i="18"/>
  <c r="B718" i="18"/>
  <c r="B721" i="18" s="1"/>
  <c r="B706" i="18"/>
  <c r="B705" i="18"/>
  <c r="B704" i="18"/>
  <c r="B702" i="18"/>
  <c r="B701" i="18"/>
  <c r="B700" i="18"/>
  <c r="B699" i="18"/>
  <c r="B698" i="18"/>
  <c r="B697" i="18"/>
  <c r="B695" i="18"/>
  <c r="B694" i="18"/>
  <c r="B693" i="18"/>
  <c r="B686" i="18"/>
  <c r="B685" i="18"/>
  <c r="B684" i="18"/>
  <c r="B683" i="18"/>
  <c r="B682" i="18"/>
  <c r="B681" i="18"/>
  <c r="B680" i="18"/>
  <c r="B679" i="18"/>
  <c r="B678" i="18"/>
  <c r="B677" i="18"/>
  <c r="B675" i="18"/>
  <c r="B655" i="18"/>
  <c r="B649" i="18"/>
  <c r="B631" i="18"/>
  <c r="B617" i="18"/>
  <c r="B595" i="18"/>
  <c r="B566" i="18"/>
  <c r="B559" i="18"/>
  <c r="B558" i="18"/>
  <c r="B557" i="18"/>
  <c r="B556" i="18"/>
  <c r="B555" i="18"/>
  <c r="B554" i="18"/>
  <c r="B552" i="18"/>
  <c r="B551" i="18"/>
  <c r="B550" i="18"/>
  <c r="B388" i="18"/>
  <c r="B387" i="18"/>
  <c r="B385" i="18"/>
  <c r="B384" i="18"/>
  <c r="B383" i="18"/>
  <c r="D330" i="18"/>
  <c r="D331" i="18" s="1"/>
  <c r="D332" i="18" s="1"/>
  <c r="B328" i="18"/>
  <c r="D325" i="18"/>
  <c r="F326" i="18"/>
  <c r="D324" i="18"/>
  <c r="B326" i="18"/>
  <c r="F325" i="18"/>
  <c r="D323" i="18"/>
  <c r="B325" i="18"/>
  <c r="F324" i="18"/>
  <c r="D322" i="18"/>
  <c r="B324" i="18"/>
  <c r="F323" i="18"/>
  <c r="D321" i="18"/>
  <c r="B323" i="18"/>
  <c r="F322" i="18"/>
  <c r="D320" i="18"/>
  <c r="B322" i="18"/>
  <c r="F321" i="18"/>
  <c r="D319" i="18"/>
  <c r="B321" i="18"/>
  <c r="F320" i="18"/>
  <c r="B320" i="18"/>
  <c r="F319" i="18"/>
  <c r="D317" i="18"/>
  <c r="B319" i="18"/>
  <c r="F318" i="18"/>
  <c r="D316" i="18"/>
  <c r="B318" i="18"/>
  <c r="F317" i="18"/>
  <c r="D315" i="18"/>
  <c r="B317" i="18"/>
  <c r="B310" i="18"/>
  <c r="B287" i="18"/>
  <c r="B286" i="18"/>
  <c r="B285" i="18"/>
  <c r="B284" i="18"/>
  <c r="B283" i="18"/>
  <c r="B282" i="18"/>
  <c r="B281" i="18"/>
  <c r="B280" i="18"/>
  <c r="B279" i="18"/>
  <c r="B277" i="18"/>
  <c r="B275" i="18"/>
  <c r="B274" i="18"/>
  <c r="B266" i="18"/>
  <c r="B265" i="18"/>
  <c r="B264" i="18"/>
  <c r="B263" i="18"/>
  <c r="B262" i="18"/>
  <c r="B261" i="18"/>
  <c r="B260" i="18"/>
  <c r="B259" i="18"/>
  <c r="B258" i="18"/>
  <c r="B255" i="18"/>
  <c r="B254" i="18"/>
  <c r="B244" i="18"/>
  <c r="B243" i="18"/>
  <c r="B242" i="18"/>
  <c r="B241" i="18"/>
  <c r="B240" i="18"/>
  <c r="B239" i="18"/>
  <c r="B238" i="18"/>
  <c r="B236" i="18"/>
  <c r="B234" i="18"/>
  <c r="B233" i="18"/>
  <c r="B225" i="18"/>
  <c r="E203" i="18"/>
  <c r="B205" i="18"/>
  <c r="B157" i="18"/>
  <c r="B156" i="18"/>
  <c r="B155" i="18"/>
  <c r="B153" i="18"/>
  <c r="B152" i="18"/>
  <c r="B150" i="18"/>
  <c r="B146" i="18"/>
  <c r="B145" i="18"/>
  <c r="B136" i="18"/>
  <c r="B117" i="18"/>
  <c r="E109" i="18"/>
  <c r="E105" i="18"/>
  <c r="F77" i="18"/>
  <c r="D69" i="18"/>
  <c r="D68" i="18"/>
  <c r="B68" i="18"/>
  <c r="D67" i="18"/>
  <c r="B67" i="18"/>
  <c r="D66" i="18"/>
  <c r="B66" i="18"/>
  <c r="D65" i="18"/>
  <c r="B65" i="18"/>
  <c r="D58" i="18"/>
  <c r="C55" i="18"/>
  <c r="B55" i="18"/>
  <c r="D54" i="18"/>
  <c r="D53" i="18"/>
  <c r="D52" i="18"/>
  <c r="D46" i="18"/>
  <c r="C46" i="18"/>
  <c r="B46" i="18"/>
  <c r="D38" i="18"/>
  <c r="C38" i="18"/>
  <c r="B38" i="18"/>
  <c r="D27" i="18"/>
  <c r="C27" i="18"/>
  <c r="B27" i="18"/>
  <c r="D17" i="18"/>
  <c r="C17" i="18"/>
  <c r="B17" i="18"/>
  <c r="K12" i="18"/>
  <c r="J12" i="18"/>
  <c r="D7" i="18"/>
  <c r="C7" i="18"/>
  <c r="B7" i="18"/>
  <c r="L6" i="18"/>
  <c r="L7" i="18" s="1"/>
  <c r="N9" i="15"/>
  <c r="M9" i="15"/>
  <c r="L9" i="15"/>
  <c r="K9" i="15"/>
  <c r="J9" i="15"/>
  <c r="I9" i="15"/>
  <c r="H9" i="15"/>
  <c r="G9" i="15"/>
  <c r="F9" i="15"/>
  <c r="E9" i="15"/>
  <c r="D9" i="15"/>
  <c r="C9" i="15"/>
  <c r="R8" i="15"/>
  <c r="Q8" i="15"/>
  <c r="T7" i="15"/>
  <c r="R6" i="15"/>
  <c r="T6" i="15" s="1"/>
  <c r="Q5" i="15"/>
  <c r="P5" i="15"/>
  <c r="T5" i="15" s="1"/>
  <c r="R4" i="15"/>
  <c r="P4" i="15"/>
  <c r="T4" i="15" s="1"/>
  <c r="R3" i="15"/>
  <c r="R9" i="15" s="1"/>
  <c r="Q3" i="15"/>
  <c r="P3" i="15"/>
  <c r="O3" i="15"/>
  <c r="T2" i="15"/>
  <c r="R2" i="15"/>
  <c r="Q2" i="15"/>
  <c r="P2" i="15"/>
  <c r="D60" i="10"/>
  <c r="C60" i="10"/>
  <c r="G58" i="10"/>
  <c r="G56" i="10"/>
  <c r="G55" i="10"/>
  <c r="G52" i="10"/>
  <c r="G47" i="10"/>
  <c r="G46" i="10"/>
  <c r="G44" i="10"/>
  <c r="G40" i="10"/>
  <c r="G39" i="10"/>
  <c r="G37" i="10"/>
  <c r="G36" i="10"/>
  <c r="G33" i="10"/>
  <c r="G31" i="10"/>
  <c r="G25" i="10"/>
  <c r="G15" i="10"/>
  <c r="G5" i="10"/>
  <c r="E72" i="9"/>
  <c r="B71" i="9"/>
  <c r="B69" i="9"/>
  <c r="B66" i="9"/>
  <c r="E51" i="9"/>
  <c r="G48" i="9"/>
  <c r="B48" i="9"/>
  <c r="U35" i="4" s="1"/>
  <c r="B38" i="9"/>
  <c r="Q33" i="9"/>
  <c r="Q32" i="9"/>
  <c r="B32" i="9"/>
  <c r="B22" i="9"/>
  <c r="G43" i="10"/>
  <c r="G57" i="10"/>
  <c r="AM55" i="5"/>
  <c r="AL55" i="5"/>
  <c r="AK55" i="5"/>
  <c r="AC55" i="5"/>
  <c r="AB55" i="5"/>
  <c r="Z55" i="5"/>
  <c r="Y55" i="5"/>
  <c r="X55" i="5"/>
  <c r="W55" i="5"/>
  <c r="P55" i="5"/>
  <c r="O55" i="5"/>
  <c r="N55" i="5"/>
  <c r="L55" i="5"/>
  <c r="I55" i="5"/>
  <c r="H55" i="5"/>
  <c r="E55" i="5"/>
  <c r="D55" i="5"/>
  <c r="T54" i="5"/>
  <c r="AH54" i="5" s="1"/>
  <c r="AH55" i="5" s="1"/>
  <c r="S54" i="5"/>
  <c r="M54" i="5"/>
  <c r="S53" i="5"/>
  <c r="I39" i="35" s="1"/>
  <c r="AN52" i="5"/>
  <c r="AI52" i="5"/>
  <c r="R52" i="5"/>
  <c r="AN51" i="5"/>
  <c r="T51" i="5"/>
  <c r="Q51" i="5"/>
  <c r="Q55" i="5" s="1"/>
  <c r="M51" i="5"/>
  <c r="AN50" i="5"/>
  <c r="AF50" i="5"/>
  <c r="AF55" i="5" s="1"/>
  <c r="AE50" i="5"/>
  <c r="AD50" i="5"/>
  <c r="V50" i="5"/>
  <c r="S50" i="5"/>
  <c r="K50" i="5"/>
  <c r="J50" i="5"/>
  <c r="AN49" i="5"/>
  <c r="AI49" i="5"/>
  <c r="V49" i="5"/>
  <c r="V55" i="5" s="1"/>
  <c r="T49" i="5"/>
  <c r="S49" i="5"/>
  <c r="R49" i="5"/>
  <c r="K49" i="5"/>
  <c r="J49" i="5"/>
  <c r="AN48" i="5"/>
  <c r="AI48" i="5"/>
  <c r="T48" i="5"/>
  <c r="G20" i="10" s="1"/>
  <c r="I48" i="5"/>
  <c r="AN47" i="5"/>
  <c r="AI47" i="5"/>
  <c r="S47" i="5"/>
  <c r="G30" i="10" s="1"/>
  <c r="I47" i="5"/>
  <c r="AN46" i="5"/>
  <c r="AF46" i="5"/>
  <c r="AE46" i="5"/>
  <c r="AD46" i="5"/>
  <c r="AC46" i="5"/>
  <c r="Z46" i="5"/>
  <c r="Y46" i="5"/>
  <c r="X46" i="5"/>
  <c r="W46" i="5"/>
  <c r="V46" i="5"/>
  <c r="T46" i="5"/>
  <c r="S46" i="5"/>
  <c r="AG46" i="5" s="1"/>
  <c r="M46" i="5"/>
  <c r="AI45" i="5"/>
  <c r="V45" i="5"/>
  <c r="AK45" i="5" s="1"/>
  <c r="I45" i="5"/>
  <c r="U45" i="5" s="1"/>
  <c r="AJ45" i="5" s="1"/>
  <c r="AN44" i="5"/>
  <c r="AI44" i="5"/>
  <c r="V44" i="5"/>
  <c r="T44" i="5"/>
  <c r="S44" i="5"/>
  <c r="M44" i="5"/>
  <c r="B771" i="18" s="1"/>
  <c r="V43" i="5"/>
  <c r="J43" i="5"/>
  <c r="I43" i="5"/>
  <c r="AN42" i="5"/>
  <c r="AH42" i="5"/>
  <c r="AG42" i="5"/>
  <c r="AF42" i="5"/>
  <c r="AE42" i="5"/>
  <c r="AD42" i="5"/>
  <c r="AC42" i="5"/>
  <c r="AA42" i="5"/>
  <c r="Z42" i="5"/>
  <c r="Y42" i="5"/>
  <c r="X42" i="5"/>
  <c r="W42" i="5"/>
  <c r="V42" i="5"/>
  <c r="U42" i="5"/>
  <c r="AM41" i="5"/>
  <c r="AF41" i="5"/>
  <c r="AE41" i="5"/>
  <c r="AD41" i="5"/>
  <c r="AC41" i="5"/>
  <c r="X41" i="5"/>
  <c r="V41" i="5"/>
  <c r="T41" i="5"/>
  <c r="T40" i="5"/>
  <c r="U40" i="5" s="1"/>
  <c r="AN39" i="5"/>
  <c r="AH39" i="5"/>
  <c r="AG39" i="5"/>
  <c r="AF39" i="5"/>
  <c r="U39" i="5"/>
  <c r="AN38" i="5"/>
  <c r="AI38" i="5"/>
  <c r="V38" i="5"/>
  <c r="O38" i="5"/>
  <c r="B858" i="18" s="1"/>
  <c r="AN37" i="5"/>
  <c r="AI37" i="5"/>
  <c r="V37" i="5"/>
  <c r="U37" i="5"/>
  <c r="AJ37" i="5" s="1"/>
  <c r="AN36" i="5"/>
  <c r="AH36" i="5"/>
  <c r="AG36" i="5"/>
  <c r="AF36" i="5"/>
  <c r="AE36" i="5"/>
  <c r="AD36" i="5"/>
  <c r="AC36" i="5"/>
  <c r="AB36" i="5"/>
  <c r="X36" i="5"/>
  <c r="W36" i="5"/>
  <c r="V36" i="5"/>
  <c r="U36" i="5"/>
  <c r="AN35" i="5"/>
  <c r="AI35" i="5"/>
  <c r="V35" i="5"/>
  <c r="U35" i="5"/>
  <c r="AJ35" i="5" s="1"/>
  <c r="AN34" i="5"/>
  <c r="AI34" i="5"/>
  <c r="V34" i="5"/>
  <c r="S34" i="5"/>
  <c r="N34" i="5"/>
  <c r="AN33" i="5"/>
  <c r="AI33" i="5"/>
  <c r="V33" i="5"/>
  <c r="U33" i="5"/>
  <c r="AJ33" i="5" s="1"/>
  <c r="AN32" i="5"/>
  <c r="AE32" i="5"/>
  <c r="AD32" i="5"/>
  <c r="AC32" i="5"/>
  <c r="AB32" i="5"/>
  <c r="Z32" i="5"/>
  <c r="Y32" i="5"/>
  <c r="X32" i="5"/>
  <c r="W32" i="5"/>
  <c r="V32" i="5"/>
  <c r="M32" i="5"/>
  <c r="AN31" i="5"/>
  <c r="AG31" i="5"/>
  <c r="AF31" i="5"/>
  <c r="AE31" i="5"/>
  <c r="AD31" i="5"/>
  <c r="AC31" i="5"/>
  <c r="AA31" i="5"/>
  <c r="Z31" i="5"/>
  <c r="Y31" i="5"/>
  <c r="V31" i="5"/>
  <c r="T31" i="5"/>
  <c r="AH31" i="5" s="1"/>
  <c r="N31" i="5"/>
  <c r="AB31" i="5" s="1"/>
  <c r="J31" i="5"/>
  <c r="X31" i="5" s="1"/>
  <c r="I31" i="5"/>
  <c r="W31" i="5" s="1"/>
  <c r="AH30" i="5"/>
  <c r="U30" i="5"/>
  <c r="AH29" i="5"/>
  <c r="AF29" i="5"/>
  <c r="AE29" i="5"/>
  <c r="AD29" i="5"/>
  <c r="AC29" i="5"/>
  <c r="S29" i="5"/>
  <c r="AG29" i="5" s="1"/>
  <c r="L29" i="5"/>
  <c r="B841" i="18" s="1"/>
  <c r="AN28" i="5"/>
  <c r="AA28" i="5"/>
  <c r="AI28" i="5" s="1"/>
  <c r="V28" i="5"/>
  <c r="T28" i="5"/>
  <c r="I28" i="5"/>
  <c r="B891" i="18" s="1"/>
  <c r="AH27" i="5"/>
  <c r="AG27" i="5"/>
  <c r="AF27" i="5"/>
  <c r="AE27" i="5"/>
  <c r="AD27" i="5"/>
  <c r="AC27" i="5"/>
  <c r="U27" i="5"/>
  <c r="AN26" i="5"/>
  <c r="AH26" i="5"/>
  <c r="AG26" i="5"/>
  <c r="AF26" i="5"/>
  <c r="AE26" i="5"/>
  <c r="AD26" i="5"/>
  <c r="AC26" i="5"/>
  <c r="AA26" i="5"/>
  <c r="X26" i="5"/>
  <c r="W26" i="5"/>
  <c r="V26" i="5"/>
  <c r="K26" i="5"/>
  <c r="Y26" i="5" s="1"/>
  <c r="AN25" i="5"/>
  <c r="AA25" i="5"/>
  <c r="AI25" i="5" s="1"/>
  <c r="V25" i="5"/>
  <c r="N25" i="5"/>
  <c r="J25" i="5"/>
  <c r="B549" i="18" s="1"/>
  <c r="B548" i="18"/>
  <c r="S24" i="5"/>
  <c r="U23" i="5"/>
  <c r="AN22" i="5"/>
  <c r="AI22" i="5"/>
  <c r="V22" i="5"/>
  <c r="U22" i="5"/>
  <c r="AJ22" i="5" s="1"/>
  <c r="AN21" i="5"/>
  <c r="AF21" i="5"/>
  <c r="V21" i="5"/>
  <c r="T21" i="5"/>
  <c r="AH21" i="5" s="1"/>
  <c r="S21" i="5"/>
  <c r="J21" i="5"/>
  <c r="B237" i="18" s="1"/>
  <c r="AN20" i="5"/>
  <c r="AI20" i="5"/>
  <c r="V20" i="5"/>
  <c r="J20" i="5"/>
  <c r="U20" i="5" s="1"/>
  <c r="AJ20" i="5" s="1"/>
  <c r="AN19" i="5"/>
  <c r="AI19" i="5"/>
  <c r="Q19" i="5"/>
  <c r="I19" i="5"/>
  <c r="AN18" i="5"/>
  <c r="AI18" i="5"/>
  <c r="V18" i="5"/>
  <c r="R18" i="5"/>
  <c r="U18" i="5" s="1"/>
  <c r="AJ18" i="5" s="1"/>
  <c r="AN17" i="5"/>
  <c r="AG17" i="5"/>
  <c r="AI17" i="5" s="1"/>
  <c r="V17" i="5"/>
  <c r="J17" i="5"/>
  <c r="U17" i="5" s="1"/>
  <c r="AN16" i="5"/>
  <c r="AH16" i="5"/>
  <c r="AG16" i="5"/>
  <c r="AF16" i="5"/>
  <c r="V16" i="5"/>
  <c r="I16" i="5"/>
  <c r="U16" i="5" s="1"/>
  <c r="AL15" i="5"/>
  <c r="AE15" i="5"/>
  <c r="AD15" i="5"/>
  <c r="AC15" i="5"/>
  <c r="AB15" i="5"/>
  <c r="AA15" i="5"/>
  <c r="Z15" i="5"/>
  <c r="Y15" i="5"/>
  <c r="U15" i="5"/>
  <c r="T14" i="5"/>
  <c r="S14" i="5"/>
  <c r="R14" i="5"/>
  <c r="S13" i="5"/>
  <c r="M13" i="5"/>
  <c r="AN12" i="5"/>
  <c r="AE12" i="5"/>
  <c r="AD12" i="5"/>
  <c r="AC12" i="5"/>
  <c r="AB12" i="5"/>
  <c r="AA12" i="5"/>
  <c r="Z12" i="5"/>
  <c r="Y12" i="5"/>
  <c r="W12" i="5"/>
  <c r="V12" i="5"/>
  <c r="T12" i="5"/>
  <c r="E106" i="18" s="1"/>
  <c r="R12" i="5"/>
  <c r="J12" i="5"/>
  <c r="X12" i="5" s="1"/>
  <c r="Q11" i="5"/>
  <c r="P11" i="5"/>
  <c r="M11" i="5"/>
  <c r="W10" i="5"/>
  <c r="AI10" i="5" s="1"/>
  <c r="V10" i="5"/>
  <c r="AK10" i="5" s="1"/>
  <c r="T10" i="5"/>
  <c r="R10" i="5"/>
  <c r="B389" i="18" s="1"/>
  <c r="O10" i="5"/>
  <c r="B386" i="18" s="1"/>
  <c r="J10" i="5"/>
  <c r="AG9" i="5"/>
  <c r="T9" i="5"/>
  <c r="AN8" i="5"/>
  <c r="W8" i="5"/>
  <c r="AI8" i="5" s="1"/>
  <c r="V8" i="5"/>
  <c r="T8" i="5"/>
  <c r="S8" i="5"/>
  <c r="AN7" i="5"/>
  <c r="AD7" i="5"/>
  <c r="AC7" i="5"/>
  <c r="AB7" i="5"/>
  <c r="AA7" i="5"/>
  <c r="Z7" i="5"/>
  <c r="Y7" i="5"/>
  <c r="X7" i="5"/>
  <c r="V7" i="5"/>
  <c r="Q7" i="5"/>
  <c r="AE7" i="5" s="1"/>
  <c r="I7" i="5"/>
  <c r="AL6" i="5"/>
  <c r="AK6" i="5"/>
  <c r="AE6" i="5"/>
  <c r="AD6" i="5"/>
  <c r="AB6" i="5"/>
  <c r="AA6" i="5"/>
  <c r="Z6" i="5"/>
  <c r="Y6" i="5"/>
  <c r="X6" i="5"/>
  <c r="W6" i="5"/>
  <c r="V6" i="5"/>
  <c r="O6" i="5"/>
  <c r="AC6" i="5" s="1"/>
  <c r="AH5" i="5"/>
  <c r="AG5" i="5"/>
  <c r="AF5" i="5"/>
  <c r="AE5" i="5"/>
  <c r="U5" i="5"/>
  <c r="AH4" i="5"/>
  <c r="AG4" i="5"/>
  <c r="AF4" i="5"/>
  <c r="AE4" i="5"/>
  <c r="AD4" i="5"/>
  <c r="AC4" i="5"/>
  <c r="AB4" i="5"/>
  <c r="AA4" i="5"/>
  <c r="Z4" i="5"/>
  <c r="X4" i="5"/>
  <c r="W4" i="5"/>
  <c r="K4" i="5"/>
  <c r="AH3" i="5"/>
  <c r="AF3" i="5"/>
  <c r="AE3" i="5"/>
  <c r="AD3" i="5"/>
  <c r="AC3" i="5"/>
  <c r="AA3" i="5"/>
  <c r="S3" i="5"/>
  <c r="AG3" i="5" s="1"/>
  <c r="AN2" i="5"/>
  <c r="AH2" i="5"/>
  <c r="AG2" i="5"/>
  <c r="AF2" i="5"/>
  <c r="AE2" i="5"/>
  <c r="AD2" i="5"/>
  <c r="AC2" i="5"/>
  <c r="AB2" i="5"/>
  <c r="AA2" i="5"/>
  <c r="Z2" i="5"/>
  <c r="Y2" i="5"/>
  <c r="X2" i="5"/>
  <c r="W2" i="5"/>
  <c r="V2" i="5"/>
  <c r="U2" i="5"/>
  <c r="Y74" i="4"/>
  <c r="Z74" i="4" s="1"/>
  <c r="AH68" i="4"/>
  <c r="G64" i="4"/>
  <c r="F64" i="4"/>
  <c r="E64" i="4"/>
  <c r="D64" i="4"/>
  <c r="AJ63" i="4"/>
  <c r="U63" i="4"/>
  <c r="T63" i="4"/>
  <c r="S63" i="4"/>
  <c r="AJ62" i="4"/>
  <c r="T62" i="4"/>
  <c r="L62" i="4"/>
  <c r="J62" i="4"/>
  <c r="AJ61" i="4"/>
  <c r="T61" i="4"/>
  <c r="R61" i="4"/>
  <c r="J61" i="4"/>
  <c r="AF60" i="4"/>
  <c r="AE60" i="4"/>
  <c r="Y60" i="4"/>
  <c r="T60" i="4"/>
  <c r="M60" i="4"/>
  <c r="L60" i="4"/>
  <c r="H60" i="4"/>
  <c r="AH59" i="4"/>
  <c r="AG59" i="4"/>
  <c r="AF59" i="4"/>
  <c r="AD59" i="4"/>
  <c r="AA59" i="4"/>
  <c r="U59" i="4"/>
  <c r="T59" i="4"/>
  <c r="O59" i="4"/>
  <c r="AE59" i="4" s="1"/>
  <c r="AC59" i="4"/>
  <c r="AB59" i="4"/>
  <c r="AH58" i="4"/>
  <c r="AF58" i="4"/>
  <c r="AE58" i="4"/>
  <c r="AC58" i="4"/>
  <c r="T58" i="4"/>
  <c r="Q58" i="4"/>
  <c r="S58" i="4" s="1"/>
  <c r="AJ57" i="4"/>
  <c r="R57" i="4"/>
  <c r="T57" i="4" s="1"/>
  <c r="AE56" i="4"/>
  <c r="AC56" i="4"/>
  <c r="AB56" i="4"/>
  <c r="AA56" i="4"/>
  <c r="Z56" i="4"/>
  <c r="V56" i="4"/>
  <c r="U56" i="4"/>
  <c r="T56" i="4"/>
  <c r="N56" i="4"/>
  <c r="AJ55" i="4"/>
  <c r="R55" i="4"/>
  <c r="U55" i="4" s="1"/>
  <c r="U70" i="29" s="1"/>
  <c r="AJ54" i="4"/>
  <c r="R54" i="4"/>
  <c r="U54" i="4" s="1"/>
  <c r="AJ53" i="4"/>
  <c r="O53" i="4"/>
  <c r="S53" i="4" s="1"/>
  <c r="AF52" i="4"/>
  <c r="AD52" i="4"/>
  <c r="AC52" i="4"/>
  <c r="AB52" i="4"/>
  <c r="T52" i="4"/>
  <c r="R52" i="4"/>
  <c r="B568" i="18" s="1"/>
  <c r="AE52" i="4"/>
  <c r="J52" i="4"/>
  <c r="AJ51" i="4"/>
  <c r="T51" i="4"/>
  <c r="R51" i="4"/>
  <c r="U51" i="4" s="1"/>
  <c r="AH50" i="4"/>
  <c r="AE50" i="4"/>
  <c r="AA50" i="4"/>
  <c r="T50" i="4"/>
  <c r="Q50" i="4"/>
  <c r="AG50" i="4" s="1"/>
  <c r="AJ49" i="4"/>
  <c r="R49" i="4"/>
  <c r="Q49" i="4"/>
  <c r="J49" i="4"/>
  <c r="AG48" i="4"/>
  <c r="AF48" i="4"/>
  <c r="AA48" i="4"/>
  <c r="Z48" i="4"/>
  <c r="X48" i="4"/>
  <c r="W48" i="4"/>
  <c r="T48" i="4"/>
  <c r="R48" i="4"/>
  <c r="AH48" i="4" s="1"/>
  <c r="I48" i="4"/>
  <c r="AB47" i="4"/>
  <c r="Y47" i="4"/>
  <c r="X47" i="4"/>
  <c r="U47" i="4"/>
  <c r="T47" i="4"/>
  <c r="K47" i="4"/>
  <c r="AA47" i="4" s="1"/>
  <c r="J47" i="4"/>
  <c r="Z47" i="4" s="1"/>
  <c r="Q46" i="4"/>
  <c r="U46" i="4" s="1"/>
  <c r="AJ45" i="4"/>
  <c r="R45" i="4"/>
  <c r="U45" i="4" s="1"/>
  <c r="AH44" i="4"/>
  <c r="AG44" i="4"/>
  <c r="AF44" i="4"/>
  <c r="AE44" i="4"/>
  <c r="AC44" i="4"/>
  <c r="AB44" i="4"/>
  <c r="AA44" i="4"/>
  <c r="Y44" i="4"/>
  <c r="X44" i="4"/>
  <c r="W44" i="4"/>
  <c r="T44" i="4"/>
  <c r="N44" i="4"/>
  <c r="AD44" i="4" s="1"/>
  <c r="J44" i="4"/>
  <c r="Z44" i="4" s="1"/>
  <c r="AJ43" i="4"/>
  <c r="R43" i="4"/>
  <c r="U43" i="4" s="1"/>
  <c r="AJ42" i="4"/>
  <c r="U42" i="4"/>
  <c r="T42" i="4"/>
  <c r="S42" i="4"/>
  <c r="AL41" i="4"/>
  <c r="AL68" i="29" s="1"/>
  <c r="AA41" i="4"/>
  <c r="V41" i="4"/>
  <c r="U41" i="4"/>
  <c r="T41" i="4"/>
  <c r="L41" i="4"/>
  <c r="AB41" i="4" s="1"/>
  <c r="J41" i="4"/>
  <c r="Z41" i="4" s="1"/>
  <c r="AE40" i="4"/>
  <c r="AB40" i="4"/>
  <c r="AA40" i="4"/>
  <c r="Z40" i="4"/>
  <c r="Y40" i="4"/>
  <c r="X40" i="4"/>
  <c r="W40" i="4"/>
  <c r="T40" i="4"/>
  <c r="R40" i="4"/>
  <c r="B147" i="18" s="1"/>
  <c r="N40" i="4"/>
  <c r="B144" i="18" s="1"/>
  <c r="AH39" i="4"/>
  <c r="AG39" i="4"/>
  <c r="AF39" i="4"/>
  <c r="AE39" i="4"/>
  <c r="AD39" i="4"/>
  <c r="AC39" i="4"/>
  <c r="AB39" i="4"/>
  <c r="Y39" i="4"/>
  <c r="X39" i="4"/>
  <c r="T39" i="4"/>
  <c r="J39" i="4"/>
  <c r="K39" i="4" s="1"/>
  <c r="AE38" i="4"/>
  <c r="AD38" i="4"/>
  <c r="AC38" i="4"/>
  <c r="AB38" i="4"/>
  <c r="Y38" i="4"/>
  <c r="X38" i="4"/>
  <c r="W38" i="4"/>
  <c r="T38" i="4"/>
  <c r="P38" i="4"/>
  <c r="U38" i="4" s="1"/>
  <c r="J38" i="4"/>
  <c r="Z38" i="4" s="1"/>
  <c r="AJ37" i="4"/>
  <c r="V37" i="4"/>
  <c r="U37" i="4"/>
  <c r="T37" i="4"/>
  <c r="S37" i="4"/>
  <c r="AE36" i="4"/>
  <c r="AD36" i="4"/>
  <c r="AC36" i="4"/>
  <c r="AB36" i="4"/>
  <c r="AA36" i="4"/>
  <c r="Y36" i="4"/>
  <c r="T36" i="4"/>
  <c r="J36" i="4"/>
  <c r="S36" i="4" s="1"/>
  <c r="AG35" i="4"/>
  <c r="AF35" i="4"/>
  <c r="AE35" i="4"/>
  <c r="AD35" i="4"/>
  <c r="AC35" i="4"/>
  <c r="T35" i="4"/>
  <c r="R35" i="4"/>
  <c r="AH35" i="4" s="1"/>
  <c r="J35" i="4"/>
  <c r="AJ34" i="4"/>
  <c r="U34" i="4"/>
  <c r="T34" i="4"/>
  <c r="S34" i="4"/>
  <c r="AJ33" i="4"/>
  <c r="T33" i="4"/>
  <c r="S33" i="4"/>
  <c r="M33" i="4"/>
  <c r="U33" i="4" s="1"/>
  <c r="AJ32" i="4"/>
  <c r="T32" i="4"/>
  <c r="S32" i="4"/>
  <c r="M32" i="4"/>
  <c r="U32" i="4" s="1"/>
  <c r="AJ31" i="4"/>
  <c r="T31" i="4"/>
  <c r="S31" i="4"/>
  <c r="M31" i="4"/>
  <c r="U31" i="4" s="1"/>
  <c r="AJ30" i="4"/>
  <c r="U30" i="4"/>
  <c r="T30" i="4"/>
  <c r="S30" i="4"/>
  <c r="AJ29" i="4"/>
  <c r="T29" i="4"/>
  <c r="O29" i="4"/>
  <c r="AH28" i="4"/>
  <c r="AG28" i="4"/>
  <c r="AF28" i="4"/>
  <c r="AE28" i="4"/>
  <c r="AD28" i="4"/>
  <c r="AC28" i="4"/>
  <c r="AB28" i="4"/>
  <c r="AA28" i="4"/>
  <c r="Z28" i="4"/>
  <c r="Y28" i="4"/>
  <c r="X28" i="4"/>
  <c r="W28" i="4"/>
  <c r="U28" i="4"/>
  <c r="T28" i="4"/>
  <c r="S28" i="4"/>
  <c r="AJ27" i="4"/>
  <c r="T27" i="4"/>
  <c r="O27" i="4"/>
  <c r="U27" i="4" s="1"/>
  <c r="W76" i="29" s="1"/>
  <c r="Y26" i="4"/>
  <c r="X26" i="4"/>
  <c r="W26" i="4"/>
  <c r="U26" i="4"/>
  <c r="T26" i="4"/>
  <c r="L26" i="4"/>
  <c r="J26" i="4"/>
  <c r="AJ25" i="4"/>
  <c r="O25" i="4"/>
  <c r="S25" i="4" s="1"/>
  <c r="AH24" i="4"/>
  <c r="AG24" i="4"/>
  <c r="U24" i="4"/>
  <c r="T24" i="4"/>
  <c r="S24" i="4"/>
  <c r="AH23" i="4"/>
  <c r="AJ23" i="4" s="1"/>
  <c r="U23" i="4"/>
  <c r="U66" i="29" s="1"/>
  <c r="T23" i="4"/>
  <c r="S23" i="4"/>
  <c r="AH22" i="4"/>
  <c r="AG22" i="4"/>
  <c r="U22" i="4"/>
  <c r="T22" i="4"/>
  <c r="S22" i="4"/>
  <c r="AH21" i="4"/>
  <c r="AG21" i="4"/>
  <c r="AF21" i="4"/>
  <c r="AE21" i="4"/>
  <c r="AD21" i="4"/>
  <c r="AB21" i="4"/>
  <c r="AA21" i="4"/>
  <c r="T21" i="4"/>
  <c r="H21" i="4"/>
  <c r="S21" i="4" s="1"/>
  <c r="AG20" i="4"/>
  <c r="AF20" i="4"/>
  <c r="AE20" i="4"/>
  <c r="AB20" i="4"/>
  <c r="AA20" i="4"/>
  <c r="Y20" i="4"/>
  <c r="T20" i="4"/>
  <c r="R20" i="4"/>
  <c r="AH20" i="4" s="1"/>
  <c r="N20" i="4"/>
  <c r="AD20" i="4" s="1"/>
  <c r="J20" i="4"/>
  <c r="Z20" i="4" s="1"/>
  <c r="AJ19" i="4"/>
  <c r="T19" i="4"/>
  <c r="P19" i="4"/>
  <c r="AF18" i="4"/>
  <c r="AB18" i="4"/>
  <c r="AA18" i="4"/>
  <c r="T18" i="4"/>
  <c r="R18" i="4"/>
  <c r="AH18" i="4" s="1"/>
  <c r="Q18" i="4"/>
  <c r="AG18" i="4" s="1"/>
  <c r="O18" i="4"/>
  <c r="AE18" i="4" s="1"/>
  <c r="N18" i="4"/>
  <c r="AD18" i="4" s="1"/>
  <c r="M18" i="4"/>
  <c r="AC18" i="4" s="1"/>
  <c r="I18" i="4"/>
  <c r="Y18" i="4" s="1"/>
  <c r="H18" i="4"/>
  <c r="X18" i="4" s="1"/>
  <c r="AJ17" i="4"/>
  <c r="Q17" i="4"/>
  <c r="P17" i="4"/>
  <c r="K17" i="4"/>
  <c r="H17" i="4"/>
  <c r="AA16" i="4"/>
  <c r="Y16" i="4"/>
  <c r="X16" i="4"/>
  <c r="W16" i="4"/>
  <c r="S16" i="4"/>
  <c r="AJ15" i="4"/>
  <c r="T15" i="4"/>
  <c r="K15" i="4"/>
  <c r="S15" i="4" s="1"/>
  <c r="Y14" i="4"/>
  <c r="AJ14" i="4" s="1"/>
  <c r="T14" i="4"/>
  <c r="H14" i="4"/>
  <c r="AJ13" i="4"/>
  <c r="T13" i="4"/>
  <c r="AJ12" i="4"/>
  <c r="T12" i="4"/>
  <c r="Q12" i="4"/>
  <c r="T11" i="4"/>
  <c r="R11" i="4"/>
  <c r="P11" i="4"/>
  <c r="J11" i="4"/>
  <c r="Z11" i="4" s="1"/>
  <c r="AJ11" i="4" s="1"/>
  <c r="AJ10" i="4"/>
  <c r="T10" i="4"/>
  <c r="O10" i="4"/>
  <c r="S10" i="4" s="1"/>
  <c r="AE9" i="4"/>
  <c r="AB9" i="4"/>
  <c r="AA9" i="4"/>
  <c r="Z9" i="4"/>
  <c r="X9" i="4"/>
  <c r="V9" i="4"/>
  <c r="T9" i="4"/>
  <c r="P9" i="4"/>
  <c r="N9" i="4"/>
  <c r="AH8" i="4"/>
  <c r="AG8" i="4"/>
  <c r="AF8" i="4"/>
  <c r="AE8" i="4"/>
  <c r="AD8" i="4"/>
  <c r="AB8" i="4"/>
  <c r="Y8" i="4"/>
  <c r="X8" i="4"/>
  <c r="W8" i="4"/>
  <c r="V8" i="4"/>
  <c r="T8" i="4"/>
  <c r="J8" i="4"/>
  <c r="Z8" i="4" s="1"/>
  <c r="AB7" i="4"/>
  <c r="Y7" i="4"/>
  <c r="V7" i="4"/>
  <c r="T7" i="4"/>
  <c r="Q7" i="4"/>
  <c r="N7" i="4"/>
  <c r="AD7" i="4" s="1"/>
  <c r="J7" i="4"/>
  <c r="Z7" i="4" s="1"/>
  <c r="AD6" i="4"/>
  <c r="AB6" i="4"/>
  <c r="Y6" i="4"/>
  <c r="X6" i="4"/>
  <c r="V6" i="4"/>
  <c r="T6" i="4"/>
  <c r="P6" i="4"/>
  <c r="J6" i="4"/>
  <c r="AG5" i="4"/>
  <c r="AF5" i="4"/>
  <c r="AE5" i="4"/>
  <c r="AD5" i="4"/>
  <c r="AA5" i="4"/>
  <c r="Z5" i="4"/>
  <c r="X5" i="4"/>
  <c r="V5" i="4"/>
  <c r="T5" i="4"/>
  <c r="R5" i="4"/>
  <c r="AH5" i="4" s="1"/>
  <c r="AG4" i="4"/>
  <c r="AF4" i="4"/>
  <c r="AE4" i="4"/>
  <c r="AD4" i="4"/>
  <c r="AB4" i="4"/>
  <c r="AA4" i="4"/>
  <c r="Y4" i="4"/>
  <c r="X4" i="4"/>
  <c r="W4" i="4"/>
  <c r="V4" i="4"/>
  <c r="T4" i="4"/>
  <c r="R4" i="4"/>
  <c r="J4" i="4"/>
  <c r="Z4" i="4" s="1"/>
  <c r="AG3" i="4"/>
  <c r="AF3" i="4"/>
  <c r="AD3" i="4"/>
  <c r="AB3" i="4"/>
  <c r="AA3" i="4"/>
  <c r="Z3" i="4"/>
  <c r="Y3" i="4"/>
  <c r="X3" i="4"/>
  <c r="V3" i="4"/>
  <c r="T3" i="4"/>
  <c r="R3" i="4"/>
  <c r="AH3" i="4" s="1"/>
  <c r="O3" i="4"/>
  <c r="AH2" i="4"/>
  <c r="AF2" i="4"/>
  <c r="AE2" i="4"/>
  <c r="AD2" i="4"/>
  <c r="AA2" i="4"/>
  <c r="Z2" i="4"/>
  <c r="Y2" i="4"/>
  <c r="X2" i="4"/>
  <c r="W2" i="4"/>
  <c r="V2" i="4"/>
  <c r="T2" i="4"/>
  <c r="Q2" i="4"/>
  <c r="AG2" i="4" s="1"/>
  <c r="L2" i="4"/>
  <c r="AB2" i="4" s="1"/>
  <c r="AF55" i="3"/>
  <c r="AE55" i="3"/>
  <c r="AD55" i="3"/>
  <c r="AC55" i="3"/>
  <c r="AB55" i="3"/>
  <c r="AA55" i="3"/>
  <c r="Z55" i="3"/>
  <c r="Y55" i="3"/>
  <c r="X55" i="3"/>
  <c r="T55" i="3"/>
  <c r="N55" i="3"/>
  <c r="M55" i="3"/>
  <c r="L55" i="3"/>
  <c r="K55" i="3"/>
  <c r="J55" i="3"/>
  <c r="I55" i="3"/>
  <c r="H55" i="3"/>
  <c r="G55" i="3"/>
  <c r="F55" i="3"/>
  <c r="E55" i="3"/>
  <c r="D55" i="3"/>
  <c r="S54" i="3"/>
  <c r="AL47" i="4" s="1"/>
  <c r="S50" i="3"/>
  <c r="AK46" i="3"/>
  <c r="Q46" i="3"/>
  <c r="S46" i="3" s="1"/>
  <c r="AL45" i="3"/>
  <c r="AJ45" i="3"/>
  <c r="AI45" i="3"/>
  <c r="AH45" i="3"/>
  <c r="AG45" i="3"/>
  <c r="S45" i="3"/>
  <c r="AJ44" i="3"/>
  <c r="AI44" i="3"/>
  <c r="S44" i="3"/>
  <c r="Q43" i="3"/>
  <c r="O42" i="3"/>
  <c r="S42" i="3" s="1"/>
  <c r="U42" i="3" s="1"/>
  <c r="V41" i="3"/>
  <c r="Q41" i="3"/>
  <c r="S41" i="3" s="1"/>
  <c r="U41" i="3" s="1"/>
  <c r="AJ40" i="3"/>
  <c r="AK40" i="3" s="1"/>
  <c r="S40" i="3"/>
  <c r="AJ39" i="3"/>
  <c r="AJ38" i="3"/>
  <c r="AI38" i="3"/>
  <c r="AH38" i="3"/>
  <c r="AG38" i="3"/>
  <c r="S38" i="3"/>
  <c r="AJ37" i="3"/>
  <c r="AI37" i="3"/>
  <c r="AH37" i="3"/>
  <c r="AG37" i="3"/>
  <c r="S37" i="3"/>
  <c r="AJ35" i="3"/>
  <c r="AI35" i="3"/>
  <c r="AH35" i="3"/>
  <c r="O35" i="3"/>
  <c r="S35" i="3" s="1"/>
  <c r="U35" i="3" s="1"/>
  <c r="W35" i="3" s="1"/>
  <c r="AI34" i="3"/>
  <c r="AH34" i="3"/>
  <c r="AG34" i="3"/>
  <c r="R34" i="3"/>
  <c r="AJ34" i="3" s="1"/>
  <c r="AJ31" i="3"/>
  <c r="AI31" i="3"/>
  <c r="AH31" i="3"/>
  <c r="AI30" i="3"/>
  <c r="AH30" i="3"/>
  <c r="R29" i="3"/>
  <c r="Q29" i="3"/>
  <c r="AJ28" i="3"/>
  <c r="AH28" i="3"/>
  <c r="AG28" i="3"/>
  <c r="Q28" i="3"/>
  <c r="AI28" i="3" s="1"/>
  <c r="R27" i="3"/>
  <c r="AJ27" i="3" s="1"/>
  <c r="Q27" i="3"/>
  <c r="AI27" i="3" s="1"/>
  <c r="AG26" i="3"/>
  <c r="V26" i="3"/>
  <c r="S26" i="3"/>
  <c r="U26" i="3" s="1"/>
  <c r="AI25" i="3"/>
  <c r="AH25" i="3"/>
  <c r="AG25" i="3"/>
  <c r="S25" i="3"/>
  <c r="AJ24" i="3"/>
  <c r="AI24" i="3"/>
  <c r="AH24" i="3"/>
  <c r="AG24" i="3"/>
  <c r="S24" i="3"/>
  <c r="AJ23" i="3"/>
  <c r="AG23" i="3"/>
  <c r="Q23" i="3"/>
  <c r="AI23" i="3" s="1"/>
  <c r="P23" i="3"/>
  <c r="AH23" i="3" s="1"/>
  <c r="S22" i="3"/>
  <c r="AL22" i="3" s="1"/>
  <c r="Q21" i="3"/>
  <c r="S21" i="3" s="1"/>
  <c r="AL21" i="3" s="1"/>
  <c r="U61" i="29" s="1"/>
  <c r="AG20" i="3"/>
  <c r="R20" i="3"/>
  <c r="AJ19" i="3"/>
  <c r="AH19" i="3"/>
  <c r="AG19" i="3"/>
  <c r="Q19" i="3"/>
  <c r="V18" i="3"/>
  <c r="P18" i="3"/>
  <c r="S18" i="3" s="1"/>
  <c r="U18" i="3" s="1"/>
  <c r="R17" i="3"/>
  <c r="AJ15" i="3"/>
  <c r="AI15" i="3"/>
  <c r="AH15" i="3"/>
  <c r="V15" i="3"/>
  <c r="S15" i="3"/>
  <c r="U15" i="3" s="1"/>
  <c r="AJ14" i="3"/>
  <c r="AI14" i="3"/>
  <c r="AH14" i="3"/>
  <c r="AG14" i="3"/>
  <c r="S14" i="3"/>
  <c r="U14" i="3" s="1"/>
  <c r="W14" i="3" s="1"/>
  <c r="AJ13" i="3"/>
  <c r="AI13" i="3"/>
  <c r="AH13" i="3"/>
  <c r="AG13" i="3"/>
  <c r="S13" i="3"/>
  <c r="AJ12" i="3"/>
  <c r="AI12" i="3"/>
  <c r="AH12" i="3"/>
  <c r="AG12" i="3"/>
  <c r="V12" i="3"/>
  <c r="S12" i="3"/>
  <c r="U12" i="3" s="1"/>
  <c r="AJ11" i="3"/>
  <c r="AI11" i="3"/>
  <c r="AH11" i="3"/>
  <c r="AG11" i="3"/>
  <c r="S11" i="3"/>
  <c r="AJ10" i="3"/>
  <c r="AI10" i="3"/>
  <c r="P10" i="3"/>
  <c r="AH10" i="3" s="1"/>
  <c r="O10" i="3"/>
  <c r="V9" i="3"/>
  <c r="P9" i="3"/>
  <c r="S9" i="3" s="1"/>
  <c r="U9" i="3" s="1"/>
  <c r="AJ8" i="3"/>
  <c r="AI8" i="3"/>
  <c r="V8" i="3"/>
  <c r="S8" i="3"/>
  <c r="U8" i="3" s="1"/>
  <c r="AK7" i="3"/>
  <c r="V7" i="3"/>
  <c r="R7" i="3"/>
  <c r="S7" i="3" s="1"/>
  <c r="R6" i="3"/>
  <c r="S6" i="3" s="1"/>
  <c r="AL6" i="4" s="1"/>
  <c r="S5" i="3"/>
  <c r="AJ4" i="3"/>
  <c r="AG4" i="3"/>
  <c r="S4" i="3"/>
  <c r="AK3" i="3"/>
  <c r="R3" i="3"/>
  <c r="AJ2" i="3"/>
  <c r="AI2" i="3"/>
  <c r="AH2" i="3"/>
  <c r="AG2" i="3"/>
  <c r="S2" i="3"/>
  <c r="Z32" i="2"/>
  <c r="Y32" i="2"/>
  <c r="R32" i="2"/>
  <c r="Q32" i="2"/>
  <c r="O32" i="2"/>
  <c r="L32" i="2"/>
  <c r="K32" i="2"/>
  <c r="J32" i="2"/>
  <c r="I32" i="2"/>
  <c r="H32" i="2"/>
  <c r="G32" i="2"/>
  <c r="F32" i="2"/>
  <c r="E32" i="2"/>
  <c r="D32" i="2"/>
  <c r="AG31" i="2"/>
  <c r="V31" i="2"/>
  <c r="S31" i="2"/>
  <c r="U31" i="2" s="1"/>
  <c r="AG30" i="2"/>
  <c r="V30" i="2"/>
  <c r="S30" i="2"/>
  <c r="AG29" i="2"/>
  <c r="V29" i="2"/>
  <c r="S29" i="2"/>
  <c r="U29" i="2" s="1"/>
  <c r="W29" i="2" s="1"/>
  <c r="AH29" i="2" s="1"/>
  <c r="AF28" i="2"/>
  <c r="AG28" i="2" s="1"/>
  <c r="V28" i="2"/>
  <c r="S28" i="2"/>
  <c r="U28" i="2" s="1"/>
  <c r="W28" i="2" s="1"/>
  <c r="AH28" i="2" s="1"/>
  <c r="AG27" i="2"/>
  <c r="V27" i="2"/>
  <c r="S27" i="2"/>
  <c r="U27" i="2" s="1"/>
  <c r="W27" i="2" s="1"/>
  <c r="AH27" i="2" s="1"/>
  <c r="T11" i="29" s="1"/>
  <c r="AC26" i="2"/>
  <c r="AG26" i="2" s="1"/>
  <c r="V26" i="2"/>
  <c r="S26" i="2"/>
  <c r="U26" i="2" s="1"/>
  <c r="AG25" i="2"/>
  <c r="V25" i="2"/>
  <c r="S25" i="2"/>
  <c r="AG24" i="2"/>
  <c r="V24" i="2"/>
  <c r="S24" i="2"/>
  <c r="T45" i="3" s="1"/>
  <c r="AG23" i="2"/>
  <c r="V23" i="2"/>
  <c r="S23" i="2"/>
  <c r="U23" i="2" s="1"/>
  <c r="W23" i="2" s="1"/>
  <c r="AH23" i="2" s="1"/>
  <c r="T15" i="29" s="1"/>
  <c r="AG22" i="2"/>
  <c r="V22" i="2"/>
  <c r="S22" i="2"/>
  <c r="AF21" i="2"/>
  <c r="AE21" i="2"/>
  <c r="AC21" i="2"/>
  <c r="V21" i="2"/>
  <c r="P21" i="2"/>
  <c r="O21" i="2"/>
  <c r="N21" i="2"/>
  <c r="M21" i="2"/>
  <c r="S21" i="2" s="1"/>
  <c r="AF20" i="2"/>
  <c r="AE20" i="2"/>
  <c r="V20" i="2"/>
  <c r="P20" i="2"/>
  <c r="P32" i="2" s="1"/>
  <c r="O20" i="2"/>
  <c r="AC20" i="2" s="1"/>
  <c r="AG20" i="2" s="1"/>
  <c r="N20" i="2"/>
  <c r="M20" i="2"/>
  <c r="AC19" i="2"/>
  <c r="AG19" i="2" s="1"/>
  <c r="V19" i="2"/>
  <c r="S19" i="2"/>
  <c r="AF18" i="2"/>
  <c r="AE18" i="2"/>
  <c r="AD18" i="2"/>
  <c r="AC18" i="2"/>
  <c r="V18" i="2"/>
  <c r="S18" i="2"/>
  <c r="U18" i="2" s="1"/>
  <c r="AH17" i="2"/>
  <c r="AF17" i="2"/>
  <c r="AG17" i="2" s="1"/>
  <c r="V17" i="2"/>
  <c r="S17" i="2"/>
  <c r="U17" i="2" s="1"/>
  <c r="W17" i="2" s="1"/>
  <c r="AF16" i="2"/>
  <c r="AE16" i="2"/>
  <c r="AD16" i="2"/>
  <c r="AC16" i="2"/>
  <c r="AB16" i="2"/>
  <c r="AA16" i="2"/>
  <c r="AG16" i="2" s="1"/>
  <c r="V16" i="2"/>
  <c r="S16" i="2"/>
  <c r="U16" i="2" s="1"/>
  <c r="W16" i="2" s="1"/>
  <c r="AF15" i="2"/>
  <c r="AE15" i="2"/>
  <c r="AD15" i="2"/>
  <c r="AC15" i="2"/>
  <c r="AB15" i="2"/>
  <c r="AA15" i="2"/>
  <c r="AA32" i="2" s="1"/>
  <c r="V15" i="2"/>
  <c r="S15" i="2"/>
  <c r="M15" i="2"/>
  <c r="AF14" i="2"/>
  <c r="AE14" i="2"/>
  <c r="AD14" i="2"/>
  <c r="AC14" i="2"/>
  <c r="AB14" i="2"/>
  <c r="AG14" i="2" s="1"/>
  <c r="V14" i="2"/>
  <c r="S14" i="2"/>
  <c r="AF13" i="2"/>
  <c r="AE13" i="2"/>
  <c r="AD13" i="2"/>
  <c r="AC13" i="2"/>
  <c r="AB13" i="2"/>
  <c r="V13" i="2"/>
  <c r="S13" i="2"/>
  <c r="AF12" i="2"/>
  <c r="AE12" i="2"/>
  <c r="AD12" i="2"/>
  <c r="AC12" i="2"/>
  <c r="AB12" i="2"/>
  <c r="AG12" i="2" s="1"/>
  <c r="V12" i="2"/>
  <c r="S12" i="2"/>
  <c r="AE11" i="2"/>
  <c r="AD11" i="2"/>
  <c r="AC11" i="2"/>
  <c r="AB11" i="2"/>
  <c r="V11" i="2"/>
  <c r="S11" i="2"/>
  <c r="AF10" i="2"/>
  <c r="AE10" i="2"/>
  <c r="AD10" i="2"/>
  <c r="AC10" i="2"/>
  <c r="V10" i="2"/>
  <c r="N10" i="2"/>
  <c r="AF9" i="2"/>
  <c r="AE9" i="2"/>
  <c r="AD9" i="2"/>
  <c r="AC9" i="2"/>
  <c r="AB9" i="2"/>
  <c r="V9" i="2"/>
  <c r="S9" i="2"/>
  <c r="AF8" i="2"/>
  <c r="AE8" i="2"/>
  <c r="AD8" i="2"/>
  <c r="AC8" i="2"/>
  <c r="V8" i="2"/>
  <c r="S8" i="2"/>
  <c r="U8" i="2" s="1"/>
  <c r="W8" i="2" s="1"/>
  <c r="AF7" i="2"/>
  <c r="AE7" i="2"/>
  <c r="AD7" i="2"/>
  <c r="AC7" i="2"/>
  <c r="AB7" i="2"/>
  <c r="V7" i="2"/>
  <c r="S7" i="2"/>
  <c r="U7" i="2" s="1"/>
  <c r="W7" i="2" s="1"/>
  <c r="AF6" i="2"/>
  <c r="AE6" i="2"/>
  <c r="AD6" i="2"/>
  <c r="AC6" i="2"/>
  <c r="AB6" i="2"/>
  <c r="AG6" i="2" s="1"/>
  <c r="X6" i="2"/>
  <c r="X32" i="2" s="1"/>
  <c r="V6" i="2"/>
  <c r="S6" i="2"/>
  <c r="U6" i="2" s="1"/>
  <c r="AC5" i="2"/>
  <c r="V5" i="2"/>
  <c r="S5" i="2"/>
  <c r="AH5" i="2" s="1"/>
  <c r="AF4" i="2"/>
  <c r="AG4" i="2" s="1"/>
  <c r="V4" i="2"/>
  <c r="S4" i="2"/>
  <c r="U4" i="2" s="1"/>
  <c r="AF3" i="2"/>
  <c r="AE3" i="2"/>
  <c r="AD3" i="2"/>
  <c r="AC3" i="2"/>
  <c r="AB3" i="2"/>
  <c r="V3" i="2"/>
  <c r="S3" i="2"/>
  <c r="AN14" i="29" s="1"/>
  <c r="AF2" i="2"/>
  <c r="AE2" i="2"/>
  <c r="AD2" i="2"/>
  <c r="AD32" i="2" s="1"/>
  <c r="AC2" i="2"/>
  <c r="AB2" i="2"/>
  <c r="V2" i="2"/>
  <c r="S2" i="2"/>
  <c r="AN15" i="29" s="1"/>
  <c r="R21" i="1"/>
  <c r="P21" i="1"/>
  <c r="R20" i="1"/>
  <c r="P20" i="1"/>
  <c r="T15" i="2" s="1"/>
  <c r="R19" i="1"/>
  <c r="P19" i="1"/>
  <c r="T10" i="2" s="1"/>
  <c r="Q18" i="1"/>
  <c r="P18" i="1" s="1"/>
  <c r="R17" i="1"/>
  <c r="P17" i="1"/>
  <c r="P16" i="1"/>
  <c r="Q16" i="1" s="1"/>
  <c r="R16" i="1" s="1"/>
  <c r="R15" i="1"/>
  <c r="P15" i="1"/>
  <c r="T22" i="2" s="1"/>
  <c r="P14" i="1"/>
  <c r="Q14" i="1" s="1"/>
  <c r="R14" i="1" s="1"/>
  <c r="R13" i="1"/>
  <c r="P13" i="1"/>
  <c r="J23" i="1" s="1"/>
  <c r="R12" i="1"/>
  <c r="P12" i="1"/>
  <c r="R11" i="1"/>
  <c r="P11" i="1"/>
  <c r="R10" i="1"/>
  <c r="P10" i="1"/>
  <c r="R9" i="1"/>
  <c r="P9" i="1"/>
  <c r="T14" i="2" s="1"/>
  <c r="U14" i="2" s="1"/>
  <c r="W14" i="2" s="1"/>
  <c r="AH14" i="2" s="1"/>
  <c r="T14" i="29" s="1"/>
  <c r="R8" i="1"/>
  <c r="P8" i="1"/>
  <c r="T13" i="2" s="1"/>
  <c r="U13" i="2" s="1"/>
  <c r="W13" i="2" s="1"/>
  <c r="R7" i="1"/>
  <c r="P7" i="1"/>
  <c r="T11" i="2" s="1"/>
  <c r="R6" i="1"/>
  <c r="P6" i="1"/>
  <c r="T9" i="2" s="1"/>
  <c r="R5" i="1"/>
  <c r="P5" i="1"/>
  <c r="R4" i="1"/>
  <c r="P4" i="1"/>
  <c r="R3" i="1"/>
  <c r="P3" i="1"/>
  <c r="T19" i="2" s="1"/>
  <c r="R2" i="1"/>
  <c r="P2" i="1"/>
  <c r="AM15" i="29" s="1"/>
  <c r="G6" i="10" l="1"/>
  <c r="C16" i="35"/>
  <c r="I30" i="35"/>
  <c r="I61" i="5"/>
  <c r="U22" i="2"/>
  <c r="W22" i="2" s="1"/>
  <c r="AH22" i="2" s="1"/>
  <c r="U32" i="5"/>
  <c r="I34" i="35"/>
  <c r="S12" i="4"/>
  <c r="U12" i="4"/>
  <c r="C3" i="35"/>
  <c r="AG4" i="33"/>
  <c r="AI4" i="33" s="1"/>
  <c r="AN37" i="6"/>
  <c r="AP37" i="6" s="1"/>
  <c r="B878" i="18"/>
  <c r="AJ54" i="5"/>
  <c r="AN54" i="5" s="1"/>
  <c r="C41" i="35"/>
  <c r="S58" i="5"/>
  <c r="AA54" i="5"/>
  <c r="AG54" i="5"/>
  <c r="K55" i="5"/>
  <c r="AI5" i="5"/>
  <c r="U28" i="5"/>
  <c r="AJ28" i="5" s="1"/>
  <c r="W12" i="3"/>
  <c r="W15" i="3"/>
  <c r="V32" i="2"/>
  <c r="AG7" i="2"/>
  <c r="AH7" i="2" s="1"/>
  <c r="AG18" i="2"/>
  <c r="T3" i="15"/>
  <c r="Y116" i="29"/>
  <c r="X118" i="29"/>
  <c r="W4" i="2"/>
  <c r="AH4" i="2" s="1"/>
  <c r="T12" i="2"/>
  <c r="U12" i="2" s="1"/>
  <c r="W12" i="2" s="1"/>
  <c r="AH12" i="2" s="1"/>
  <c r="AH16" i="2"/>
  <c r="AG58" i="4"/>
  <c r="AJ58" i="4" s="1"/>
  <c r="G42" i="10"/>
  <c r="G48" i="10"/>
  <c r="Q9" i="15"/>
  <c r="O9" i="15"/>
  <c r="Y106" i="29"/>
  <c r="U9" i="2"/>
  <c r="W9" i="2" s="1"/>
  <c r="U15" i="2"/>
  <c r="W15" i="2" s="1"/>
  <c r="AH24" i="2"/>
  <c r="R18" i="1"/>
  <c r="AG11" i="2"/>
  <c r="AG13" i="2"/>
  <c r="AH13" i="2" s="1"/>
  <c r="U24" i="2"/>
  <c r="W24" i="2" s="1"/>
  <c r="G14" i="10"/>
  <c r="P9" i="15"/>
  <c r="U19" i="2"/>
  <c r="W19" i="2" s="1"/>
  <c r="AH19" i="2" s="1"/>
  <c r="AC32" i="2"/>
  <c r="AE32" i="2"/>
  <c r="W18" i="2"/>
  <c r="W26" i="3"/>
  <c r="G12" i="10"/>
  <c r="Z105" i="29"/>
  <c r="AA116" i="29"/>
  <c r="S3" i="31"/>
  <c r="T59" i="29"/>
  <c r="V59" i="29"/>
  <c r="U53" i="5"/>
  <c r="AA53" i="29"/>
  <c r="Y4" i="29"/>
  <c r="AK24" i="3"/>
  <c r="Q35" i="9"/>
  <c r="AK19" i="29"/>
  <c r="AL89" i="29"/>
  <c r="W5" i="29"/>
  <c r="AH5" i="29" s="1"/>
  <c r="AK15" i="29"/>
  <c r="AJ68" i="29"/>
  <c r="S69" i="29"/>
  <c r="AJ69" i="29" s="1"/>
  <c r="AK88" i="29"/>
  <c r="AK91" i="29"/>
  <c r="AK25" i="3"/>
  <c r="AL25" i="3" s="1"/>
  <c r="U14" i="4" s="1"/>
  <c r="W75" i="29" s="1"/>
  <c r="U21" i="2"/>
  <c r="W21" i="2" s="1"/>
  <c r="T9" i="15"/>
  <c r="U11" i="29"/>
  <c r="AK11" i="29" s="1"/>
  <c r="P23" i="1"/>
  <c r="Y2" i="29"/>
  <c r="AJ2" i="29" s="1"/>
  <c r="AG8" i="29"/>
  <c r="AP15" i="29"/>
  <c r="U11" i="2"/>
  <c r="W11" i="2" s="1"/>
  <c r="AH11" i="2" s="1"/>
  <c r="U25" i="2"/>
  <c r="AH25" i="2"/>
  <c r="AH30" i="2"/>
  <c r="U30" i="2"/>
  <c r="W30" i="2" s="1"/>
  <c r="V64" i="4"/>
  <c r="U9" i="4"/>
  <c r="B795" i="18"/>
  <c r="B809" i="18" s="1"/>
  <c r="Z61" i="29"/>
  <c r="AI61" i="29" s="1"/>
  <c r="S61" i="29"/>
  <c r="Q64" i="4"/>
  <c r="AG5" i="2"/>
  <c r="AG8" i="2"/>
  <c r="AH8" i="2" s="1"/>
  <c r="AG9" i="2"/>
  <c r="AH9" i="2" s="1"/>
  <c r="AF32" i="2"/>
  <c r="AG2" i="2"/>
  <c r="U5" i="2"/>
  <c r="W5" i="2" s="1"/>
  <c r="N32" i="2"/>
  <c r="AG10" i="2"/>
  <c r="AG15" i="2"/>
  <c r="AM14" i="29"/>
  <c r="AP14" i="29" s="1"/>
  <c r="T3" i="2"/>
  <c r="U3" i="2" s="1"/>
  <c r="W3" i="2" s="1"/>
  <c r="T2" i="2"/>
  <c r="U2" i="2" s="1"/>
  <c r="AG3" i="2"/>
  <c r="W6" i="2"/>
  <c r="AH6" i="2" s="1"/>
  <c r="S10" i="2"/>
  <c r="U10" i="2" s="1"/>
  <c r="W10" i="2" s="1"/>
  <c r="S20" i="2"/>
  <c r="AG21" i="2"/>
  <c r="AH21" i="2" s="1"/>
  <c r="AI21" i="2" s="1"/>
  <c r="W26" i="2"/>
  <c r="AH26" i="2" s="1"/>
  <c r="W31" i="2"/>
  <c r="AH31" i="2" s="1"/>
  <c r="AB32" i="2"/>
  <c r="AK2" i="3"/>
  <c r="U2" i="4" s="1"/>
  <c r="R55" i="3"/>
  <c r="AL40" i="3"/>
  <c r="U64" i="29" s="1"/>
  <c r="AK44" i="3"/>
  <c r="AL44" i="3" s="1"/>
  <c r="U65" i="29" s="1"/>
  <c r="B276" i="18"/>
  <c r="B288" i="18" s="1"/>
  <c r="U7" i="4"/>
  <c r="S9" i="4"/>
  <c r="W15" i="29"/>
  <c r="Z60" i="29"/>
  <c r="AI60" i="29" s="1"/>
  <c r="S60" i="29"/>
  <c r="V60" i="29" s="1"/>
  <c r="H27" i="31"/>
  <c r="S2" i="31"/>
  <c r="S27" i="31" s="1"/>
  <c r="M32" i="2"/>
  <c r="AK35" i="3"/>
  <c r="AL35" i="3" s="1"/>
  <c r="W11" i="29"/>
  <c r="AK14" i="29"/>
  <c r="AS14" i="29"/>
  <c r="T57" i="29"/>
  <c r="AL86" i="29"/>
  <c r="AK86" i="29"/>
  <c r="AK89" i="29"/>
  <c r="X100" i="29"/>
  <c r="O55" i="3"/>
  <c r="S50" i="4"/>
  <c r="V19" i="5"/>
  <c r="W14" i="29"/>
  <c r="U15" i="29"/>
  <c r="AS15" i="29"/>
  <c r="AL76" i="29"/>
  <c r="U80" i="29"/>
  <c r="AL80" i="29" s="1"/>
  <c r="U83" i="29"/>
  <c r="AL83" i="29" s="1"/>
  <c r="AK85" i="29"/>
  <c r="Y95" i="29"/>
  <c r="U51" i="5"/>
  <c r="AJ51" i="5" s="1"/>
  <c r="U7" i="3"/>
  <c r="W7" i="3" s="1"/>
  <c r="AL7" i="3"/>
  <c r="AH55" i="3"/>
  <c r="AJ55" i="3"/>
  <c r="AK37" i="3"/>
  <c r="AL37" i="3" s="1"/>
  <c r="U63" i="29" s="1"/>
  <c r="AK45" i="3"/>
  <c r="AL4" i="4"/>
  <c r="AK12" i="3"/>
  <c r="AL12" i="3" s="1"/>
  <c r="Q55" i="3"/>
  <c r="AK38" i="3"/>
  <c r="AL38" i="3" s="1"/>
  <c r="AL54" i="3"/>
  <c r="V55" i="3"/>
  <c r="S29" i="3"/>
  <c r="AL29" i="3" s="1"/>
  <c r="U20" i="4" s="1"/>
  <c r="AL2" i="4"/>
  <c r="AK4" i="3"/>
  <c r="W8" i="3"/>
  <c r="W9" i="3"/>
  <c r="AK13" i="3"/>
  <c r="AL13" i="3" s="1"/>
  <c r="AL24" i="3"/>
  <c r="U16" i="4" s="1"/>
  <c r="U45" i="3"/>
  <c r="W45" i="3" s="1"/>
  <c r="AL41" i="3"/>
  <c r="W41" i="3"/>
  <c r="AL46" i="3"/>
  <c r="AI55" i="3"/>
  <c r="AI57" i="3" s="1"/>
  <c r="U44" i="3"/>
  <c r="W44" i="3" s="1"/>
  <c r="P55" i="3"/>
  <c r="S3" i="3"/>
  <c r="AL42" i="3"/>
  <c r="U36" i="4" s="1"/>
  <c r="AG55" i="3"/>
  <c r="AJ57" i="3"/>
  <c r="U54" i="3"/>
  <c r="S60" i="4"/>
  <c r="U34" i="29"/>
  <c r="U10" i="4"/>
  <c r="U57" i="4"/>
  <c r="D326" i="18"/>
  <c r="S11" i="4"/>
  <c r="P64" i="4"/>
  <c r="S61" i="4"/>
  <c r="G13" i="10"/>
  <c r="AT15" i="29"/>
  <c r="AE57" i="29"/>
  <c r="AD66" i="4" s="1"/>
  <c r="AJ67" i="29"/>
  <c r="AK75" i="29"/>
  <c r="AK20" i="29"/>
  <c r="AA56" i="29"/>
  <c r="AJ66" i="29"/>
  <c r="AI68" i="29"/>
  <c r="AJ70" i="29"/>
  <c r="AK80" i="29"/>
  <c r="AL88" i="29"/>
  <c r="AI72" i="29"/>
  <c r="AK76" i="29"/>
  <c r="AK21" i="29"/>
  <c r="AL21" i="29" s="1"/>
  <c r="S63" i="29"/>
  <c r="AL85" i="29"/>
  <c r="Y3" i="29"/>
  <c r="AJ3" i="29" s="1"/>
  <c r="W6" i="29"/>
  <c r="AL18" i="29"/>
  <c r="AI70" i="29"/>
  <c r="AK83" i="29"/>
  <c r="AI67" i="29"/>
  <c r="AL90" i="29"/>
  <c r="AI69" i="29"/>
  <c r="AK74" i="29"/>
  <c r="AK34" i="29"/>
  <c r="AJ72" i="29"/>
  <c r="AI66" i="29"/>
  <c r="AL74" i="29"/>
  <c r="AL75" i="29"/>
  <c r="AL87" i="29"/>
  <c r="AP87" i="29" s="1"/>
  <c r="U91" i="29"/>
  <c r="AL91" i="29" s="1"/>
  <c r="AL93" i="29"/>
  <c r="B751" i="18"/>
  <c r="W7" i="29"/>
  <c r="W8" i="29"/>
  <c r="AI64" i="29"/>
  <c r="AK12" i="29"/>
  <c r="AI65" i="29"/>
  <c r="AK90" i="29"/>
  <c r="U14" i="29"/>
  <c r="AL14" i="29" s="1"/>
  <c r="W34" i="29"/>
  <c r="AB53" i="29"/>
  <c r="S64" i="29"/>
  <c r="X98" i="29"/>
  <c r="L54" i="29"/>
  <c r="T54" i="29" s="1"/>
  <c r="AE63" i="29"/>
  <c r="AI63" i="29" s="1"/>
  <c r="X97" i="29"/>
  <c r="B151" i="18"/>
  <c r="B158" i="18" s="1"/>
  <c r="T56" i="29"/>
  <c r="S65" i="29"/>
  <c r="AN6" i="5"/>
  <c r="S3" i="4"/>
  <c r="S5" i="4"/>
  <c r="U6" i="4"/>
  <c r="U15" i="4"/>
  <c r="S17" i="4"/>
  <c r="S20" i="4"/>
  <c r="AJ20" i="4"/>
  <c r="U21" i="4"/>
  <c r="AJ21" i="4"/>
  <c r="AJ36" i="4"/>
  <c r="U53" i="4"/>
  <c r="T54" i="4"/>
  <c r="S26" i="4"/>
  <c r="S48" i="4"/>
  <c r="S4" i="4"/>
  <c r="U49" i="4"/>
  <c r="T53" i="4"/>
  <c r="S54" i="4"/>
  <c r="AJ9" i="4"/>
  <c r="AH4" i="4"/>
  <c r="AJ4" i="4" s="1"/>
  <c r="J18" i="4"/>
  <c r="Z18" i="4" s="1"/>
  <c r="AJ18" i="4" s="1"/>
  <c r="AJ35" i="4"/>
  <c r="Z39" i="4"/>
  <c r="AJ40" i="4"/>
  <c r="L64" i="4"/>
  <c r="K8" i="4"/>
  <c r="AA8" i="4" s="1"/>
  <c r="AJ8" i="4" s="1"/>
  <c r="H64" i="4"/>
  <c r="AC64" i="4"/>
  <c r="AJ24" i="4"/>
  <c r="S27" i="4"/>
  <c r="K38" i="4"/>
  <c r="AA38" i="4" s="1"/>
  <c r="AJ38" i="4" s="1"/>
  <c r="S44" i="4"/>
  <c r="S45" i="4"/>
  <c r="AJ48" i="4"/>
  <c r="AJ50" i="4"/>
  <c r="I64" i="4"/>
  <c r="U17" i="4"/>
  <c r="AJ41" i="4"/>
  <c r="AJ44" i="4"/>
  <c r="AJ2" i="4"/>
  <c r="O64" i="4"/>
  <c r="U11" i="4"/>
  <c r="AJ22" i="4"/>
  <c r="S40" i="4"/>
  <c r="U60" i="4"/>
  <c r="U68" i="29" s="1"/>
  <c r="U61" i="4"/>
  <c r="S62" i="4"/>
  <c r="M64" i="4"/>
  <c r="S49" i="4"/>
  <c r="S52" i="4"/>
  <c r="N64" i="4"/>
  <c r="AJ60" i="4"/>
  <c r="Z6" i="4"/>
  <c r="K6" i="4"/>
  <c r="D318" i="18"/>
  <c r="S35" i="4"/>
  <c r="AK35" i="4" s="1"/>
  <c r="AN35" i="4" s="1"/>
  <c r="AA39" i="4"/>
  <c r="S39" i="4"/>
  <c r="AJ59" i="4"/>
  <c r="X64" i="4"/>
  <c r="AB64" i="4"/>
  <c r="AJ5" i="4"/>
  <c r="AJ16" i="4"/>
  <c r="AJ52" i="4"/>
  <c r="Y64" i="4"/>
  <c r="AF64" i="4"/>
  <c r="B232" i="18"/>
  <c r="B245" i="18" s="1"/>
  <c r="B247" i="18" s="1"/>
  <c r="U19" i="4"/>
  <c r="S19" i="4"/>
  <c r="AJ28" i="4"/>
  <c r="U29" i="4"/>
  <c r="S29" i="4"/>
  <c r="AJ47" i="4"/>
  <c r="S59" i="4"/>
  <c r="B256" i="18"/>
  <c r="B267" i="18" s="1"/>
  <c r="S51" i="4"/>
  <c r="U62" i="4"/>
  <c r="AE3" i="4"/>
  <c r="K7" i="4"/>
  <c r="S14" i="4"/>
  <c r="U40" i="4"/>
  <c r="T43" i="4"/>
  <c r="S47" i="4"/>
  <c r="AK47" i="4" s="1"/>
  <c r="AN47" i="4" s="1"/>
  <c r="T55" i="4"/>
  <c r="S56" i="4"/>
  <c r="AD56" i="4"/>
  <c r="AD64" i="4" s="1"/>
  <c r="S57" i="4"/>
  <c r="W64" i="4"/>
  <c r="Z26" i="4"/>
  <c r="AJ26" i="4" s="1"/>
  <c r="S41" i="4"/>
  <c r="AK41" i="4" s="1"/>
  <c r="S43" i="4"/>
  <c r="S55" i="4"/>
  <c r="S2" i="4"/>
  <c r="U52" i="4"/>
  <c r="B902" i="18"/>
  <c r="B903" i="18" s="1"/>
  <c r="U8" i="5"/>
  <c r="AJ8" i="5" s="1"/>
  <c r="AI39" i="5"/>
  <c r="U34" i="5"/>
  <c r="AJ34" i="5" s="1"/>
  <c r="M55" i="5"/>
  <c r="AI16" i="5"/>
  <c r="T55" i="5"/>
  <c r="AA32" i="5"/>
  <c r="AJ32" i="5" s="1"/>
  <c r="U46" i="5"/>
  <c r="U7" i="5"/>
  <c r="AI26" i="5"/>
  <c r="AJ39" i="5"/>
  <c r="U44" i="5"/>
  <c r="AJ44" i="5" s="1"/>
  <c r="AI12" i="5"/>
  <c r="U19" i="5"/>
  <c r="AJ19" i="5" s="1"/>
  <c r="AI36" i="5"/>
  <c r="U43" i="5"/>
  <c r="AN45" i="5"/>
  <c r="U48" i="5"/>
  <c r="AJ48" i="5" s="1"/>
  <c r="B869" i="18"/>
  <c r="AI6" i="5"/>
  <c r="U14" i="5"/>
  <c r="U26" i="5"/>
  <c r="AJ26" i="5" s="1"/>
  <c r="U29" i="5"/>
  <c r="U10" i="5"/>
  <c r="AJ10" i="5" s="1"/>
  <c r="AN10" i="5" s="1"/>
  <c r="U11" i="5"/>
  <c r="U13" i="5"/>
  <c r="G17" i="10" s="1"/>
  <c r="AJ17" i="5"/>
  <c r="AI31" i="5"/>
  <c r="AJ36" i="5"/>
  <c r="AI42" i="5"/>
  <c r="U47" i="5"/>
  <c r="AJ47" i="5" s="1"/>
  <c r="G10" i="10"/>
  <c r="AN55" i="5"/>
  <c r="G38" i="10"/>
  <c r="G50" i="10"/>
  <c r="C79" i="18"/>
  <c r="E27" i="18"/>
  <c r="B579" i="18"/>
  <c r="B884" i="18"/>
  <c r="E17" i="18"/>
  <c r="D55" i="18"/>
  <c r="D60" i="18" s="1"/>
  <c r="B730" i="18"/>
  <c r="B835" i="18"/>
  <c r="B860" i="18"/>
  <c r="E46" i="18"/>
  <c r="B329" i="18"/>
  <c r="E7" i="18"/>
  <c r="E38" i="18"/>
  <c r="D77" i="18"/>
  <c r="B777" i="18"/>
  <c r="B844" i="18"/>
  <c r="B852" i="18"/>
  <c r="H8" i="18"/>
  <c r="B77" i="18"/>
  <c r="B712" i="18"/>
  <c r="B789" i="18"/>
  <c r="F329" i="18"/>
  <c r="B687" i="18"/>
  <c r="Y4" i="5"/>
  <c r="AI4" i="5" s="1"/>
  <c r="U4" i="5"/>
  <c r="AG21" i="5"/>
  <c r="AI21" i="5" s="1"/>
  <c r="U21" i="5"/>
  <c r="G4" i="10"/>
  <c r="U24" i="5"/>
  <c r="AH41" i="5"/>
  <c r="U41" i="5"/>
  <c r="AI50" i="5"/>
  <c r="AD55" i="5"/>
  <c r="U3" i="5"/>
  <c r="U6" i="5"/>
  <c r="AJ6" i="5" s="1"/>
  <c r="U50" i="5"/>
  <c r="AJ50" i="5" s="1"/>
  <c r="G28" i="10"/>
  <c r="S55" i="5"/>
  <c r="R55" i="5"/>
  <c r="U52" i="5"/>
  <c r="AJ52" i="5" s="1"/>
  <c r="B668" i="18"/>
  <c r="B669" i="18" s="1"/>
  <c r="AJ2" i="5"/>
  <c r="AI2" i="5"/>
  <c r="AJ16" i="5"/>
  <c r="AH46" i="5"/>
  <c r="J55" i="5"/>
  <c r="U49" i="5"/>
  <c r="AG55" i="5"/>
  <c r="U54" i="5"/>
  <c r="E104" i="18"/>
  <c r="E110" i="18" s="1"/>
  <c r="U12" i="5"/>
  <c r="AJ12" i="5" s="1"/>
  <c r="U25" i="5"/>
  <c r="AJ25" i="5" s="1"/>
  <c r="B553" i="18"/>
  <c r="B560" i="18" s="1"/>
  <c r="AG41" i="5"/>
  <c r="AJ42" i="5"/>
  <c r="B390" i="18"/>
  <c r="B761" i="18"/>
  <c r="U9" i="5"/>
  <c r="U38" i="5"/>
  <c r="AJ38" i="5" s="1"/>
  <c r="G34" i="10"/>
  <c r="W7" i="5"/>
  <c r="AI7" i="5" s="1"/>
  <c r="U31" i="5"/>
  <c r="AJ31" i="5" s="1"/>
  <c r="G23" i="10"/>
  <c r="B871" i="18"/>
  <c r="G45" i="10"/>
  <c r="G21" i="10"/>
  <c r="AH3" i="2" l="1"/>
  <c r="AL4" i="5"/>
  <c r="AN4" i="5" s="1"/>
  <c r="X37" i="6" s="1"/>
  <c r="AL3" i="4"/>
  <c r="AI54" i="5"/>
  <c r="AA55" i="5"/>
  <c r="AE64" i="4"/>
  <c r="AJ3" i="4"/>
  <c r="AK3" i="4"/>
  <c r="AN3" i="4" s="1"/>
  <c r="AJ4" i="5"/>
  <c r="S8" i="4"/>
  <c r="AG64" i="4"/>
  <c r="AH10" i="2"/>
  <c r="T20" i="29" s="1"/>
  <c r="W20" i="29" s="1"/>
  <c r="U58" i="4"/>
  <c r="AH18" i="2"/>
  <c r="D327" i="18"/>
  <c r="B332" i="18" s="1"/>
  <c r="B333" i="18" s="1"/>
  <c r="B334" i="18" s="1"/>
  <c r="F333" i="18" s="1"/>
  <c r="AL34" i="29"/>
  <c r="AH8" i="29"/>
  <c r="AL15" i="29"/>
  <c r="AT14" i="29"/>
  <c r="W2" i="2"/>
  <c r="U20" i="29"/>
  <c r="AL20" i="29" s="1"/>
  <c r="S32" i="2"/>
  <c r="U8" i="4"/>
  <c r="AM6" i="4"/>
  <c r="AH15" i="2"/>
  <c r="AG32" i="2"/>
  <c r="T46" i="3"/>
  <c r="U46" i="3" s="1"/>
  <c r="W46" i="3" s="1"/>
  <c r="W55" i="3" s="1"/>
  <c r="W25" i="2"/>
  <c r="U20" i="2"/>
  <c r="W20" i="2" s="1"/>
  <c r="AH20" i="2"/>
  <c r="AI20" i="2" s="1"/>
  <c r="AM5" i="4"/>
  <c r="T32" i="2"/>
  <c r="AL5" i="4"/>
  <c r="U3" i="4"/>
  <c r="S55" i="3"/>
  <c r="AJ39" i="4"/>
  <c r="S38" i="4"/>
  <c r="Z64" i="4"/>
  <c r="AK5" i="4"/>
  <c r="AH64" i="4"/>
  <c r="AH69" i="4" s="1"/>
  <c r="AH71" i="4" s="1"/>
  <c r="AK4" i="4"/>
  <c r="AN4" i="4" s="1"/>
  <c r="T64" i="4"/>
  <c r="S18" i="4"/>
  <c r="J64" i="4"/>
  <c r="V4" i="5"/>
  <c r="K64" i="4"/>
  <c r="AA6" i="4"/>
  <c r="AJ6" i="4" s="1"/>
  <c r="AJ56" i="4"/>
  <c r="AK2" i="4"/>
  <c r="AN2" i="4" s="1"/>
  <c r="AN41" i="4"/>
  <c r="AK68" i="29"/>
  <c r="AN68" i="29" s="1"/>
  <c r="AA7" i="4"/>
  <c r="AJ7" i="4" s="1"/>
  <c r="S7" i="4"/>
  <c r="S6" i="4"/>
  <c r="G60" i="10"/>
  <c r="AJ46" i="5"/>
  <c r="AI32" i="5"/>
  <c r="B872" i="18"/>
  <c r="AI46" i="5"/>
  <c r="AJ7" i="5"/>
  <c r="B78" i="18"/>
  <c r="U55" i="5"/>
  <c r="AJ49" i="5"/>
  <c r="AJ55" i="5" s="1"/>
  <c r="AJ21" i="5"/>
  <c r="AN5" i="4" l="1"/>
  <c r="U55" i="3"/>
  <c r="U5" i="4"/>
  <c r="AH2" i="2"/>
  <c r="W32" i="2"/>
  <c r="U32" i="2"/>
  <c r="AK6" i="4"/>
  <c r="AA64" i="4"/>
  <c r="AJ64" i="4" s="1"/>
  <c r="S64" i="4"/>
  <c r="AH32" i="2" l="1"/>
  <c r="T19" i="29"/>
  <c r="W19" i="29" l="1"/>
  <c r="U19" i="29"/>
  <c r="AL19" i="29" s="1"/>
  <c r="AE55" i="5" l="1"/>
  <c r="AI55" i="5"/>
  <c r="K34" i="33"/>
  <c r="L34"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100-000001000000}">
      <text>
        <r>
          <rPr>
            <sz val="11"/>
            <color rgb="FF000000"/>
            <rFont val="Arial"/>
            <family val="2"/>
            <scheme val="minor"/>
          </rPr>
          <t>======
ID#AAAAsv7I9Co
Author    (2021-09-13 13:34:11)
5k to 10k From Sep 2020</t>
        </r>
      </text>
    </comment>
    <comment ref="D3" authorId="0" shapeId="0" xr:uid="{00000000-0006-0000-0100-000002000000}">
      <text>
        <r>
          <rPr>
            <sz val="11"/>
            <color rgb="FF000000"/>
            <rFont val="Arial"/>
            <family val="2"/>
            <scheme val="minor"/>
          </rPr>
          <t>======
ID#AAAAsv7I9PM
Author    (2021-09-13 13:34:11)
25k to 30k From Sep2020</t>
        </r>
      </text>
    </comment>
    <comment ref="D4" authorId="0" shapeId="0" xr:uid="{00000000-0006-0000-0100-000003000000}">
      <text>
        <r>
          <rPr>
            <sz val="11"/>
            <color rgb="FF000000"/>
            <rFont val="Arial"/>
            <family val="2"/>
            <scheme val="minor"/>
          </rPr>
          <t>======
ID#AAAAsv7I9P4
Author    (2021-09-13 13:34:11)
[Threaded comment]
Your version of Excel allows you to read this threaded comment; however, any edits to it will get removed if the file is opened in a newer version of Excel. Learn more: https://go.microsoft.com/fwlink/?linkid=870924
Comment:
    1 March2020</t>
        </r>
      </text>
    </comment>
    <comment ref="E4" authorId="0" shapeId="0" xr:uid="{00000000-0006-0000-0100-000004000000}">
      <text>
        <r>
          <rPr>
            <sz val="11"/>
            <color rgb="FF000000"/>
            <rFont val="Arial"/>
            <family val="2"/>
            <scheme val="minor"/>
          </rPr>
          <t>======
ID#AAAAsv7I9Oo
Author    (2021-09-13 13:34:11)
From 1st March
4k to 10k from Nov 2020</t>
        </r>
      </text>
    </comment>
    <comment ref="D5" authorId="0" shapeId="0" xr:uid="{00000000-0006-0000-0100-000005000000}">
      <text>
        <r>
          <rPr>
            <sz val="11"/>
            <color rgb="FF000000"/>
            <rFont val="Arial"/>
            <family val="2"/>
            <scheme val="minor"/>
          </rPr>
          <t>======
ID#AAAAsv7I84c
Author    (2021-09-13 13:34:11)
[Threaded comment]
Your version of Excel allows you to read this threaded comment; however, any edits to it will get removed if the file is opened in a newer version of Excel. Learn more: https://go.microsoft.com/fwlink/?linkid=870924
Comment:
    1 March 2020</t>
        </r>
      </text>
    </comment>
    <comment ref="E5" authorId="0" shapeId="0" xr:uid="{00000000-0006-0000-0100-000006000000}">
      <text>
        <r>
          <rPr>
            <sz val="11"/>
            <color rgb="FF000000"/>
            <rFont val="Arial"/>
            <family val="2"/>
            <scheme val="minor"/>
          </rPr>
          <t>======
ID#AAAAsv7I9Ak
Author    (2021-09-13 13:34:11)
From 1st March</t>
        </r>
      </text>
    </comment>
    <comment ref="E6" authorId="0" shapeId="0" xr:uid="{00000000-0006-0000-0100-000007000000}">
      <text>
        <r>
          <rPr>
            <sz val="11"/>
            <color rgb="FF000000"/>
            <rFont val="Arial"/>
            <family val="2"/>
            <scheme val="minor"/>
          </rPr>
          <t>======
ID#AAAAsv7I9KM
Author    (2021-09-13 13:34:11)
4k to 10k from Nov 2020</t>
        </r>
      </text>
    </comment>
    <comment ref="N6" authorId="0" shapeId="0" xr:uid="{00000000-0006-0000-0100-000008000000}">
      <text>
        <r>
          <rPr>
            <sz val="11"/>
            <color rgb="FF000000"/>
            <rFont val="Arial"/>
            <family val="2"/>
            <scheme val="minor"/>
          </rPr>
          <t>======
ID#AAAAsv7I9JE
Author    (2021-09-13 13:34:11)
Extra Bonus 5000</t>
        </r>
      </text>
    </comment>
    <comment ref="AB6" authorId="0" shapeId="0" xr:uid="{00000000-0006-0000-0100-000009000000}">
      <text>
        <r>
          <rPr>
            <sz val="11"/>
            <color rgb="FF000000"/>
            <rFont val="Arial"/>
            <family val="2"/>
            <scheme val="minor"/>
          </rPr>
          <t>======
ID#AAAAsv7I8_k
Author    (2021-09-13 13:34:11)
Extra Bonus</t>
        </r>
      </text>
    </comment>
    <comment ref="D7" authorId="0" shapeId="0" xr:uid="{00000000-0006-0000-0100-00000A000000}">
      <text>
        <r>
          <rPr>
            <sz val="11"/>
            <color rgb="FF000000"/>
            <rFont val="Arial"/>
            <family val="2"/>
            <scheme val="minor"/>
          </rPr>
          <t>======
ID#AAAAsv7I85Q
Author    (2021-09-13 13:34:11)
1 March2020</t>
        </r>
      </text>
    </comment>
    <comment ref="E7" authorId="0" shapeId="0" xr:uid="{00000000-0006-0000-0100-00000B000000}">
      <text>
        <r>
          <rPr>
            <sz val="11"/>
            <color rgb="FF000000"/>
            <rFont val="Arial"/>
            <family val="2"/>
            <scheme val="minor"/>
          </rPr>
          <t>======
ID#AAAAsv7I9BI
Author    (2021-09-13 13:34:11)
from March
5k to 10k from Nov 2020</t>
        </r>
      </text>
    </comment>
    <comment ref="D8" authorId="0" shapeId="0" xr:uid="{00000000-0006-0000-0100-00000C000000}">
      <text>
        <r>
          <rPr>
            <sz val="11"/>
            <color rgb="FF000000"/>
            <rFont val="Arial"/>
            <family val="2"/>
            <scheme val="minor"/>
          </rPr>
          <t>======
ID#AAAAsv7I9AA
Author    (2021-09-13 13:34:11)
1 March 2020</t>
        </r>
      </text>
    </comment>
    <comment ref="E8" authorId="0" shapeId="0" xr:uid="{00000000-0006-0000-0100-00000D000000}">
      <text>
        <r>
          <rPr>
            <sz val="11"/>
            <color rgb="FF000000"/>
            <rFont val="Arial"/>
            <family val="2"/>
            <scheme val="minor"/>
          </rPr>
          <t>======
ID#AAAAsv7I9DE
Author    (2021-09-13 13:34:11)
from March
5k to 10k from Nov 2020</t>
        </r>
      </text>
    </comment>
    <comment ref="D9" authorId="0" shapeId="0" xr:uid="{00000000-0006-0000-0100-00000E000000}">
      <text>
        <r>
          <rPr>
            <sz val="11"/>
            <color rgb="FF000000"/>
            <rFont val="Arial"/>
            <family val="2"/>
            <scheme val="minor"/>
          </rPr>
          <t>======
ID#AAAAsv7I88A
Author    (2021-09-13 13:34:11)
10k to 15k From Sep 2020</t>
        </r>
      </text>
    </comment>
    <comment ref="E9" authorId="0" shapeId="0" xr:uid="{00000000-0006-0000-0100-00000F000000}">
      <text>
        <r>
          <rPr>
            <sz val="11"/>
            <color rgb="FF000000"/>
            <rFont val="Arial"/>
            <family val="2"/>
            <scheme val="minor"/>
          </rPr>
          <t>======
ID#AAAAsv7I9Lo
Author    (2021-09-13 13:34:11)
5k to 10k From Sep 2020</t>
        </r>
      </text>
    </comment>
    <comment ref="D10" authorId="0" shapeId="0" xr:uid="{00000000-0006-0000-0100-000010000000}">
      <text>
        <r>
          <rPr>
            <sz val="11"/>
            <color rgb="FF000000"/>
            <rFont val="Arial"/>
            <family val="2"/>
            <scheme val="minor"/>
          </rPr>
          <t>======
ID#AAAAsv7I9MI
Safiuddin Ansari    (2019-12-05 06:22:27)
from 6k to 12k from nov 2019</t>
        </r>
      </text>
    </comment>
    <comment ref="E10" authorId="0" shapeId="0" xr:uid="{00000000-0006-0000-0100-000011000000}">
      <text>
        <r>
          <rPr>
            <sz val="11"/>
            <color rgb="FF000000"/>
            <rFont val="Arial"/>
            <family val="2"/>
            <scheme val="minor"/>
          </rPr>
          <t>======
ID#AAAAsv7I9EA
Safiuddin Ansari    (2019-12-05 06:22:27)
from nov 2019</t>
        </r>
      </text>
    </comment>
    <comment ref="N10" authorId="0" shapeId="0" xr:uid="{00000000-0006-0000-0100-000012000000}">
      <text>
        <r>
          <rPr>
            <sz val="11"/>
            <color rgb="FF000000"/>
            <rFont val="Arial"/>
            <family val="2"/>
            <scheme val="minor"/>
          </rPr>
          <t>======
ID#AAAAsv7I9PI
Author    (2021-09-13 13:34:11)
Extra Bonus 5000</t>
        </r>
      </text>
    </comment>
    <comment ref="E11" authorId="0" shapeId="0" xr:uid="{00000000-0006-0000-0100-000013000000}">
      <text>
        <r>
          <rPr>
            <sz val="11"/>
            <color rgb="FF000000"/>
            <rFont val="Arial"/>
            <family val="2"/>
            <scheme val="minor"/>
          </rPr>
          <t>======
ID#AAAAsv7I85M
Author    (2021-09-13 13:34:11)
5k to 10k from Nov 2020</t>
        </r>
      </text>
    </comment>
    <comment ref="D12" authorId="0" shapeId="0" xr:uid="{00000000-0006-0000-0100-000014000000}">
      <text>
        <r>
          <rPr>
            <sz val="11"/>
            <color rgb="FF000000"/>
            <rFont val="Arial"/>
            <family val="2"/>
            <scheme val="minor"/>
          </rPr>
          <t>======
ID#AAAAsv7I9Ho
Author    (2021-09-13 13:34:11)
21k to 25k From Sep 2020</t>
        </r>
      </text>
    </comment>
    <comment ref="E12" authorId="0" shapeId="0" xr:uid="{00000000-0006-0000-0100-000015000000}">
      <text>
        <r>
          <rPr>
            <sz val="11"/>
            <color rgb="FF000000"/>
            <rFont val="Arial"/>
            <family val="2"/>
            <scheme val="minor"/>
          </rPr>
          <t>======
ID#AAAAsv7I9Ds
Author    (2021-09-13 13:34:11)
5k to 10k From Sep 2020</t>
        </r>
      </text>
    </comment>
    <comment ref="E13" authorId="0" shapeId="0" xr:uid="{00000000-0006-0000-0100-000016000000}">
      <text>
        <r>
          <rPr>
            <sz val="11"/>
            <color rgb="FF000000"/>
            <rFont val="Arial"/>
            <family val="2"/>
            <scheme val="minor"/>
          </rPr>
          <t>======
ID#AAAAsv7I9Ao
Author    (2021-09-13 13:34:11)
5k to 10k from Nov 2020</t>
        </r>
      </text>
    </comment>
    <comment ref="D14" authorId="0" shapeId="0" xr:uid="{00000000-0006-0000-0100-000017000000}">
      <text>
        <r>
          <rPr>
            <sz val="11"/>
            <color rgb="FF000000"/>
            <rFont val="Arial"/>
            <family val="2"/>
            <scheme val="minor"/>
          </rPr>
          <t>======
ID#AAAAsv7I9Bk
Author    (2021-09-13 13:34:11)
21k to 25k From Sep 2020</t>
        </r>
      </text>
    </comment>
    <comment ref="E14" authorId="0" shapeId="0" xr:uid="{00000000-0006-0000-0100-000018000000}">
      <text>
        <r>
          <rPr>
            <sz val="11"/>
            <color rgb="FF000000"/>
            <rFont val="Arial"/>
            <family val="2"/>
            <scheme val="minor"/>
          </rPr>
          <t>======
ID#AAAAsv7I9GU
Author    (2021-09-13 13:34:11)
5k to 10k From Sep 2020</t>
        </r>
      </text>
    </comment>
    <comment ref="E15" authorId="0" shapeId="0" xr:uid="{00000000-0006-0000-0100-000019000000}">
      <text>
        <r>
          <rPr>
            <sz val="11"/>
            <color rgb="FF000000"/>
            <rFont val="Arial"/>
            <family val="2"/>
            <scheme val="minor"/>
          </rPr>
          <t>======
ID#AAAAsv7I9EI
Safiuddin Ansari    (2019-12-05 06:22:27)
from October 2019</t>
        </r>
      </text>
    </comment>
    <comment ref="E16" authorId="0" shapeId="0" xr:uid="{00000000-0006-0000-0100-00001A000000}">
      <text>
        <r>
          <rPr>
            <sz val="11"/>
            <color rgb="FF000000"/>
            <rFont val="Arial"/>
            <family val="2"/>
            <scheme val="minor"/>
          </rPr>
          <t>======
ID#AAAAsv7I86c
Author    (2021-09-13 13:34:11)
to be payed with salary
from May on wards</t>
        </r>
      </text>
    </comment>
    <comment ref="Z17" authorId="0" shapeId="0" xr:uid="{00000000-0006-0000-0100-00001B000000}">
      <text>
        <r>
          <rPr>
            <sz val="11"/>
            <color rgb="FF000000"/>
            <rFont val="Arial"/>
            <family val="2"/>
            <scheme val="minor"/>
          </rPr>
          <t>======
ID#AAAAsv7I9B0
Author    (2021-09-13 13:34:11)
by mistake paid his transfer to Safi acc</t>
        </r>
      </text>
    </comment>
    <comment ref="E19" authorId="0" shapeId="0" xr:uid="{00000000-0006-0000-0100-00001C000000}">
      <text>
        <r>
          <rPr>
            <sz val="11"/>
            <color rgb="FF000000"/>
            <rFont val="Arial"/>
            <family val="2"/>
            <scheme val="minor"/>
          </rPr>
          <t>======
ID#AAAAsv7I8_Q
Author    (2021-09-13 13:34:11)
5k to 10k from Nov 2020</t>
        </r>
      </text>
    </comment>
    <comment ref="P20" authorId="0" shapeId="0" xr:uid="{00000000-0006-0000-0100-00001D000000}">
      <text>
        <r>
          <rPr>
            <sz val="11"/>
            <color rgb="FF000000"/>
            <rFont val="Arial"/>
            <family val="2"/>
            <scheme val="minor"/>
          </rPr>
          <t>======
ID#AAAAsv7I8_Y
Author    (2021-09-13 13:34:11)
3000 given in lastr month</t>
        </r>
      </text>
    </comment>
    <comment ref="O21" authorId="0" shapeId="0" xr:uid="{00000000-0006-0000-0100-00001E000000}">
      <text>
        <r>
          <rPr>
            <sz val="11"/>
            <color rgb="FF000000"/>
            <rFont val="Arial"/>
            <family val="2"/>
            <scheme val="minor"/>
          </rPr>
          <t>======
ID#AAAAsv7I86E
Author    (2021-09-13 13:34:11)
given to only perfomance bonus</t>
        </r>
      </text>
    </comment>
    <comment ref="P21" authorId="0" shapeId="0" xr:uid="{00000000-0006-0000-0100-00001F000000}">
      <text>
        <r>
          <rPr>
            <sz val="11"/>
            <color rgb="FF000000"/>
            <rFont val="Arial"/>
            <family val="2"/>
            <scheme val="minor"/>
          </rPr>
          <t>======
ID#AAAAsv7I9M8
Author    (2021-09-13 13:34:11)
3000 given in last month</t>
        </r>
      </text>
    </comment>
    <comment ref="D22" authorId="0" shapeId="0" xr:uid="{00000000-0006-0000-0100-000020000000}">
      <text>
        <r>
          <rPr>
            <sz val="11"/>
            <color rgb="FF000000"/>
            <rFont val="Arial"/>
            <family val="2"/>
            <scheme val="minor"/>
          </rPr>
          <t>======
ID#AAAAsv7I86w
Author    (2021-09-13 13:34:11)
6k to 12k From Aug 2020</t>
        </r>
      </text>
    </comment>
    <comment ref="E22" authorId="0" shapeId="0" xr:uid="{00000000-0006-0000-0100-000021000000}">
      <text>
        <r>
          <rPr>
            <sz val="11"/>
            <color rgb="FF000000"/>
            <rFont val="Arial"/>
            <family val="2"/>
            <scheme val="minor"/>
          </rPr>
          <t>======
ID#AAAAsv7I9Cw
Author    (2021-09-13 13:34:11)
From Aug 2020</t>
        </r>
      </text>
    </comment>
    <comment ref="D23" authorId="0" shapeId="0" xr:uid="{00000000-0006-0000-0100-000022000000}">
      <text>
        <r>
          <rPr>
            <sz val="11"/>
            <color rgb="FF000000"/>
            <rFont val="Arial"/>
            <family val="2"/>
            <scheme val="minor"/>
          </rPr>
          <t>======
ID#AAAAsv7I9I8
Author    (2021-09-13 13:34:11)
6k to 12k From Sep 2020</t>
        </r>
      </text>
    </comment>
    <comment ref="E23" authorId="0" shapeId="0" xr:uid="{00000000-0006-0000-0100-000023000000}">
      <text>
        <r>
          <rPr>
            <sz val="11"/>
            <color rgb="FF000000"/>
            <rFont val="Arial"/>
            <family val="2"/>
            <scheme val="minor"/>
          </rPr>
          <t>======
ID#AAAAsv7I8_A
Author    (2021-09-13 13:34:11)
From Sep 2020</t>
        </r>
      </text>
    </comment>
    <comment ref="D24" authorId="0" shapeId="0" xr:uid="{00000000-0006-0000-0100-000024000000}">
      <text>
        <r>
          <rPr>
            <sz val="11"/>
            <color rgb="FF000000"/>
            <rFont val="Arial"/>
            <family val="2"/>
            <scheme val="minor"/>
          </rPr>
          <t>======
ID#AAAAsv7I9LI
Author    (2021-09-13 13:34:11)
6k to 12k From Sep 2020</t>
        </r>
      </text>
    </comment>
    <comment ref="E24" authorId="0" shapeId="0" xr:uid="{00000000-0006-0000-0100-000025000000}">
      <text>
        <r>
          <rPr>
            <sz val="11"/>
            <color rgb="FF000000"/>
            <rFont val="Arial"/>
            <family val="2"/>
            <scheme val="minor"/>
          </rPr>
          <t>======
ID#AAAAsv7I9Ns
Author    (2021-09-13 13:34:11)
From Sep 2020</t>
        </r>
      </text>
    </comment>
    <comment ref="D25" authorId="0" shapeId="0" xr:uid="{00000000-0006-0000-0100-000026000000}">
      <text>
        <r>
          <rPr>
            <sz val="11"/>
            <color rgb="FF000000"/>
            <rFont val="Arial"/>
            <family val="2"/>
            <scheme val="minor"/>
          </rPr>
          <t>======
ID#AAAAsv7I9Gc
Author    (2021-09-13 13:34:11)
6k to 12k From Sep 2020</t>
        </r>
      </text>
    </comment>
    <comment ref="E25" authorId="0" shapeId="0" xr:uid="{00000000-0006-0000-0100-000027000000}">
      <text>
        <r>
          <rPr>
            <sz val="11"/>
            <color rgb="FF000000"/>
            <rFont val="Arial"/>
            <family val="2"/>
            <scheme val="minor"/>
          </rPr>
          <t>======
ID#AAAAsv7I9AU
Author    (2021-09-13 13:34:11)
From Sep 2020</t>
        </r>
      </text>
    </comment>
    <comment ref="E26" authorId="0" shapeId="0" xr:uid="{00000000-0006-0000-0100-000028000000}">
      <text>
        <r>
          <rPr>
            <sz val="11"/>
            <color rgb="FF000000"/>
            <rFont val="Arial"/>
            <family val="2"/>
            <scheme val="minor"/>
          </rPr>
          <t>======
ID#AAAAsv7I85I
Author    (2021-09-13 13:34:11)
From Sep 2020</t>
        </r>
      </text>
    </comment>
    <comment ref="E27" authorId="0" shapeId="0" xr:uid="{00000000-0006-0000-0100-000029000000}">
      <text>
        <r>
          <rPr>
            <sz val="11"/>
            <color rgb="FF000000"/>
            <rFont val="Arial"/>
            <family val="2"/>
            <scheme val="minor"/>
          </rPr>
          <t>======
ID#AAAAsv7I9CU
Author    (2021-09-13 13:34:11)
from  Oct 2020</t>
        </r>
      </text>
    </comment>
    <comment ref="D30" authorId="0" shapeId="0" xr:uid="{00000000-0006-0000-0100-00002A000000}">
      <text>
        <r>
          <rPr>
            <sz val="11"/>
            <color rgb="FF000000"/>
            <rFont val="Arial"/>
            <family val="2"/>
            <scheme val="minor"/>
          </rPr>
          <t>======
ID#AAAAsv7I9DQ
Safiuddin Ansari    (2019-12-05 06:22:27)
from 1st nov 2019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1000000}">
      <text>
        <r>
          <rPr>
            <sz val="11"/>
            <color rgb="FF000000"/>
            <rFont val="Arial"/>
            <family val="2"/>
            <scheme val="minor"/>
          </rPr>
          <t>======
ID#AAAAsv7I87k
Iqra Technology    (2021-09-03 07:02:00)
1 Sep 2021</t>
        </r>
      </text>
    </comment>
    <comment ref="E2" authorId="0" shapeId="0" xr:uid="{00000000-0006-0000-0200-000002000000}">
      <text>
        <r>
          <rPr>
            <sz val="11"/>
            <color rgb="FF000000"/>
            <rFont val="Arial"/>
            <family val="2"/>
            <scheme val="minor"/>
          </rPr>
          <t>======
ID#AAAAsv7I89o
Author    (2021-09-13 13:34:11)
Start from 1 Jan 2021</t>
        </r>
      </text>
    </comment>
    <comment ref="D3" authorId="0" shapeId="0" xr:uid="{00000000-0006-0000-0200-000003000000}">
      <text>
        <r>
          <rPr>
            <sz val="11"/>
            <color rgb="FF000000"/>
            <rFont val="Arial"/>
            <family val="2"/>
            <scheme val="minor"/>
          </rPr>
          <t>======
ID#AAAAsv7I85c
Ansari Yasmeen    (2021-02-18 13:46:24)
from Feb 2021</t>
        </r>
      </text>
    </comment>
    <comment ref="E3" authorId="0" shapeId="0" xr:uid="{00000000-0006-0000-0200-000004000000}">
      <text>
        <r>
          <rPr>
            <sz val="11"/>
            <color rgb="FF000000"/>
            <rFont val="Arial"/>
            <family val="2"/>
            <scheme val="minor"/>
          </rPr>
          <t>======
ID#AAAAsv7I9BE
Author    (2021-09-13 13:34:11)
5k to 10k from Nov 2020</t>
        </r>
      </text>
    </comment>
    <comment ref="D4" authorId="0" shapeId="0" xr:uid="{00000000-0006-0000-0200-000005000000}">
      <text>
        <r>
          <rPr>
            <sz val="11"/>
            <color rgb="FF000000"/>
            <rFont val="Arial"/>
            <family val="2"/>
            <scheme val="minor"/>
          </rPr>
          <t>======
ID#AAAAsv7I9A4
Ansari Yasmeen    (2021-02-18 13:46:24)
Start from Jan 2021
6k to 12k from Sep 2021</t>
        </r>
      </text>
    </comment>
    <comment ref="D5" authorId="0" shapeId="0" xr:uid="{00000000-0006-0000-0200-000006000000}">
      <text>
        <r>
          <rPr>
            <sz val="11"/>
            <color rgb="FF000000"/>
            <rFont val="Arial"/>
            <family val="2"/>
            <scheme val="minor"/>
          </rPr>
          <t>======
ID#AAAAsv7I9G4
Iqra Technology    (2021-09-03 07:02:00)
Start from may 2021</t>
        </r>
      </text>
    </comment>
    <comment ref="E5" authorId="0" shapeId="0" xr:uid="{00000000-0006-0000-0200-000007000000}">
      <text>
        <r>
          <rPr>
            <sz val="11"/>
            <color rgb="FF000000"/>
            <rFont val="Arial"/>
            <family val="2"/>
            <scheme val="minor"/>
          </rPr>
          <t>======
ID#AAAAsv7I9Nw
Safiuddin Ansari    (2019-12-05 06:22:27)
from October 2019</t>
        </r>
      </text>
    </comment>
    <comment ref="E7" authorId="0" shapeId="0" xr:uid="{00000000-0006-0000-0200-000008000000}">
      <text>
        <r>
          <rPr>
            <sz val="11"/>
            <color rgb="FF000000"/>
            <rFont val="Arial"/>
            <family val="2"/>
            <scheme val="minor"/>
          </rPr>
          <t>======
ID#AAAAsv7I9L8
Author    (2021-09-13 13:34:11)
5k to 10k from Nov 2020</t>
        </r>
      </text>
    </comment>
    <comment ref="AD7" authorId="0" shapeId="0" xr:uid="{00000000-0006-0000-0200-000009000000}">
      <text>
        <r>
          <rPr>
            <sz val="11"/>
            <color rgb="FF000000"/>
            <rFont val="Arial"/>
            <family val="2"/>
            <scheme val="minor"/>
          </rPr>
          <t>======
ID#AAAAsv7I9LM
Author    (2021-09-13 13:34:11)
1750 deduct amount as TDS.</t>
        </r>
      </text>
    </comment>
    <comment ref="AI8" authorId="0" shapeId="0" xr:uid="{00000000-0006-0000-0200-00000A000000}">
      <text>
        <r>
          <rPr>
            <sz val="11"/>
            <color rgb="FF000000"/>
            <rFont val="Arial"/>
            <family val="2"/>
            <scheme val="minor"/>
          </rPr>
          <t>======
ID#AAAAsv7I9HI
Ansari Yasmeen    (2021-11-29 11:04:47)
salry me se deduct ho gaya</t>
        </r>
      </text>
    </comment>
    <comment ref="D9" authorId="0" shapeId="0" xr:uid="{00000000-0006-0000-0200-00000B000000}">
      <text>
        <r>
          <rPr>
            <sz val="11"/>
            <color rgb="FF000000"/>
            <rFont val="Arial"/>
            <family val="2"/>
            <scheme val="minor"/>
          </rPr>
          <t>======
ID#AAAAsv7I9FY
Ansari Yasmeen    (2021-09-14 06:49:17)
6k to 12k from Sep 2021</t>
        </r>
      </text>
    </comment>
    <comment ref="E9" authorId="0" shapeId="0" xr:uid="{00000000-0006-0000-0200-00000C000000}">
      <text>
        <r>
          <rPr>
            <sz val="11"/>
            <color rgb="FF000000"/>
            <rFont val="Arial"/>
            <family val="2"/>
            <scheme val="minor"/>
          </rPr>
          <t>======
ID#AAAAsv7I87Y
Author    (2021-09-13 13:34:11)
From 1st March</t>
        </r>
      </text>
    </comment>
    <comment ref="P9" authorId="0" shapeId="0" xr:uid="{00000000-0006-0000-0200-00000D000000}">
      <text>
        <r>
          <rPr>
            <sz val="11"/>
            <color rgb="FF000000"/>
            <rFont val="Arial"/>
            <family val="2"/>
            <scheme val="minor"/>
          </rPr>
          <t>======
ID#AAAAsv7I87Q
User    (2021-11-08 11:43:48)
5 days absent</t>
        </r>
      </text>
    </comment>
    <comment ref="E10" authorId="0" shapeId="0" xr:uid="{00000000-0006-0000-0200-00000E000000}">
      <text>
        <r>
          <rPr>
            <sz val="11"/>
            <color rgb="FF000000"/>
            <rFont val="Arial"/>
            <family val="2"/>
            <scheme val="minor"/>
          </rPr>
          <t>======
ID#AAAAsv7I9EQ
Author    (2021-09-13 13:34:11)
2k to 10k form Aug 2021</t>
        </r>
      </text>
    </comment>
    <comment ref="P10" authorId="0" shapeId="0" xr:uid="{00000000-0006-0000-0200-00000F000000}">
      <text>
        <r>
          <rPr>
            <sz val="11"/>
            <color rgb="FF000000"/>
            <rFont val="Arial"/>
            <family val="2"/>
            <scheme val="minor"/>
          </rPr>
          <t>======
ID#AAAAsv7I89U
User    (2021-11-08 11:43:48)
15 working days annual leave</t>
        </r>
      </text>
    </comment>
    <comment ref="D12" authorId="0" shapeId="0" xr:uid="{00000000-0006-0000-0200-000010000000}">
      <text>
        <r>
          <rPr>
            <sz val="11"/>
            <color rgb="FF000000"/>
            <rFont val="Arial"/>
            <family val="2"/>
            <scheme val="minor"/>
          </rPr>
          <t>======
ID#AAAAsv7I9Is
Ansari Yasmeen    (2021-02-18 13:46:24)
Start from Jan 2021
12k to 18k from Sep 2021</t>
        </r>
      </text>
    </comment>
    <comment ref="E12" authorId="0" shapeId="0" xr:uid="{00000000-0006-0000-0200-000011000000}">
      <text>
        <r>
          <rPr>
            <sz val="11"/>
            <color rgb="FF000000"/>
            <rFont val="Arial"/>
            <family val="2"/>
            <scheme val="minor"/>
          </rPr>
          <t>======
ID#AAAAsv7I9Fo
Author    (2021-09-13 13:34:11)
5k to 10k from Nov 2020</t>
        </r>
      </text>
    </comment>
    <comment ref="D14" authorId="0" shapeId="0" xr:uid="{00000000-0006-0000-0200-000012000000}">
      <text>
        <r>
          <rPr>
            <sz val="11"/>
            <color rgb="FF000000"/>
            <rFont val="Arial"/>
            <family val="2"/>
            <scheme val="minor"/>
          </rPr>
          <t>======
ID#AAAAsv7I84s
Author    (2021-09-13 13:34:11)
25k to 30k From Sep2020</t>
        </r>
      </text>
    </comment>
    <comment ref="J14" authorId="0" shapeId="0" xr:uid="{00000000-0006-0000-0200-000013000000}">
      <text>
        <r>
          <rPr>
            <sz val="11"/>
            <color rgb="FF000000"/>
            <rFont val="Arial"/>
            <family val="2"/>
            <scheme val="minor"/>
          </rPr>
          <t>======
ID#AAAAsv7I9NE
Author    (2021-09-13 13:34:11)
May month bonus for adjusting bonus rules</t>
        </r>
      </text>
    </comment>
    <comment ref="K14" authorId="0" shapeId="0" xr:uid="{00000000-0006-0000-0200-000014000000}">
      <text>
        <r>
          <rPr>
            <sz val="11"/>
            <color rgb="FF000000"/>
            <rFont val="Arial"/>
            <family val="2"/>
            <scheme val="minor"/>
          </rPr>
          <t>======
ID#AAAAsv7I8-U
Author    (2021-09-13 13:34:11)
for Adjusting
April month bonus give to this month</t>
        </r>
      </text>
    </comment>
    <comment ref="D15" authorId="0" shapeId="0" xr:uid="{00000000-0006-0000-0200-000015000000}">
      <text>
        <r>
          <rPr>
            <sz val="11"/>
            <color rgb="FF000000"/>
            <rFont val="Arial"/>
            <family val="2"/>
            <scheme val="minor"/>
          </rPr>
          <t>======
ID#AAAAsv7I9Ik
Author    (2021-09-13 13:34:11)
21k to 25k From Sep 2020</t>
        </r>
      </text>
    </comment>
    <comment ref="E15" authorId="0" shapeId="0" xr:uid="{00000000-0006-0000-0200-000016000000}">
      <text>
        <r>
          <rPr>
            <sz val="11"/>
            <color rgb="FF000000"/>
            <rFont val="Arial"/>
            <family val="2"/>
            <scheme val="minor"/>
          </rPr>
          <t>======
ID#AAAAsv7I84E
Author    (2021-09-13 13:34:11)
5k to 10k From Sep 2020</t>
        </r>
      </text>
    </comment>
    <comment ref="D16" authorId="0" shapeId="0" xr:uid="{00000000-0006-0000-0200-000017000000}">
      <text>
        <r>
          <rPr>
            <sz val="11"/>
            <color rgb="FF000000"/>
            <rFont val="Arial"/>
            <family val="2"/>
            <scheme val="minor"/>
          </rPr>
          <t>======
ID#AAAAsv7I8_8
Author    (2021-09-13 13:34:11)
6k to 12k From Sep 2020
30k May 2021</t>
        </r>
      </text>
    </comment>
    <comment ref="E16" authorId="0" shapeId="0" xr:uid="{00000000-0006-0000-0200-000018000000}">
      <text>
        <r>
          <rPr>
            <sz val="11"/>
            <color rgb="FF000000"/>
            <rFont val="Arial"/>
            <family val="2"/>
            <scheme val="minor"/>
          </rPr>
          <t>======
ID#AAAAsv7I9KQ
Author    (2021-09-13 13:34:11)
From Sep 2020</t>
        </r>
      </text>
    </comment>
    <comment ref="D17" authorId="0" shapeId="0" xr:uid="{00000000-0006-0000-0200-000019000000}">
      <text>
        <r>
          <rPr>
            <sz val="11"/>
            <color rgb="FF000000"/>
            <rFont val="Arial"/>
            <family val="2"/>
            <scheme val="minor"/>
          </rPr>
          <t>======
ID#AAAAsv7I9Gk
Author    (2021-09-13 13:34:11)
[Threaded comment]
Your version of Excel allows you to read this threaded comment; however, any edits to it will get removed if the file is opened in a newer version of Excel. Learn more: https://go.microsoft.com/fwlink/?linkid=870924
Comment:
    1 March2020
20k to 25k from April 2021</t>
        </r>
      </text>
    </comment>
    <comment ref="E17" authorId="0" shapeId="0" xr:uid="{00000000-0006-0000-0200-00001A000000}">
      <text>
        <r>
          <rPr>
            <sz val="11"/>
            <color rgb="FF000000"/>
            <rFont val="Arial"/>
            <family val="2"/>
            <scheme val="minor"/>
          </rPr>
          <t>======
ID#AAAAsv7I9F0
Author    (2021-09-13 13:34:11)
From 1st March
4k to 10k from Nov 2020</t>
        </r>
      </text>
    </comment>
    <comment ref="D18" authorId="0" shapeId="0" xr:uid="{00000000-0006-0000-0200-00001B000000}">
      <text>
        <r>
          <rPr>
            <sz val="11"/>
            <color rgb="FF000000"/>
            <rFont val="Arial"/>
            <family val="2"/>
            <scheme val="minor"/>
          </rPr>
          <t>======
ID#AAAAsv7I9H0
Ansari Yasmeen    (2022-01-17 10:28:43)
12k to 20k from Sep 2021</t>
        </r>
      </text>
    </comment>
    <comment ref="E18" authorId="0" shapeId="0" xr:uid="{00000000-0006-0000-0200-00001C000000}">
      <text>
        <r>
          <rPr>
            <sz val="11"/>
            <color rgb="FF000000"/>
            <rFont val="Arial"/>
            <family val="2"/>
            <scheme val="minor"/>
          </rPr>
          <t>======
ID#AAAAsv7I9P8
Ansari Yasmeen    (2021-10-11 13:26:14)
4k to 5k from sep 2021</t>
        </r>
      </text>
    </comment>
    <comment ref="P18" authorId="0" shapeId="0" xr:uid="{00000000-0006-0000-0200-00001D000000}">
      <text>
        <r>
          <rPr>
            <sz val="11"/>
            <color rgb="FF000000"/>
            <rFont val="Arial"/>
            <family val="2"/>
            <scheme val="minor"/>
          </rPr>
          <t>======
ID#AAAAsv7I9FM
User    (2021-11-08 11:43:48)
15 workig days annual leave</t>
        </r>
      </text>
    </comment>
    <comment ref="AD19" authorId="0" shapeId="0" xr:uid="{00000000-0006-0000-0200-00001E000000}">
      <text>
        <r>
          <rPr>
            <sz val="11"/>
            <color rgb="FF000000"/>
            <rFont val="Arial"/>
            <family val="2"/>
            <scheme val="minor"/>
          </rPr>
          <t>======
ID#AAAAsv7I88w
Iqra Technology    (2022-01-19 10:18:43)
tds amount deduct 1750 of june month</t>
        </r>
      </text>
    </comment>
    <comment ref="D20" authorId="0" shapeId="0" xr:uid="{00000000-0006-0000-0200-00001F000000}">
      <text>
        <r>
          <rPr>
            <sz val="11"/>
            <color rgb="FF000000"/>
            <rFont val="Arial"/>
            <family val="2"/>
            <scheme val="minor"/>
          </rPr>
          <t>======
ID#AAAAsv7I9Cg
Ansari Yasmeen    (2022-01-17 10:28:43)
14k to 25k from Oct 2021</t>
        </r>
      </text>
    </comment>
    <comment ref="E20" authorId="0" shapeId="0" xr:uid="{00000000-0006-0000-0200-000020000000}">
      <text>
        <r>
          <rPr>
            <sz val="11"/>
            <color rgb="FF000000"/>
            <rFont val="Arial"/>
            <family val="2"/>
            <scheme val="minor"/>
          </rPr>
          <t>======
ID#AAAAx7fxtuY
Iqra Technology    (2021-09-03 07:02:00)
3-6-2021</t>
        </r>
      </text>
    </comment>
    <comment ref="E21" authorId="0" shapeId="0" xr:uid="{00000000-0006-0000-0200-000021000000}">
      <text>
        <r>
          <rPr>
            <sz val="11"/>
            <color rgb="FF000000"/>
            <rFont val="Arial"/>
            <family val="2"/>
            <scheme val="minor"/>
          </rPr>
          <t>======
ID#AAAAsv7I9KU
Author    (2021-09-13 13:34:11)
Start from Feb 2021</t>
        </r>
      </text>
    </comment>
    <comment ref="AB21" authorId="0" shapeId="0" xr:uid="{00000000-0006-0000-0200-000022000000}">
      <text>
        <r>
          <rPr>
            <sz val="11"/>
            <color rgb="FF000000"/>
            <rFont val="Arial"/>
            <family val="2"/>
            <scheme val="minor"/>
          </rPr>
          <t>======
ID#AAAAsv7I9Hg
Author    (2021-09-13 13:34:11)
2 month bonus is add remaining amount 2000 I transferred</t>
        </r>
      </text>
    </comment>
    <comment ref="E22" authorId="0" shapeId="0" xr:uid="{00000000-0006-0000-0200-000023000000}">
      <text>
        <r>
          <rPr>
            <sz val="11"/>
            <color rgb="FF000000"/>
            <rFont val="Arial"/>
            <family val="2"/>
            <scheme val="minor"/>
          </rPr>
          <t>======
ID#AAAAsv7I89E
Author    (2021-09-13 13:34:11)
Start from Feb 2021</t>
        </r>
      </text>
    </comment>
    <comment ref="D23" authorId="0" shapeId="0" xr:uid="{00000000-0006-0000-0200-000024000000}">
      <text>
        <r>
          <rPr>
            <sz val="11"/>
            <color rgb="FF000000"/>
            <rFont val="Arial"/>
            <family val="2"/>
            <scheme val="minor"/>
          </rPr>
          <t>======
ID#AAAAsv7I844
Author    (2021-09-13 13:34:11)
6k to 12k from Sep 2021</t>
        </r>
      </text>
    </comment>
    <comment ref="E23" authorId="0" shapeId="0" xr:uid="{00000000-0006-0000-0200-000025000000}">
      <text>
        <r>
          <rPr>
            <sz val="11"/>
            <color rgb="FF000000"/>
            <rFont val="Arial"/>
            <family val="2"/>
            <scheme val="minor"/>
          </rPr>
          <t>======
ID#AAAAsv7I8-g
Author    (2021-09-13 13:34:11)
Start from Feb 2021</t>
        </r>
      </text>
    </comment>
    <comment ref="P23" authorId="0" shapeId="0" xr:uid="{00000000-0006-0000-0200-000026000000}">
      <text>
        <r>
          <rPr>
            <sz val="11"/>
            <color rgb="FF000000"/>
            <rFont val="Arial"/>
            <family val="2"/>
            <scheme val="minor"/>
          </rPr>
          <t>======
ID#AAAAsv7I9Kw
User    (2021-11-08 11:43:48)
5 days absent</t>
        </r>
      </text>
    </comment>
    <comment ref="D24" authorId="0" shapeId="0" xr:uid="{00000000-0006-0000-0200-000027000000}">
      <text>
        <r>
          <rPr>
            <sz val="11"/>
            <color rgb="FF000000"/>
            <rFont val="Arial"/>
            <family val="2"/>
            <scheme val="minor"/>
          </rPr>
          <t>======
ID#AAAAsv7I85k
Author    (2021-09-13 13:34:11)
from April 2021
6k to 12k from july 2021</t>
        </r>
      </text>
    </comment>
    <comment ref="E24" authorId="0" shapeId="0" xr:uid="{00000000-0006-0000-0200-000028000000}">
      <text>
        <r>
          <rPr>
            <sz val="11"/>
            <color rgb="FF000000"/>
            <rFont val="Arial"/>
            <family val="2"/>
            <scheme val="minor"/>
          </rPr>
          <t>======
ID#AAAAsv7I9Mo
Author    (2021-09-13 13:34:11)
July 2021</t>
        </r>
      </text>
    </comment>
    <comment ref="D25" authorId="0" shapeId="0" xr:uid="{00000000-0006-0000-0200-000029000000}">
      <text>
        <r>
          <rPr>
            <sz val="11"/>
            <color rgb="FF000000"/>
            <rFont val="Arial"/>
            <family val="2"/>
            <scheme val="minor"/>
          </rPr>
          <t>======
ID#AAAAsv7I9GM
User    (2021-09-03 07:02:00)
6k to 12k from july 2021
12k to 14k from Oct 2021</t>
        </r>
      </text>
    </comment>
    <comment ref="E25" authorId="0" shapeId="0" xr:uid="{00000000-0006-0000-0200-00002A000000}">
      <text>
        <r>
          <rPr>
            <sz val="11"/>
            <color rgb="FF000000"/>
            <rFont val="Arial"/>
            <family val="2"/>
            <scheme val="minor"/>
          </rPr>
          <t>======
ID#AAAAsv7I9CE
User    (2021-09-03 07:02:00)
july 2021</t>
        </r>
      </text>
    </comment>
    <comment ref="E26" authorId="0" shapeId="0" xr:uid="{00000000-0006-0000-0200-00002B000000}">
      <text>
        <r>
          <rPr>
            <sz val="11"/>
            <color rgb="FF000000"/>
            <rFont val="Arial"/>
            <family val="2"/>
            <scheme val="minor"/>
          </rPr>
          <t>======
ID#AAAAsv7I9I4
Author    (2021-09-13 13:34:11)
Start from Feb 2021</t>
        </r>
      </text>
    </comment>
    <comment ref="D29" authorId="0" shapeId="0" xr:uid="{00000000-0006-0000-0200-00002C000000}">
      <text>
        <r>
          <rPr>
            <sz val="11"/>
            <color rgb="FF000000"/>
            <rFont val="Arial"/>
            <family val="2"/>
            <scheme val="minor"/>
          </rPr>
          <t>======
ID#AAAAsv7I9Mk
Ansari Yasmeen    (2020-10-16 13:34:01)
21k to 25k from sep 2020
25k to 30k from apr 2021
30k to 35k from sep 2021</t>
        </r>
      </text>
    </comment>
    <comment ref="E29" authorId="0" shapeId="0" xr:uid="{00000000-0006-0000-0200-00002D000000}">
      <text>
        <r>
          <rPr>
            <sz val="11"/>
            <color rgb="FF000000"/>
            <rFont val="Arial"/>
            <family val="2"/>
            <scheme val="minor"/>
          </rPr>
          <t>======
ID#AAAAsv7I84o
    (2021-10-11 13:10:44)
Start form 1 Oct 2021</t>
        </r>
      </text>
    </comment>
    <comment ref="D30" authorId="0" shapeId="0" xr:uid="{00000000-0006-0000-0200-00002E000000}">
      <text>
        <r>
          <rPr>
            <sz val="11"/>
            <color rgb="FF000000"/>
            <rFont val="Arial"/>
            <family val="2"/>
            <scheme val="minor"/>
          </rPr>
          <t>======
ID#AAAAsv7I9C4
User    (2021-11-09 08:13:32)
increment 35k to 47k from 25 Oct 2021</t>
        </r>
      </text>
    </comment>
    <comment ref="E30" authorId="0" shapeId="0" xr:uid="{00000000-0006-0000-0200-00002F000000}">
      <text>
        <r>
          <rPr>
            <sz val="11"/>
            <color rgb="FF000000"/>
            <rFont val="Arial"/>
            <family val="2"/>
            <scheme val="minor"/>
          </rPr>
          <t>======
ID#AAAAsv7I9LE
User    (2022-01-17 10:28:43)
10000 to 5k from 25 oct 2021
after 6 month increment 5k</t>
        </r>
      </text>
    </comment>
    <comment ref="R30" authorId="0" shapeId="0" xr:uid="{00000000-0006-0000-0200-000030000000}">
      <text>
        <r>
          <rPr>
            <sz val="11"/>
            <color rgb="FF000000"/>
            <rFont val="Arial"/>
            <family val="2"/>
            <scheme val="minor"/>
          </rPr>
          <t>======
ID#AAAAsv7I84U
Ansari Yasmeen    (2021-12-27 05:24:39)
I will deduct in his salary</t>
        </r>
      </text>
    </comment>
    <comment ref="E31" authorId="0" shapeId="0" xr:uid="{00000000-0006-0000-0200-000031000000}">
      <text>
        <r>
          <rPr>
            <sz val="11"/>
            <color rgb="FF000000"/>
            <rFont val="Arial"/>
            <family val="2"/>
            <scheme val="minor"/>
          </rPr>
          <t>======
ID#AAAAsv7I9EE
Author    (2021-09-13 13:34:11)
Start from May 2021</t>
        </r>
      </text>
    </comment>
    <comment ref="D32" authorId="0" shapeId="0" xr:uid="{00000000-0006-0000-0200-000032000000}">
      <text>
        <r>
          <rPr>
            <sz val="11"/>
            <color rgb="FF000000"/>
            <rFont val="Arial"/>
            <family val="2"/>
            <scheme val="minor"/>
          </rPr>
          <t>======
ID#AAAAsv7I9Ck
Author    (2021-09-13 13:34:11)
6k to 12k From Sep 2020
20k  May 2021</t>
        </r>
      </text>
    </comment>
    <comment ref="E32" authorId="0" shapeId="0" xr:uid="{00000000-0006-0000-0200-000033000000}">
      <text>
        <r>
          <rPr>
            <sz val="11"/>
            <color rgb="FF000000"/>
            <rFont val="Arial"/>
            <family val="2"/>
            <scheme val="minor"/>
          </rPr>
          <t>======
ID#AAAAsv7I9Lw
Author    (2021-09-13 13:34:11)
From Sep 2020</t>
        </r>
      </text>
    </comment>
    <comment ref="D34" authorId="0" shapeId="0" xr:uid="{00000000-0006-0000-0200-000034000000}">
      <text>
        <r>
          <rPr>
            <sz val="11"/>
            <color rgb="FF000000"/>
            <rFont val="Arial"/>
            <family val="2"/>
            <scheme val="minor"/>
          </rPr>
          <t>======
ID#AAAAsv7I9Ps
Author    (2021-09-13 13:34:11)
June 2021</t>
        </r>
      </text>
    </comment>
    <comment ref="E34" authorId="0" shapeId="0" xr:uid="{00000000-0006-0000-0200-000035000000}">
      <text>
        <r>
          <rPr>
            <sz val="11"/>
            <color rgb="FF000000"/>
            <rFont val="Arial"/>
            <family val="2"/>
            <scheme val="minor"/>
          </rPr>
          <t>======
ID#AAAAsv7I9PU
Author    (2021-09-13 13:34:11)
June 2021</t>
        </r>
      </text>
    </comment>
    <comment ref="AF37" authorId="0" shapeId="0" xr:uid="{00000000-0006-0000-0200-000036000000}">
      <text>
        <r>
          <rPr>
            <sz val="11"/>
            <color rgb="FF000000"/>
            <rFont val="Arial"/>
            <family val="2"/>
            <scheme val="minor"/>
          </rPr>
          <t>======
ID#AAAAsv7I86o
Ansari Yasmeen    (2021-11-10 11:21:21)
Abby bonus 
remaing amount transfer to yusuf</t>
        </r>
      </text>
    </comment>
    <comment ref="AF38" authorId="0" shapeId="0" xr:uid="{00000000-0006-0000-0200-000037000000}">
      <text>
        <r>
          <rPr>
            <sz val="11"/>
            <color rgb="FF000000"/>
            <rFont val="Arial"/>
            <family val="2"/>
            <scheme val="minor"/>
          </rPr>
          <t>======
ID#AAAAsv7I9Mw
Ansari Yasmeen    (2021-11-10 11:21:21)
Abby bonus 
remaing amount transfer to yusu</t>
        </r>
      </text>
    </comment>
    <comment ref="D39" authorId="0" shapeId="0" xr:uid="{00000000-0006-0000-0200-000038000000}">
      <text>
        <r>
          <rPr>
            <sz val="11"/>
            <color rgb="FF000000"/>
            <rFont val="Arial"/>
            <family val="2"/>
            <scheme val="minor"/>
          </rPr>
          <t>======
ID#AAAAsv7I9KA
user    (2021-02-18 13:46:24)
6k to 10k from march
10k to 14k from Jan 2021</t>
        </r>
      </text>
    </comment>
    <comment ref="E39" authorId="0" shapeId="0" xr:uid="{00000000-0006-0000-0200-000039000000}">
      <text>
        <r>
          <rPr>
            <sz val="11"/>
            <color rgb="FF000000"/>
            <rFont val="Arial"/>
            <family val="2"/>
            <scheme val="minor"/>
          </rPr>
          <t>======
ID#AAAAsv7I880
user    (2020-10-16 13:34:01)
From March</t>
        </r>
      </text>
    </comment>
    <comment ref="D41" authorId="0" shapeId="0" xr:uid="{00000000-0006-0000-0200-00003A000000}">
      <text>
        <r>
          <rPr>
            <sz val="11"/>
            <color rgb="FF000000"/>
            <rFont val="Arial"/>
            <family val="2"/>
            <scheme val="minor"/>
          </rPr>
          <t>======
ID#AAAAsv7I9CA
Ansari Yasmeen    (2021-10-11 13:26:14)
after 6 month Sep2021
15k to 20k</t>
        </r>
      </text>
    </comment>
    <comment ref="E41" authorId="0" shapeId="0" xr:uid="{00000000-0006-0000-0200-00003B000000}">
      <text>
        <r>
          <rPr>
            <sz val="11"/>
            <color rgb="FF000000"/>
            <rFont val="Arial"/>
            <family val="2"/>
            <scheme val="minor"/>
          </rPr>
          <t>======
ID#AAAAsv7I8-8
Author    (2021-09-13 13:34:11)
Start July 2021</t>
        </r>
      </text>
    </comment>
    <comment ref="E42" authorId="0" shapeId="0" xr:uid="{00000000-0006-0000-0200-00003C000000}">
      <text>
        <r>
          <rPr>
            <sz val="11"/>
            <color rgb="FF000000"/>
            <rFont val="Arial"/>
            <family val="2"/>
            <scheme val="minor"/>
          </rPr>
          <t>======
ID#AAAAsv7I9DU
Author    (2021-09-13 13:34:11)
july 2021</t>
        </r>
      </text>
    </comment>
    <comment ref="E44" authorId="0" shapeId="0" xr:uid="{00000000-0006-0000-0200-00003D000000}">
      <text>
        <r>
          <rPr>
            <sz val="11"/>
            <color rgb="FF000000"/>
            <rFont val="Arial"/>
            <family val="2"/>
            <scheme val="minor"/>
          </rPr>
          <t>======
ID#AAAAsv7I9Jk
Author    (2021-09-13 13:34:11)
Start from April 2021</t>
        </r>
      </text>
    </comment>
    <comment ref="D45" authorId="0" shapeId="0" xr:uid="{00000000-0006-0000-0200-00003E000000}">
      <text>
        <r>
          <rPr>
            <sz val="11"/>
            <color rgb="FF000000"/>
            <rFont val="Arial"/>
            <family val="2"/>
            <scheme val="minor"/>
          </rPr>
          <t>======
ID#AAAAsv7I9AM
Author    (2021-09-13 13:34:11)
6k to 12k from July 2021</t>
        </r>
      </text>
    </comment>
    <comment ref="E45" authorId="0" shapeId="0" xr:uid="{00000000-0006-0000-0200-00003F000000}">
      <text>
        <r>
          <rPr>
            <sz val="11"/>
            <color rgb="FF000000"/>
            <rFont val="Arial"/>
            <family val="2"/>
            <scheme val="minor"/>
          </rPr>
          <t>======
ID#AAAAsv7I9DY
Author    (2021-09-13 13:34:11)
July 2021</t>
        </r>
      </text>
    </comment>
    <comment ref="D46" authorId="0" shapeId="0" xr:uid="{00000000-0006-0000-0200-000040000000}">
      <text>
        <r>
          <rPr>
            <sz val="11"/>
            <color rgb="FF000000"/>
            <rFont val="Arial"/>
            <family val="2"/>
            <scheme val="minor"/>
          </rPr>
          <t>======
ID#AAAAsv7I9PA
Author    (2021-09-13 13:34:11)
20k to 25k from May 2021</t>
        </r>
      </text>
    </comment>
    <comment ref="E46" authorId="0" shapeId="0" xr:uid="{00000000-0006-0000-0200-000041000000}">
      <text>
        <r>
          <rPr>
            <sz val="11"/>
            <color rgb="FF000000"/>
            <rFont val="Arial"/>
            <family val="2"/>
            <scheme val="minor"/>
          </rPr>
          <t>======
ID#AAAAsv7I9H4
Author    (2021-09-13 13:34:11)
5k to 10k from May 2021</t>
        </r>
      </text>
    </comment>
    <comment ref="D47" authorId="0" shapeId="0" xr:uid="{00000000-0006-0000-0200-000042000000}">
      <text>
        <r>
          <rPr>
            <sz val="11"/>
            <color rgb="FF000000"/>
            <rFont val="Arial"/>
            <family val="2"/>
            <scheme val="minor"/>
          </rPr>
          <t>======
ID#AAAAsv7I85U
Author    (2021-09-13 13:34:11)
1 March 2020
15k May 2021</t>
        </r>
      </text>
    </comment>
    <comment ref="E47" authorId="0" shapeId="0" xr:uid="{00000000-0006-0000-0200-000043000000}">
      <text>
        <r>
          <rPr>
            <sz val="11"/>
            <color rgb="FF000000"/>
            <rFont val="Arial"/>
            <family val="2"/>
            <scheme val="minor"/>
          </rPr>
          <t>======
ID#AAAAsv7I9E4
Author    (2021-09-13 13:34:11)
from March
5k to 10k from Nov 2020</t>
        </r>
      </text>
    </comment>
    <comment ref="D49" authorId="0" shapeId="0" xr:uid="{00000000-0006-0000-0200-000044000000}">
      <text>
        <r>
          <rPr>
            <sz val="11"/>
            <color rgb="FF000000"/>
            <rFont val="Arial"/>
            <family val="2"/>
            <scheme val="minor"/>
          </rPr>
          <t>======
ID#AAAAsv7I9Ig
Author    (2021-09-13 13:34:11)
6k to 12k from May 2021</t>
        </r>
      </text>
    </comment>
    <comment ref="E49" authorId="0" shapeId="0" xr:uid="{00000000-0006-0000-0200-000045000000}">
      <text>
        <r>
          <rPr>
            <sz val="11"/>
            <color rgb="FF000000"/>
            <rFont val="Arial"/>
            <family val="2"/>
            <scheme val="minor"/>
          </rPr>
          <t>======
ID#AAAAsv7I8-M
Author    (2021-09-13 13:34:11)
4k start from May 2021</t>
        </r>
      </text>
    </comment>
    <comment ref="D54" authorId="0" shapeId="0" xr:uid="{00000000-0006-0000-0200-000046000000}">
      <text>
        <r>
          <rPr>
            <sz val="11"/>
            <color rgb="FF000000"/>
            <rFont val="Arial"/>
            <family val="2"/>
            <scheme val="minor"/>
          </rPr>
          <t>======
ID#AAAAsv7I9EU
Author    (2021-09-13 13:34:11)
6k to 12k from july 2021</t>
        </r>
      </text>
    </comment>
    <comment ref="E54" authorId="0" shapeId="0" xr:uid="{00000000-0006-0000-0200-000047000000}">
      <text>
        <r>
          <rPr>
            <sz val="11"/>
            <color rgb="FF000000"/>
            <rFont val="Arial"/>
            <family val="2"/>
            <scheme val="minor"/>
          </rPr>
          <t>======
ID#AAAAsv7I9Mg
Author    (2021-09-13 13:34:11)
july 2021</t>
        </r>
      </text>
    </comment>
    <comment ref="AJ57" authorId="0" shapeId="0" xr:uid="{00000000-0006-0000-0200-000048000000}">
      <text>
        <r>
          <rPr>
            <sz val="11"/>
            <color rgb="FF000000"/>
            <rFont val="Arial"/>
            <family val="2"/>
            <scheme val="minor"/>
          </rPr>
          <t>======
ID#AAAAsv7I9NQ
Iqra Technology    (2021-12-07 10:33:11)
dec month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300-000001000000}">
      <text>
        <r>
          <rPr>
            <sz val="11"/>
            <color rgb="FF000000"/>
            <rFont val="Arial"/>
            <family val="2"/>
            <scheme val="minor"/>
          </rPr>
          <t>======
ID#AAABLLFlNj4
Faaiza Shaikh    (2023-03-28 09:38:52)
5k to 8k
starts from Sep 2022</t>
        </r>
      </text>
    </comment>
    <comment ref="O2" authorId="0" shapeId="0" xr:uid="{00000000-0006-0000-0300-000002000000}">
      <text>
        <r>
          <rPr>
            <sz val="11"/>
            <color rgb="FF000000"/>
            <rFont val="Arial"/>
            <family val="2"/>
            <scheme val="minor"/>
          </rPr>
          <t>======
ID#AAABLLFlNfU
Ansari Yasmeen    (2023-03-28 09:38:52)
3000 additional bonus</t>
        </r>
      </text>
    </comment>
    <comment ref="Q2" authorId="0" shapeId="0" xr:uid="{00000000-0006-0000-0300-000003000000}">
      <text>
        <r>
          <rPr>
            <sz val="11"/>
            <color rgb="FF000000"/>
            <rFont val="Arial"/>
            <family val="2"/>
            <scheme val="minor"/>
          </rPr>
          <t>======
ID#AAABLLFlNjM
Ansari Yasmeen    (2023-03-28 09:38:52)
Annual leave</t>
        </r>
      </text>
    </comment>
    <comment ref="E3" authorId="0" shapeId="0" xr:uid="{00000000-0006-0000-0300-000004000000}">
      <text>
        <r>
          <rPr>
            <sz val="11"/>
            <color rgb="FF000000"/>
            <rFont val="Arial"/>
            <family val="2"/>
            <scheme val="minor"/>
          </rPr>
          <t>======
ID#AAABLLFlNgM
Faaiza Shaikh    (2023-03-28 09:38:52)
5k to 8k
starts from Sep 2022</t>
        </r>
      </text>
    </comment>
    <comment ref="O3" authorId="0" shapeId="0" xr:uid="{00000000-0006-0000-0300-000005000000}">
      <text>
        <r>
          <rPr>
            <sz val="11"/>
            <color rgb="FF000000"/>
            <rFont val="Arial"/>
            <family val="2"/>
            <scheme val="minor"/>
          </rPr>
          <t>======
ID#AAABLLFlNhs
User    (2023-03-28 09:38:52)
5 days annual leave</t>
        </r>
      </text>
    </comment>
    <comment ref="P4" authorId="0" shapeId="0" xr:uid="{00000000-0006-0000-0300-000006000000}">
      <text>
        <r>
          <rPr>
            <sz val="11"/>
            <color rgb="FF000000"/>
            <rFont val="Arial"/>
            <family val="2"/>
            <scheme val="minor"/>
          </rPr>
          <t>======
ID#AAABLLFlNfY
Iqra Technology    (2023-03-28 09:38:52)
Renewal contract start from this month and will be paid him on monthly basis</t>
        </r>
      </text>
    </comment>
    <comment ref="D5" authorId="0" shapeId="0" xr:uid="{00000000-0006-0000-0300-000007000000}">
      <text>
        <r>
          <rPr>
            <sz val="11"/>
            <color rgb="FF000000"/>
            <rFont val="Arial"/>
            <family val="2"/>
            <scheme val="minor"/>
          </rPr>
          <t>======
ID#AAAAsv7I9NA
Ansari Yasmeen    (2021-02-18 13:46:24)
Start from Jan 2021
12k to 18k from Sep 2021</t>
        </r>
      </text>
    </comment>
    <comment ref="D6" authorId="0" shapeId="0" xr:uid="{00000000-0006-0000-0300-000008000000}">
      <text>
        <r>
          <rPr>
            <sz val="11"/>
            <color rgb="FF000000"/>
            <rFont val="Arial"/>
            <family val="2"/>
            <scheme val="minor"/>
          </rPr>
          <t>======
ID#AAABLLFlNe4
Ansari Yasmeen    (2023-03-28 09:38:52)
25k to 40k aug 2022</t>
        </r>
      </text>
    </comment>
    <comment ref="E6" authorId="0" shapeId="0" xr:uid="{00000000-0006-0000-0300-000009000000}">
      <text>
        <r>
          <rPr>
            <sz val="11"/>
            <color rgb="FF000000"/>
            <rFont val="Arial"/>
            <family val="2"/>
            <scheme val="minor"/>
          </rPr>
          <t>======
ID#AAABLLFlNg4
Ansari Yasmeen    (2023-03-28 09:38:52)
5k to10k Aug 2022</t>
        </r>
      </text>
    </comment>
    <comment ref="O6" authorId="0" shapeId="0" xr:uid="{00000000-0006-0000-0300-00000A000000}">
      <text>
        <r>
          <rPr>
            <sz val="11"/>
            <color rgb="FF000000"/>
            <rFont val="Arial"/>
            <family val="2"/>
            <scheme val="minor"/>
          </rPr>
          <t>======
ID#AAABLLFlNhE
Iqra Technology    (2023-03-28 09:38:52)
Hold bonus start from here till next year's september</t>
        </r>
      </text>
    </comment>
    <comment ref="D7" authorId="0" shapeId="0" xr:uid="{00000000-0006-0000-0300-00000B000000}">
      <text>
        <r>
          <rPr>
            <sz val="11"/>
            <color rgb="FF000000"/>
            <rFont val="Arial"/>
            <family val="2"/>
            <scheme val="minor"/>
          </rPr>
          <t>======
ID#AAABLLFlNiw
Ansari Yasmeen    (2023-03-28 09:38:52)
12k to 30k from Aug 2022</t>
        </r>
      </text>
    </comment>
    <comment ref="E7" authorId="0" shapeId="0" xr:uid="{00000000-0006-0000-0300-00000C000000}">
      <text>
        <r>
          <rPr>
            <sz val="11"/>
            <color rgb="FF000000"/>
            <rFont val="Arial"/>
            <family val="2"/>
            <scheme val="minor"/>
          </rPr>
          <t>======
ID#AAABLLFlNkI
Ansari Yasmeen    (2023-03-28 09:38:52)
6k to 5k from Aug 2022</t>
        </r>
      </text>
    </comment>
    <comment ref="O7" authorId="0" shapeId="0" xr:uid="{00000000-0006-0000-0300-00000D000000}">
      <text>
        <r>
          <rPr>
            <sz val="11"/>
            <color rgb="FF000000"/>
            <rFont val="Arial"/>
            <family val="2"/>
            <scheme val="minor"/>
          </rPr>
          <t>======
ID#AAABLLFlNf4
Iqra Technology    (2023-03-28 09:38:52)
bonus given after 1 year</t>
        </r>
      </text>
    </comment>
    <comment ref="D8" authorId="0" shapeId="0" xr:uid="{00000000-0006-0000-0300-00000E000000}">
      <text>
        <r>
          <rPr>
            <sz val="11"/>
            <color rgb="FF000000"/>
            <rFont val="Arial"/>
            <family val="2"/>
            <scheme val="minor"/>
          </rPr>
          <t>======
ID#AAAAsv7I9Pg
Ansari Yasmeen    (2021-09-14 06:49:17)
6k to 12k from Sep 2021</t>
        </r>
      </text>
    </comment>
    <comment ref="E8" authorId="0" shapeId="0" xr:uid="{00000000-0006-0000-0300-00000F000000}">
      <text>
        <r>
          <rPr>
            <sz val="11"/>
            <color rgb="FF000000"/>
            <rFont val="Arial"/>
            <family val="2"/>
            <scheme val="minor"/>
          </rPr>
          <t>======
ID#AAAAsv7I878
Ansari Yasmeen    (2021-09-14 06:49:17)
Sep 2021</t>
        </r>
      </text>
    </comment>
    <comment ref="N9" authorId="0" shapeId="0" xr:uid="{00000000-0006-0000-0300-000010000000}">
      <text>
        <r>
          <rPr>
            <sz val="11"/>
            <color rgb="FF000000"/>
            <rFont val="Arial"/>
            <family val="2"/>
            <scheme val="minor"/>
          </rPr>
          <t>======
ID#AAABLLFlNew
Iqra Technology    (2023-03-28 09:38:52)
add 2 days annual leave in next month</t>
        </r>
      </text>
    </comment>
    <comment ref="P9" authorId="0" shapeId="0" xr:uid="{00000000-0006-0000-0300-000011000000}">
      <text>
        <r>
          <rPr>
            <sz val="11"/>
            <color rgb="FF000000"/>
            <rFont val="Arial"/>
            <family val="2"/>
            <scheme val="minor"/>
          </rPr>
          <t>======
ID#AAABLLFlNjk
Iqra Technology    (2023-03-28 09:38:52)
renewal contract start from 5th oct so 11 days will be count on 6k
3143 paid in oct month and remaining amount paid after 1 year</t>
        </r>
      </text>
    </comment>
    <comment ref="O10" authorId="0" shapeId="0" xr:uid="{00000000-0006-0000-0300-000012000000}">
      <text>
        <r>
          <rPr>
            <sz val="11"/>
            <color rgb="FF000000"/>
            <rFont val="Arial"/>
            <family val="2"/>
            <scheme val="minor"/>
          </rPr>
          <t>======
ID#AAABLLFlNg0
Faaiza Shaikh    (2023-03-28 09:38:52)
1 year bonus starts from 13 Sep 2022</t>
        </r>
      </text>
    </comment>
    <comment ref="L11" authorId="0" shapeId="0" xr:uid="{00000000-0006-0000-0300-000013000000}">
      <text>
        <r>
          <rPr>
            <sz val="11"/>
            <color rgb="FF000000"/>
            <rFont val="Arial"/>
            <family val="2"/>
            <scheme val="minor"/>
          </rPr>
          <t>======
ID#AAABLLFlNjI
Admin    (2023-03-28 09:38:52)
Start 1 year Bonus from this month.</t>
        </r>
      </text>
    </comment>
    <comment ref="AB11" authorId="0" shapeId="0" xr:uid="{00000000-0006-0000-0300-000014000000}">
      <text>
        <r>
          <rPr>
            <sz val="11"/>
            <color rgb="FF000000"/>
            <rFont val="Arial"/>
            <family val="2"/>
            <scheme val="minor"/>
          </rPr>
          <t>======
ID#AAAAsv7I9MM
Ansari Yasmeen    (2022-05-25 04:52:38)
after 1 year</t>
        </r>
      </text>
    </comment>
    <comment ref="E13" authorId="0" shapeId="0" xr:uid="{00000000-0006-0000-0300-000015000000}">
      <text>
        <r>
          <rPr>
            <sz val="11"/>
            <color rgb="FF000000"/>
            <rFont val="Arial"/>
            <family val="2"/>
            <scheme val="minor"/>
          </rPr>
          <t>======
ID#AAAAsv7I9BQ
Faaiza Shaikh    (2022-11-01 06:39:52)
4000 Monthly Bonus
(Performance Based)
6000 (Will be on hold and will pay after completion of One Year)</t>
        </r>
      </text>
    </comment>
    <comment ref="Q13" authorId="0" shapeId="0" xr:uid="{00000000-0006-0000-0300-000016000000}">
      <text>
        <r>
          <rPr>
            <sz val="11"/>
            <color rgb="FF000000"/>
            <rFont val="Arial"/>
            <family val="2"/>
            <scheme val="minor"/>
          </rPr>
          <t>======
ID#AAABLLFlNfk
Faaiza Shaikh    (2023-03-28 09:38:52)
10k Bonus started from 28 Oct 2022
4k Monthly 
6k Yearly</t>
        </r>
      </text>
    </comment>
    <comment ref="D14" authorId="0" shapeId="0" xr:uid="{00000000-0006-0000-0300-000017000000}">
      <text>
        <r>
          <rPr>
            <sz val="11"/>
            <color rgb="FF000000"/>
            <rFont val="Arial"/>
            <family val="2"/>
            <scheme val="minor"/>
          </rPr>
          <t>======
ID#AAAAsv7I9GQ
User    (2021-09-03 07:02:00)
6k to 12k from july 2021
12k to 14k from Oct 2021</t>
        </r>
      </text>
    </comment>
    <comment ref="E14" authorId="0" shapeId="0" xr:uid="{00000000-0006-0000-0300-000018000000}">
      <text>
        <r>
          <rPr>
            <sz val="11"/>
            <color rgb="FF000000"/>
            <rFont val="Arial"/>
            <family val="2"/>
            <scheme val="minor"/>
          </rPr>
          <t>======
ID#AAAAsv7I8_s
User    (2021-09-03 07:02:00)
july 2021</t>
        </r>
      </text>
    </comment>
    <comment ref="J14" authorId="0" shapeId="0" xr:uid="{00000000-0006-0000-0300-000019000000}">
      <text>
        <r>
          <rPr>
            <sz val="11"/>
            <color rgb="FF000000"/>
            <rFont val="Arial"/>
            <family val="2"/>
            <scheme val="minor"/>
          </rPr>
          <t>======
ID#AAABLLFlNh8
Ansari Yasmeen    (2023-03-28 09:38:52)
start 1 year bonus form this month</t>
        </r>
      </text>
    </comment>
    <comment ref="K15" authorId="0" shapeId="0" xr:uid="{00000000-0006-0000-0300-00001A000000}">
      <text>
        <r>
          <rPr>
            <sz val="11"/>
            <color rgb="FF000000"/>
            <rFont val="Arial"/>
            <family val="2"/>
            <scheme val="minor"/>
          </rPr>
          <t>======
ID#AAABLLFlNjw
Admin    (2023-03-28 09:38:52)
1 year bonus will be start from this month</t>
        </r>
      </text>
    </comment>
    <comment ref="D16" authorId="0" shapeId="0" xr:uid="{00000000-0006-0000-0300-00001B000000}">
      <text>
        <r>
          <rPr>
            <sz val="11"/>
            <color rgb="FF000000"/>
            <rFont val="Arial"/>
            <family val="2"/>
            <scheme val="minor"/>
          </rPr>
          <t>======
ID#AAAAsv7I9FE
Iqra Technology    (2021-09-03 07:02:00)
1 Sep 2021</t>
        </r>
      </text>
    </comment>
    <comment ref="L16" authorId="0" shapeId="0" xr:uid="{00000000-0006-0000-0300-00001C000000}">
      <text>
        <r>
          <rPr>
            <sz val="11"/>
            <color rgb="FF000000"/>
            <rFont val="Arial"/>
            <family val="2"/>
            <scheme val="minor"/>
          </rPr>
          <t>======
ID#AAABLLFlNi8
Ansari Yasmeen    (2023-03-28 09:38:52)
after 1 year bonus ( Start from this month )</t>
        </r>
      </text>
    </comment>
    <comment ref="D17" authorId="0" shapeId="0" xr:uid="{00000000-0006-0000-0300-00001D000000}">
      <text>
        <r>
          <rPr>
            <sz val="11"/>
            <color rgb="FF000000"/>
            <rFont val="Arial"/>
            <family val="2"/>
            <scheme val="minor"/>
          </rPr>
          <t>======
ID#AAAAsv7I9CQ
User    (2021-09-03 07:02:00)
June 2021</t>
        </r>
      </text>
    </comment>
    <comment ref="H17" authorId="0" shapeId="0" xr:uid="{00000000-0006-0000-0300-00001E000000}">
      <text>
        <r>
          <rPr>
            <sz val="11"/>
            <color rgb="FF000000"/>
            <rFont val="Arial"/>
            <family val="2"/>
            <scheme val="minor"/>
          </rPr>
          <t>======
ID#AAABLLFlNhU
Admin    (2023-03-28 09:38:52)
1 year bonus will be start from this month</t>
        </r>
      </text>
    </comment>
    <comment ref="E19" authorId="0" shapeId="0" xr:uid="{00000000-0006-0000-0300-00001F000000}">
      <text>
        <r>
          <rPr>
            <sz val="11"/>
            <color rgb="FF000000"/>
            <rFont val="Arial"/>
            <family val="2"/>
            <scheme val="minor"/>
          </rPr>
          <t>======
ID#AAABLLFlNic
Iqra Technology    (2023-03-28 09:38:52)
6k bonus start from october and will be paid after on year</t>
        </r>
      </text>
    </comment>
    <comment ref="D20" authorId="0" shapeId="0" xr:uid="{00000000-0006-0000-0300-000020000000}">
      <text>
        <r>
          <rPr>
            <sz val="11"/>
            <color rgb="FF000000"/>
            <rFont val="Arial"/>
            <family val="2"/>
            <scheme val="minor"/>
          </rPr>
          <t>======
ID#AAAAsv7I9Dk
Ansari Yasmeen    (2020-10-16 13:34:01)
21k to 25k from sep 2020
25k to 30k from apr 2021
30k to 35k from sep 2021</t>
        </r>
      </text>
    </comment>
    <comment ref="E20" authorId="0" shapeId="0" xr:uid="{00000000-0006-0000-0300-000021000000}">
      <text>
        <r>
          <rPr>
            <sz val="11"/>
            <color rgb="FF000000"/>
            <rFont val="Arial"/>
            <family val="2"/>
            <scheme val="minor"/>
          </rPr>
          <t>======
ID#AAAAsv7I8-Q
    (2022-01-17 10:28:43)
Start form 1 Oct 2021</t>
        </r>
      </text>
    </comment>
    <comment ref="H20" authorId="0" shapeId="0" xr:uid="{00000000-0006-0000-0300-000022000000}">
      <text>
        <r>
          <rPr>
            <sz val="11"/>
            <color rgb="FF000000"/>
            <rFont val="Arial"/>
            <family val="2"/>
            <scheme val="minor"/>
          </rPr>
          <t>======
ID#AAAAsv7I9Bg
    (2022-01-17 10:28:43)
Start form 1 Oct 2021</t>
        </r>
      </text>
    </comment>
    <comment ref="O22" authorId="0" shapeId="0" xr:uid="{00000000-0006-0000-0300-000023000000}">
      <text>
        <r>
          <rPr>
            <sz val="11"/>
            <color rgb="FF000000"/>
            <rFont val="Arial"/>
            <family val="2"/>
            <scheme val="minor"/>
          </rPr>
          <t>======
ID#AAABLLFlNeA
Faaiza Shaikh    (2023-03-28 09:38:52)
1 year bonus starts from this month</t>
        </r>
      </text>
    </comment>
    <comment ref="O23" authorId="0" shapeId="0" xr:uid="{00000000-0006-0000-0300-000024000000}">
      <text>
        <r>
          <rPr>
            <sz val="11"/>
            <color rgb="FF000000"/>
            <rFont val="Arial"/>
            <family val="2"/>
            <scheme val="minor"/>
          </rPr>
          <t>======
ID#AAABLLFlNjs
Faaiza Shaikh    (2023-03-28 09:38:52)
1 year bonus starts from this month</t>
        </r>
      </text>
    </comment>
    <comment ref="O24" authorId="0" shapeId="0" xr:uid="{00000000-0006-0000-0300-000025000000}">
      <text>
        <r>
          <rPr>
            <sz val="11"/>
            <color rgb="FF000000"/>
            <rFont val="Arial"/>
            <family val="2"/>
            <scheme val="minor"/>
          </rPr>
          <t>======
ID#AAABLLFlNfE
Faaiza Shaikh    (2023-03-28 09:38:52)
1 year bonus starts from this month</t>
        </r>
      </text>
    </comment>
    <comment ref="D26" authorId="0" shapeId="0" xr:uid="{00000000-0006-0000-0300-000026000000}">
      <text>
        <r>
          <rPr>
            <sz val="11"/>
            <color rgb="FF000000"/>
            <rFont val="Arial"/>
            <family val="2"/>
            <scheme val="minor"/>
          </rPr>
          <t>======
ID#AAAAsv7I84g
User    (2022-01-17 10:28:43)
increment 35k to 47k from 25 Oct 2021</t>
        </r>
      </text>
    </comment>
    <comment ref="E26" authorId="0" shapeId="0" xr:uid="{00000000-0006-0000-0300-000027000000}">
      <text>
        <r>
          <rPr>
            <sz val="11"/>
            <color rgb="FF000000"/>
            <rFont val="Arial"/>
            <family val="2"/>
            <scheme val="minor"/>
          </rPr>
          <t>======
ID#AAAAsv7I9L0
User    (2021-11-09 08:13:32)
10000 to 5k from 25 oct 2021
after 6 month increment 5k</t>
        </r>
      </text>
    </comment>
    <comment ref="G26" authorId="0" shapeId="0" xr:uid="{00000000-0006-0000-0300-000028000000}">
      <text>
        <r>
          <rPr>
            <sz val="11"/>
            <color rgb="FF000000"/>
            <rFont val="Arial"/>
            <family val="2"/>
            <scheme val="minor"/>
          </rPr>
          <t>======
ID#AAAAsv7I9Oc
Ansari Yasmeen    (2022-01-31 14:19:35)
dec annual leave</t>
        </r>
      </text>
    </comment>
    <comment ref="H26" authorId="0" shapeId="0" xr:uid="{00000000-0006-0000-0300-000029000000}">
      <text>
        <r>
          <rPr>
            <sz val="11"/>
            <color rgb="FF000000"/>
            <rFont val="Arial"/>
            <family val="2"/>
            <scheme val="minor"/>
          </rPr>
          <t>======
ID#AAAAsv7I9KY
User    (2021-11-09 08:13:32)
10000 to 5k from 25 oct 2021
after 6 month increment 5k</t>
        </r>
      </text>
    </comment>
    <comment ref="O27" authorId="0" shapeId="0" xr:uid="{00000000-0006-0000-0300-00002A000000}">
      <text>
        <r>
          <rPr>
            <sz val="11"/>
            <color rgb="FF000000"/>
            <rFont val="Arial"/>
            <family val="2"/>
            <scheme val="minor"/>
          </rPr>
          <t>======
ID#AAABLLFlNgo
Faaiza Shaikh    (2023-03-28 09:38:52)
1 year bonus starts from 01 Sep 2022</t>
        </r>
      </text>
    </comment>
    <comment ref="P27" authorId="0" shapeId="0" xr:uid="{00000000-0006-0000-0300-00002B000000}">
      <text>
        <r>
          <rPr>
            <sz val="11"/>
            <color rgb="FF000000"/>
            <rFont val="Arial"/>
            <family val="2"/>
            <scheme val="minor"/>
          </rPr>
          <t>======
ID#AAABLLFlNdw
Faaiza Shaikh    (2023-03-28 09:38:52)
Loan given in this month
(Bonus will deduct until Loan amount will be recovered)</t>
        </r>
      </text>
    </comment>
    <comment ref="Q27" authorId="0" shapeId="0" xr:uid="{00000000-0006-0000-0300-00002C000000}">
      <text>
        <r>
          <rPr>
            <sz val="11"/>
            <color rgb="FF000000"/>
            <rFont val="Arial"/>
            <family val="2"/>
            <scheme val="minor"/>
          </rPr>
          <t>======
ID#AAABLLFlNj0
IqraTechnology    (2023-03-28 09:38:52)
Loan Deducted for November month</t>
        </r>
      </text>
    </comment>
    <comment ref="R27" authorId="0" shapeId="0" xr:uid="{00000000-0006-0000-0300-00002D000000}">
      <text>
        <r>
          <rPr>
            <sz val="11"/>
            <color rgb="FF000000"/>
            <rFont val="Arial"/>
            <family val="2"/>
            <scheme val="minor"/>
          </rPr>
          <t>======
ID#AAABLLFlNeo
IqraTechnology    (2023-03-28 09:38:52)
Loan Deducted for December</t>
        </r>
      </text>
    </comment>
    <comment ref="O29" authorId="0" shapeId="0" xr:uid="{00000000-0006-0000-0300-00002E000000}">
      <text>
        <r>
          <rPr>
            <sz val="11"/>
            <color rgb="FF000000"/>
            <rFont val="Arial"/>
            <family val="2"/>
            <scheme val="minor"/>
          </rPr>
          <t>======
ID#AAABLLFlNdo
Faaiza Shaikh    (2023-03-28 09:38:52)
1 year bonus starts from 05 Sep 2022
( Bonus starts after 3 Months from contract date i.e. from December )</t>
        </r>
      </text>
    </comment>
    <comment ref="O30" authorId="0" shapeId="0" xr:uid="{00000000-0006-0000-0300-00002F000000}">
      <text>
        <r>
          <rPr>
            <sz val="11"/>
            <color rgb="FF000000"/>
            <rFont val="Arial"/>
            <family val="2"/>
            <scheme val="minor"/>
          </rPr>
          <t>======
ID#AAABLLFlNes
Faaiza Shaikh    (2023-03-28 09:38:52)
Contract starts from 19 Sep 2022
( Bonus starts after 3 Months from contract date i.e. from December)</t>
        </r>
      </text>
    </comment>
    <comment ref="M31" authorId="0" shapeId="0" xr:uid="{00000000-0006-0000-0300-000030000000}">
      <text>
        <r>
          <rPr>
            <sz val="11"/>
            <color rgb="FF000000"/>
            <rFont val="Arial"/>
            <family val="2"/>
            <scheme val="minor"/>
          </rPr>
          <t>======
ID#AAABLLFlNkE
Ansari Yasmeen    (2023-03-28 09:38:52)
contract start from 14 july</t>
        </r>
      </text>
    </comment>
    <comment ref="M32" authorId="0" shapeId="0" xr:uid="{00000000-0006-0000-0300-000031000000}">
      <text>
        <r>
          <rPr>
            <sz val="11"/>
            <color rgb="FF000000"/>
            <rFont val="Arial"/>
            <family val="2"/>
            <scheme val="minor"/>
          </rPr>
          <t>======
ID#AAABLLFlNds
Ansari Yasmeen    (2023-03-28 09:38:52)
contract start from 16 july</t>
        </r>
      </text>
    </comment>
    <comment ref="M33" authorId="0" shapeId="0" xr:uid="{00000000-0006-0000-0300-000032000000}">
      <text>
        <r>
          <rPr>
            <sz val="11"/>
            <color rgb="FF000000"/>
            <rFont val="Arial"/>
            <family val="2"/>
            <scheme val="minor"/>
          </rPr>
          <t>======
ID#AAABLLFlNhM
Ansari Yasmeen    (2023-03-28 09:38:52)
contract start from 16 july</t>
        </r>
      </text>
    </comment>
    <comment ref="N34" authorId="0" shapeId="0" xr:uid="{00000000-0006-0000-0300-000033000000}">
      <text>
        <r>
          <rPr>
            <sz val="11"/>
            <color rgb="FF000000"/>
            <rFont val="Arial"/>
            <family val="2"/>
            <scheme val="minor"/>
          </rPr>
          <t>======
ID#AAABLLFlNho
Faaiza Shaikh    (2023-03-28 09:38:52)
1 year bonus starts from 28 July 2022</t>
        </r>
      </text>
    </comment>
    <comment ref="D35" authorId="0" shapeId="0" xr:uid="{00000000-0006-0000-0300-000034000000}">
      <text>
        <r>
          <rPr>
            <sz val="11"/>
            <color rgb="FF000000"/>
            <rFont val="Arial"/>
            <family val="2"/>
            <scheme val="minor"/>
          </rPr>
          <t>======
ID#AAAAsv7I9Pk
Ansari Yasmeen    (2022-01-17 10:28:43)
after 6 month Sep2021
15k to 20k+5kbonus
renew cont 40k+10k ( 13-09-2022)</t>
        </r>
      </text>
    </comment>
    <comment ref="B36" authorId="0" shapeId="0" xr:uid="{00000000-0006-0000-0300-000035000000}">
      <text>
        <r>
          <rPr>
            <sz val="11"/>
            <color rgb="FF000000"/>
            <rFont val="Arial"/>
            <family val="2"/>
            <scheme val="minor"/>
          </rPr>
          <t>======
ID#AAABLLFlNgY
User    (2023-03-28 09:38:52)
bonus will be paid quaterly</t>
        </r>
      </text>
    </comment>
    <comment ref="D36" authorId="0" shapeId="0" xr:uid="{00000000-0006-0000-0300-000036000000}">
      <text>
        <r>
          <rPr>
            <sz val="11"/>
            <color rgb="FF000000"/>
            <rFont val="Arial"/>
            <family val="2"/>
            <scheme val="minor"/>
          </rPr>
          <t>======
ID#AAABLLFlNhw
Ansari Yasmeen    (2023-03-28 09:38:52)
12000 to 25000 from
 4 July 2022</t>
        </r>
      </text>
    </comment>
    <comment ref="E36" authorId="0" shapeId="0" xr:uid="{00000000-0006-0000-0300-000037000000}">
      <text>
        <r>
          <rPr>
            <sz val="11"/>
            <color rgb="FF000000"/>
            <rFont val="Arial"/>
            <family val="2"/>
            <scheme val="minor"/>
          </rPr>
          <t>======
ID#AAABLLFlNgk
Faaiza Shaikh    (2023-03-28 09:38:52)
Ansari Yasmeen::
4000 to 5000 from 
4 July 2022
(15000 paid quarterly)</t>
        </r>
      </text>
    </comment>
    <comment ref="M36" authorId="0" shapeId="0" xr:uid="{00000000-0006-0000-0300-000038000000}">
      <text>
        <r>
          <rPr>
            <sz val="11"/>
            <color rgb="FF000000"/>
            <rFont val="Arial"/>
            <family val="2"/>
            <scheme val="minor"/>
          </rPr>
          <t>======
ID#AAABLLFlNh0
Iqra Technology    (2023-03-28 09:38:52)
3 month's bonus amount will be hold and paid quarterly</t>
        </r>
      </text>
    </comment>
    <comment ref="L37" authorId="0" shapeId="0" xr:uid="{00000000-0006-0000-0300-000039000000}">
      <text>
        <r>
          <rPr>
            <sz val="11"/>
            <color rgb="FF000000"/>
            <rFont val="Arial"/>
            <family val="2"/>
            <scheme val="minor"/>
          </rPr>
          <t>======
ID#AAABLLFlNgE
Admin    (2023-03-28 09:38:52)
1 year bonus will be start from this month</t>
        </r>
      </text>
    </comment>
    <comment ref="D38" authorId="0" shapeId="0" xr:uid="{00000000-0006-0000-0300-00003A000000}">
      <text>
        <r>
          <rPr>
            <sz val="11"/>
            <color rgb="FF000000"/>
            <rFont val="Arial"/>
            <family val="2"/>
            <scheme val="minor"/>
          </rPr>
          <t>======
ID#AAABLLFlNiM
Iqra Technology    (2023-03-28 09:38:52)
12k +6k 
renew cont 30k+5k
02-09-2022</t>
        </r>
      </text>
    </comment>
    <comment ref="E38" authorId="0" shapeId="0" xr:uid="{00000000-0006-0000-0300-00003B000000}">
      <text>
        <r>
          <rPr>
            <sz val="11"/>
            <color rgb="FF000000"/>
            <rFont val="Arial"/>
            <family val="2"/>
            <scheme val="minor"/>
          </rPr>
          <t>======
ID#AAABLLFlNfI
Iqra Technology    (2023-03-28 09:38:52)
bonus will be deposited with us for one year and will be paid after one year of contract</t>
        </r>
      </text>
    </comment>
    <comment ref="O38" authorId="0" shapeId="0" xr:uid="{00000000-0006-0000-0300-00003C000000}">
      <text>
        <r>
          <rPr>
            <sz val="11"/>
            <color rgb="FF000000"/>
            <rFont val="Arial"/>
            <family val="2"/>
            <scheme val="minor"/>
          </rPr>
          <t>======
ID#AAABLLFlNjQ
Iqra Technology    (2023-03-28 09:38:52)
Renewal bonus amount 5000 start from september and will be paid after one year</t>
        </r>
      </text>
    </comment>
    <comment ref="D40" authorId="0" shapeId="0" xr:uid="{00000000-0006-0000-0300-00003D000000}">
      <text>
        <r>
          <rPr>
            <sz val="11"/>
            <color rgb="FF000000"/>
            <rFont val="Arial"/>
            <family val="2"/>
            <scheme val="minor"/>
          </rPr>
          <t>======
ID#AAAAsv7I9Aw
Ansari Yasmeen    (2020-10-16 13:34:01)
21k to 25k from sep 2020
25k to 30k from May 2021
30k to 52k from Sep 2021
50k+5k from 20 sept 2022</t>
        </r>
      </text>
    </comment>
    <comment ref="E40" authorId="0" shapeId="0" xr:uid="{00000000-0006-0000-0300-00003E000000}">
      <text>
        <r>
          <rPr>
            <sz val="11"/>
            <color rgb="FF000000"/>
            <rFont val="Arial"/>
            <family val="2"/>
            <scheme val="minor"/>
          </rPr>
          <t>======
ID#AAAAsv7I85Y
Ansari Yasmeen    (2020-10-16 13:34:01)
5k to 10k from sep2020</t>
        </r>
      </text>
    </comment>
    <comment ref="H40" authorId="0" shapeId="0" xr:uid="{00000000-0006-0000-0300-00003F000000}">
      <text>
        <r>
          <rPr>
            <sz val="11"/>
            <color rgb="FF000000"/>
            <rFont val="Arial"/>
            <family val="2"/>
            <scheme val="minor"/>
          </rPr>
          <t>======
ID#AAAAsv7I86k
Ansari Yasmeen    (2020-10-16 13:34:01)
5k to 10k from sep2020</t>
        </r>
      </text>
    </comment>
    <comment ref="P40" authorId="0" shapeId="0" xr:uid="{00000000-0006-0000-0300-000040000000}">
      <text>
        <r>
          <rPr>
            <sz val="11"/>
            <color rgb="FF000000"/>
            <rFont val="Arial"/>
            <family val="2"/>
            <scheme val="minor"/>
          </rPr>
          <t>======
ID#AAABLLFlNhg
Iqra Technology    (2023-03-28 09:38:52)
hold bonus start from this month till next year's october month</t>
        </r>
      </text>
    </comment>
    <comment ref="D41" authorId="0" shapeId="0" xr:uid="{00000000-0006-0000-0300-000041000000}">
      <text>
        <r>
          <rPr>
            <sz val="11"/>
            <color rgb="FF000000"/>
            <rFont val="Arial"/>
            <family val="2"/>
            <scheme val="minor"/>
          </rPr>
          <t>======
ID#AAAAsv7I84Y
Ansari Yasmeen    (2021-09-19 08:42:25)
from april 2021
renew contract start from 5-jul-2022 to 5-jul-2023 28k+5k</t>
        </r>
      </text>
    </comment>
    <comment ref="E41" authorId="0" shapeId="0" xr:uid="{00000000-0006-0000-0300-000042000000}">
      <text>
        <r>
          <rPr>
            <sz val="11"/>
            <color rgb="FF000000"/>
            <rFont val="Arial"/>
            <family val="2"/>
            <scheme val="minor"/>
          </rPr>
          <t>======
ID#AAAAsv7I9E8
Iqra Technology    (2021-09-19 08:42:25)
start junr 2021</t>
        </r>
      </text>
    </comment>
    <comment ref="H41" authorId="0" shapeId="0" xr:uid="{00000000-0006-0000-0300-000043000000}">
      <text>
        <r>
          <rPr>
            <sz val="11"/>
            <color rgb="FF000000"/>
            <rFont val="Arial"/>
            <family val="2"/>
            <scheme val="minor"/>
          </rPr>
          <t>======
ID#AAAAsv7I8_g
Iqra Technology    (2021-09-19 08:42:25)
start junr 2021</t>
        </r>
      </text>
    </comment>
    <comment ref="M41" authorId="0" shapeId="0" xr:uid="{00000000-0006-0000-0300-000044000000}">
      <text>
        <r>
          <rPr>
            <sz val="11"/>
            <color rgb="FF000000"/>
            <rFont val="Arial"/>
            <family val="2"/>
            <scheme val="minor"/>
          </rPr>
          <t>======
ID#AAABLLFlNiI
Ansari Yasmeen    (2023-03-28 09:38:52)
1 year new bonus 5,000 ( start from this month ) +  bonus on old salary,bonus 
 ( 4000)</t>
        </r>
      </text>
    </comment>
    <comment ref="H42" authorId="0" shapeId="0" xr:uid="{00000000-0006-0000-0300-000045000000}">
      <text>
        <r>
          <rPr>
            <sz val="11"/>
            <color rgb="FF000000"/>
            <rFont val="Arial"/>
            <family val="2"/>
            <scheme val="minor"/>
          </rPr>
          <t>======
ID#AAABLLFlNeQ
Admin    (2023-03-28 09:38:52)
1 year bonus start from this month</t>
        </r>
      </text>
    </comment>
    <comment ref="H43" authorId="0" shapeId="0" xr:uid="{00000000-0006-0000-0300-000046000000}">
      <text>
        <r>
          <rPr>
            <sz val="11"/>
            <color rgb="FF000000"/>
            <rFont val="Arial"/>
            <family val="2"/>
            <scheme val="minor"/>
          </rPr>
          <t>======
ID#AAABLLFlNdY
Admin    (2023-03-28 09:38:52)
1 year bonus start from this month</t>
        </r>
      </text>
    </comment>
    <comment ref="D44" authorId="0" shapeId="0" xr:uid="{00000000-0006-0000-0300-000047000000}">
      <text>
        <r>
          <rPr>
            <sz val="11"/>
            <color rgb="FF000000"/>
            <rFont val="Arial"/>
            <family val="2"/>
            <scheme val="minor"/>
          </rPr>
          <t>======
ID#AAAAsv7I8_U
Ansari Yasmeen    (2022-02-03 13:09:02)
6k to 20k from feb 2022</t>
        </r>
      </text>
    </comment>
    <comment ref="N44" authorId="0" shapeId="0" xr:uid="{00000000-0006-0000-0300-000048000000}">
      <text>
        <r>
          <rPr>
            <sz val="11"/>
            <color rgb="FF000000"/>
            <rFont val="Arial"/>
            <family val="2"/>
            <scheme val="minor"/>
          </rPr>
          <t>======
ID#AAABLLFlNdg
Iqra Technology    (2023-03-28 09:38:52)
add 2 days annual leave to next month</t>
        </r>
      </text>
    </comment>
    <comment ref="L45" authorId="0" shapeId="0" xr:uid="{00000000-0006-0000-0300-000049000000}">
      <text>
        <r>
          <rPr>
            <sz val="11"/>
            <color rgb="FF000000"/>
            <rFont val="Arial"/>
            <family val="2"/>
            <scheme val="minor"/>
          </rPr>
          <t>======
ID#AAABLLFlNg8
Admin    (2023-03-28 09:38:52)
1 year bonus will be start from this month</t>
        </r>
      </text>
    </comment>
    <comment ref="Q46" authorId="0" shapeId="0" xr:uid="{00000000-0006-0000-0300-00004A000000}">
      <text>
        <r>
          <rPr>
            <sz val="11"/>
            <color rgb="FF000000"/>
            <rFont val="Arial"/>
            <family val="2"/>
            <scheme val="minor"/>
          </rPr>
          <t>======
ID#AAABLLFlNiU
Faaiza Shaikh    (2023-03-28 09:38:52)
His Contract has started from 16 Nov 2022
Bonus will be paid after completion of one year</t>
        </r>
      </text>
    </comment>
    <comment ref="D47" authorId="0" shapeId="0" xr:uid="{00000000-0006-0000-0300-00004B000000}">
      <text>
        <r>
          <rPr>
            <sz val="11"/>
            <color rgb="FF000000"/>
            <rFont val="Arial"/>
            <family val="2"/>
            <scheme val="minor"/>
          </rPr>
          <t>======
ID#AAABLLFlNe0
Iqra Technology    (2023-03-28 09:38:52)
renew contract start from 2 july 2022 to 2 july 2023</t>
        </r>
      </text>
    </comment>
    <comment ref="M47" authorId="0" shapeId="0" xr:uid="{00000000-0006-0000-0300-00004C000000}">
      <text>
        <r>
          <rPr>
            <sz val="11"/>
            <color rgb="FF000000"/>
            <rFont val="Arial"/>
            <family val="2"/>
            <scheme val="minor"/>
          </rPr>
          <t>======
ID#AAABLLFlNiA
Ansari Yasmeen    (2023-03-28 09:38:52)
1 year bonus start from this month 2 jul ( old bonus included ) 4000</t>
        </r>
      </text>
    </comment>
    <comment ref="E48" authorId="0" shapeId="0" xr:uid="{00000000-0006-0000-0300-00004D000000}">
      <text>
        <r>
          <rPr>
            <sz val="11"/>
            <color rgb="FF000000"/>
            <rFont val="Arial"/>
            <family val="2"/>
            <scheme val="minor"/>
          </rPr>
          <t>======
ID#AAAAsv7I9KE
User    (2021-09-19 08:42:25)
July 2021</t>
        </r>
      </text>
    </comment>
    <comment ref="L48" authorId="0" shapeId="0" xr:uid="{00000000-0006-0000-0300-00004E000000}">
      <text>
        <r>
          <rPr>
            <sz val="11"/>
            <color rgb="FF000000"/>
            <rFont val="Arial"/>
            <family val="2"/>
            <scheme val="minor"/>
          </rPr>
          <t>======
ID#AAABLLFlNjY
Ansari Yasmeen    (2023-03-28 09:38:52)
after 2 month salary deposit &amp; loan amount</t>
        </r>
      </text>
    </comment>
    <comment ref="D49" authorId="0" shapeId="0" xr:uid="{00000000-0006-0000-0300-00004F000000}">
      <text>
        <r>
          <rPr>
            <sz val="11"/>
            <color rgb="FF000000"/>
            <rFont val="Arial"/>
            <family val="2"/>
            <scheme val="minor"/>
          </rPr>
          <t>======
ID#AAAAsv7I8_w
Iqra Technology    (2021-09-03 07:02:00)
1 Sep 2021</t>
        </r>
      </text>
    </comment>
    <comment ref="J49" authorId="0" shapeId="0" xr:uid="{00000000-0006-0000-0300-000050000000}">
      <text>
        <r>
          <rPr>
            <sz val="11"/>
            <color rgb="FF000000"/>
            <rFont val="Arial"/>
            <family val="2"/>
            <scheme val="minor"/>
          </rPr>
          <t>======
ID#AAABLLFlNgQ
Admin    (2023-03-28 09:38:52)
1 year bonus will be start from this month</t>
        </r>
      </text>
    </comment>
    <comment ref="Q49" authorId="0" shapeId="0" xr:uid="{00000000-0006-0000-0300-000051000000}">
      <text>
        <r>
          <rPr>
            <sz val="11"/>
            <color rgb="FF000000"/>
            <rFont val="Arial"/>
            <family val="2"/>
            <scheme val="minor"/>
          </rPr>
          <t>======
ID#AAABLLFlNdk
Ansari Yasmeen    (2023-03-28 09:38:52)
Annual leave</t>
        </r>
      </text>
    </comment>
    <comment ref="E51" authorId="0" shapeId="0" xr:uid="{00000000-0006-0000-0300-000052000000}">
      <text>
        <r>
          <rPr>
            <sz val="11"/>
            <color rgb="FF000000"/>
            <rFont val="Arial"/>
            <family val="2"/>
            <scheme val="minor"/>
          </rPr>
          <t>======
ID#AAABLLFlNjg
Iqra Technology    (2023-03-28 09:38:52)
6k bonus start from october and will be paid after on year</t>
        </r>
      </text>
    </comment>
    <comment ref="P52" authorId="0" shapeId="0" xr:uid="{00000000-0006-0000-0300-000053000000}">
      <text>
        <r>
          <rPr>
            <sz val="11"/>
            <color rgb="FF000000"/>
            <rFont val="Arial"/>
            <family val="2"/>
            <scheme val="minor"/>
          </rPr>
          <t>======
ID#AAAA-LH4pfo
Iqra Technology    (2023-03-28 09:38:52)
renewal contract start from 3rd oct so 9 days will be count on 4k 
renewal bonus will be on hold and paid after one year  1714 paid in sep month remaining bonus will be paid after 1 year</t>
        </r>
      </text>
    </comment>
    <comment ref="O53" authorId="0" shapeId="0" xr:uid="{00000000-0006-0000-0300-000054000000}">
      <text>
        <r>
          <rPr>
            <sz val="11"/>
            <color rgb="FF000000"/>
            <rFont val="Arial"/>
            <family val="2"/>
            <scheme val="minor"/>
          </rPr>
          <t>======
ID#AAABLLFlNdc
Faaiza Shaikh    (2023-03-28 09:38:52)
1 year bonus starts from 16 Sep 2022</t>
        </r>
      </text>
    </comment>
    <comment ref="H54" authorId="0" shapeId="0" xr:uid="{00000000-0006-0000-0300-000055000000}">
      <text>
        <r>
          <rPr>
            <sz val="11"/>
            <color rgb="FF000000"/>
            <rFont val="Arial"/>
            <family val="2"/>
            <scheme val="minor"/>
          </rPr>
          <t>======
ID#AAABLLFlNjE
Admin    (2023-03-28 09:38:52)
1 year bonus will be start from this month</t>
        </r>
      </text>
    </comment>
    <comment ref="L55" authorId="0" shapeId="0" xr:uid="{00000000-0006-0000-0300-000056000000}">
      <text>
        <r>
          <rPr>
            <sz val="11"/>
            <color rgb="FF000000"/>
            <rFont val="Arial"/>
            <family val="2"/>
            <scheme val="minor"/>
          </rPr>
          <t>======
ID#AAABLLFlNeU
Admin    (2023-03-28 09:38:52)
1 year bonus will be start from this month</t>
        </r>
      </text>
    </comment>
    <comment ref="P56" authorId="0" shapeId="0" xr:uid="{00000000-0006-0000-0300-000057000000}">
      <text>
        <r>
          <rPr>
            <sz val="11"/>
            <color rgb="FF000000"/>
            <rFont val="Arial"/>
            <family val="2"/>
            <scheme val="minor"/>
          </rPr>
          <t>======
ID#AAABLLFlNik
User    (2023-03-28 09:38:52)
User:paid after 1 year from this month</t>
        </r>
      </text>
    </comment>
    <comment ref="I57" authorId="0" shapeId="0" xr:uid="{00000000-0006-0000-0300-000058000000}">
      <text>
        <r>
          <rPr>
            <sz val="11"/>
            <color rgb="FF000000"/>
            <rFont val="Arial"/>
            <family val="2"/>
            <scheme val="minor"/>
          </rPr>
          <t>======
ID#AAABLLFlNhI
Admin    (2023-03-28 09:38:52)
1 year bonus will be start from this month</t>
        </r>
      </text>
    </comment>
    <comment ref="D58" authorId="0" shapeId="0" xr:uid="{00000000-0006-0000-0300-000059000000}">
      <text>
        <r>
          <rPr>
            <sz val="11"/>
            <color rgb="FF000000"/>
            <rFont val="Arial"/>
            <family val="2"/>
            <scheme val="minor"/>
          </rPr>
          <t>======
ID#AAAAsv7I9QE
Ansari Yasmeen    (2020-10-16 13:34:01)
From July</t>
        </r>
      </text>
    </comment>
    <comment ref="E58" authorId="0" shapeId="0" xr:uid="{00000000-0006-0000-0300-00005A000000}">
      <text>
        <r>
          <rPr>
            <sz val="11"/>
            <color rgb="FF000000"/>
            <rFont val="Arial"/>
            <family val="2"/>
            <scheme val="minor"/>
          </rPr>
          <t>======
ID#AAAAsv7I9OQ
Ansari Yasmeen    (2021-02-18 13:46:24)
from Feb 2021</t>
        </r>
      </text>
    </comment>
    <comment ref="H58" authorId="0" shapeId="0" xr:uid="{00000000-0006-0000-0300-00005B000000}">
      <text>
        <r>
          <rPr>
            <sz val="11"/>
            <color rgb="FF000000"/>
            <rFont val="Arial"/>
            <family val="2"/>
            <scheme val="minor"/>
          </rPr>
          <t>======
ID#AAAAsv7I9Pw
Ansari Yasmeen    (2021-02-18 13:46:24)
from Feb 2021</t>
        </r>
      </text>
    </comment>
    <comment ref="D59" authorId="0" shapeId="0" xr:uid="{00000000-0006-0000-0300-00005C000000}">
      <text>
        <r>
          <rPr>
            <sz val="11"/>
            <color rgb="FF000000"/>
            <rFont val="Arial"/>
            <family val="2"/>
            <scheme val="minor"/>
          </rPr>
          <t xml:space="preserve">======
ID#AAAAsv7I9C0
User    (2021-09-03 07:02:00)
Start from April 2021 12k +4k
renew cont start 02-09-2022 
25k+5+
</t>
        </r>
      </text>
    </comment>
    <comment ref="P59" authorId="0" shapeId="0" xr:uid="{00000000-0006-0000-0300-00005D000000}">
      <text>
        <r>
          <rPr>
            <sz val="11"/>
            <color rgb="FF000000"/>
            <rFont val="Arial"/>
            <family val="2"/>
            <scheme val="minor"/>
          </rPr>
          <t>======
ID#AAABLLFlNeg
Iqra Technology    (2023-03-28 09:38:52)
start 1 year bonus from this month</t>
        </r>
      </text>
    </comment>
    <comment ref="D60" authorId="0" shapeId="0" xr:uid="{00000000-0006-0000-0300-00005E000000}">
      <text>
        <r>
          <rPr>
            <sz val="11"/>
            <color rgb="FF000000"/>
            <rFont val="Arial"/>
            <family val="2"/>
            <scheme val="minor"/>
          </rPr>
          <t>======
ID#AAAAsv7I87I
User    (2021-09-03 07:02:00)
June 2021</t>
        </r>
      </text>
    </comment>
    <comment ref="J61" authorId="0" shapeId="0" xr:uid="{00000000-0006-0000-0300-00005F000000}">
      <text>
        <r>
          <rPr>
            <sz val="11"/>
            <color rgb="FF000000"/>
            <rFont val="Arial"/>
            <family val="2"/>
            <scheme val="minor"/>
          </rPr>
          <t>======
ID#AAABLLFlNi0
Admin    (2023-03-28 09:38:52)
1 year bonus will be start from this month</t>
        </r>
      </text>
    </comment>
    <comment ref="I62" authorId="0" shapeId="0" xr:uid="{00000000-0006-0000-0300-000060000000}">
      <text>
        <r>
          <rPr>
            <sz val="11"/>
            <color rgb="FF000000"/>
            <rFont val="Arial"/>
            <family val="2"/>
            <scheme val="minor"/>
          </rPr>
          <t>======
ID#AAABLLFlNj8
Admin    (2023-03-28 09:38:52)
1 year bonus will be start from this month</t>
        </r>
      </text>
    </comment>
    <comment ref="J63" authorId="0" shapeId="0" xr:uid="{00000000-0006-0000-0300-000061000000}">
      <text>
        <r>
          <rPr>
            <sz val="11"/>
            <color rgb="FF000000"/>
            <rFont val="Arial"/>
            <family val="2"/>
            <scheme val="minor"/>
          </rPr>
          <t>======
ID#AAABLLFlNfM
Iqra Technology    (2023-03-28 09:38:52)
Iqra Technology
Contract start from april but the bonus will be start from August after 3 months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Samreen Supariwala</author>
  </authors>
  <commentList>
    <comment ref="D2" authorId="0" shapeId="0" xr:uid="{00000000-0006-0000-0400-000001000000}">
      <text>
        <r>
          <rPr>
            <sz val="11"/>
            <color rgb="FF000000"/>
            <rFont val="Arial"/>
            <family val="2"/>
            <scheme val="minor"/>
          </rPr>
          <t>======
ID#AAAAsv7I89s
Iqra Technology    (2021-09-03 07:02:00)
1 Sep 2021</t>
        </r>
      </text>
    </comment>
    <comment ref="E2" authorId="0" shapeId="0" xr:uid="{00000000-0006-0000-0400-000002000000}">
      <text>
        <r>
          <rPr>
            <sz val="11"/>
            <color rgb="FF000000"/>
            <rFont val="Arial"/>
            <family val="2"/>
            <scheme val="minor"/>
          </rPr>
          <t>======
ID#AAAA9v8wURw
Ansari Yasmeen    (2022-09-03 12:04:06)
5k to 8k from sep 2022
Monthly Bonus</t>
        </r>
      </text>
    </comment>
    <comment ref="E3" authorId="0" shapeId="0" xr:uid="{00000000-0006-0000-0400-000003000000}">
      <text>
        <r>
          <rPr>
            <sz val="11"/>
            <color rgb="FF000000"/>
            <rFont val="Arial"/>
            <family val="2"/>
            <scheme val="minor"/>
          </rPr>
          <t>======
ID#AAABLLFlNjA
iqra Tech    (2023-03-28 09:38:52)
6k Bonus starts from March month 2023</t>
        </r>
      </text>
    </comment>
    <comment ref="K3" authorId="0" shapeId="0" xr:uid="{00000000-0006-0000-0400-000004000000}">
      <text>
        <r>
          <rPr>
            <sz val="11"/>
            <color rgb="FF000000"/>
            <rFont val="Arial"/>
            <family val="2"/>
            <scheme val="minor"/>
          </rPr>
          <t>======
ID#AAABLLFlNfA
iqra Tech    (2023-03-28 09:38:52)
6k Bonus starts from this month</t>
        </r>
      </text>
    </comment>
    <comment ref="D4" authorId="0" shapeId="0" xr:uid="{00000000-0006-0000-0400-000005000000}">
      <text>
        <r>
          <rPr>
            <sz val="11"/>
            <color rgb="FF000000"/>
            <rFont val="Arial"/>
            <family val="2"/>
            <scheme val="minor"/>
          </rPr>
          <t>======
ID#AAAA9v-EMpE
Ansari Yasmeen    (2021-02-18 13:46:24)
from Feb 2021
10K Salary to 13k Salary increment started from 09 Dec 2023</t>
        </r>
      </text>
    </comment>
    <comment ref="E4" authorId="0" shapeId="0" xr:uid="{00000000-0006-0000-0400-000006000000}">
      <text>
        <r>
          <rPr>
            <sz val="11"/>
            <color rgb="FF000000"/>
            <rFont val="Arial"/>
            <family val="2"/>
            <scheme val="minor"/>
          </rPr>
          <t>======
ID#AAAAsv7I9Io
Ansari Yasmeen    (2022-09-03 12:04:06)
5k to 8k from sep 2022
Monthly Bonus</t>
        </r>
      </text>
    </comment>
    <comment ref="E5" authorId="0" shapeId="0" xr:uid="{00000000-0006-0000-0400-000007000000}">
      <text>
        <r>
          <rPr>
            <sz val="11"/>
            <color rgb="FF000000"/>
            <rFont val="Arial"/>
            <family val="2"/>
            <scheme val="minor"/>
          </rPr>
          <t>======
ID#AAABIPoLzK8
IQRA TECHNOLOGY    (2023-07-17 08:11:19)
6k bonus start from July month 2023
(MONTHLY BONUS)
2 months Bonus will get deposited</t>
        </r>
      </text>
    </comment>
    <comment ref="O5" authorId="0" shapeId="0" xr:uid="{00000000-0006-0000-0400-000008000000}">
      <text>
        <r>
          <rPr>
            <sz val="11"/>
            <color rgb="FF000000"/>
            <rFont val="Arial"/>
            <family val="2"/>
            <scheme val="minor"/>
          </rPr>
          <t>======
ID#AAABLLFlNgI
Faaiza Shaikh    (2023-07-17 08:11:19)
6k Bonus will get started from this month</t>
        </r>
      </text>
    </comment>
    <comment ref="D6" authorId="0" shapeId="0" xr:uid="{00000000-0006-0000-0400-000009000000}">
      <text>
        <r>
          <rPr>
            <sz val="11"/>
            <color rgb="FF000000"/>
            <rFont val="Arial"/>
            <family val="2"/>
            <scheme val="minor"/>
          </rPr>
          <t>======
ID#AAAAsv7I9JA
Faaiza Shaikh    (2022-08-25 05:46:06)
25k to 40k
 from 25 Aug 2022</t>
        </r>
      </text>
    </comment>
    <comment ref="E6" authorId="0" shapeId="0" xr:uid="{00000000-0006-0000-0400-00000A000000}">
      <text>
        <r>
          <rPr>
            <sz val="11"/>
            <color rgb="FF000000"/>
            <rFont val="Arial"/>
            <family val="2"/>
            <scheme val="minor"/>
          </rPr>
          <t>======
ID#AAAA9v8p7PU
Faaiza Shaikh    (2022-08-25 05:46:06)
5k to 10k
 starts from 25 Aug 2022
Bonus will be paid after completion of 1 Year</t>
        </r>
      </text>
    </comment>
    <comment ref="S6" authorId="0" shapeId="0" xr:uid="{00000000-0006-0000-0400-00000B000000}">
      <text>
        <r>
          <rPr>
            <sz val="11"/>
            <color rgb="FF000000"/>
            <rFont val="Arial"/>
            <family val="2"/>
            <scheme val="minor"/>
          </rPr>
          <t>======
ID#AAAA8VD6-ak
Faaiza Shaikh    (2023-10-26 07:14:10)
Bonus will get deposited from this month and will pay after srving the notice period</t>
        </r>
      </text>
    </comment>
    <comment ref="D7" authorId="0" shapeId="0" xr:uid="{00000000-0006-0000-0400-00000C000000}">
      <text>
        <r>
          <rPr>
            <sz val="11"/>
            <color rgb="FF000000"/>
            <rFont val="Arial"/>
            <family val="2"/>
            <scheme val="minor"/>
          </rPr>
          <t>======
ID#AAAA9v8wURs
Ansari Yasmeen    (2021-02-18 13:46:24)
Start from Jan 2021
6k to 12k from Sep 2021
12k to 25k from Sep 2022</t>
        </r>
      </text>
    </comment>
    <comment ref="E7" authorId="0" shapeId="0" xr:uid="{00000000-0006-0000-0400-00000D000000}">
      <text>
        <r>
          <rPr>
            <sz val="11"/>
            <color rgb="FF000000"/>
            <rFont val="Arial"/>
            <family val="2"/>
            <scheme val="minor"/>
          </rPr>
          <t xml:space="preserve">======
ID#AAAAsv7I8_c
Ansari Yasmeen    (2022-03-16 06:56:29)
6k perfomance bonus 
6k teaching bonus
after renewal 5k ( 26 sep 2022) 
Bonus will be paid after 1 year completion
</t>
        </r>
      </text>
    </comment>
    <comment ref="R7" authorId="0" shapeId="0" xr:uid="{00000000-0006-0000-0400-00000E000000}">
      <text>
        <r>
          <rPr>
            <sz val="11"/>
            <color rgb="FF000000"/>
            <rFont val="Arial"/>
            <family val="2"/>
            <scheme val="minor"/>
          </rPr>
          <t>======
ID#AAAA8VD6-ac
Faaiza Shaikh    (2023-10-26 07:14:10)
2 Months salary amount will get deposit from this month and after this will pay monthly bonus</t>
        </r>
      </text>
    </comment>
    <comment ref="D8" authorId="0" shapeId="0" xr:uid="{00000000-0006-0000-0400-00000F000000}">
      <text>
        <r>
          <rPr>
            <sz val="11"/>
            <color rgb="FF000000"/>
            <rFont val="Arial"/>
            <family val="2"/>
            <scheme val="minor"/>
          </rPr>
          <t>======
ID#AAAA9v8p7TE
Faaiza Shaikh    (2022-08-25 05:46:06)
12k to 30k 
Starts from 26 Aug 2022</t>
        </r>
      </text>
    </comment>
    <comment ref="E8" authorId="0" shapeId="0" xr:uid="{00000000-0006-0000-0400-000010000000}">
      <text>
        <r>
          <rPr>
            <sz val="11"/>
            <color rgb="FF000000"/>
            <rFont val="Arial"/>
            <family val="2"/>
            <scheme val="minor"/>
          </rPr>
          <t>======
ID#AAAA9v8p7PY
Faaiza Shaikh    (2022-08-25 05:46:06)
6k to 5k 
Starts from 26 Aug 2022
5k to month / annually renewal start date 12oc 
Bonus will be paid after 1 year completion</t>
        </r>
      </text>
    </comment>
    <comment ref="S8" authorId="0" shapeId="0" xr:uid="{00000000-0006-0000-0400-000011000000}">
      <text>
        <r>
          <rPr>
            <sz val="11"/>
            <color rgb="FF000000"/>
            <rFont val="Arial"/>
            <family val="2"/>
            <scheme val="minor"/>
          </rPr>
          <t>======
ID#AAAA8VD6-ag
Faaiza Shaikh    (2023-10-26 07:14:10)
Bonus will get deposited from this month and will pay after srving the notice period</t>
        </r>
      </text>
    </comment>
    <comment ref="D9" authorId="0" shapeId="0" xr:uid="{00000000-0006-0000-0400-000012000000}">
      <text>
        <r>
          <rPr>
            <sz val="11"/>
            <color rgb="FF000000"/>
            <rFont val="Arial"/>
            <family val="2"/>
            <scheme val="minor"/>
          </rPr>
          <t>======
ID#AAAA9v8p7TI
    (2024-01-04 11:48:55)
1.5 year Contract has started from 11 Dec 2023
6,000 salary + 4,000 Bonus till 6 Months10,000 salary + 6,000 Bonus after completion of 6 Months</t>
        </r>
      </text>
    </comment>
    <comment ref="E9" authorId="0" shapeId="0" xr:uid="{00000000-0006-0000-0400-000013000000}">
      <text>
        <r>
          <rPr>
            <sz val="11"/>
            <color rgb="FF000000"/>
            <rFont val="Arial"/>
            <family val="2"/>
            <scheme val="minor"/>
          </rPr>
          <t>======
ID#AAAA9v-EMoo
    (2024-01-04 11:48:55)
1.5 year Contract has started from 11 Dec 2023
6,000 salary + 4,000 Bonus till 6 Months10,000 salary + 6,000 Bonus after completion of 6 Months</t>
        </r>
      </text>
    </comment>
    <comment ref="S9" authorId="0" shapeId="0" xr:uid="{00000000-0006-0000-0400-000014000000}">
      <text>
        <r>
          <rPr>
            <sz val="11"/>
            <color rgb="FF000000"/>
            <rFont val="Arial"/>
            <family val="2"/>
            <scheme val="minor"/>
          </rPr>
          <t xml:space="preserve">======
ID#AAABCkd5qn4
Faaiza Shaikh    (2023-12-16 12:43:55)
One Time Bonus for Noorul's Backup </t>
        </r>
      </text>
    </comment>
    <comment ref="T9" authorId="0" shapeId="0" xr:uid="{00000000-0006-0000-0400-000015000000}">
      <text>
        <r>
          <rPr>
            <sz val="11"/>
            <color rgb="FF000000"/>
            <rFont val="Arial"/>
            <family val="2"/>
            <scheme val="minor"/>
          </rPr>
          <t>======
ID#AAABBto_hjQ
Faaiza Shaikh    (2023-12-21 05:59:14)
1.5 year Contract has started from 11 Dec 2023
6,000 salary + 4,000 Bonus till 6 Months
10,000 salary + 6,000 Bonus after completion of 6 Months
(Yearly Bonus)</t>
        </r>
      </text>
    </comment>
    <comment ref="W9" authorId="1" shapeId="0" xr:uid="{957E20ED-318F-4215-9CA3-D10A47E2C7BE}">
      <text>
        <r>
          <rPr>
            <b/>
            <sz val="9"/>
            <color indexed="81"/>
            <rFont val="Tahoma"/>
            <family val="2"/>
          </rPr>
          <t>Samreen Supariwala:</t>
        </r>
        <r>
          <rPr>
            <sz val="9"/>
            <color indexed="81"/>
            <rFont val="Tahoma"/>
            <family val="2"/>
          </rPr>
          <t xml:space="preserve">
already paid 
it's one time bonus</t>
        </r>
      </text>
    </comment>
    <comment ref="D10" authorId="0" shapeId="0" xr:uid="{00000000-0006-0000-0400-000016000000}">
      <text>
        <r>
          <rPr>
            <sz val="11"/>
            <color rgb="FF000000"/>
            <rFont val="Arial"/>
            <family val="2"/>
            <scheme val="minor"/>
          </rPr>
          <t>======
ID#AAAAsv7I9Hs
Iqra Technology    (2021-09-03 07:02:00)
Start from June 2021</t>
        </r>
      </text>
    </comment>
    <comment ref="E10" authorId="0" shapeId="0" xr:uid="{00000000-0006-0000-0400-000017000000}">
      <text>
        <r>
          <rPr>
            <sz val="11"/>
            <color rgb="FF000000"/>
            <rFont val="Arial"/>
            <family val="2"/>
            <scheme val="minor"/>
          </rPr>
          <t>======
ID#AAAA9v-EMpQ
IqraTechnology    (2022-10-03 11:39:01)
Bonus will be paid after 1 year completion of contract</t>
        </r>
      </text>
    </comment>
    <comment ref="L10" authorId="0" shapeId="0" xr:uid="{00000000-0006-0000-0400-000018000000}">
      <text>
        <r>
          <rPr>
            <sz val="11"/>
            <color rgb="FF000000"/>
            <rFont val="Arial"/>
            <family val="2"/>
            <scheme val="minor"/>
          </rPr>
          <t>======
ID#AAABLLFlNeI
tc={F23B1BF1-611B-4992-862D-7C06BDDDB343}    (2023-07-05 10:43:00)
[Threaded comment]
Your version of Excel allows you to read this threaded comment; however, any edits to it will get removed if the file is opened in a newer version of Excel. Learn more: https://go.microsoft.com/fwlink/?linkid=870924
Comment:
    Bonus Paid till this month</t>
        </r>
      </text>
    </comment>
    <comment ref="M11" authorId="0" shapeId="0" xr:uid="{00000000-0006-0000-0400-000019000000}">
      <text>
        <r>
          <rPr>
            <sz val="11"/>
            <color rgb="FF000000"/>
            <rFont val="Arial"/>
            <family val="2"/>
            <scheme val="minor"/>
          </rPr>
          <t>======
ID#AAABLLFlNd4
Faaiza Shaikh    (2023-07-17 08:11:19)
10K Bonus started from this month</t>
        </r>
      </text>
    </comment>
    <comment ref="E12" authorId="0" shapeId="0" xr:uid="{00000000-0006-0000-0400-00001A000000}">
      <text>
        <r>
          <rPr>
            <sz val="11"/>
            <color rgb="FF000000"/>
            <rFont val="Arial"/>
            <family val="2"/>
            <scheme val="minor"/>
          </rPr>
          <t>======
ID#AAAA9v8p7Pg
IqraTechnology    (2022-10-01 12:27:00)
Bonus will given after 1 year completion of contract.</t>
        </r>
      </text>
    </comment>
    <comment ref="R12" authorId="0" shapeId="0" xr:uid="{00000000-0006-0000-0400-00001B000000}">
      <text>
        <r>
          <rPr>
            <sz val="11"/>
            <color rgb="FF000000"/>
            <rFont val="Arial"/>
            <family val="2"/>
            <scheme val="minor"/>
          </rPr>
          <t>======
ID#AAAA7c7uBgw
Faaiza Shaikh    (2023-10-16 12:03:36)
Bonus will get deposited from this month and will pay after srving the notice period</t>
        </r>
      </text>
    </comment>
    <comment ref="M13" authorId="0" shapeId="0" xr:uid="{00000000-0006-0000-0400-00001C000000}">
      <text>
        <r>
          <rPr>
            <sz val="11"/>
            <color rgb="FF000000"/>
            <rFont val="Arial"/>
            <family val="2"/>
            <scheme val="minor"/>
          </rPr>
          <t>======
ID#AAABLLFlNh4
Faaiza Shaikh    (2023-07-17 08:11:19)
10K Bonus started from this month</t>
        </r>
      </text>
    </comment>
    <comment ref="E14" authorId="0" shapeId="0" xr:uid="{00000000-0006-0000-0400-00001D000000}">
      <text>
        <r>
          <rPr>
            <sz val="11"/>
            <color rgb="FF000000"/>
            <rFont val="Arial"/>
            <family val="2"/>
            <scheme val="minor"/>
          </rPr>
          <t>======
ID#AAAA9cn9XQo
    (2023-10-20 06:03:01)
Yearly Bonus (Paid after completion of his employment period)
5k Bonus started from 17 Oct 2023</t>
        </r>
      </text>
    </comment>
    <comment ref="R14" authorId="0" shapeId="0" xr:uid="{00000000-0006-0000-0400-00001E000000}">
      <text>
        <r>
          <rPr>
            <sz val="11"/>
            <color rgb="FF000000"/>
            <rFont val="Arial"/>
            <family val="2"/>
            <scheme val="minor"/>
          </rPr>
          <t>======
ID#AAAA7hWdHjc
Faaiza Shaikh    (2023-10-18 13:14:09)
5k Bonus started from 17 Oct 2023
Yearly Bonus</t>
        </r>
      </text>
    </comment>
    <comment ref="D15" authorId="0" shapeId="0" xr:uid="{00000000-0006-0000-0400-00001F000000}">
      <text>
        <r>
          <rPr>
            <sz val="11"/>
            <color rgb="FF000000"/>
            <rFont val="Arial"/>
            <family val="2"/>
            <scheme val="minor"/>
          </rPr>
          <t>======
ID#AAAAsv7I86Y
Ansari Yasmeen    (2021-12-01 10:54:38)
14k to 18k from Dec 2021
18k to 35k from Oct 2022</t>
        </r>
      </text>
    </comment>
    <comment ref="E15" authorId="0" shapeId="0" xr:uid="{00000000-0006-0000-0400-000020000000}">
      <text>
        <r>
          <rPr>
            <sz val="11"/>
            <color rgb="FF000000"/>
            <rFont val="Arial"/>
            <family val="2"/>
            <scheme val="minor"/>
          </rPr>
          <t>======
ID#AAAAsv7I9N0
IqraTechnology    (2022-10-06 05:00:04)
6k to 5k starts from Oct 2022
Bonus will be given after completion of One Year</t>
        </r>
      </text>
    </comment>
    <comment ref="E16" authorId="0" shapeId="0" xr:uid="{00000000-0006-0000-0400-000021000000}">
      <text>
        <r>
          <rPr>
            <sz val="11"/>
            <color rgb="FF000000"/>
            <rFont val="Arial"/>
            <family val="2"/>
            <scheme val="minor"/>
          </rPr>
          <t>======
ID#AAAA9v8p7P0
IqraTechnology    (2022-10-01 08:41:15)
Bonus will be paid after 1 year completion.</t>
        </r>
      </text>
    </comment>
    <comment ref="R16" authorId="0" shapeId="0" xr:uid="{00000000-0006-0000-0400-000022000000}">
      <text>
        <r>
          <rPr>
            <sz val="11"/>
            <color rgb="FF000000"/>
            <rFont val="Arial"/>
            <family val="2"/>
            <scheme val="minor"/>
          </rPr>
          <t>======
ID#AAAA8VD6-as
Faaiza Shaikh    (2023-10-26 07:54:01)
10k to 5k starts from this month
Monthly Bonus</t>
        </r>
      </text>
    </comment>
    <comment ref="E17" authorId="0" shapeId="0" xr:uid="{00000000-0006-0000-0400-000023000000}">
      <text>
        <r>
          <rPr>
            <sz val="11"/>
            <color rgb="FF000000"/>
            <rFont val="Arial"/>
            <family val="2"/>
            <scheme val="minor"/>
          </rPr>
          <t>======
ID#AAAA9v8p7S0
Faaiza Shaikh    (2022-11-01 06:39:52)
4000 Monthly Bonus
(Performance Based)
6000 will be on hold and will pay after completion of One Year)</t>
        </r>
      </text>
    </comment>
    <comment ref="S17" authorId="0" shapeId="0" xr:uid="{00000000-0006-0000-0400-000024000000}">
      <text>
        <r>
          <rPr>
            <sz val="11"/>
            <color rgb="FF000000"/>
            <rFont val="Arial"/>
            <family val="2"/>
            <scheme val="minor"/>
          </rPr>
          <t>======
ID#AAABBDsp34M
Faaiza Shaikh    (2023-11-21 10:48:53)
Renewal contract has started from 29th Oct 2023
Bonus will be 6k on his renewal contract</t>
        </r>
      </text>
    </comment>
    <comment ref="W17" authorId="0" shapeId="0" xr:uid="{00000000-0006-0000-0400-000025000000}">
      <text>
        <r>
          <rPr>
            <sz val="11"/>
            <color rgb="FF000000"/>
            <rFont val="Arial"/>
            <family val="2"/>
            <scheme val="minor"/>
          </rPr>
          <t>======
ID#AAABLLFlNfo
Faaiza Shaikh    (2023-03-31 08:41:56)
out of 6,400
3,800 is charged for the laptop damaged repair and hence, 200 will be paid</t>
        </r>
      </text>
    </comment>
    <comment ref="E18" authorId="0" shapeId="0" xr:uid="{00000000-0006-0000-0400-000026000000}">
      <text>
        <r>
          <rPr>
            <sz val="11"/>
            <color rgb="FF000000"/>
            <rFont val="Arial"/>
            <family val="2"/>
            <scheme val="minor"/>
          </rPr>
          <t>======
ID#AAAAsv7I87g
IqraTechnology    (2022-10-01 12:27:00)
Bonus will be paid after one year completion.</t>
        </r>
      </text>
    </comment>
    <comment ref="N18" authorId="0" shapeId="0" xr:uid="{00000000-0006-0000-0400-000027000000}">
      <text>
        <r>
          <rPr>
            <sz val="11"/>
            <color rgb="FF000000"/>
            <rFont val="Arial"/>
            <family val="2"/>
            <scheme val="minor"/>
          </rPr>
          <t>======
ID#AAABLLFlNd0
Faaiza Shaikh    (2023-07-17 08:11:19)
Renewal contract start from 21-06-2023 70k+10k</t>
        </r>
      </text>
    </comment>
    <comment ref="E19" authorId="0" shapeId="0" xr:uid="{00000000-0006-0000-0400-000028000000}">
      <text>
        <r>
          <rPr>
            <sz val="11"/>
            <color rgb="FF000000"/>
            <rFont val="Arial"/>
            <family val="2"/>
            <scheme val="minor"/>
          </rPr>
          <t>======
ID#AAAAsv7I9IY
Ansari Yasmeen    (2022-01-23 08:08:46)
Jan 2022
Bonus will be paid after one year completion.</t>
        </r>
      </text>
    </comment>
    <comment ref="I19" authorId="0" shapeId="0" xr:uid="{00000000-0006-0000-0400-000029000000}">
      <text>
        <r>
          <rPr>
            <sz val="11"/>
            <color rgb="FF000000"/>
            <rFont val="Arial"/>
            <family val="2"/>
            <scheme val="minor"/>
          </rPr>
          <t>======
ID#AAABLLFlNhk
Faaiza Shaikh    (2023-03-28 09:38:52)
8182 = (10000/22*18)
calculated on old contrat
1818 = (10000/22*4)
calculated on new contract</t>
        </r>
      </text>
    </comment>
    <comment ref="E20" authorId="0" shapeId="0" xr:uid="{00000000-0006-0000-0400-00002A000000}">
      <text>
        <r>
          <rPr>
            <sz val="11"/>
            <color rgb="FF000000"/>
            <rFont val="Arial"/>
            <family val="2"/>
            <scheme val="minor"/>
          </rPr>
          <t>======
ID#AAAA9v-EMpk
IqraTechnology    (2022-10-01 12:27:00)
Bonus will be paid after one year completion.</t>
        </r>
      </text>
    </comment>
    <comment ref="M20" authorId="0" shapeId="0" xr:uid="{00000000-0006-0000-0400-00002B000000}">
      <text>
        <r>
          <rPr>
            <sz val="11"/>
            <color rgb="FF000000"/>
            <rFont val="Arial"/>
            <family val="2"/>
            <scheme val="minor"/>
          </rPr>
          <t>======
ID#AAAA_R5hpbE
Faaiza Shaikh    (2023-11-01 14:22:29)
Bonus started deposited from this month</t>
        </r>
      </text>
    </comment>
    <comment ref="D21" authorId="0" shapeId="0" xr:uid="{00000000-0006-0000-0400-00002C000000}">
      <text>
        <r>
          <rPr>
            <sz val="11"/>
            <color rgb="FF000000"/>
            <rFont val="Arial"/>
            <family val="2"/>
            <scheme val="minor"/>
          </rPr>
          <t>======
ID#AAAA9cn9XQk
Faaiza Shaikh    (2023-10-20 06:03:01)
10k to 15k increment has started from 19
 Oct 2023</t>
        </r>
      </text>
    </comment>
    <comment ref="E21" authorId="0" shapeId="0" xr:uid="{00000000-0006-0000-0400-00002D000000}">
      <text>
        <r>
          <rPr>
            <sz val="11"/>
            <color rgb="FF000000"/>
            <rFont val="Arial"/>
            <family val="2"/>
            <scheme val="minor"/>
          </rPr>
          <t>======
ID#AAAA9v8wURA
Faaiza Shaikh    (2022-10-07 05:19:08)
Bonus will be paid after one year completion.</t>
        </r>
      </text>
    </comment>
    <comment ref="D22" authorId="0" shapeId="0" xr:uid="{00000000-0006-0000-0400-00002E000000}">
      <text>
        <r>
          <rPr>
            <sz val="11"/>
            <color rgb="FF000000"/>
            <rFont val="Arial"/>
            <family val="2"/>
            <scheme val="minor"/>
          </rPr>
          <t>======
ID#AAAAsv7I9II
User    (2021-09-03 07:02:00)
June 2021</t>
        </r>
      </text>
    </comment>
    <comment ref="E22" authorId="0" shapeId="0" xr:uid="{00000000-0006-0000-0400-00002F000000}">
      <text>
        <r>
          <rPr>
            <sz val="11"/>
            <color rgb="FF000000"/>
            <rFont val="Arial"/>
            <family val="2"/>
            <scheme val="minor"/>
          </rPr>
          <t>======
ID#AAAAsv7I9L4
IqraTechnology    (2022-10-01 12:27:00)
Bonus will be paid after one year completion.</t>
        </r>
      </text>
    </comment>
    <comment ref="K22" authorId="0" shapeId="0" xr:uid="{00000000-0006-0000-0400-000030000000}">
      <text>
        <r>
          <rPr>
            <sz val="11"/>
            <color rgb="FF000000"/>
            <rFont val="Arial"/>
            <family val="2"/>
            <scheme val="minor"/>
          </rPr>
          <t>======
ID#AAAA_TxrWjs
Faaiza Shaikh    (2023-11-01 14:22:29)
Bonus has started deposited from this month</t>
        </r>
      </text>
    </comment>
    <comment ref="E24" authorId="0" shapeId="0" xr:uid="{00000000-0006-0000-0400-000031000000}">
      <text>
        <r>
          <rPr>
            <sz val="11"/>
            <color rgb="FF000000"/>
            <rFont val="Arial"/>
            <family val="2"/>
            <scheme val="minor"/>
          </rPr>
          <t>======
ID#AAABBIa-PUY
Faaiza Shaikh    (2023-11-23 12:21:22)
1.5 Year Contract
4000 bonus for 6 months
10000 after completion of 6 months
(Yearly Bonus)</t>
        </r>
      </text>
    </comment>
    <comment ref="S24" authorId="0" shapeId="0" xr:uid="{00000000-0006-0000-0400-000032000000}">
      <text>
        <r>
          <rPr>
            <sz val="11"/>
            <color rgb="FF000000"/>
            <rFont val="Arial"/>
            <family val="2"/>
            <scheme val="minor"/>
          </rPr>
          <t>======
ID#AAABBto_hjU
Faaiza Shaikh    (2023-12-21 05:59:14)
1.5 Year Contract has started from 28 Oct 2023
4000 bonus for 6 months
10000 after completion of 6 months
(Yearly Bonus)</t>
        </r>
      </text>
    </comment>
    <comment ref="E25" authorId="0" shapeId="0" xr:uid="{00000000-0006-0000-0400-000033000000}">
      <text>
        <r>
          <rPr>
            <sz val="11"/>
            <color rgb="FF000000"/>
            <rFont val="Arial"/>
            <family val="2"/>
            <scheme val="minor"/>
          </rPr>
          <t>======
ID#AAAAsv7I9Js
Ansari Yasmeen    (2022-09-06 11:51:15)
6k start from sep 2022
Monthly Bonus 
(After 2 months bonus deposited with us)</t>
        </r>
      </text>
    </comment>
    <comment ref="I25" authorId="0" shapeId="0" xr:uid="{00000000-0006-0000-0400-000034000000}">
      <text>
        <r>
          <rPr>
            <sz val="11"/>
            <color rgb="FF000000"/>
            <rFont val="Arial"/>
            <family val="2"/>
            <scheme val="minor"/>
          </rPr>
          <t>======
ID#AAABLLFlNkA
Faaiza Shaikh    (2023-03-28 09:38:52)
3000 = (6000/22*11)
calculated on old contrat
5000 = (10000/22*11)
calculated on new contract</t>
        </r>
      </text>
    </comment>
    <comment ref="E26" authorId="0" shapeId="0" xr:uid="{00000000-0006-0000-0400-000035000000}">
      <text>
        <r>
          <rPr>
            <sz val="11"/>
            <color rgb="FF000000"/>
            <rFont val="Arial"/>
            <family val="2"/>
            <scheme val="minor"/>
          </rPr>
          <t>======
ID#AAAAsv7I9Fk
Ansari Yasmeen    (2022-09-06 11:51:15)
6k start from sep 2022
Monthly bonus
(After 2 months bonus deposited with us)</t>
        </r>
      </text>
    </comment>
    <comment ref="O27" authorId="0" shapeId="0" xr:uid="{00000000-0006-0000-0400-000036000000}">
      <text>
        <r>
          <rPr>
            <sz val="11"/>
            <color rgb="FF000000"/>
            <rFont val="Arial"/>
            <family val="2"/>
            <scheme val="minor"/>
          </rPr>
          <t>======
ID#AAABLLFlNhc
Faaiza Shaikh    (2023-07-17 08:11:19)
6k 
Lead Bonus started from this month</t>
        </r>
      </text>
    </comment>
    <comment ref="D28" authorId="0" shapeId="0" xr:uid="{00000000-0006-0000-0400-000037000000}">
      <text>
        <r>
          <rPr>
            <sz val="11"/>
            <color rgb="FF000000"/>
            <rFont val="Arial"/>
            <family val="2"/>
            <scheme val="minor"/>
          </rPr>
          <t>======
ID#AAAAsv7I9Lc
Ansari Yasmeen    (2020-10-16 13:34:01)
21k to 25k from sep 2020
25k to 30k from apr 2021
30k to 35k from sep 2021</t>
        </r>
      </text>
    </comment>
    <comment ref="E28" authorId="0" shapeId="0" xr:uid="{00000000-0006-0000-0400-000038000000}">
      <text>
        <r>
          <rPr>
            <sz val="11"/>
            <color rgb="FF000000"/>
            <rFont val="Arial"/>
            <family val="2"/>
            <scheme val="minor"/>
          </rPr>
          <t>======
ID#AAAAsv7I88I
    (2022-01-17 10:28:43)
Start form 1 Oct 2021</t>
        </r>
      </text>
    </comment>
    <comment ref="I28" authorId="0" shapeId="0" xr:uid="{00000000-0006-0000-0400-000039000000}">
      <text>
        <r>
          <rPr>
            <sz val="11"/>
            <color rgb="FF000000"/>
            <rFont val="Arial"/>
            <family val="2"/>
            <scheme val="minor"/>
          </rPr>
          <t>======
ID#AAABLLFlNiQ
Faaiza Shaikh    (2023-03-28 09:38:52)
5000 = (10000/22*11)
calculated on old contract
5000 = (10000/22*11)
calculated on new contract</t>
        </r>
      </text>
    </comment>
    <comment ref="AH30" authorId="0" shapeId="0" xr:uid="{00000000-0006-0000-0400-00003A000000}">
      <text>
        <r>
          <rPr>
            <sz val="11"/>
            <color rgb="FF000000"/>
            <rFont val="Arial"/>
            <family val="2"/>
            <scheme val="minor"/>
          </rPr>
          <t>======
ID#AAAA9v-EMpw
Faaiza Shaikh    (2024-01-04 11:48:55)
3000 lead bonus - 750 (2.5 leave in Dec month)
3000 - 750 = 2,250</t>
        </r>
      </text>
    </comment>
    <comment ref="D31" authorId="0" shapeId="0" xr:uid="{00000000-0006-0000-0400-00003B000000}">
      <text>
        <r>
          <rPr>
            <sz val="11"/>
            <color rgb="FF000000"/>
            <rFont val="Arial"/>
            <family val="2"/>
            <scheme val="minor"/>
          </rPr>
          <t>======
ID#AAAA9v-EMpo
User    (2021-09-03 07:02:00)
Start from April 2021</t>
        </r>
      </text>
    </comment>
    <comment ref="E31" authorId="0" shapeId="0" xr:uid="{00000000-0006-0000-0400-00003C000000}">
      <text>
        <r>
          <rPr>
            <sz val="11"/>
            <color rgb="FF000000"/>
            <rFont val="Arial"/>
            <family val="2"/>
            <scheme val="minor"/>
          </rPr>
          <t>======
ID#AAAA9v8p7Ps
Ansari Yasmeen    (2022-01-23 07:59:00)
jan 2022
Monthly Bonus</t>
        </r>
      </text>
    </comment>
    <comment ref="D32" authorId="0" shapeId="0" xr:uid="{00000000-0006-0000-0400-00003D000000}">
      <text>
        <r>
          <rPr>
            <sz val="11"/>
            <color rgb="FF000000"/>
            <rFont val="Arial"/>
            <family val="2"/>
            <scheme val="minor"/>
          </rPr>
          <t>======
ID#AAAA9v8wUSI
Faaiza Shaikh    (2022-09-06 05:10:59)
12k to 25k
Starts from 02 Sep 2022</t>
        </r>
      </text>
    </comment>
    <comment ref="E32" authorId="0" shapeId="0" xr:uid="{00000000-0006-0000-0400-00003E000000}">
      <text>
        <r>
          <rPr>
            <sz val="11"/>
            <color rgb="FF000000"/>
            <rFont val="Arial"/>
            <family val="2"/>
            <scheme val="minor"/>
          </rPr>
          <t>======
ID#AAAAsv7I9HU
Faaiza Shaikh    (2022-09-06 05:10:59)
4k to 5k 
Starts from 02 Sep 2022
Bonus will given after 1 year completion of contract.</t>
        </r>
      </text>
    </comment>
    <comment ref="R32" authorId="0" shapeId="0" xr:uid="{00000000-0006-0000-0400-00003F000000}">
      <text>
        <r>
          <rPr>
            <sz val="11"/>
            <color rgb="FF000000"/>
            <rFont val="Arial"/>
            <family val="2"/>
            <scheme val="minor"/>
          </rPr>
          <t>======
ID#AAAA7c7uBg0
Faaiza Shaikh    (2023-10-16 12:03:36)
Bonus will get deposited from this month and will pay after srving the notice period</t>
        </r>
      </text>
    </comment>
    <comment ref="E33" authorId="0" shapeId="0" xr:uid="{00000000-0006-0000-0400-000040000000}">
      <text>
        <r>
          <rPr>
            <sz val="11"/>
            <color rgb="FF000000"/>
            <rFont val="Arial"/>
            <family val="2"/>
            <scheme val="minor"/>
          </rPr>
          <t>======
ID#AAAA9v-EMos
IqraTechnology    (2022-10-03 12:39:05)
Bonus will start after 3 month stipend (from January 2023)
Bonus will be given after 1.5 year completion of contract.</t>
        </r>
      </text>
    </comment>
    <comment ref="E34" authorId="0" shapeId="0" xr:uid="{00000000-0006-0000-0400-000041000000}">
      <text>
        <r>
          <rPr>
            <sz val="11"/>
            <color rgb="FF000000"/>
            <rFont val="Arial"/>
            <family val="2"/>
            <scheme val="minor"/>
          </rPr>
          <t>======
ID#AAAA9v8p7Pw
IqraTechnology    (2022-10-01 12:27:00)
Bonus will be given after 1 year completion of contract.</t>
        </r>
      </text>
    </comment>
    <comment ref="P34" authorId="0" shapeId="0" xr:uid="{00000000-0006-0000-0400-000042000000}">
      <text>
        <r>
          <rPr>
            <sz val="11"/>
            <color rgb="FF000000"/>
            <rFont val="Arial"/>
            <family val="2"/>
            <scheme val="minor"/>
          </rPr>
          <t>======
ID#AAABLLFlNfQ
iqra technology    (2023-08-22 06:26:55)
New contract has started on 15 Aug 2023
Calculation:
7 days calculated on 10,000 bonus from old contract = 1826
16 days calcuted on 6,000 bonus from current new contract = 6,957
Total - 1826 + 6957 = 8,783</t>
        </r>
      </text>
    </comment>
    <comment ref="E35" authorId="0" shapeId="0" xr:uid="{00000000-0006-0000-0400-000043000000}">
      <text>
        <r>
          <rPr>
            <sz val="11"/>
            <color rgb="FF000000"/>
            <rFont val="Arial"/>
            <family val="2"/>
            <scheme val="minor"/>
          </rPr>
          <t>======
ID#AAAA9v8p7SY
IqraTechnology    (2022-10-01 12:27:00)
Bonus will be given after 1 year completion of contract.</t>
        </r>
      </text>
    </comment>
    <comment ref="P35" authorId="0" shapeId="0" xr:uid="{00000000-0006-0000-0400-000044000000}">
      <text>
        <r>
          <rPr>
            <sz val="11"/>
            <color rgb="FF000000"/>
            <rFont val="Arial"/>
            <family val="2"/>
            <scheme val="minor"/>
          </rPr>
          <t>======
ID#AAABLLFlNis
iqra technology    (2023-08-22 06:26:55)
New contract has started on 16 Aug 2023
Calculation:
8 days calculated on 10,000 bonus from old contract = 2,087
15 days calcuted on 6,000 bonus from current new contract = 6,522
Total - 2087 + 6522 = 8609</t>
        </r>
      </text>
    </comment>
    <comment ref="E36" authorId="0" shapeId="0" xr:uid="{00000000-0006-0000-0400-000045000000}">
      <text>
        <r>
          <rPr>
            <sz val="11"/>
            <color rgb="FF000000"/>
            <rFont val="Arial"/>
            <family val="2"/>
            <scheme val="minor"/>
          </rPr>
          <t>======
ID#AAAAsv7I9MY
IqraTechnology    (2022-10-01 12:27:00)
Monthly Bonus</t>
        </r>
      </text>
    </comment>
    <comment ref="D37" authorId="0" shapeId="0" xr:uid="{00000000-0006-0000-0400-000046000000}">
      <text>
        <r>
          <rPr>
            <sz val="11"/>
            <color rgb="FF000000"/>
            <rFont val="Arial"/>
            <family val="2"/>
            <scheme val="minor"/>
          </rPr>
          <t>======
ID#AAAAsv7I9Hc
Ansari Yasmeen    (2021-11-12 08:16:47)
Start from Nov 2021</t>
        </r>
      </text>
    </comment>
    <comment ref="E38" authorId="0" shapeId="0" xr:uid="{00000000-0006-0000-0400-000047000000}">
      <text>
        <r>
          <rPr>
            <sz val="11"/>
            <color rgb="FF000000"/>
            <rFont val="Arial"/>
            <family val="2"/>
            <scheme val="minor"/>
          </rPr>
          <t>======
ID#AAAA9v8p7Pc
IqraTechnology    (2022-10-01 14:26:59)
Bonus will be given after 1 year completion of contract.</t>
        </r>
      </text>
    </comment>
    <comment ref="D39" authorId="0" shapeId="0" xr:uid="{00000000-0006-0000-0400-000048000000}">
      <text>
        <r>
          <rPr>
            <sz val="11"/>
            <color rgb="FF000000"/>
            <rFont val="Arial"/>
            <family val="2"/>
            <scheme val="minor"/>
          </rPr>
          <t>======
ID#AAAAsv7I9A8
Faaiza Shaikh    (2022-10-06 05:19:11)
12k to 25k starts from
Oct 2022</t>
        </r>
      </text>
    </comment>
    <comment ref="E39" authorId="0" shapeId="0" xr:uid="{00000000-0006-0000-0400-000049000000}">
      <text>
        <r>
          <rPr>
            <sz val="11"/>
            <color rgb="FF000000"/>
            <rFont val="Arial"/>
            <family val="2"/>
            <scheme val="minor"/>
          </rPr>
          <t>======
ID#AAABBc1-Sxg
IqraTechnology    (2022-10-02 06:56:55)
Bonus will be given after completion of 1 Year</t>
        </r>
      </text>
    </comment>
    <comment ref="R39" authorId="0" shapeId="0" xr:uid="{00000000-0006-0000-0400-00004A000000}">
      <text>
        <r>
          <rPr>
            <sz val="11"/>
            <color rgb="FF000000"/>
            <rFont val="Arial"/>
            <family val="2"/>
            <scheme val="minor"/>
          </rPr>
          <t>======
ID#AAAA84XSG3E
Faaiza Shaikh    (2023-12-06 08:20:45)
Increment has started from Oct 2023
Bonus will be on Monthly Basis</t>
        </r>
      </text>
    </comment>
    <comment ref="D41" authorId="0" shapeId="0" xr:uid="{00000000-0006-0000-0400-00004B000000}">
      <text>
        <r>
          <rPr>
            <sz val="11"/>
            <color rgb="FF000000"/>
            <rFont val="Arial"/>
            <family val="2"/>
            <scheme val="minor"/>
          </rPr>
          <t>======
ID#AAAA9v8p7P8
Ansari Yasmeen    (2022-07-25 11:05:19)
12000 to 25000 from
 4 July 2022</t>
        </r>
      </text>
    </comment>
    <comment ref="E41" authorId="0" shapeId="0" xr:uid="{00000000-0006-0000-0400-00004C000000}">
      <text>
        <r>
          <rPr>
            <sz val="11"/>
            <color rgb="FF000000"/>
            <rFont val="Arial"/>
            <family val="2"/>
            <scheme val="minor"/>
          </rPr>
          <t>======
ID#AAAA9v-EMpc
Faaiza Shaikh    (2022-07-25 11:05:19)
Ansari Yasmeen::
4000 to 5000 from 
4 July 2022
(15000 paid quarterly)
Bonus will be given quarterly.</t>
        </r>
      </text>
    </comment>
    <comment ref="X41" authorId="0" shapeId="0" xr:uid="{00000000-0006-0000-0400-00004D000000}">
      <text>
        <r>
          <rPr>
            <sz val="11"/>
            <color rgb="FF000000"/>
            <rFont val="Arial"/>
            <family val="2"/>
            <scheme val="minor"/>
          </rPr>
          <t>======
ID#AAAA9v8wUSA
tc={3C6B1842-F630-4A89-8DC6-E4AED0326FAE}    (2023-07-05 10:43:00)
[Threaded comment]
Your version of Excel allows you to read this threaded comment; however, any edits to it will get removed if the file is opened in a newer version of Excel. Learn more: https://go.microsoft.com/fwlink/?linkid=870924
Comment:
    Bonus paid quarterly base of 3 months</t>
        </r>
      </text>
    </comment>
    <comment ref="AA41" authorId="0" shapeId="0" xr:uid="{00000000-0006-0000-0400-00004E000000}">
      <text>
        <r>
          <rPr>
            <sz val="11"/>
            <color rgb="FF000000"/>
            <rFont val="Arial"/>
            <family val="2"/>
            <scheme val="minor"/>
          </rPr>
          <t>======
ID#AAAA9v8wUR4
Faaiza Shaikh    (2023-07-17 08:11:19)
Quaertly Bonus Paid for the month of 
April - 5,000
May - 5,000
June - 5,000</t>
        </r>
      </text>
    </comment>
    <comment ref="D42" authorId="0" shapeId="0" xr:uid="{00000000-0006-0000-0400-00004F000000}">
      <text>
        <r>
          <rPr>
            <sz val="11"/>
            <color rgb="FF000000"/>
            <rFont val="Arial"/>
            <family val="2"/>
            <scheme val="minor"/>
          </rPr>
          <t>======
ID#AAAAsv7I9Gw
Faaiza Shaikh    (2022-09-12 10:36:44)
20,000 to 40,000
Starts from 13 Sep 2022</t>
        </r>
      </text>
    </comment>
    <comment ref="E42" authorId="0" shapeId="0" xr:uid="{00000000-0006-0000-0400-000050000000}">
      <text>
        <r>
          <rPr>
            <sz val="11"/>
            <color rgb="FF000000"/>
            <rFont val="Arial"/>
            <family val="2"/>
            <scheme val="minor"/>
          </rPr>
          <t>======
ID#AAAA9v8wUSQ
Faaiza Shaikh    (2022-09-12 10:36:44)
5,000 to 10,000
Starts from 13 Sep 2022
(Monthly)
Monthly bonus 
(After 2 months bonus deposited with us)</t>
        </r>
      </text>
    </comment>
    <comment ref="E43" authorId="0" shapeId="0" xr:uid="{00000000-0006-0000-0400-000051000000}">
      <text>
        <r>
          <rPr>
            <sz val="11"/>
            <color rgb="FF000000"/>
            <rFont val="Arial"/>
            <family val="2"/>
            <scheme val="minor"/>
          </rPr>
          <t>======
ID#AAAAsv7I88c
IqraTechnology    (2022-10-03 12:31:17)
Bonus will start after 3 month stipend (from July 2022)
Bonus will be given after 1.5 year completion of contract.</t>
        </r>
      </text>
    </comment>
    <comment ref="E44" authorId="0" shapeId="0" xr:uid="{00000000-0006-0000-0400-000052000000}">
      <text>
        <r>
          <rPr>
            <sz val="11"/>
            <color rgb="FF000000"/>
            <rFont val="Arial"/>
            <family val="2"/>
            <scheme val="minor"/>
          </rPr>
          <t>======
ID#AAAAsv7I9QM
Ansari Yasmeen    (2022-01-23 08:08:46)
Jan 2022
Bonus will be given after completion of 1 year contract.</t>
        </r>
      </text>
    </comment>
    <comment ref="I44" authorId="0" shapeId="0" xr:uid="{00000000-0006-0000-0400-000053000000}">
      <text>
        <r>
          <rPr>
            <sz val="11"/>
            <color rgb="FF000000"/>
            <rFont val="Arial"/>
            <family val="2"/>
            <scheme val="minor"/>
          </rPr>
          <t>======
ID#AAABLLFlNgs
Ansari Yasmeen    (2023-03-28 09:38:52)
contract strat 18 jan 2023 so bonus propotionally devided
18 days for last year contract 6545rs paid and new year jan month bonus 1455rs</t>
        </r>
      </text>
    </comment>
    <comment ref="E45" authorId="0" shapeId="0" xr:uid="{00000000-0006-0000-0400-000054000000}">
      <text>
        <r>
          <rPr>
            <sz val="11"/>
            <color rgb="FF000000"/>
            <rFont val="Arial"/>
            <family val="2"/>
            <scheme val="minor"/>
          </rPr>
          <t>======
ID#AAAAsv7I840
IqraTechnology    (2022-10-01 12:27:00)
Bonus will be given after 1 year completion of contract.</t>
        </r>
      </text>
    </comment>
    <comment ref="D46" authorId="0" shapeId="0" xr:uid="{00000000-0006-0000-0400-000055000000}">
      <text>
        <r>
          <rPr>
            <sz val="11"/>
            <color rgb="FF000000"/>
            <rFont val="Arial"/>
            <family val="2"/>
            <scheme val="minor"/>
          </rPr>
          <t>======
ID#AAAA9v8wUSM
Faaiza Shaikh    (2024-01-04 11:48:55)
17,000 salary to 27,000 salary started from 
01 Jan 2024</t>
        </r>
      </text>
    </comment>
    <comment ref="E46" authorId="0" shapeId="0" xr:uid="{00000000-0006-0000-0400-000056000000}">
      <text>
        <r>
          <rPr>
            <sz val="11"/>
            <color rgb="FF000000"/>
            <rFont val="Arial"/>
            <family val="2"/>
            <scheme val="minor"/>
          </rPr>
          <t>======
ID#AAAA9v8wUSU
Faaiza Shaikh    (2022-10-03 07:36:15)
Monthly Bonus</t>
        </r>
      </text>
    </comment>
    <comment ref="D47" authorId="0" shapeId="0" xr:uid="{00000000-0006-0000-0400-000057000000}">
      <text>
        <r>
          <rPr>
            <sz val="11"/>
            <color rgb="FF000000"/>
            <rFont val="Arial"/>
            <family val="2"/>
            <scheme val="minor"/>
          </rPr>
          <t>======
ID#AAAAsv7I894
Ansari Yasmeen    (2021-09-19 08:42:25)
from april 2021
------
ID#AAABN_R6ghE
Ansari Yasmeen    (2022-01-16 06:18:50)
12000 to 16000 from jan 2022
renew contract start from 5-jul-2022 to 5-jul-2023
28k+5k</t>
        </r>
      </text>
    </comment>
    <comment ref="E47" authorId="0" shapeId="0" xr:uid="{00000000-0006-0000-0400-000058000000}">
      <text>
        <r>
          <rPr>
            <sz val="11"/>
            <color rgb="FF000000"/>
            <rFont val="Arial"/>
            <family val="2"/>
            <scheme val="minor"/>
          </rPr>
          <t>======
ID#AAAA9v8wUQ8
Iqra Technology    (2021-09-19 08:42:25)
start june
Bonus will be given after completion of 1 year contract</t>
        </r>
      </text>
    </comment>
    <comment ref="O47" authorId="0" shapeId="0" xr:uid="{00000000-0006-0000-0400-000059000000}">
      <text>
        <r>
          <rPr>
            <sz val="11"/>
            <color rgb="FF000000"/>
            <rFont val="Arial"/>
            <family val="2"/>
            <scheme val="minor"/>
          </rPr>
          <t>======
ID#AAAA_hHiI1o
Faaiza Shaikh    (2023-11-04 10:35:41)
Hold Bonus starts from this month</t>
        </r>
      </text>
    </comment>
    <comment ref="D48" authorId="0" shapeId="0" xr:uid="{00000000-0006-0000-0400-00005A000000}">
      <text>
        <r>
          <rPr>
            <sz val="11"/>
            <color rgb="FF000000"/>
            <rFont val="Arial"/>
            <family val="2"/>
            <scheme val="minor"/>
          </rPr>
          <t>======
ID#AAAAsv7I838
    (2022-04-27 06:12:44)
6k to 10k from 27 april 2022</t>
        </r>
      </text>
    </comment>
    <comment ref="E48" authorId="0" shapeId="0" xr:uid="{00000000-0006-0000-0400-00005B000000}">
      <text>
        <r>
          <rPr>
            <sz val="11"/>
            <color rgb="FF000000"/>
            <rFont val="Arial"/>
            <family val="2"/>
            <scheme val="minor"/>
          </rPr>
          <t>======
ID#AAAA9v8wURc
Ansari Yasmeen    (2022-01-23 08:08:46)
Jan 2022
Bonus will be given after completion of 1 year contract.</t>
        </r>
      </text>
    </comment>
    <comment ref="I48" authorId="0" shapeId="0" xr:uid="{00000000-0006-0000-0400-00005C000000}">
      <text>
        <r>
          <rPr>
            <sz val="11"/>
            <color rgb="FF000000"/>
            <rFont val="Arial"/>
            <family val="2"/>
            <scheme val="minor"/>
          </rPr>
          <t>======
ID#AAABLLFlNgg
Faaiza Shaikh    (2023-03-28 09:38:52)
4909 = (6000/22*18)
calculated on old contract
909 = (5000/22*4)
calculated on new contract</t>
        </r>
      </text>
    </comment>
    <comment ref="D49" authorId="0" shapeId="0" xr:uid="{00000000-0006-0000-0400-00005D000000}">
      <text>
        <r>
          <rPr>
            <sz val="11"/>
            <color rgb="FF000000"/>
            <rFont val="Arial"/>
            <family val="2"/>
            <scheme val="minor"/>
          </rPr>
          <t>======
ID#AAABDVS7EhM
Faaiza Shaikh    (2022-09-06 05:10:59)
12k to 30k 
Starts from 02 Sep 2022</t>
        </r>
      </text>
    </comment>
    <comment ref="E49" authorId="0" shapeId="0" xr:uid="{00000000-0006-0000-0400-00005E000000}">
      <text>
        <r>
          <rPr>
            <sz val="11"/>
            <color rgb="FF000000"/>
            <rFont val="Arial"/>
            <family val="2"/>
            <scheme val="minor"/>
          </rPr>
          <t>======
ID#AAAA9v8p7TA
Faaiza Shaikh    (2022-09-06 05:10:59)
6k to 5k bonus
Starts from 02 Sep 2022
Bonus will be given after completion of contract.</t>
        </r>
      </text>
    </comment>
    <comment ref="E50" authorId="0" shapeId="0" xr:uid="{00000000-0006-0000-0400-00005F000000}">
      <text>
        <r>
          <rPr>
            <sz val="11"/>
            <color rgb="FF000000"/>
            <rFont val="Arial"/>
            <family val="2"/>
            <scheme val="minor"/>
          </rPr>
          <t>======
ID#AAAAsv7I8_M
IqraTechnology    (2022-10-01 08:41:15)
Bonus will be paid after 1 year completion</t>
        </r>
      </text>
    </comment>
    <comment ref="S50" authorId="0" shapeId="0" xr:uid="{00000000-0006-0000-0400-000060000000}">
      <text>
        <r>
          <rPr>
            <sz val="11"/>
            <color rgb="FF000000"/>
            <rFont val="Arial"/>
            <family val="2"/>
            <scheme val="minor"/>
          </rPr>
          <t>======
ID#AAAA9qZgzAk
Aamina Shaikh    (2023-11-22 06:15:41)
He's bonus has started from 22nd nov 2023
Bonus will be on hold from tis month</t>
        </r>
      </text>
    </comment>
    <comment ref="E51" authorId="0" shapeId="0" xr:uid="{00000000-0006-0000-0400-000061000000}">
      <text>
        <r>
          <rPr>
            <sz val="11"/>
            <color rgb="FF000000"/>
            <rFont val="Arial"/>
            <family val="2"/>
            <scheme val="minor"/>
          </rPr>
          <t>======
ID#AAAAsv7I9Jc
Faaiza Shaikh    (2022-10-04 08:46:11)
Bonus will be paid after completion of One Year</t>
        </r>
      </text>
    </comment>
    <comment ref="E52" authorId="0" shapeId="0" xr:uid="{00000000-0006-0000-0400-000062000000}">
      <text>
        <r>
          <rPr>
            <sz val="11"/>
            <color rgb="FF000000"/>
            <rFont val="Arial"/>
            <family val="2"/>
            <scheme val="minor"/>
          </rPr>
          <t>======
ID#AAAAsv7I9M4
Faaiza Shaikh    (2022-11-16 13:25:40)
10k Bonus Starts from 16 Nov 2022
Bonus will be paid after completion of one Year</t>
        </r>
      </text>
    </comment>
    <comment ref="E53" authorId="0" shapeId="0" xr:uid="{00000000-0006-0000-0400-000063000000}">
      <text>
        <r>
          <rPr>
            <sz val="11"/>
            <color rgb="FF000000"/>
            <rFont val="Arial"/>
            <family val="2"/>
            <scheme val="minor"/>
          </rPr>
          <t>======
ID#AAAA9v8p7S8
Faaiza Shaikh    (2024-01-04 11:48:55)
1.5 Year Contract
4000 bonus for 6 months
10000 after completion of 6 months
(Yearly Bonus)</t>
        </r>
      </text>
    </comment>
    <comment ref="S54" authorId="0" shapeId="0" xr:uid="{00000000-0006-0000-0400-000064000000}">
      <text>
        <r>
          <rPr>
            <sz val="11"/>
            <color rgb="FF000000"/>
            <rFont val="Arial"/>
            <family val="2"/>
            <scheme val="minor"/>
          </rPr>
          <t>======
ID#AAABCFt1iqk
Faaiza Shaikh    (2023-12-08 05:27:43)
Out of 3913,
1098 is paid and remaining is on hold as his 24,000 we have to kept on hold and rest of will be paid monthly</t>
        </r>
      </text>
    </comment>
    <comment ref="AG54" authorId="0" shapeId="0" xr:uid="{00000000-0006-0000-0400-000065000000}">
      <text>
        <r>
          <rPr>
            <sz val="11"/>
            <color rgb="FF000000"/>
            <rFont val="Arial"/>
            <family val="2"/>
            <scheme val="minor"/>
          </rPr>
          <t>======
ID#AAAA9v8p7S4
Faaiza Shaikh    (2024-01-04 11:48:55)
Out of 3,913
1,098 is paid in Nov and remaining 2,815 will be on hold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Ajida samani</author>
  </authors>
  <commentList>
    <comment ref="E3" authorId="0" shapeId="0" xr:uid="{EA8EC31E-F409-42EE-A416-7C91054CA6AE}">
      <text>
        <r>
          <rPr>
            <sz val="11"/>
            <color rgb="FF000000"/>
            <rFont val="Arial"/>
            <family val="2"/>
            <scheme val="minor"/>
          </rPr>
          <t>======
ID#AAAA9v8wURg
Faaiza Shaikh    (2024-01-04 11:48:55)
1.5 Year Contract
4000 bonus for 6 months
10000 after completion of 6 months
(Yearly Bonus)</t>
        </r>
      </text>
    </comment>
    <comment ref="E4" authorId="1" shapeId="0" xr:uid="{24249731-B843-48D8-9600-85CABB985B92}">
      <text>
        <r>
          <rPr>
            <b/>
            <sz val="9"/>
            <color indexed="81"/>
            <rFont val="Tahoma"/>
            <family val="2"/>
          </rPr>
          <t>Ajida samani:</t>
        </r>
        <r>
          <rPr>
            <sz val="9"/>
            <color indexed="81"/>
            <rFont val="Tahoma"/>
            <family val="2"/>
          </rPr>
          <t xml:space="preserve">
increase in bonus of rs 2000 from 18 nov 
</t>
        </r>
      </text>
    </comment>
    <comment ref="D5" authorId="0" shapeId="0" xr:uid="{CE2777A6-C527-4F73-A9AD-37F27800CA99}">
      <text>
        <r>
          <rPr>
            <sz val="11"/>
            <color rgb="FF000000"/>
            <rFont val="Arial"/>
            <family val="2"/>
            <scheme val="minor"/>
          </rPr>
          <t>======
ID#AAABCkd5qn0
    (2023-12-16 12:43:55)
1.5 year Contract has started from 11 Dec 2023
6,000 salary + 4,000 Bonus till 6 Months10,000 salary + 6,000 Bonus after completion of 6 Months</t>
        </r>
      </text>
    </comment>
    <comment ref="E5" authorId="0" shapeId="0" xr:uid="{E1D5A907-6625-491B-BAA6-4A4F9ED7210C}">
      <text>
        <r>
          <rPr>
            <sz val="11"/>
            <color rgb="FF000000"/>
            <rFont val="Arial"/>
            <family val="2"/>
            <scheme val="minor"/>
          </rPr>
          <t xml:space="preserve">======
ID#AAABCkd5qn8
    (2023-12-16 12:43:55)
1.5 year Contract has started from 11 Dec 2023
6,000 salary + 4,000 Bonus till 6 Months10,000 salary + 6,000 Bonus after completion of 6 Months
</t>
        </r>
      </text>
    </comment>
    <comment ref="J5" authorId="0" shapeId="0" xr:uid="{FA87FD44-DEE9-46B1-91E6-3085D53DD992}">
      <text>
        <r>
          <rPr>
            <sz val="11"/>
            <color rgb="FF000000"/>
            <rFont val="Arial"/>
            <family val="2"/>
            <scheme val="minor"/>
          </rPr>
          <t>======
ID#AAABIPoLzKw
    (2024-02-29 10:01:21)
1.5 year Contract has started from 11 Dec 2023
6,000 salary + 4,000 Bonus till 6 Months10,000 salary + 6,000 Bonus after completion of 6 Months</t>
        </r>
      </text>
    </comment>
    <comment ref="E6" authorId="0" shapeId="0" xr:uid="{0D884FB3-B5E1-439C-A690-EB4289EDA33F}">
      <text>
        <r>
          <rPr>
            <sz val="11"/>
            <color rgb="FF000000"/>
            <rFont val="Arial"/>
            <family val="2"/>
            <scheme val="minor"/>
          </rPr>
          <t>======
ID#AAAAsv7I848
IqraTechnology    (2022-10-01 08:41:15)
Bonus will be paid after 1 year completion.</t>
        </r>
      </text>
    </comment>
    <comment ref="D8" authorId="0" shapeId="0" xr:uid="{429FFF8B-B028-4542-B467-017F2E6C667D}">
      <text>
        <r>
          <rPr>
            <sz val="11"/>
            <color rgb="FF000000"/>
            <rFont val="Arial"/>
            <family val="2"/>
            <scheme val="minor"/>
          </rPr>
          <t>======
ID#AAAA9v-EMpY
    (2024-01-04 11:48:55)
Increment started from 30 Dec 2023
 Salary from 10k to 12k</t>
        </r>
      </text>
    </comment>
    <comment ref="E8" authorId="0" shapeId="0" xr:uid="{733255F2-22DD-40FB-9F27-F06AA2E41DC2}">
      <text>
        <r>
          <rPr>
            <sz val="11"/>
            <color rgb="FF000000"/>
            <rFont val="Arial"/>
            <family val="2"/>
            <scheme val="minor"/>
          </rPr>
          <t>======
ID#AAAA9v-EMpg
Faaiza Shaikh    (2024-01-04 11:48:55)
Increment started from 30 Dec 2023
Bonus 8000 to 9000</t>
        </r>
      </text>
    </comment>
    <comment ref="D9" authorId="0" shapeId="0" xr:uid="{463C542D-62C9-4B48-A12A-1AFF1D26E552}">
      <text>
        <r>
          <rPr>
            <sz val="11"/>
            <color rgb="FF000000"/>
            <rFont val="Arial"/>
            <family val="2"/>
            <scheme val="minor"/>
          </rPr>
          <t>======
ID#AAAA9v8p7So
Faaiza Shaikh    (2022-09-06 05:10:59)
12k to 30k 
Starts from 02 Sep 2022</t>
        </r>
      </text>
    </comment>
    <comment ref="E9" authorId="0" shapeId="0" xr:uid="{C6D387EA-A4C7-4199-A7AF-4A2B92F8532C}">
      <text>
        <r>
          <rPr>
            <sz val="11"/>
            <color rgb="FF000000"/>
            <rFont val="Arial"/>
            <family val="2"/>
            <scheme val="minor"/>
          </rPr>
          <t>======
ID#AAAAsv7I9LU
Faaiza Shaikh    (2022-09-06 05:10:59)
6k to 5k bonus
Starts from 02 Sep 2022
Bonus will be given after completion of contract.</t>
        </r>
      </text>
    </comment>
    <comment ref="E11" authorId="0" shapeId="0" xr:uid="{B1B02A09-2182-4967-B888-86505752AECA}">
      <text>
        <r>
          <rPr>
            <sz val="11"/>
            <color rgb="FF000000"/>
            <rFont val="Arial"/>
            <family val="2"/>
            <scheme val="minor"/>
          </rPr>
          <t>======
ID#AAAA9v8p7Sw
IQRA TECHNOLOGY    (2023-07-17 08:11:19)
6k bonus start from July month 2023
(MONTHLY BONUS)
2 months Bonus will get deposited</t>
        </r>
      </text>
    </comment>
    <comment ref="J11" authorId="0" shapeId="0" xr:uid="{5A3482EC-16C4-4A64-85FF-499E4F16CB51}">
      <text>
        <r>
          <rPr>
            <sz val="11"/>
            <color rgb="FF000000"/>
            <rFont val="Arial"/>
            <family val="2"/>
            <scheme val="minor"/>
          </rPr>
          <t>======
ID#AAABLLFlNf8
IQRA TECHNOLOGY    (2023-07-17 08:11:19)
6k bonus start from July month 2023
(MONTHLY BONUS)
2 months Bonus will get deposited</t>
        </r>
      </text>
    </comment>
    <comment ref="S12" authorId="1" shapeId="0" xr:uid="{76E0F954-3E6B-4CBE-9BF2-836CE2515B84}">
      <text>
        <r>
          <rPr>
            <b/>
            <sz val="9"/>
            <color indexed="81"/>
            <rFont val="Tahoma"/>
            <family val="2"/>
          </rPr>
          <t>Ajida samani:</t>
        </r>
        <r>
          <rPr>
            <sz val="9"/>
            <color indexed="81"/>
            <rFont val="Tahoma"/>
            <family val="2"/>
          </rPr>
          <t xml:space="preserve">
till October paid Start holding from Nov </t>
        </r>
      </text>
    </comment>
    <comment ref="D13" authorId="0" shapeId="0" xr:uid="{6FAEB0EA-5B6C-4CE7-A3A8-937CC10704AD}">
      <text>
        <r>
          <rPr>
            <sz val="11"/>
            <color rgb="FF000000"/>
            <rFont val="Arial"/>
            <family val="2"/>
            <scheme val="minor"/>
          </rPr>
          <t>======
ID#AAAA9v8p7QA
    (2022-04-27 06:12:44)
6k to 10k from 27 april 2022</t>
        </r>
      </text>
    </comment>
    <comment ref="E13" authorId="0" shapeId="0" xr:uid="{000B873B-FC1B-4807-A57A-573DB8FCEAE8}">
      <text>
        <r>
          <rPr>
            <sz val="11"/>
            <color rgb="FF000000"/>
            <rFont val="Arial"/>
            <family val="2"/>
            <scheme val="minor"/>
          </rPr>
          <t>======
ID#AAAAsv7I9Cc
Ansari Yasmeen    (2022-01-23 08:08:46)
Jan 2022
Bonus will be given after completion of 1 year contract.</t>
        </r>
      </text>
    </comment>
    <comment ref="D14" authorId="0" shapeId="0" xr:uid="{8D853A49-EF13-4C02-A640-E55A604A5848}">
      <text>
        <r>
          <rPr>
            <sz val="11"/>
            <color rgb="FF000000"/>
            <rFont val="Arial"/>
            <family val="2"/>
            <scheme val="minor"/>
          </rPr>
          <t>======
ID#AAAAsv7I9A0
Ansari Yasmeen    (2021-02-18 13:46:24)
Start from Jan 2021
6k to 12k from Sep 2021
12k to 25k from Sep 2022</t>
        </r>
      </text>
    </comment>
    <comment ref="E14" authorId="0" shapeId="0" xr:uid="{5ED0DCAF-400B-4770-9C94-6EB66E752B69}">
      <text>
        <r>
          <rPr>
            <sz val="11"/>
            <color rgb="FF000000"/>
            <rFont val="Arial"/>
            <family val="2"/>
            <scheme val="minor"/>
          </rPr>
          <t xml:space="preserve">======
ID#AAAA9v-EMpA
Ansari Yasmeen    (2022-03-16 06:56:29)
6k perfomance bonus 
6k teaching bonus
after renewal 5k ( 26 sep 2022) 
Bonus will be paid after 1 year completion
</t>
        </r>
      </text>
    </comment>
    <comment ref="J14" authorId="0" shapeId="0" xr:uid="{0F8ECEA8-9A5C-4DDC-ABF5-8320B96FF650}">
      <text>
        <r>
          <rPr>
            <sz val="11"/>
            <color rgb="FF000000"/>
            <rFont val="Arial"/>
            <family val="2"/>
            <scheme val="minor"/>
          </rPr>
          <t>======
ID#AAABIPoLzKk
Ansari Yasmeen    (2022-03-16 06:56:29)
6k perfomance bonus 
6k teaching bonus
after renewal 5k ( 26 sep 2022) 
Bonus will be paid after 1 year completion</t>
        </r>
      </text>
    </comment>
    <comment ref="D15" authorId="0" shapeId="0" xr:uid="{926D34FB-3D95-4D4B-909F-0E53FD3CD88D}">
      <text>
        <r>
          <rPr>
            <sz val="11"/>
            <color rgb="FF000000"/>
            <rFont val="Arial"/>
            <family val="2"/>
            <scheme val="minor"/>
          </rPr>
          <t>======
ID#AAAA9v-EMo0
Faaiza Shaikh    (2022-10-06 05:19:11)
12k to 25k starts from
Oct 2022</t>
        </r>
      </text>
    </comment>
    <comment ref="E15" authorId="0" shapeId="0" xr:uid="{7AB547BC-59DA-4BD9-8E24-B00D07D19F76}">
      <text>
        <r>
          <rPr>
            <sz val="11"/>
            <color rgb="FF000000"/>
            <rFont val="Arial"/>
            <family val="2"/>
            <scheme val="minor"/>
          </rPr>
          <t>======
ID#AAAA9v8wURk
IqraTechnology    (2022-10-02 06:56:55)
Bonus will be given after completion of 1 Year</t>
        </r>
      </text>
    </comment>
    <comment ref="D17" authorId="0" shapeId="0" xr:uid="{A1E7934D-27B1-4384-834E-CDC539950CA8}">
      <text>
        <r>
          <rPr>
            <sz val="11"/>
            <color rgb="FF000000"/>
            <rFont val="Arial"/>
            <family val="2"/>
            <scheme val="minor"/>
          </rPr>
          <t>======
ID#AAAAsv7I9Go
Faaiza Shaikh    (2022-08-25 05:46:06)
12k to 30k 
Starts from 26 Aug 2022</t>
        </r>
      </text>
    </comment>
    <comment ref="E17" authorId="0" shapeId="0" xr:uid="{6AED9E89-56B0-4604-9683-2445B690DA07}">
      <text>
        <r>
          <rPr>
            <sz val="11"/>
            <color rgb="FF000000"/>
            <rFont val="Arial"/>
            <family val="2"/>
            <scheme val="minor"/>
          </rPr>
          <t>======
ID#AAABIPoLzKU
Faaiza Shaikh    (2022-08-25 05:46:06)
6k to 5k 
Starts from 26 Aug 2022
5k to month / annually renewal start date 12oc 
Bonus will be paid after 1 year completion</t>
        </r>
      </text>
    </comment>
    <comment ref="J17" authorId="0" shapeId="0" xr:uid="{C106900E-EEA0-4DE9-A671-4721D2FEF996}">
      <text>
        <r>
          <rPr>
            <sz val="11"/>
            <color rgb="FF000000"/>
            <rFont val="Arial"/>
            <family val="2"/>
            <scheme val="minor"/>
          </rPr>
          <t>======
ID#AAAAsv7I85g
Faaiza Shaikh    (2022-08-25 05:46:06)
6k to 5k 
Starts from 26 Aug 2022
5k to month / annually renewal start date 12oc 
Bonus will be paid after 1 year completion</t>
        </r>
      </text>
    </comment>
    <comment ref="D18" authorId="0" shapeId="0" xr:uid="{0922982D-F7DA-4FE9-BB38-56586AC63C26}">
      <text>
        <r>
          <rPr>
            <sz val="11"/>
            <color rgb="FF000000"/>
            <rFont val="Arial"/>
            <family val="2"/>
            <scheme val="minor"/>
          </rPr>
          <t>======
ID#AAAA9v8p7Sg
User    (2021-09-03 07:02:00)
June 2021</t>
        </r>
      </text>
    </comment>
    <comment ref="E18" authorId="0" shapeId="0" xr:uid="{9AEF7944-8B4B-42ED-A09A-646398195B0A}">
      <text>
        <r>
          <rPr>
            <sz val="11"/>
            <color rgb="FF000000"/>
            <rFont val="Arial"/>
            <family val="2"/>
            <scheme val="minor"/>
          </rPr>
          <t>======
ID#AAAA9v-EMo4
IqraTechnology    (2022-10-01 12:27:00)
Bonus will be paid after one year completion.</t>
        </r>
      </text>
    </comment>
    <comment ref="E19" authorId="0" shapeId="0" xr:uid="{E5F9C013-EC79-4DBE-95DD-5E7229EDA8F9}">
      <text>
        <r>
          <rPr>
            <sz val="11"/>
            <color rgb="FF000000"/>
            <rFont val="Arial"/>
            <family val="2"/>
            <scheme val="minor"/>
          </rPr>
          <t>======
ID#AAAAsv7I9B4
IqraTechnology    (2022-10-01 14:26:59)
Bonus will be given after 1 year completion of contract.</t>
        </r>
      </text>
    </comment>
    <comment ref="E21" authorId="0" shapeId="0" xr:uid="{43BEBD2D-37CB-47EB-B87C-E6B45BF532E7}">
      <text>
        <r>
          <rPr>
            <sz val="11"/>
            <color rgb="FF000000"/>
            <rFont val="Arial"/>
            <family val="2"/>
            <scheme val="minor"/>
          </rPr>
          <t>======
ID#AAAA9v8wUR0
IqraTechnology    (2022-10-01 12:27:00)
Monthly Bonus</t>
        </r>
      </text>
    </comment>
    <comment ref="E22" authorId="0" shapeId="0" xr:uid="{B1A0C8F5-AF82-42E9-9D6F-7292D498A2B6}">
      <text>
        <r>
          <rPr>
            <sz val="11"/>
            <color rgb="FF000000"/>
            <rFont val="Arial"/>
            <family val="2"/>
            <scheme val="minor"/>
          </rPr>
          <t>======
ID#AAABEBZwNDY
Faaiza Shaikh    (2024-01-29 13:05:39)
1.5 Year Contract
4000 bonus for 6 months
10000 after completion of 6 months
(Yearly Bonus)</t>
        </r>
      </text>
    </comment>
    <comment ref="E23" authorId="0" shapeId="0" xr:uid="{CF5D2DEF-F8F9-437A-B0DD-74A40BAFFF3F}">
      <text>
        <r>
          <rPr>
            <sz val="11"/>
            <color rgb="FF000000"/>
            <rFont val="Arial"/>
            <family val="2"/>
            <scheme val="minor"/>
          </rPr>
          <t>======
ID#AAAAsv7I9JU
IqraTechnology    (2022-10-01 12:27:00)
Bonus will given after 1 year completion of contract.</t>
        </r>
      </text>
    </comment>
    <comment ref="J23" authorId="1" shapeId="0" xr:uid="{59160667-EA54-4E48-A217-6807CC4B8E97}">
      <text>
        <r>
          <rPr>
            <b/>
            <sz val="9"/>
            <rFont val="Tahoma"/>
            <family val="2"/>
          </rPr>
          <t>paid bonus till feb</t>
        </r>
      </text>
    </comment>
    <comment ref="D24" authorId="0" shapeId="0" xr:uid="{D33A02BE-E432-460D-A292-5B7791F2D249}">
      <text>
        <r>
          <rPr>
            <sz val="11"/>
            <color rgb="FF000000"/>
            <rFont val="Arial"/>
            <family val="2"/>
            <scheme val="minor"/>
          </rPr>
          <t>======
ID#AAABBwtNndE
Faaiza Shaikh    (2023-12-27 12:12:54)
17,000 salary to 27,000 salary started from 
01 Jan 2024</t>
        </r>
      </text>
    </comment>
    <comment ref="E24" authorId="0" shapeId="0" xr:uid="{40107AFE-3C77-4CB7-A4BC-3C273A4CA86B}">
      <text>
        <r>
          <rPr>
            <sz val="11"/>
            <color rgb="FF000000"/>
            <rFont val="Arial"/>
            <family val="2"/>
            <scheme val="minor"/>
          </rPr>
          <t>======
ID#AAAAsv7I9MA
Faaiza Shaikh    (2022-10-03 07:36:15)
Monthly Bonus</t>
        </r>
      </text>
    </comment>
    <comment ref="E25" authorId="0" shapeId="0" xr:uid="{5068B0D8-114D-4BC2-BE67-AD5E405CDBC8}">
      <text>
        <r>
          <rPr>
            <sz val="11"/>
            <color rgb="FF000000"/>
            <rFont val="Arial"/>
            <family val="2"/>
            <scheme val="minor"/>
          </rPr>
          <t>======
ID#AAAAsv7I8-Y
IqraTechnology    (2022-10-01 12:27:00)
Bonus will be given after 1 year completion of contract.</t>
        </r>
      </text>
    </comment>
    <comment ref="R26" authorId="1" shapeId="0" xr:uid="{3821DA13-99CC-4A7E-9D5B-096493393D22}">
      <text>
        <r>
          <rPr>
            <b/>
            <sz val="9"/>
            <color indexed="81"/>
            <rFont val="Tahoma"/>
            <family val="2"/>
          </rPr>
          <t>Ajida samani:</t>
        </r>
        <r>
          <rPr>
            <sz val="9"/>
            <color indexed="81"/>
            <rFont val="Tahoma"/>
            <family val="2"/>
          </rPr>
          <t xml:space="preserve">
total 12k deposit with us and rest paying monthly </t>
        </r>
      </text>
    </comment>
    <comment ref="E29" authorId="0" shapeId="0" xr:uid="{A8310609-449E-4DCD-B716-9C6259F03762}">
      <text>
        <r>
          <rPr>
            <sz val="11"/>
            <color rgb="FF000000"/>
            <rFont val="Arial"/>
            <family val="2"/>
            <scheme val="minor"/>
          </rPr>
          <t>======
ID#AAAA9v8p7SU
IqraTechnology    (2022-10-03 12:31:17)
Bonus will start after 3 month stipend (from July 2022)
Bonus will be given after 1.5 year completion of contract.</t>
        </r>
      </text>
    </comment>
    <comment ref="K29" authorId="0" shapeId="0" xr:uid="{089D5F90-CDA0-47CA-A841-E8DCBFF5E6D9}">
      <text>
        <r>
          <rPr>
            <sz val="11"/>
            <color rgb="FF000000"/>
            <rFont val="Arial"/>
            <family val="2"/>
            <scheme val="minor"/>
          </rPr>
          <t>======
ID#AAABJ4XtUtE
Zohra Shaikh    (2024-03-27 06:03:34)
8 Days calculated on old bonus amount (10,000)=4,000
8 Days calculated on new Bonus amount (5,000)=2,000</t>
        </r>
      </text>
    </comment>
    <comment ref="D30" authorId="0" shapeId="0" xr:uid="{875465DA-955A-4DA4-BC04-7ABFA012A16D}">
      <text>
        <r>
          <rPr>
            <sz val="11"/>
            <color rgb="FF000000"/>
            <rFont val="Arial"/>
            <family val="2"/>
            <scheme val="minor"/>
          </rPr>
          <t>======
ID#AAAA9v-EMpI
Ansari Yasmeen    (2020-10-16 13:34:01)
21k to 25k from sep 2020
25k to 30k from apr 2021
30k to 35k from sep 2021</t>
        </r>
      </text>
    </comment>
    <comment ref="E30" authorId="0" shapeId="0" xr:uid="{513475EA-AB3A-46F2-8652-A23CA3E739C7}">
      <text>
        <r>
          <rPr>
            <sz val="11"/>
            <color rgb="FF000000"/>
            <rFont val="Arial"/>
            <family val="2"/>
            <scheme val="minor"/>
          </rPr>
          <t>======
ID#AAAA9v8p7P4
    (2022-01-17 10:28:43)
Start form 1 Oct 2021</t>
        </r>
      </text>
    </comment>
    <comment ref="E31" authorId="0" shapeId="0" xr:uid="{4AB79BBC-0870-4AE7-9576-B70BB3FFE24B}">
      <text>
        <r>
          <rPr>
            <sz val="11"/>
            <color rgb="FF000000"/>
            <rFont val="Arial"/>
            <family val="2"/>
            <scheme val="minor"/>
          </rPr>
          <t>======
ID#AAABBwtNndI
Faaiza Shaikh    (2023-12-27 12:12:54)
1.5 Year Contract
4000 bonus for 6 months
10000 after completion of 6 months
(Yearly Bonus)</t>
        </r>
      </text>
    </comment>
    <comment ref="AH32" authorId="1" shapeId="0" xr:uid="{E59B5277-FB55-472D-A1F0-3E17B90D93F3}">
      <text>
        <r>
          <rPr>
            <b/>
            <sz val="9"/>
            <color indexed="81"/>
            <rFont val="Tahoma"/>
            <family val="2"/>
          </rPr>
          <t>Ajida samani:</t>
        </r>
        <r>
          <rPr>
            <sz val="9"/>
            <color indexed="81"/>
            <rFont val="Tahoma"/>
            <family val="2"/>
          </rPr>
          <t xml:space="preserve">
</t>
        </r>
      </text>
    </comment>
    <comment ref="E33" authorId="0" shapeId="0" xr:uid="{55F4BDE0-7C99-42CA-8C0E-3D45CE51F9B0}">
      <text>
        <r>
          <rPr>
            <sz val="11"/>
            <color rgb="FF000000"/>
            <rFont val="Arial"/>
            <family val="2"/>
            <scheme val="minor"/>
          </rPr>
          <t>======
ID#AAAA9v8wURY
Faaiza Shaikh    (2024-01-04 11:48:55)
1.5 Year Contract
4000 bonus for 6 months
10000 after completion of 6 months
(Yearly Bonus)</t>
        </r>
      </text>
    </comment>
    <comment ref="D35" authorId="0" shapeId="0" xr:uid="{C6D51A6D-4BCF-48AB-8082-B0B00D2AF5EC}">
      <text>
        <r>
          <rPr>
            <sz val="11"/>
            <color rgb="FF000000"/>
            <rFont val="Arial"/>
            <family val="2"/>
            <scheme val="minor"/>
          </rPr>
          <t>======
ID#AAAA9v8p7Pk
Faaiza Shaikh    (2022-08-25 05:46:06)
25k to 40k
 from 25 Aug 2022</t>
        </r>
      </text>
    </comment>
    <comment ref="E35" authorId="0" shapeId="0" xr:uid="{29267758-82A8-4FDE-A8F4-A8018C63D389}">
      <text>
        <r>
          <rPr>
            <sz val="11"/>
            <color rgb="FF000000"/>
            <rFont val="Arial"/>
            <family val="2"/>
            <scheme val="minor"/>
          </rPr>
          <t>======
ID#AAABIPoLzKc
Faaiza Shaikh    (2022-08-25 05:46:06)
5k to 10k
 starts from 25 Aug 2022
Bonus will be paid after completion of 1 Year</t>
        </r>
      </text>
    </comment>
    <comment ref="J35" authorId="0" shapeId="0" xr:uid="{E94742E1-40ED-4A6B-8C88-E03DFD53BF22}">
      <text>
        <r>
          <rPr>
            <sz val="11"/>
            <color rgb="FF000000"/>
            <rFont val="Arial"/>
            <family val="2"/>
            <scheme val="minor"/>
          </rPr>
          <t>======
ID#AAAAsv7I9AY
Faaiza Shaikh    (2022-08-25 05:46:06)
5k to 10k
 starts from 25 Aug 2022
Bonus will be paid after completion of 1 Year</t>
        </r>
      </text>
    </comment>
    <comment ref="D37" authorId="0" shapeId="0" xr:uid="{DA21346A-3A07-481D-87C8-BAFB7916EFE5}">
      <text>
        <r>
          <rPr>
            <sz val="11"/>
            <color rgb="FF000000"/>
            <rFont val="Arial"/>
            <family val="2"/>
            <scheme val="minor"/>
          </rPr>
          <t>======
ID#AAAAsv7I9JQ
Ansari Yasmeen    (2021-02-18 13:46:24)
from Feb 2021
10K Salary to 13k Salary increment started from 09 Dec 2023</t>
        </r>
      </text>
    </comment>
    <comment ref="E37" authorId="0" shapeId="0" xr:uid="{9305C490-D803-4DEE-8644-58A8A0A12A65}">
      <text>
        <r>
          <rPr>
            <sz val="11"/>
            <color rgb="FF000000"/>
            <rFont val="Arial"/>
            <family val="2"/>
            <scheme val="minor"/>
          </rPr>
          <t>======
ID#AAABIPoLzKo
Ansari Yasmeen    (2022-09-03 12:04:06)
5k to 8k from sep 2022
Monthly Bonus</t>
        </r>
      </text>
    </comment>
    <comment ref="J37" authorId="0" shapeId="0" xr:uid="{4EC93828-4C07-4A1E-AB8B-EC37A933CD2F}">
      <text>
        <r>
          <rPr>
            <sz val="11"/>
            <color rgb="FF000000"/>
            <rFont val="Arial"/>
            <family val="2"/>
            <scheme val="minor"/>
          </rPr>
          <t>======
ID#AAAAsv7I9E0
Ansari Yasmeen    (2022-09-03 12:04:06)
5k to 8k from sep 2022
Monthly Bonus</t>
        </r>
      </text>
    </comment>
    <comment ref="D42" authorId="0" shapeId="0" xr:uid="{E3D6783F-7A79-4A11-B61C-A971AEC91A73}">
      <text>
        <r>
          <rPr>
            <sz val="11"/>
            <color rgb="FF000000"/>
            <rFont val="Arial"/>
            <family val="2"/>
            <scheme val="minor"/>
          </rPr>
          <t>======
ID#AAAAsv7I9Dc
Faaiza Shaikh    (2022-09-06 05:10:59)
12k to 25k
Starts from 02 Sep 2022</t>
        </r>
      </text>
    </comment>
    <comment ref="E42" authorId="0" shapeId="0" xr:uid="{D8A53E28-335D-4D9C-BF0A-526619C91B17}">
      <text>
        <r>
          <rPr>
            <sz val="11"/>
            <color rgb="FF000000"/>
            <rFont val="Arial"/>
            <family val="2"/>
            <scheme val="minor"/>
          </rPr>
          <t>======
ID#AAAA9v8wUSk
Faaiza Shaikh    (2022-09-06 05:10:59)
4k to 5k 
Starts from 02 Sep 2022
Bonus will given after 1 year completion of contract.</t>
        </r>
      </text>
    </comment>
    <comment ref="E44" authorId="0" shapeId="0" xr:uid="{3820FC7F-68A8-40A4-8105-B3F9DC679001}">
      <text>
        <r>
          <rPr>
            <sz val="11"/>
            <color rgb="FF000000"/>
            <rFont val="Arial"/>
            <family val="2"/>
            <scheme val="minor"/>
          </rPr>
          <t>======
ID#AAAA9v8wURU
Ansari Yasmeen    (2022-09-06 11:51:15)
6k start from sep 2022
Monthly Bonus 
(After 2 months bonus deposited with 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Samreen Supariwala</author>
    <author>Ajida samani</author>
  </authors>
  <commentList>
    <comment ref="E2" authorId="0" shapeId="0" xr:uid="{EE59CBDF-4044-45F5-BC1E-5EB627E427D4}">
      <text>
        <r>
          <rPr>
            <sz val="11"/>
            <color rgb="FF000000"/>
            <rFont val="Arial"/>
            <family val="2"/>
            <scheme val="minor"/>
          </rPr>
          <t>======
ID#AAAA9v8p7Sw
IQRA TECHNOLOGY    (2023-07-17 08:11:19)
6k bonus start from July month 2023
(MONTHLY BONUS)
2 months Bonus will get deposited</t>
        </r>
      </text>
    </comment>
    <comment ref="D4" authorId="0" shapeId="0" xr:uid="{62BB274B-85EF-43AE-A8A9-0E77D4689AA7}">
      <text>
        <r>
          <rPr>
            <sz val="11"/>
            <color rgb="FF000000"/>
            <rFont val="Arial"/>
            <family val="2"/>
            <scheme val="minor"/>
          </rPr>
          <t>======
ID#AAAAsv7I9JQ
Ansari Yasmeen    (2021-02-18 13:46:24)
from Feb 2021
10K Salary to 13k Salary increment started from 09 Dec 2023</t>
        </r>
      </text>
    </comment>
    <comment ref="E4" authorId="0" shapeId="0" xr:uid="{DAC360E9-1E0E-4FD9-829C-6AAE5DA98984}">
      <text>
        <r>
          <rPr>
            <sz val="11"/>
            <color rgb="FF000000"/>
            <rFont val="Arial"/>
            <family val="2"/>
            <scheme val="minor"/>
          </rPr>
          <t>======
ID#AAABIPoLzKo
Ansari Yasmeen    (2022-09-03 12:04:06)
5k to 8k from sep 2022
Monthly Bonus</t>
        </r>
      </text>
    </comment>
    <comment ref="J4" authorId="1" shapeId="0" xr:uid="{B0F8A89F-D249-41CB-B71D-98065FFD6712}">
      <text>
        <r>
          <rPr>
            <b/>
            <sz val="9"/>
            <color indexed="81"/>
            <rFont val="Tahoma"/>
            <family val="2"/>
          </rPr>
          <t>Samreen Supariwala:</t>
        </r>
        <r>
          <rPr>
            <sz val="9"/>
            <color indexed="81"/>
            <rFont val="Tahoma"/>
            <family val="2"/>
          </rPr>
          <t xml:space="preserve">
8000 is the bonus amount out if which 5k loan is deducted of this month </t>
        </r>
      </text>
    </comment>
    <comment ref="E5" authorId="2" shapeId="0" xr:uid="{78FAA42D-D8D6-4BBD-996E-A9E106396CB6}">
      <text>
        <r>
          <rPr>
            <b/>
            <sz val="9"/>
            <color indexed="81"/>
            <rFont val="Tahoma"/>
            <family val="2"/>
          </rPr>
          <t>Ajida samani:</t>
        </r>
        <r>
          <rPr>
            <sz val="9"/>
            <color indexed="81"/>
            <rFont val="Tahoma"/>
            <family val="2"/>
          </rPr>
          <t xml:space="preserve">
increase in bonus of rs 2000 from 18 nov 
</t>
        </r>
      </text>
    </comment>
    <comment ref="D6" authorId="0" shapeId="0" xr:uid="{09234453-FCFF-477B-8E60-02D197E6FDEB}">
      <text>
        <r>
          <rPr>
            <sz val="11"/>
            <color rgb="FF000000"/>
            <rFont val="Arial"/>
            <family val="2"/>
            <scheme val="minor"/>
          </rPr>
          <t>======
ID#AAAA9v-EMpY
    (2024-01-04 11:48:55)
Increment started from 30 Dec 2023
 Salary from 10k to 12k</t>
        </r>
      </text>
    </comment>
    <comment ref="E6" authorId="0" shapeId="0" xr:uid="{D9441ED6-9B08-47B9-8C1E-1B1F6B2345E6}">
      <text>
        <r>
          <rPr>
            <sz val="11"/>
            <color rgb="FF000000"/>
            <rFont val="Arial"/>
            <family val="2"/>
            <scheme val="minor"/>
          </rPr>
          <t>======
ID#AAAA9v-EMpg
Faaiza Shaikh    (2024-01-04 11:48:55)
Increment started from 30 Dec 2023
Bonus 8000 to 9000</t>
        </r>
      </text>
    </comment>
    <comment ref="D7" authorId="0" shapeId="0" xr:uid="{23DAB7FA-6C02-4E03-AB11-FF243534A54A}">
      <text>
        <r>
          <rPr>
            <sz val="11"/>
            <color rgb="FF000000"/>
            <rFont val="Arial"/>
            <family val="2"/>
            <scheme val="minor"/>
          </rPr>
          <t>======
ID#AAAA9v8p7Pk
Faaiza Shaikh    (2022-08-25 05:46:06)
25k to 40k
 from 25 Aug 2022</t>
        </r>
      </text>
    </comment>
    <comment ref="E7" authorId="0" shapeId="0" xr:uid="{8DD29087-7086-4B23-BFC4-F6CA267377AE}">
      <text>
        <r>
          <rPr>
            <sz val="11"/>
            <color rgb="FF000000"/>
            <rFont val="Arial"/>
            <family val="2"/>
            <scheme val="minor"/>
          </rPr>
          <t>======
ID#AAABIPoLzKc
Faaiza Shaikh    (2022-08-25 05:46:06)
5k to 10k
 starts from 25 Aug 2022
Bonus will be paid after completion of 1 Year</t>
        </r>
      </text>
    </comment>
    <comment ref="D8" authorId="0" shapeId="0" xr:uid="{92DD73A1-2334-4A39-9099-8F886BB6C116}">
      <text>
        <r>
          <rPr>
            <sz val="11"/>
            <color rgb="FF000000"/>
            <rFont val="Arial"/>
            <family val="2"/>
            <scheme val="minor"/>
          </rPr>
          <t>======
ID#AAAA9v8p7So
Faaiza Shaikh    (2022-09-06 05:10:59)
12k to 30k 
Starts from 02 Sep 2022</t>
        </r>
      </text>
    </comment>
    <comment ref="E8" authorId="0" shapeId="0" xr:uid="{652D95F9-4C22-4938-8A0F-F83D6372636E}">
      <text>
        <r>
          <rPr>
            <sz val="11"/>
            <color rgb="FF000000"/>
            <rFont val="Arial"/>
            <family val="2"/>
            <scheme val="minor"/>
          </rPr>
          <t>======
ID#AAAAsv7I9LU
Faaiza Shaikh    (2022-09-06 05:10:59)
6k to 5k bonus
Starts from 02 Sep 2022
Bonus will be given after completion of contract.</t>
        </r>
      </text>
    </comment>
    <comment ref="D9" authorId="0" shapeId="0" xr:uid="{857E8419-07D1-4BFA-8BC9-D9C5F382DD3D}">
      <text>
        <r>
          <rPr>
            <sz val="11"/>
            <color rgb="FF000000"/>
            <rFont val="Arial"/>
            <family val="2"/>
            <scheme val="minor"/>
          </rPr>
          <t>======
ID#AAAA9v8p7QA
    (2022-04-27 06:12:44)
6k to 10k from 27 april 2022</t>
        </r>
      </text>
    </comment>
    <comment ref="E9" authorId="0" shapeId="0" xr:uid="{B402CCDF-ABFA-46CE-B65F-EB82BABC7109}">
      <text>
        <r>
          <rPr>
            <sz val="11"/>
            <color rgb="FF000000"/>
            <rFont val="Arial"/>
            <family val="2"/>
            <scheme val="minor"/>
          </rPr>
          <t>======
ID#AAAAsv7I9Cc
Ansari Yasmeen    (2022-01-23 08:08:46)
Jan 2022
Bonus will be given after completion of 1 year contract.</t>
        </r>
      </text>
    </comment>
    <comment ref="D10" authorId="0" shapeId="0" xr:uid="{92736ADA-86F9-4CD1-ADEE-8EA509C499AD}">
      <text>
        <r>
          <rPr>
            <sz val="11"/>
            <color rgb="FF000000"/>
            <rFont val="Arial"/>
            <family val="2"/>
            <scheme val="minor"/>
          </rPr>
          <t>======
ID#AAABBwtNndE
Faaiza Shaikh    (2023-12-27 12:12:54)
17,000 salary to 27,000 salary started from 
01 Jan 2024</t>
        </r>
      </text>
    </comment>
    <comment ref="E10" authorId="0" shapeId="0" xr:uid="{47A6071F-F5A2-4213-ACE9-36655D60FF44}">
      <text>
        <r>
          <rPr>
            <sz val="11"/>
            <color rgb="FF000000"/>
            <rFont val="Arial"/>
            <family val="2"/>
            <scheme val="minor"/>
          </rPr>
          <t>======
ID#AAAAsv7I9MA
Faaiza Shaikh    (2022-10-03 07:36:15)
Monthly Bonus</t>
        </r>
      </text>
    </comment>
    <comment ref="E11" authorId="2" shapeId="0" xr:uid="{42FCC203-3447-4E48-812D-6406819E3446}">
      <text>
        <r>
          <rPr>
            <b/>
            <sz val="9"/>
            <color indexed="81"/>
            <rFont val="Tahoma"/>
            <family val="2"/>
          </rPr>
          <t>Ajida samani:</t>
        </r>
        <r>
          <rPr>
            <sz val="9"/>
            <color indexed="81"/>
            <rFont val="Tahoma"/>
            <family val="2"/>
          </rPr>
          <t xml:space="preserve">
Bonus will be hold from Jan 2025</t>
        </r>
      </text>
    </comment>
    <comment ref="Z11" authorId="2" shapeId="0" xr:uid="{CA55BC64-CC0A-4437-B6F3-2D9688F1A710}">
      <text>
        <r>
          <rPr>
            <b/>
            <sz val="9"/>
            <color indexed="81"/>
            <rFont val="Tahoma"/>
            <family val="2"/>
          </rPr>
          <t>Ajida samani:</t>
        </r>
        <r>
          <rPr>
            <sz val="9"/>
            <color indexed="81"/>
            <rFont val="Tahoma"/>
            <family val="2"/>
          </rPr>
          <t xml:space="preserve">
</t>
        </r>
      </text>
    </comment>
    <comment ref="D13" authorId="0" shapeId="0" xr:uid="{CBC16DE8-6274-4B4E-9D53-2334578E75BA}">
      <text>
        <r>
          <rPr>
            <sz val="11"/>
            <color rgb="FF000000"/>
            <rFont val="Arial"/>
            <family val="2"/>
            <scheme val="minor"/>
          </rPr>
          <t>======
ID#AAAA9v-EMpI
Ansari Yasmeen    (2020-10-16 13:34:01)
21k to 25k from sep 2020
25k to 30k from apr 2021
30k to 35k from sep 2021</t>
        </r>
      </text>
    </comment>
    <comment ref="E13" authorId="0" shapeId="0" xr:uid="{43BB27F8-8C18-4391-9523-25FC36BA7374}">
      <text>
        <r>
          <rPr>
            <sz val="11"/>
            <color rgb="FF000000"/>
            <rFont val="Arial"/>
            <family val="2"/>
            <scheme val="minor"/>
          </rPr>
          <t>======
ID#AAAA9v8p7P4
    (2022-01-17 10:28:43)
Start form 1 Oct 2021</t>
        </r>
      </text>
    </comment>
    <comment ref="E15" authorId="0" shapeId="0" xr:uid="{D8CA65A1-44DB-4198-8AF7-07F085ED0ABA}">
      <text>
        <r>
          <rPr>
            <sz val="11"/>
            <color rgb="FF000000"/>
            <rFont val="Arial"/>
            <family val="2"/>
            <scheme val="minor"/>
          </rPr>
          <t>======
ID#AAAAsv7I9JU
IqraTechnology    (2022-10-01 12:27:00)
Bonus will given after 1 year completion of contract.</t>
        </r>
      </text>
    </comment>
    <comment ref="E16" authorId="0" shapeId="0" xr:uid="{8A1DE374-FFFB-4888-8663-DEEE924CA797}">
      <text>
        <r>
          <rPr>
            <sz val="11"/>
            <color rgb="FF000000"/>
            <rFont val="Arial"/>
            <family val="2"/>
            <scheme val="minor"/>
          </rPr>
          <t>======
ID#AAABEBZwNDY
Faaiza Shaikh    (2024-01-29 13:05:39)
1.5 Year Contract
4000 bonus for 6 months
10000 after completion of 6 months
(Yearly Bonus)</t>
        </r>
      </text>
    </comment>
    <comment ref="D17" authorId="0" shapeId="0" xr:uid="{2E9D81CE-C49B-4ADA-BE83-36EC3E701109}">
      <text>
        <r>
          <rPr>
            <sz val="11"/>
            <color rgb="FF000000"/>
            <rFont val="Arial"/>
            <family val="2"/>
            <scheme val="minor"/>
          </rPr>
          <t>======
ID#AAABCkd5qn0
    (2023-12-16 12:43:55)
1.5 year Contract has started from 11 Dec 2023
6,000 salary + 4,000 Bonus till 6 Months10,000 salary + 6,000 Bonus after completion of 6 Months</t>
        </r>
      </text>
    </comment>
    <comment ref="E17" authorId="0" shapeId="0" xr:uid="{A07E11C0-E573-4B50-89D3-6662CBB40948}">
      <text>
        <r>
          <rPr>
            <sz val="11"/>
            <color rgb="FF000000"/>
            <rFont val="Arial"/>
            <family val="2"/>
            <scheme val="minor"/>
          </rPr>
          <t>======
ID#AAABCkd5qn8
    (2023-12-16 12:43:55)
1.5 year Contract has started from 11 Dec 2023
6,000 salary + 4,000 Bonus till 6 Months10,000 salary + 6,000 Bonus after completion of 6 Months</t>
        </r>
      </text>
    </comment>
    <comment ref="E20" authorId="0" shapeId="0" xr:uid="{ECCC2213-D829-4501-A575-A2961F0AE0C1}">
      <text>
        <r>
          <rPr>
            <sz val="11"/>
            <color rgb="FF000000"/>
            <rFont val="Arial"/>
            <family val="2"/>
            <scheme val="minor"/>
          </rPr>
          <t>======
ID#AAAA9v8wURg
Faaiza Shaikh    (2024-01-04 11:48:55)
1.5 Year Contract
4000 bonus for 6 months
10000 after completion of 6 months
(Yearly Bonus)</t>
        </r>
      </text>
    </comment>
    <comment ref="D21" authorId="0" shapeId="0" xr:uid="{1925AE49-2705-4F9C-8279-2BBE24FFB93B}">
      <text>
        <r>
          <rPr>
            <sz val="11"/>
            <color rgb="FF000000"/>
            <rFont val="Arial"/>
            <family val="2"/>
            <scheme val="minor"/>
          </rPr>
          <t>======
ID#AAAAsv7I9A0
Ansari Yasmeen    (2021-02-18 13:46:24)
Start from Jan 2021
6k to 12k from Sep 2021
12k to 25k from Sep 2022</t>
        </r>
      </text>
    </comment>
    <comment ref="E21" authorId="0" shapeId="0" xr:uid="{6A3EC62E-9C3F-44EB-97CB-9BF36498619D}">
      <text>
        <r>
          <rPr>
            <sz val="11"/>
            <color rgb="FF000000"/>
            <rFont val="Arial"/>
            <family val="2"/>
            <scheme val="minor"/>
          </rPr>
          <t>======
ID#AAAA9v-EMpA
Ansari Yasmeen    (2022-03-16 06:56:29)
6k perfomance bonus 
6k teaching bonus
after renewal 5k ( 26 sep 2022) 
Bonus will be paid after 1 year completion</t>
        </r>
      </text>
    </comment>
    <comment ref="R21" authorId="2" shapeId="0" xr:uid="{3EF0F832-E57E-48B5-8471-9730E26DE932}">
      <text>
        <r>
          <rPr>
            <b/>
            <sz val="9"/>
            <color indexed="81"/>
            <rFont val="Tahoma"/>
            <family val="2"/>
          </rPr>
          <t>Ajida samani:</t>
        </r>
        <r>
          <rPr>
            <sz val="9"/>
            <color indexed="81"/>
            <rFont val="Tahoma"/>
            <family val="2"/>
          </rPr>
          <t xml:space="preserve">
from this month  bonus will be paid monthly as staed earlier from faaiza 2 month hold salary </t>
        </r>
      </text>
    </comment>
    <comment ref="E22" authorId="0" shapeId="0" xr:uid="{34F66187-4C5B-4174-85DE-5B30355BF629}">
      <text>
        <r>
          <rPr>
            <sz val="11"/>
            <color rgb="FF000000"/>
            <rFont val="Arial"/>
            <family val="2"/>
            <scheme val="minor"/>
          </rPr>
          <t>======
ID#AAAA9v8wURY
Faaiza Shaikh    (2024-01-04 11:48:55)
1.5 Year Contract
4000 bonus for 6 months
10000 after completion of 6 months
(Yearly Bonus)</t>
        </r>
      </text>
    </comment>
    <comment ref="E28" authorId="0" shapeId="0" xr:uid="{14F1C044-8E13-4B75-B896-DC144DFA3E79}">
      <text>
        <r>
          <rPr>
            <sz val="11"/>
            <color rgb="FF000000"/>
            <rFont val="Arial"/>
            <family val="2"/>
            <scheme val="minor"/>
          </rPr>
          <t>======
ID#AAAA9v8wURU
Ansari Yasmeen    (2022-09-06 11:51:15)
6k start from sep 2022
Monthly Bonus 
(After 2 months bonus deposited with us)</t>
        </r>
      </text>
    </comment>
    <comment ref="J28" authorId="1" shapeId="0" xr:uid="{8F910413-F80A-4D95-9AEE-2E952F75EE9E}">
      <text>
        <r>
          <rPr>
            <b/>
            <sz val="9"/>
            <color indexed="81"/>
            <rFont val="Tahoma"/>
            <family val="2"/>
          </rPr>
          <t>Samreen Supariwala:</t>
        </r>
        <r>
          <rPr>
            <sz val="9"/>
            <color indexed="81"/>
            <rFont val="Tahoma"/>
            <family val="2"/>
          </rPr>
          <t xml:space="preserve">
paid </t>
        </r>
      </text>
    </comment>
    <comment ref="E29" authorId="0" shapeId="0" xr:uid="{4911802E-E409-4EDD-A474-230CC8C96F19}">
      <text>
        <r>
          <rPr>
            <sz val="11"/>
            <color rgb="FF000000"/>
            <rFont val="Arial"/>
            <family val="2"/>
            <scheme val="minor"/>
          </rPr>
          <t>======
ID#AAAA9v8wUR0
IqraTechnology    (2022-10-01 12:27:00)
Monthly Bonus</t>
        </r>
      </text>
    </comment>
    <comment ref="E30" authorId="0" shapeId="0" xr:uid="{96A45A10-2D5B-43D4-A5FB-79C18542771E}">
      <text>
        <r>
          <rPr>
            <sz val="11"/>
            <color rgb="FF000000"/>
            <rFont val="Arial"/>
            <family val="2"/>
            <scheme val="minor"/>
          </rPr>
          <t>======
ID#AAAA9v8p7SU
IqraTechnology    (2022-10-03 12:31:17)
Bonus will start after 3 month stipend (from July 2022)
Bonus will be given after 1.5 year completion of contract.</t>
        </r>
      </text>
    </comment>
    <comment ref="R31" authorId="2" shapeId="0" xr:uid="{C4E26796-18F2-4FDC-A44C-B7839C528A92}">
      <text>
        <r>
          <rPr>
            <b/>
            <sz val="9"/>
            <color indexed="81"/>
            <rFont val="Tahoma"/>
            <family val="2"/>
          </rPr>
          <t>Ajida samani:</t>
        </r>
        <r>
          <rPr>
            <sz val="9"/>
            <color indexed="81"/>
            <rFont val="Tahoma"/>
            <family val="2"/>
          </rPr>
          <t xml:space="preserve">
already paid bonus </t>
        </r>
      </text>
    </comment>
    <comment ref="D34" authorId="0" shapeId="0" xr:uid="{079D94B1-B918-48A1-A15A-C65EE82060E7}">
      <text>
        <r>
          <rPr>
            <sz val="11"/>
            <color rgb="FF000000"/>
            <rFont val="Arial"/>
            <family val="2"/>
            <scheme val="minor"/>
          </rPr>
          <t>======
ID#AAAAsv7I9Dc
Faaiza Shaikh    (2022-09-06 05:10:59)
12k to 25k
Starts from 02 Sep 2022</t>
        </r>
      </text>
    </comment>
    <comment ref="E34" authorId="0" shapeId="0" xr:uid="{2791CAB1-12D9-4B43-B7BA-589A87F6E13B}">
      <text>
        <r>
          <rPr>
            <sz val="11"/>
            <color rgb="FF000000"/>
            <rFont val="Arial"/>
            <family val="2"/>
            <scheme val="minor"/>
          </rPr>
          <t>======
ID#AAAA9v8wUSk
Faaiza Shaikh    (2022-09-06 05:10:59)
4k to 5k 
Starts from 02 Sep 2022
Bonus will given after 1 year completion of contract.</t>
        </r>
      </text>
    </comment>
    <comment ref="G36" authorId="2" shapeId="0" xr:uid="{0B571549-00A5-40DA-B5E1-F4F26061B1AB}">
      <text>
        <r>
          <rPr>
            <b/>
            <sz val="9"/>
            <color indexed="81"/>
            <rFont val="Tahoma"/>
            <family val="2"/>
          </rPr>
          <t>Ajida samani:</t>
        </r>
        <r>
          <rPr>
            <sz val="9"/>
            <color indexed="81"/>
            <rFont val="Tahoma"/>
            <family val="2"/>
          </rPr>
          <t xml:space="preserve">
will minus 1508 from hold bonus for earbuds </t>
        </r>
      </text>
    </comment>
    <comment ref="E37" authorId="0" shapeId="0" xr:uid="{D1A32261-885C-459C-9FE9-525A63F9FEDC}">
      <text>
        <r>
          <rPr>
            <sz val="11"/>
            <color rgb="FF000000"/>
            <rFont val="Arial"/>
            <family val="2"/>
            <scheme val="minor"/>
          </rPr>
          <t>======
ID#AAAAsv7I9B4
IqraTechnology    (2022-10-01 14:26:59)
Bonus will be given after 1 year completion of contract.</t>
        </r>
      </text>
    </comment>
    <comment ref="E38" authorId="0" shapeId="0" xr:uid="{7D946660-AD1B-41D0-A56D-9AAEB9D4BDE5}">
      <text>
        <r>
          <rPr>
            <sz val="11"/>
            <color rgb="FF000000"/>
            <rFont val="Arial"/>
            <family val="2"/>
            <scheme val="minor"/>
          </rPr>
          <t>======
ID#AAAAsv7I8-Y
IqraTechnology    (2022-10-01 12:27:00)
Bonus will be given after 1 year completion of contract.</t>
        </r>
      </text>
    </comment>
    <comment ref="E39" authorId="0" shapeId="0" xr:uid="{EC0EAA5C-E9EE-4E68-A417-78891DB1443A}">
      <text>
        <r>
          <rPr>
            <sz val="11"/>
            <color rgb="FF000000"/>
            <rFont val="Arial"/>
            <family val="2"/>
            <scheme val="minor"/>
          </rPr>
          <t>======
ID#AAABBwtNndI
Faaiza Shaikh    (2023-12-27 12:12:54)
1.5 Year Contract
4000 bonus for 6 months
10000 after completion of 6 months
(Yearly Bonus)</t>
        </r>
      </text>
    </comment>
    <comment ref="AB41" authorId="0" shapeId="0" xr:uid="{0C5A398D-0FCF-4DAD-BF23-943FF1F0C08C}">
      <text>
        <r>
          <rPr>
            <sz val="11"/>
            <color rgb="FF000000"/>
            <rFont val="Arial"/>
            <family val="2"/>
            <scheme val="minor"/>
          </rPr>
          <t>======
ID#AAABCFt1iqo
Faaiza Shaikh    (2023-12-08 05:30:47)
Out of 3,913
1,098 is paid in Nov and remaining 2,815 will be on hold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Ajida samani</author>
  </authors>
  <commentList>
    <comment ref="F2" authorId="0" shapeId="0" xr:uid="{5A9B8248-CAB6-44C0-AA0A-B453DFC71B1A}">
      <text>
        <r>
          <rPr>
            <sz val="11"/>
            <color rgb="FF000000"/>
            <rFont val="Arial"/>
            <family val="2"/>
            <scheme val="minor"/>
          </rPr>
          <t>======
ID#AAABFOLIaGo
Faaiza Shaikh    (2024-02-02 11:23:49)
Monthly Client bonus</t>
        </r>
      </text>
    </comment>
    <comment ref="G2" authorId="0" shapeId="0" xr:uid="{BF61B14A-F59B-4089-A725-D0ECF83172C6}">
      <text>
        <r>
          <rPr>
            <sz val="11"/>
            <color rgb="FF000000"/>
            <rFont val="Arial"/>
            <family val="2"/>
            <scheme val="minor"/>
          </rPr>
          <t>======
ID#AAABDVS7Egw
Faaiza Shaikh    (2024-01-20 07:52:28)
Contract started from 9 Oct 2023
4 Month's Contract</t>
        </r>
      </text>
    </comment>
    <comment ref="F3" authorId="0" shapeId="0" xr:uid="{C3406FC8-34C9-4A58-9D55-05EED72AA8D1}">
      <text>
        <r>
          <rPr>
            <sz val="11"/>
            <color rgb="FF000000"/>
            <rFont val="Arial"/>
            <family val="2"/>
            <scheme val="minor"/>
          </rPr>
          <t>======
ID#AAABFOLIaG4
Faaiza Shaikh    (2024-02-02 11:23:49)
Monthly Client bonus</t>
        </r>
      </text>
    </comment>
    <comment ref="G3" authorId="0" shapeId="0" xr:uid="{5C7629F8-1383-4211-A99C-B8222CA06FC2}">
      <text>
        <r>
          <rPr>
            <sz val="11"/>
            <color rgb="FF000000"/>
            <rFont val="Arial"/>
            <family val="2"/>
            <scheme val="minor"/>
          </rPr>
          <t>======
ID#AAABDVS7Ehw
Faaiza Shaikh    (2024-01-20 07:52:28)
Contract Started from 2 Jan 2024
7 Month's Contract</t>
        </r>
      </text>
    </comment>
    <comment ref="H3" authorId="0" shapeId="0" xr:uid="{217C21D9-39DF-43A4-996E-B51B16BEF82E}">
      <text>
        <r>
          <rPr>
            <sz val="11"/>
            <color rgb="FF000000"/>
            <rFont val="Arial"/>
            <family val="2"/>
            <scheme val="minor"/>
          </rPr>
          <t>======
ID#AAABFOLIaG4
Faaiza Shaikh    (2024-02-02 11:23:49)
Monthly Client bonus</t>
        </r>
      </text>
    </comment>
    <comment ref="H4" authorId="1" shapeId="0" xr:uid="{BCC8F219-F33C-4504-83FD-4FAB77734FD5}">
      <text>
        <r>
          <rPr>
            <b/>
            <sz val="9"/>
            <color indexed="81"/>
            <rFont val="Tahoma"/>
            <family val="2"/>
          </rPr>
          <t>Ajida samani:</t>
        </r>
        <r>
          <rPr>
            <sz val="9"/>
            <color indexed="81"/>
            <rFont val="Tahoma"/>
            <family val="2"/>
          </rPr>
          <t xml:space="preserve">
Client Bonus for second client started from nov and paying in jan of all 3 month in jan </t>
        </r>
      </text>
    </comment>
    <comment ref="D5" authorId="0" shapeId="0" xr:uid="{16DFDBD4-85CB-47C8-A036-D99A8DB355A6}">
      <text>
        <r>
          <rPr>
            <sz val="11"/>
            <color rgb="FF000000"/>
            <rFont val="Arial"/>
            <family val="2"/>
            <scheme val="minor"/>
          </rPr>
          <t>======
ID#AAABIteAthA
    (2022-04-27 06:12:44)
6k to 10k from 27 april 2022</t>
        </r>
      </text>
    </comment>
    <comment ref="G5" authorId="0" shapeId="0" xr:uid="{F2FFEA5E-0EC4-466D-B440-F5ED55982E74}">
      <text>
        <r>
          <rPr>
            <sz val="11"/>
            <color rgb="FF000000"/>
            <rFont val="Arial"/>
            <family val="2"/>
            <scheme val="minor"/>
          </rPr>
          <t>======
ID#AAABDVS7EhY
Faaiza Shaikh    (2024-01-20 07:52:28)
Contract Started from 2 Jan 2024
7 Month's Contract</t>
        </r>
      </text>
    </comment>
    <comment ref="D7" authorId="0" shapeId="0" xr:uid="{E01933D0-05B0-4859-92C7-4270B5201A9B}">
      <text>
        <r>
          <rPr>
            <sz val="11"/>
            <color rgb="FF000000"/>
            <rFont val="Arial"/>
            <family val="2"/>
            <scheme val="minor"/>
          </rPr>
          <t>======
ID#AAAAsv7I9Ew
Faaiza Shaikh    (2022-09-06 05:10:59)
12k to 30k 
Starts from 02 Sep 2022</t>
        </r>
      </text>
    </comment>
    <comment ref="E7" authorId="0" shapeId="0" xr:uid="{91156B00-DEC3-425E-AEF2-19E96DE4FFFE}">
      <text>
        <r>
          <rPr>
            <sz val="11"/>
            <color rgb="FF000000"/>
            <rFont val="Arial"/>
            <family val="2"/>
            <scheme val="minor"/>
          </rPr>
          <t>======
ID#AAABDVS7EhA
Faaiza Shaikh    (2022-09-06 05:10:59)
6k to 5k bonus
Starts from 02 Sep 2022
Bonus will be given after completion of contract.</t>
        </r>
      </text>
    </comment>
    <comment ref="G7" authorId="0" shapeId="0" xr:uid="{8C11D74B-D097-4003-B6A5-913FA7F20B3F}">
      <text>
        <r>
          <rPr>
            <sz val="11"/>
            <color rgb="FF000000"/>
            <rFont val="Arial"/>
            <family val="2"/>
            <scheme val="minor"/>
          </rPr>
          <t>======
ID#AAABDVS7Ehg
Faaiza Shaikh    (2024-01-20 07:52:28)
Contract started from 10 Oct 2023
6 Month's Contract</t>
        </r>
      </text>
    </comment>
    <comment ref="D8" authorId="0" shapeId="0" xr:uid="{BB19A43F-09B1-4380-87C4-6A2AA74F7C67}">
      <text>
        <r>
          <rPr>
            <sz val="11"/>
            <color rgb="FF000000"/>
            <rFont val="Arial"/>
            <family val="2"/>
            <scheme val="minor"/>
          </rPr>
          <t>======
ID#AAABDVS7Eh0
Faaiza Shaikh    (2022-10-06 05:19:11)
12k to 25k starts from
Oct 2022</t>
        </r>
      </text>
    </comment>
    <comment ref="E8" authorId="0" shapeId="0" xr:uid="{DFBE82C4-9BCB-4101-9371-D17020F70883}">
      <text>
        <r>
          <rPr>
            <sz val="11"/>
            <color rgb="FF000000"/>
            <rFont val="Arial"/>
            <family val="2"/>
            <scheme val="minor"/>
          </rPr>
          <t>======
ID#AAAAsv7I9D0
IqraTechnology    (2022-10-02 06:56:55)
Bonus will be given after completion of 1 Year</t>
        </r>
      </text>
    </comment>
    <comment ref="G8" authorId="0" shapeId="0" xr:uid="{2A867E51-2A34-40F3-8B4A-9726AD96E02F}">
      <text>
        <r>
          <rPr>
            <sz val="11"/>
            <color rgb="FF000000"/>
            <rFont val="Arial"/>
            <family val="2"/>
            <scheme val="minor"/>
          </rPr>
          <t>======
ID#AAABDVS7Ehs
Faaiza Shaikh    (2024-01-20 07:52:28)
Contract started from 31 Aug 2023
12 Month's Contract</t>
        </r>
      </text>
    </comment>
    <comment ref="F9" authorId="0" shapeId="0" xr:uid="{2D05DEC9-FE53-4C32-A9F7-E85B74261771}">
      <text>
        <r>
          <rPr>
            <sz val="11"/>
            <color rgb="FF000000"/>
            <rFont val="Arial"/>
            <family val="2"/>
            <scheme val="minor"/>
          </rPr>
          <t>======
ID#AAABFOLIaG0
Faaiza Shaikh    (2024-02-02 11:23:49)
Monthly Client bonus</t>
        </r>
      </text>
    </comment>
    <comment ref="G9" authorId="0" shapeId="0" xr:uid="{3D85D7CB-47F2-4348-9805-5EB47B62F4E2}">
      <text>
        <r>
          <rPr>
            <sz val="11"/>
            <color rgb="FF000000"/>
            <rFont val="Arial"/>
            <family val="2"/>
            <scheme val="minor"/>
          </rPr>
          <t>======
ID#AAABDVS7EhQ
Faaiza Shaikh    (2024-01-20 07:52:28)
Contract started from 5 Dec 2023
12 Month's Contract</t>
        </r>
      </text>
    </comment>
    <comment ref="F10" authorId="0" shapeId="0" xr:uid="{D923792C-14FE-4229-A90E-996B564A9AB8}">
      <text>
        <r>
          <rPr>
            <sz val="11"/>
            <color rgb="FF000000"/>
            <rFont val="Arial"/>
            <family val="2"/>
            <scheme val="minor"/>
          </rPr>
          <t>======
ID#AAABFOLIaGY
Faaiza Shaikh    (2024-02-02 11:23:49)
Monthly Client bonus</t>
        </r>
      </text>
    </comment>
    <comment ref="G10" authorId="0" shapeId="0" xr:uid="{7C9583E6-5820-41C9-B45E-858179031126}">
      <text>
        <r>
          <rPr>
            <sz val="11"/>
            <color rgb="FF000000"/>
            <rFont val="Arial"/>
            <family val="2"/>
            <scheme val="minor"/>
          </rPr>
          <t>======
ID#AAABIteAthM
Faaiza Shaikh    (2024-03-26 08:47:34)
Contract Started from 2 Jan 2024
7 Month's Contract</t>
        </r>
      </text>
    </comment>
    <comment ref="I14" authorId="1" shapeId="0" xr:uid="{EAC7C8C1-7AE1-477F-8A38-60E5CDB17D10}">
      <text>
        <r>
          <rPr>
            <b/>
            <sz val="9"/>
            <color indexed="81"/>
            <rFont val="Tahoma"/>
            <family val="2"/>
          </rPr>
          <t>Ajida samani:</t>
        </r>
        <r>
          <rPr>
            <sz val="9"/>
            <color indexed="81"/>
            <rFont val="Tahoma"/>
            <family val="2"/>
          </rPr>
          <t xml:space="preserve">
8000-6095=1905 will deduct from next month </t>
        </r>
      </text>
    </comment>
    <comment ref="F17" authorId="1" shapeId="0" xr:uid="{BBD5E7F1-F355-4A93-9F52-E439943CA51E}">
      <text>
        <r>
          <rPr>
            <b/>
            <sz val="9"/>
            <color indexed="81"/>
            <rFont val="Tahoma"/>
            <family val="2"/>
          </rPr>
          <t>Ajida samani:</t>
        </r>
        <r>
          <rPr>
            <sz val="9"/>
            <color indexed="81"/>
            <rFont val="Tahoma"/>
            <family val="2"/>
          </rPr>
          <t xml:space="preserve">
10k will hold and 10k will pay everymonth </t>
        </r>
      </text>
    </comment>
    <comment ref="D18" authorId="0" shapeId="0" xr:uid="{F233C451-0E7E-4B3A-8096-3829B9FD3803}">
      <text>
        <r>
          <rPr>
            <sz val="11"/>
            <color rgb="FF000000"/>
            <rFont val="Arial"/>
            <family val="2"/>
            <scheme val="minor"/>
          </rPr>
          <t>======
ID#AAAA9v8wURg
Faaiza Shaikh    (2024-01-04 11:48:55)
1.5 Year Contract
4000 bonus for 6 months
10000 after completion of 6 months
(Yearly Bonus)</t>
        </r>
      </text>
    </comment>
    <comment ref="F22" authorId="1" shapeId="0" xr:uid="{05586929-DC61-48B2-BB10-7BB5E773D960}">
      <text>
        <r>
          <rPr>
            <b/>
            <sz val="9"/>
            <color indexed="81"/>
            <rFont val="Tahoma"/>
            <family val="2"/>
          </rPr>
          <t>Ajida samani:</t>
        </r>
        <r>
          <rPr>
            <sz val="9"/>
            <color indexed="81"/>
            <rFont val="Tahoma"/>
            <family val="2"/>
          </rPr>
          <t xml:space="preserve">
will pay for 3 month only </t>
        </r>
      </text>
    </comment>
    <comment ref="K22" authorId="1" shapeId="0" xr:uid="{3011B83A-3559-4644-B306-9549B3B75D2E}">
      <text>
        <r>
          <rPr>
            <b/>
            <sz val="9"/>
            <color indexed="81"/>
            <rFont val="Tahoma"/>
            <family val="2"/>
          </rPr>
          <t>Ajida samani:</t>
        </r>
        <r>
          <rPr>
            <sz val="9"/>
            <color indexed="81"/>
            <rFont val="Tahoma"/>
            <family val="2"/>
          </rPr>
          <t xml:space="preserve">
From next we wont give client bonus as confirmed by yasmeen di </t>
        </r>
      </text>
    </comment>
    <comment ref="J23" authorId="1" shapeId="0" xr:uid="{F4A39FF7-683B-444A-96A8-4BBE61148549}">
      <text>
        <r>
          <rPr>
            <b/>
            <sz val="9"/>
            <color indexed="81"/>
            <rFont val="Tahoma"/>
            <family val="2"/>
          </rPr>
          <t>Ajida samani:</t>
        </r>
        <r>
          <rPr>
            <sz val="9"/>
            <color indexed="81"/>
            <rFont val="Tahoma"/>
            <family val="2"/>
          </rPr>
          <t xml:space="preserve">
client bonus is not mentioned in contract</t>
        </r>
      </text>
    </comment>
    <comment ref="J25" authorId="1" shapeId="0" xr:uid="{8858E48E-3239-430A-A817-305209D97E43}">
      <text>
        <r>
          <rPr>
            <b/>
            <sz val="9"/>
            <color indexed="81"/>
            <rFont val="Tahoma"/>
            <family val="2"/>
          </rPr>
          <t>Ajida samani:</t>
        </r>
        <r>
          <rPr>
            <sz val="9"/>
            <color indexed="81"/>
            <rFont val="Tahoma"/>
            <family val="2"/>
          </rPr>
          <t xml:space="preserve">
client bonus is not mentioned in contract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Sam</author>
    <author>Samreen Supariwala</author>
  </authors>
  <commentList>
    <comment ref="E23" authorId="0" shapeId="0" xr:uid="{D8772EA3-0CF6-47B0-928F-57DA02C4A749}">
      <text>
        <r>
          <rPr>
            <sz val="9"/>
            <color indexed="81"/>
            <rFont val="Tahoma"/>
            <family val="2"/>
          </rPr>
          <t xml:space="preserve">was paid 2022-2023 (117562.00) june 2023
was paid 2023-2024 (78087)
need to pay 2024-2025
(68593)
</t>
        </r>
      </text>
    </comment>
    <comment ref="E29" authorId="0" shapeId="0" xr:uid="{EF272FFF-8C61-4A90-87BA-F3B18AFA6AF4}">
      <text>
        <r>
          <rPr>
            <sz val="9"/>
            <color indexed="81"/>
            <rFont val="Tahoma"/>
            <family val="2"/>
          </rPr>
          <t xml:space="preserve">2022 aug to 2023 oct last paid on 31 st october 124269
</t>
        </r>
      </text>
    </comment>
    <comment ref="E30" authorId="0" shapeId="0" xr:uid="{053AFFC7-B8A1-4BB1-BA45-ED675A9825DF}">
      <text>
        <r>
          <rPr>
            <sz val="9"/>
            <color indexed="81"/>
            <rFont val="Tahoma"/>
            <family val="2"/>
          </rPr>
          <t xml:space="preserve">2022 aug to 2023 oct last paid on 31 st october 124269
</t>
        </r>
      </text>
    </comment>
    <comment ref="I39" authorId="1" shapeId="0" xr:uid="{3A425785-7206-42A9-B76D-4A94690C558B}">
      <text>
        <r>
          <rPr>
            <b/>
            <sz val="9"/>
            <color indexed="81"/>
            <rFont val="Tahoma"/>
            <family val="2"/>
          </rPr>
          <t>Samreen :</t>
        </r>
        <r>
          <rPr>
            <sz val="9"/>
            <color indexed="81"/>
            <rFont val="Tahoma"/>
            <family val="2"/>
          </rPr>
          <t xml:space="preserve">
72639 was paid on 28 feb the excess amount 1,913 of will be adjusted when next bonus will be paid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26" authorId="0" shapeId="0" xr:uid="{00000000-0006-0000-0900-000001000000}">
      <text>
        <r>
          <rPr>
            <sz val="11"/>
            <color rgb="FF000000"/>
            <rFont val="Arial"/>
            <family val="2"/>
            <scheme val="minor"/>
          </rPr>
          <t>======
ID#AAABLLFlNig
Faaiza Shaikh    (2023-07-17 08:16:00)
Bonus if from his First Contract</t>
        </r>
      </text>
    </comment>
    <comment ref="B53" authorId="0" shapeId="0" xr:uid="{00000000-0006-0000-0900-000002000000}">
      <text>
        <r>
          <rPr>
            <sz val="11"/>
            <color rgb="FF000000"/>
            <rFont val="Arial"/>
            <family val="2"/>
            <scheme val="minor"/>
          </rPr>
          <t>======
ID#AAABLLFlNfc
Ansari Yasmeen    (2023-03-28 09:38:52)
hold till 60k amount 
( 17391rs till july 2022 )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Ajida samani</author>
  </authors>
  <commentList>
    <comment ref="D2" authorId="0" shapeId="0" xr:uid="{00000000-0006-0000-1E00-000001000000}">
      <text>
        <r>
          <rPr>
            <sz val="11"/>
            <color rgb="FF000000"/>
            <rFont val="Arial"/>
            <family val="2"/>
            <scheme val="minor"/>
          </rPr>
          <t>======
ID#AAAAsv7I88s
Author    (2021-09-13 13:34:11)
6k to 15k From Aug 2020</t>
        </r>
      </text>
    </comment>
    <comment ref="E2" authorId="0" shapeId="0" xr:uid="{00000000-0006-0000-1E00-000002000000}">
      <text>
        <r>
          <rPr>
            <sz val="11"/>
            <color rgb="FF000000"/>
            <rFont val="Arial"/>
            <family val="2"/>
            <scheme val="minor"/>
          </rPr>
          <t>======
ID#AAAAsv7I9Mc
Author    (2021-09-13 13:34:11)
From Aug 2020</t>
        </r>
      </text>
    </comment>
    <comment ref="D3" authorId="0" shapeId="0" xr:uid="{00000000-0006-0000-1E00-000003000000}">
      <text>
        <r>
          <rPr>
            <sz val="11"/>
            <color rgb="FF000000"/>
            <rFont val="Arial"/>
            <family val="2"/>
            <scheme val="minor"/>
          </rPr>
          <t>======
ID#AAAAsv7I9FU
Author    (2021-09-13 13:34:11)
Ansari Yasmeen:6k to 20k From July 2020</t>
        </r>
      </text>
    </comment>
    <comment ref="E3" authorId="0" shapeId="0" xr:uid="{00000000-0006-0000-1E00-000004000000}">
      <text>
        <r>
          <rPr>
            <sz val="11"/>
            <color rgb="FF000000"/>
            <rFont val="Arial"/>
            <family val="2"/>
            <scheme val="minor"/>
          </rPr>
          <t>======
ID#AAAAsv7I9G8
Author    (2021-09-13 13:34:11)
from Aug 2020</t>
        </r>
      </text>
    </comment>
    <comment ref="E6" authorId="0" shapeId="0" xr:uid="{00000000-0006-0000-1E00-000005000000}">
      <text>
        <r>
          <rPr>
            <sz val="11"/>
            <color rgb="FF000000"/>
            <rFont val="Arial"/>
            <family val="2"/>
            <scheme val="minor"/>
          </rPr>
          <t>======
ID#AAAAsv7I88E
Author    (2021-09-13 13:34:11)
from oct 2020</t>
        </r>
      </text>
    </comment>
    <comment ref="E7" authorId="0" shapeId="0" xr:uid="{00000000-0006-0000-1E00-000006000000}">
      <text>
        <r>
          <rPr>
            <sz val="11"/>
            <color rgb="FF000000"/>
            <rFont val="Arial"/>
            <family val="2"/>
            <scheme val="minor"/>
          </rPr>
          <t>======
ID#AAAAsv7I8-A
Author    (2021-09-13 13:34:11)
from Sep 2020</t>
        </r>
      </text>
    </comment>
    <comment ref="E9" authorId="0" shapeId="0" xr:uid="{00000000-0006-0000-1E00-000007000000}">
      <text>
        <r>
          <rPr>
            <sz val="11"/>
            <color rgb="FF000000"/>
            <rFont val="Arial"/>
            <family val="2"/>
            <scheme val="minor"/>
          </rPr>
          <t>======
ID#AAAAsv7I9IQ
Author    (2021-09-13 13:34:11)
From Sep 2020</t>
        </r>
      </text>
    </comment>
    <comment ref="E10" authorId="0" shapeId="0" xr:uid="{00000000-0006-0000-1E00-000008000000}">
      <text>
        <r>
          <rPr>
            <sz val="11"/>
            <color rgb="FF000000"/>
            <rFont val="Arial"/>
            <family val="2"/>
            <scheme val="minor"/>
          </rPr>
          <t>======
ID#AAAAsv7I89c
Author    (2021-09-13 13:34:11)
4k to 10k from Nov 2020</t>
        </r>
      </text>
    </comment>
    <comment ref="E11" authorId="0" shapeId="0" xr:uid="{00000000-0006-0000-1E00-000009000000}">
      <text>
        <r>
          <rPr>
            <sz val="11"/>
            <color rgb="FF000000"/>
            <rFont val="Arial"/>
            <family val="2"/>
            <scheme val="minor"/>
          </rPr>
          <t>======
ID#AAAAsv7I8_I
Author    (2021-09-13 13:34:11)
from  Oct 2020</t>
        </r>
      </text>
    </comment>
    <comment ref="E12" authorId="0" shapeId="0" xr:uid="{00000000-0006-0000-1E00-00000A000000}">
      <text>
        <r>
          <rPr>
            <sz val="11"/>
            <color rgb="FF000000"/>
            <rFont val="Arial"/>
            <family val="2"/>
            <scheme val="minor"/>
          </rPr>
          <t>======
ID#AAAAsv7I87U
Author    (2021-09-13 13:34:11)
to be payed with salary
from May on wards</t>
        </r>
      </text>
    </comment>
    <comment ref="E13" authorId="0" shapeId="0" xr:uid="{00000000-0006-0000-1E00-00000B000000}">
      <text>
        <r>
          <rPr>
            <sz val="11"/>
            <color rgb="FF000000"/>
            <rFont val="Arial"/>
            <family val="2"/>
            <scheme val="minor"/>
          </rPr>
          <t>======
ID#AAAAsv7I9F8
Author    (2021-09-13 13:34:11)
Start from Feb 2021</t>
        </r>
      </text>
    </comment>
    <comment ref="D14" authorId="0" shapeId="0" xr:uid="{00000000-0006-0000-1E00-00000C000000}">
      <text>
        <r>
          <rPr>
            <sz val="11"/>
            <color rgb="FF000000"/>
            <rFont val="Arial"/>
            <family val="2"/>
            <scheme val="minor"/>
          </rPr>
          <t>======
ID#AAAAsv7I9BU
Author    (2021-09-13 13:34:11)
21k to 25k From Sep 2020</t>
        </r>
      </text>
    </comment>
    <comment ref="E14" authorId="0" shapeId="0" xr:uid="{00000000-0006-0000-1E00-00000D000000}">
      <text>
        <r>
          <rPr>
            <sz val="11"/>
            <color rgb="FF000000"/>
            <rFont val="Arial"/>
            <family val="2"/>
            <scheme val="minor"/>
          </rPr>
          <t>======
ID#AAAAsv7I9Kk
Author    (2021-09-13 13:34:11)
5k to 10k From Sep 2020</t>
        </r>
      </text>
    </comment>
    <comment ref="D15" authorId="0" shapeId="0" xr:uid="{00000000-0006-0000-1E00-00000E000000}">
      <text>
        <r>
          <rPr>
            <sz val="11"/>
            <color rgb="FF000000"/>
            <rFont val="Arial"/>
            <family val="2"/>
            <scheme val="minor"/>
          </rPr>
          <t>======
ID#AAAAsv7I9PQ
Author    (2021-09-13 13:34:11)
6k to 12k From Sep 2020</t>
        </r>
      </text>
    </comment>
    <comment ref="E15" authorId="0" shapeId="0" xr:uid="{00000000-0006-0000-1E00-00000F000000}">
      <text>
        <r>
          <rPr>
            <sz val="11"/>
            <color rgb="FF000000"/>
            <rFont val="Arial"/>
            <family val="2"/>
            <scheme val="minor"/>
          </rPr>
          <t>======
ID#AAAAsv7I9CI
Author    (2021-09-13 13:34:11)
From Sep 2020</t>
        </r>
      </text>
    </comment>
    <comment ref="E18" authorId="0" shapeId="0" xr:uid="{00000000-0006-0000-1E00-000010000000}">
      <text>
        <r>
          <rPr>
            <sz val="11"/>
            <color rgb="FF000000"/>
            <rFont val="Arial"/>
            <family val="2"/>
            <scheme val="minor"/>
          </rPr>
          <t>======
ID#AAAAsv7I86I
Author    (2021-09-13 13:34:11)
Start from 1 Jan 2020</t>
        </r>
      </text>
    </comment>
    <comment ref="E19" authorId="0" shapeId="0" xr:uid="{00000000-0006-0000-1E00-000011000000}">
      <text>
        <r>
          <rPr>
            <sz val="11"/>
            <color rgb="FF000000"/>
            <rFont val="Arial"/>
            <family val="2"/>
            <scheme val="minor"/>
          </rPr>
          <t>======
ID#AAAAsv7I84k
Author    (2021-09-13 13:34:11)
5k to 10k From Sep 2020</t>
        </r>
      </text>
    </comment>
    <comment ref="D20" authorId="0" shapeId="0" xr:uid="{00000000-0006-0000-1E00-000012000000}">
      <text>
        <r>
          <rPr>
            <sz val="11"/>
            <color rgb="FF000000"/>
            <rFont val="Arial"/>
            <family val="2"/>
            <scheme val="minor"/>
          </rPr>
          <t>======
ID#AAAAsv7I87w
Safiuddin Ansari    (2019-12-05 06:22:27)
from 6k to 12k from nov 2019</t>
        </r>
      </text>
    </comment>
    <comment ref="E20" authorId="0" shapeId="0" xr:uid="{00000000-0006-0000-1E00-000013000000}">
      <text>
        <r>
          <rPr>
            <sz val="11"/>
            <color rgb="FF000000"/>
            <rFont val="Arial"/>
            <family val="2"/>
            <scheme val="minor"/>
          </rPr>
          <t>======
ID#AAAAsv7I9NU
Safiuddin Ansari    (2019-12-05 06:22:27)
from nov 2019</t>
        </r>
      </text>
    </comment>
    <comment ref="D21" authorId="0" shapeId="0" xr:uid="{00000000-0006-0000-1E00-000014000000}">
      <text>
        <r>
          <rPr>
            <sz val="11"/>
            <color rgb="FF000000"/>
            <rFont val="Arial"/>
            <family val="2"/>
            <scheme val="minor"/>
          </rPr>
          <t>======
ID#AAAAsv7I9GY
Author    (2021-09-13 13:34:11)
10k to 15k From Sep 2020</t>
        </r>
      </text>
    </comment>
    <comment ref="E21" authorId="0" shapeId="0" xr:uid="{00000000-0006-0000-1E00-000015000000}">
      <text>
        <r>
          <rPr>
            <sz val="11"/>
            <color rgb="FF000000"/>
            <rFont val="Arial"/>
            <family val="2"/>
            <scheme val="minor"/>
          </rPr>
          <t>======
ID#AAAAsv7I9Eg
Author    (2021-09-13 13:34:11)
5k to 10k From Sep 2020</t>
        </r>
      </text>
    </comment>
    <comment ref="D22" authorId="0" shapeId="0" xr:uid="{00000000-0006-0000-1E00-000016000000}">
      <text>
        <r>
          <rPr>
            <sz val="11"/>
            <color rgb="FF000000"/>
            <rFont val="Arial"/>
            <family val="2"/>
            <scheme val="minor"/>
          </rPr>
          <t>======
ID#AAAAsv7I9HQ
Author    (2021-09-13 13:34:11)
6k to 12k from july 2021</t>
        </r>
      </text>
    </comment>
    <comment ref="E22" authorId="0" shapeId="0" xr:uid="{00000000-0006-0000-1E00-000017000000}">
      <text>
        <r>
          <rPr>
            <sz val="11"/>
            <color rgb="FF000000"/>
            <rFont val="Arial"/>
            <family val="2"/>
            <scheme val="minor"/>
          </rPr>
          <t>======
ID#AAAAsv7I88Q
Author    (2021-09-13 13:34:11)
july 2021</t>
        </r>
      </text>
    </comment>
    <comment ref="D24" authorId="0" shapeId="0" xr:uid="{00000000-0006-0000-1E00-000018000000}">
      <text>
        <r>
          <rPr>
            <sz val="11"/>
            <color rgb="FF000000"/>
            <rFont val="Arial"/>
            <family val="2"/>
            <scheme val="minor"/>
          </rPr>
          <t>======
ID#AAAAsv7I8_0
Author    (2021-09-13 13:34:11)
12k to 15k from 1 april 2021</t>
        </r>
      </text>
    </comment>
    <comment ref="E24" authorId="0" shapeId="0" xr:uid="{00000000-0006-0000-1E00-000019000000}">
      <text>
        <r>
          <rPr>
            <sz val="11"/>
            <color rgb="FF000000"/>
            <rFont val="Arial"/>
            <family val="2"/>
            <scheme val="minor"/>
          </rPr>
          <t>======
ID#AAAAsv7I86g
Author    (2021-09-13 13:34:11)
4k to 10k from April 2021</t>
        </r>
      </text>
    </comment>
    <comment ref="D25" authorId="0" shapeId="0" xr:uid="{00000000-0006-0000-1E00-00001A000000}">
      <text>
        <r>
          <rPr>
            <sz val="11"/>
            <color rgb="FF000000"/>
            <rFont val="Arial"/>
            <family val="2"/>
            <scheme val="minor"/>
          </rPr>
          <t>======
ID#AAAAsv7I9IU
Author    (2021-09-13 13:34:11)
1 March2020
12k to 15k from 1 april 2021</t>
        </r>
      </text>
    </comment>
    <comment ref="E25" authorId="0" shapeId="0" xr:uid="{00000000-0006-0000-1E00-00001B000000}">
      <text>
        <r>
          <rPr>
            <sz val="11"/>
            <color rgb="FF000000"/>
            <rFont val="Arial"/>
            <family val="2"/>
            <scheme val="minor"/>
          </rPr>
          <t>======
ID#AAAAsv7I9O0
Author    (2021-09-13 13:34:11)
from March
5k to 10k from Nov 2020
4k to 10k from April 2021</t>
        </r>
      </text>
    </comment>
    <comment ref="D26" authorId="0" shapeId="0" xr:uid="{00000000-0006-0000-1E00-00001C000000}">
      <text>
        <r>
          <rPr>
            <sz val="11"/>
            <color rgb="FF000000"/>
            <rFont val="Arial"/>
            <family val="2"/>
            <scheme val="minor"/>
          </rPr>
          <t>======
ID#AAAAsv7I9J8
Ansari Yasmeen    (2021-02-18 13:46:24)
Start from Jan 2021</t>
        </r>
      </text>
    </comment>
    <comment ref="E26" authorId="0" shapeId="0" xr:uid="{00000000-0006-0000-1E00-00001D000000}">
      <text>
        <r>
          <rPr>
            <sz val="11"/>
            <color rgb="FF000000"/>
            <rFont val="Arial"/>
            <family val="2"/>
            <scheme val="minor"/>
          </rPr>
          <t>======
ID#AAAAsv7I9P0
Author    (2021-09-13 13:34:11)
Start July 2021</t>
        </r>
      </text>
    </comment>
    <comment ref="P26" authorId="0" shapeId="0" xr:uid="{00000000-0006-0000-1E00-00001E000000}">
      <text>
        <r>
          <rPr>
            <sz val="11"/>
            <color rgb="FF000000"/>
            <rFont val="Arial"/>
            <family val="2"/>
            <scheme val="minor"/>
          </rPr>
          <t>======
ID#AAAAsv7I9FA
User    (2021-11-08 11:43:48)
whole month absent</t>
        </r>
      </text>
    </comment>
    <comment ref="E30" authorId="0" shapeId="0" xr:uid="{00000000-0006-0000-1E00-00001F000000}">
      <text>
        <r>
          <rPr>
            <sz val="11"/>
            <color rgb="FF000000"/>
            <rFont val="Arial"/>
            <family val="2"/>
            <scheme val="minor"/>
          </rPr>
          <t>======
ID#AAAAsv7I9N4
Author    (2021-09-13 13:34:11)
Start from Jan 2021</t>
        </r>
      </text>
    </comment>
    <comment ref="D31" authorId="0" shapeId="0" xr:uid="{00000000-0006-0000-1E00-000020000000}">
      <text>
        <r>
          <rPr>
            <sz val="11"/>
            <color rgb="FF000000"/>
            <rFont val="Arial"/>
            <family val="2"/>
            <scheme val="minor"/>
          </rPr>
          <t>======
ID#AAAAsv7I87o
Author    (2021-09-13 13:34:11)
6k to 12k From Aug 2020
30k from April2021</t>
        </r>
      </text>
    </comment>
    <comment ref="E31" authorId="0" shapeId="0" xr:uid="{00000000-0006-0000-1E00-000021000000}">
      <text>
        <r>
          <rPr>
            <sz val="11"/>
            <color rgb="FF000000"/>
            <rFont val="Arial"/>
            <family val="2"/>
            <scheme val="minor"/>
          </rPr>
          <t>======
ID#AAAAsv7I9B8
Author    (2021-09-13 13:34:11)
From Aug 2020</t>
        </r>
      </text>
    </comment>
    <comment ref="O31" authorId="0" shapeId="0" xr:uid="{00000000-0006-0000-1E00-000022000000}">
      <text>
        <r>
          <rPr>
            <sz val="11"/>
            <color rgb="FF000000"/>
            <rFont val="Arial"/>
            <family val="2"/>
            <scheme val="minor"/>
          </rPr>
          <t>======
ID#AAAAsv7I9CY
Ansari Yasmeen    (2021-10-04 04:57:15)
1 absent mark 
deduct in bonus</t>
        </r>
      </text>
    </comment>
    <comment ref="P33" authorId="0" shapeId="0" xr:uid="{00000000-0006-0000-1E00-000023000000}">
      <text>
        <r>
          <rPr>
            <sz val="11"/>
            <color rgb="FF000000"/>
            <rFont val="Arial"/>
            <family val="2"/>
            <scheme val="minor"/>
          </rPr>
          <t>======
ID#AAAAsv7I9Ko
User    (2021-11-08 11:43:48)
20 days absent</t>
        </r>
      </text>
    </comment>
    <comment ref="D34" authorId="0" shapeId="0" xr:uid="{00000000-0006-0000-1E00-000024000000}">
      <text>
        <r>
          <rPr>
            <sz val="11"/>
            <color rgb="FF000000"/>
            <rFont val="Arial"/>
            <family val="2"/>
            <scheme val="minor"/>
          </rPr>
          <t>======
ID#AAAAsv7I9Jw
Author    (2021-09-13 13:34:11)
6k to 12k From Sep 2020
30k May 2021</t>
        </r>
      </text>
    </comment>
    <comment ref="E34" authorId="0" shapeId="0" xr:uid="{00000000-0006-0000-1E00-000025000000}">
      <text>
        <r>
          <rPr>
            <sz val="11"/>
            <color rgb="FF000000"/>
            <rFont val="Arial"/>
            <family val="2"/>
            <scheme val="minor"/>
          </rPr>
          <t>======
ID#AAAAsv7I9Hk
Author    (2021-09-13 13:34:11)
From Sep 2020</t>
        </r>
      </text>
    </comment>
    <comment ref="D35" authorId="0" shapeId="0" xr:uid="{00000000-0006-0000-1E00-000026000000}">
      <text>
        <r>
          <rPr>
            <sz val="11"/>
            <color rgb="FF000000"/>
            <rFont val="Arial"/>
            <family val="2"/>
            <scheme val="minor"/>
          </rPr>
          <t>======
ID#AAAAsv7I84A
Author    (2021-09-13 13:34:11)
6k to 12k from july 2021</t>
        </r>
      </text>
    </comment>
    <comment ref="E35" authorId="0" shapeId="0" xr:uid="{00000000-0006-0000-1E00-000027000000}">
      <text>
        <r>
          <rPr>
            <sz val="11"/>
            <color rgb="FF000000"/>
            <rFont val="Arial"/>
            <family val="2"/>
            <scheme val="minor"/>
          </rPr>
          <t>======
ID#AAAAsv7I9K4
Author    (2021-09-13 13:34:11)
july 2021</t>
        </r>
      </text>
    </comment>
    <comment ref="C37" authorId="0" shapeId="0" xr:uid="{00000000-0006-0000-1E00-000028000000}">
      <text>
        <r>
          <rPr>
            <sz val="11"/>
            <color rgb="FF000000"/>
            <rFont val="Arial"/>
            <family val="2"/>
            <scheme val="minor"/>
          </rPr>
          <t>======
ID#AAAAsv7I8-o
Author    (2021-09-13 13:34:11)
july 2021</t>
        </r>
      </text>
    </comment>
    <comment ref="D37" authorId="0" shapeId="0" xr:uid="{00000000-0006-0000-1E00-000029000000}">
      <text>
        <r>
          <rPr>
            <sz val="11"/>
            <color rgb="FF000000"/>
            <rFont val="Arial"/>
            <family val="2"/>
            <scheme val="minor"/>
          </rPr>
          <t>======
ID#AAAAsv7I9Fg
Author    (2021-09-13 13:34:11)
6k to 12k from july 2021</t>
        </r>
      </text>
    </comment>
    <comment ref="E37" authorId="0" shapeId="0" xr:uid="{00000000-0006-0000-1E00-00002A000000}">
      <text>
        <r>
          <rPr>
            <sz val="11"/>
            <color rgb="FF000000"/>
            <rFont val="Arial"/>
            <family val="2"/>
            <scheme val="minor"/>
          </rPr>
          <t>======
ID#AAAAsv7I9Lk
Author    (2021-09-13 13:34:11)
july 2021</t>
        </r>
      </text>
    </comment>
    <comment ref="D39" authorId="0" shapeId="0" xr:uid="{00000000-0006-0000-1E00-00002B000000}">
      <text>
        <r>
          <rPr>
            <sz val="11"/>
            <color rgb="FF000000"/>
            <rFont val="Arial"/>
            <family val="2"/>
            <scheme val="minor"/>
          </rPr>
          <t>======
ID#AAAAsv7I9Nk
User    (2021-09-03 07:02:00)
6k to 12k from july 2021</t>
        </r>
      </text>
    </comment>
    <comment ref="E39" authorId="0" shapeId="0" xr:uid="{00000000-0006-0000-1E00-00002C000000}">
      <text>
        <r>
          <rPr>
            <sz val="11"/>
            <color rgb="FF000000"/>
            <rFont val="Arial"/>
            <family val="2"/>
            <scheme val="minor"/>
          </rPr>
          <t>======
ID#AAAAsv7I9QI
User    (2021-09-19 08:42:25)
july 2021</t>
        </r>
      </text>
    </comment>
    <comment ref="D46" authorId="0" shapeId="0" xr:uid="{00000000-0006-0000-1E00-00002D000000}">
      <text>
        <r>
          <rPr>
            <sz val="11"/>
            <color rgb="FF000000"/>
            <rFont val="Arial"/>
            <family val="2"/>
            <scheme val="minor"/>
          </rPr>
          <t>======
ID#AAAAsv7I9Po
Ansari Yasmeen    (2021-09-19 08:42:25)
from April 2021
6k to 12k from july 2021</t>
        </r>
      </text>
    </comment>
    <comment ref="E46" authorId="0" shapeId="0" xr:uid="{00000000-0006-0000-1E00-00002E000000}">
      <text>
        <r>
          <rPr>
            <sz val="11"/>
            <color rgb="FF000000"/>
            <rFont val="Arial"/>
            <family val="2"/>
            <scheme val="minor"/>
          </rPr>
          <t>======
ID#AAAAsv7I9GA
User    (2021-09-03 07:02:00)
July 2021</t>
        </r>
      </text>
    </comment>
    <comment ref="D47" authorId="0" shapeId="0" xr:uid="{00000000-0006-0000-1E00-00002F000000}">
      <text>
        <r>
          <rPr>
            <sz val="11"/>
            <color rgb="FF000000"/>
            <rFont val="Arial"/>
            <family val="2"/>
            <scheme val="minor"/>
          </rPr>
          <t>======
ID#AAAAsv7I9EM
user    (2021-02-18 13:46:24)
6k to 10k from march
10k to 14k from Jan 2021</t>
        </r>
      </text>
    </comment>
    <comment ref="E47" authorId="0" shapeId="0" xr:uid="{00000000-0006-0000-1E00-000030000000}">
      <text>
        <r>
          <rPr>
            <sz val="11"/>
            <color rgb="FF000000"/>
            <rFont val="Arial"/>
            <family val="2"/>
            <scheme val="minor"/>
          </rPr>
          <t>======
ID#AAAAsv7I8_E
user    (2020-10-16 13:34:01)
From March</t>
        </r>
      </text>
    </comment>
    <comment ref="E48" authorId="0" shapeId="0" xr:uid="{00000000-0006-0000-1E00-000031000000}">
      <text>
        <r>
          <rPr>
            <sz val="11"/>
            <color rgb="FF000000"/>
            <rFont val="Arial"/>
            <family val="2"/>
            <scheme val="minor"/>
          </rPr>
          <t>======
ID#AAAAsv7I89g
Ansari Yasmeen    (2022-04-20 04:46:25)
Bonus start April 2022</t>
        </r>
      </text>
    </comment>
    <comment ref="E49" authorId="0" shapeId="0" xr:uid="{00000000-0006-0000-1E00-000032000000}">
      <text>
        <r>
          <rPr>
            <sz val="11"/>
            <color rgb="FF000000"/>
            <rFont val="Arial"/>
            <family val="2"/>
            <scheme val="minor"/>
          </rPr>
          <t>======
ID#AAAAsv7I87M
Ansari Yasmeen    (2020-12-26 11:02:50)
5k to 10k from Nov 2020</t>
        </r>
      </text>
    </comment>
    <comment ref="H49" authorId="0" shapeId="0" xr:uid="{00000000-0006-0000-1E00-000033000000}">
      <text>
        <r>
          <rPr>
            <sz val="11"/>
            <color rgb="FF000000"/>
            <rFont val="Arial"/>
            <family val="2"/>
            <scheme val="minor"/>
          </rPr>
          <t>======
ID#AAAAsv7I9EY
Ansari Yasmeen    (2020-12-26 11:02:50)
5k to 10k from Nov 2020</t>
        </r>
      </text>
    </comment>
    <comment ref="I49" authorId="0" shapeId="0" xr:uid="{00000000-0006-0000-1E00-000034000000}">
      <text>
        <r>
          <rPr>
            <sz val="11"/>
            <color rgb="FF000000"/>
            <rFont val="Arial"/>
            <family val="2"/>
            <scheme val="minor"/>
          </rPr>
          <t>======
ID#AAAAsv7I9PE
Ansari Yasmeen    (2022-03-16 05:57:06)
Failed in Hayat test</t>
        </r>
      </text>
    </comment>
    <comment ref="L50" authorId="0" shapeId="0" xr:uid="{00000000-0006-0000-1E00-000035000000}">
      <text>
        <r>
          <rPr>
            <sz val="11"/>
            <color rgb="FF000000"/>
            <rFont val="Arial"/>
            <family val="2"/>
            <scheme val="minor"/>
          </rPr>
          <t>======
ID#AAABLLFlNjU
Admin    (2023-03-28 09:38:52)
1 year bonus will start from this month</t>
        </r>
      </text>
    </comment>
    <comment ref="D51" authorId="0" shapeId="0" xr:uid="{00000000-0006-0000-1E00-000036000000}">
      <text>
        <r>
          <rPr>
            <sz val="11"/>
            <color rgb="FF000000"/>
            <rFont val="Arial"/>
            <family val="2"/>
            <scheme val="minor"/>
          </rPr>
          <t>======
ID#AAAAsv7I9Ow
Ansari Yasmeen    (2021-10-11 13:26:14)
12k to 20k from Sep 2021</t>
        </r>
      </text>
    </comment>
    <comment ref="E51" authorId="0" shapeId="0" xr:uid="{00000000-0006-0000-1E00-000037000000}">
      <text>
        <r>
          <rPr>
            <sz val="11"/>
            <color rgb="FF000000"/>
            <rFont val="Arial"/>
            <family val="2"/>
            <scheme val="minor"/>
          </rPr>
          <t>======
ID#AAAAsv7I89k
Ansari Yasmeen    (2022-01-17 10:28:43)
4k to 5k from sep 2021</t>
        </r>
      </text>
    </comment>
    <comment ref="H51" authorId="0" shapeId="0" xr:uid="{00000000-0006-0000-1E00-000038000000}">
      <text>
        <r>
          <rPr>
            <sz val="11"/>
            <color rgb="FF000000"/>
            <rFont val="Arial"/>
            <family val="2"/>
            <scheme val="minor"/>
          </rPr>
          <t>======
ID#AAAAsv7I9Ok
Ansari Yasmeen    (2022-01-17 10:28:43)
4k to 5k from sep 2021</t>
        </r>
      </text>
    </comment>
    <comment ref="I52" authorId="0" shapeId="0" xr:uid="{00000000-0006-0000-1E00-000039000000}">
      <text>
        <r>
          <rPr>
            <sz val="11"/>
            <color rgb="FF000000"/>
            <rFont val="Arial"/>
            <family val="2"/>
            <scheme val="minor"/>
          </rPr>
          <t>======
ID#AAABLLFlNdQ
Admin    (2023-03-28 09:38:52)
1 year bonus will be start from this month</t>
        </r>
      </text>
    </comment>
    <comment ref="AD53" authorId="0" shapeId="0" xr:uid="{00000000-0006-0000-1E00-00003A000000}">
      <text>
        <r>
          <rPr>
            <sz val="11"/>
            <color rgb="FF000000"/>
            <rFont val="Arial"/>
            <family val="2"/>
            <scheme val="minor"/>
          </rPr>
          <t>======
ID#AAABLLFlNfw
Ansari Yasmeen    (2023-03-28 09:38:52)
loan amount deduct 3500</t>
        </r>
      </text>
    </comment>
    <comment ref="D54" authorId="0" shapeId="0" xr:uid="{00000000-0006-0000-1E00-00003B000000}">
      <text>
        <r>
          <rPr>
            <sz val="11"/>
            <color rgb="FF000000"/>
            <rFont val="Arial"/>
            <family val="2"/>
            <scheme val="minor"/>
          </rPr>
          <t>======
ID#AAABLLFlNd8
Iqra Technology    (2023-03-28 09:38:52)
27k +4k 
new cont start 13-09-2022 55k</t>
        </r>
      </text>
    </comment>
    <comment ref="P54" authorId="0" shapeId="0" xr:uid="{00000000-0006-0000-1E00-00003C000000}">
      <text>
        <r>
          <rPr>
            <sz val="11"/>
            <color rgb="FF000000"/>
            <rFont val="Arial"/>
            <family val="2"/>
            <scheme val="minor"/>
          </rPr>
          <t>======
ID#AAABLLFlNio
Iqra Technology    (2023-03-28 09:38:52)
start renew contract 
from 13 Sep 2022</t>
        </r>
      </text>
    </comment>
    <comment ref="Q55" authorId="0" shapeId="0" xr:uid="{00000000-0006-0000-1E00-00003D000000}">
      <text>
        <r>
          <rPr>
            <sz val="11"/>
            <color rgb="FF000000"/>
            <rFont val="Arial"/>
            <family val="2"/>
            <scheme val="minor"/>
          </rPr>
          <t>======
ID#AAABLLFlNfg
Iqra Technology    (2023-03-28 09:38:52)
Sir his contract was renewed on 26 september should we give him teaching bonus as there is no teaching bonus clause mention in his contract</t>
        </r>
      </text>
    </comment>
    <comment ref="D56" authorId="0" shapeId="0" xr:uid="{00000000-0006-0000-1E00-00003E000000}">
      <text>
        <r>
          <rPr>
            <sz val="11"/>
            <color rgb="FF000000"/>
            <rFont val="Arial"/>
            <family val="2"/>
            <scheme val="minor"/>
          </rPr>
          <t>======
ID#AAAAsv7I9Kg
Ansari Yasmeen    (2021-10-11 13:26:14)
14k to 25k from Oct 2021</t>
        </r>
      </text>
    </comment>
    <comment ref="E56" authorId="0" shapeId="0" xr:uid="{00000000-0006-0000-1E00-00003F000000}">
      <text>
        <r>
          <rPr>
            <sz val="11"/>
            <color rgb="FF000000"/>
            <rFont val="Arial"/>
            <family val="2"/>
            <scheme val="minor"/>
          </rPr>
          <t>======
ID#AAAAsv7I86M
Iqra Technology    (2021-09-03 07:02:00)
3-6-2021</t>
        </r>
      </text>
    </comment>
    <comment ref="I56" authorId="0" shapeId="0" xr:uid="{00000000-0006-0000-1E00-000040000000}">
      <text>
        <r>
          <rPr>
            <sz val="11"/>
            <color rgb="FF000000"/>
            <rFont val="Arial"/>
            <family val="2"/>
            <scheme val="minor"/>
          </rPr>
          <t>======
ID#AAAAsv7I874
Iqra Technology    (2021-09-03 07:02:00)
3-6-2021</t>
        </r>
      </text>
    </comment>
    <comment ref="Q56" authorId="0" shapeId="0" xr:uid="{00000000-0006-0000-1E00-000041000000}">
      <text>
        <r>
          <rPr>
            <sz val="11"/>
            <color rgb="FF000000"/>
            <rFont val="Arial"/>
            <family val="2"/>
            <scheme val="minor"/>
          </rPr>
          <t>======
ID#AAABLLFlNgw
Iqra Technology    (2023-03-28 09:38:52)
Renewal contract start from 4th oct so 10 day will be count on 5k</t>
        </r>
      </text>
    </comment>
    <comment ref="E57" authorId="0" shapeId="0" xr:uid="{00000000-0006-0000-1E00-000042000000}">
      <text>
        <r>
          <rPr>
            <sz val="11"/>
            <color rgb="FF000000"/>
            <rFont val="Arial"/>
            <family val="2"/>
            <scheme val="minor"/>
          </rPr>
          <t>======
ID#AAAAsv7I9Ac
Ansari Yasmeen    (2022-01-11 13:04:42)
Strt feom dec2021</t>
        </r>
      </text>
    </comment>
    <comment ref="I57" authorId="0" shapeId="0" xr:uid="{00000000-0006-0000-1E00-000043000000}">
      <text>
        <r>
          <rPr>
            <sz val="11"/>
            <color rgb="FF000000"/>
            <rFont val="Arial"/>
            <family val="2"/>
            <scheme val="minor"/>
          </rPr>
          <t>======
ID#AAAAsv7I9CM
Ansari Yasmeen    (2022-01-11 13:04:42)
Strt feom dec2021</t>
        </r>
      </text>
    </comment>
    <comment ref="D60" authorId="0" shapeId="0" xr:uid="{00000000-0006-0000-1E00-000044000000}">
      <text>
        <r>
          <rPr>
            <sz val="11"/>
            <color rgb="FF000000"/>
            <rFont val="Arial"/>
            <family val="2"/>
            <scheme val="minor"/>
          </rPr>
          <t>======
ID#AAAAsv7I850
Ansari Yasmeen    (2020-10-16 13:34:01)
Jan 2020</t>
        </r>
      </text>
    </comment>
    <comment ref="E60" authorId="0" shapeId="0" xr:uid="{00000000-0006-0000-1E00-000045000000}">
      <text>
        <r>
          <rPr>
            <sz val="11"/>
            <color rgb="FF000000"/>
            <rFont val="Arial"/>
            <family val="2"/>
            <scheme val="minor"/>
          </rPr>
          <t>======
ID#AAAAsv7I9Do
Ansari Yasmeen    (2021-02-18 13:46:24)
Start from Jan 2021</t>
        </r>
      </text>
    </comment>
    <comment ref="H60" authorId="0" shapeId="0" xr:uid="{00000000-0006-0000-1E00-000046000000}">
      <text>
        <r>
          <rPr>
            <sz val="11"/>
            <color rgb="FF000000"/>
            <rFont val="Arial"/>
            <family val="2"/>
            <scheme val="minor"/>
          </rPr>
          <t>======
ID#AAAAsv7I9IE
Ansari Yasmeen    (2021-02-18 13:46:24)
Start from Jan 2021</t>
        </r>
      </text>
    </comment>
    <comment ref="O62" authorId="0" shapeId="0" xr:uid="{00000000-0006-0000-1E00-000047000000}">
      <text>
        <r>
          <rPr>
            <sz val="11"/>
            <color rgb="FF000000"/>
            <rFont val="Arial"/>
            <family val="2"/>
            <scheme val="minor"/>
          </rPr>
          <t>======
ID#AAABLLFlNjo
Faaiza Shaikh    (2023-03-28 09:38:52)
Contract starts from 13 Sep 2022
( Bonus starts after 3 Months from contract date i.e. from December)</t>
        </r>
      </text>
    </comment>
    <comment ref="D64" authorId="0" shapeId="0" xr:uid="{00000000-0006-0000-1E00-000048000000}">
      <text>
        <r>
          <rPr>
            <sz val="11"/>
            <color rgb="FF000000"/>
            <rFont val="Arial"/>
            <family val="2"/>
            <scheme val="minor"/>
          </rPr>
          <t>======
ID#AAAAsv7I9Jo
Ansari Yasmeen    (2021-02-18 13:46:24)
6k to 12k start from Jan 2021</t>
        </r>
      </text>
    </comment>
    <comment ref="D65" authorId="0" shapeId="0" xr:uid="{00000000-0006-0000-1E00-000049000000}">
      <text>
        <r>
          <rPr>
            <sz val="11"/>
            <color rgb="FF000000"/>
            <rFont val="Arial"/>
            <family val="2"/>
            <scheme val="minor"/>
          </rPr>
          <t>======
ID#AAAAsv7I86s
Ansari Yasmeen    (2020-10-16 13:34:01)
1 March2020  15k+10k</t>
        </r>
      </text>
    </comment>
    <comment ref="E65" authorId="0" shapeId="0" xr:uid="{00000000-0006-0000-1E00-00004A000000}">
      <text>
        <r>
          <rPr>
            <sz val="11"/>
            <color rgb="FF000000"/>
            <rFont val="Arial"/>
            <family val="2"/>
            <scheme val="minor"/>
          </rPr>
          <t>======
ID#AAAAsv7I88Y
user    (2020-12-26 11:02:50)
from March
5k to 10k from Nov 2020</t>
        </r>
      </text>
    </comment>
    <comment ref="E66" authorId="0" shapeId="0" xr:uid="{00000000-0006-0000-1E00-00004B000000}">
      <text>
        <r>
          <rPr>
            <sz val="11"/>
            <color rgb="FF000000"/>
            <rFont val="Arial"/>
            <family val="2"/>
            <scheme val="minor"/>
          </rPr>
          <t>======
ID#AAAAsv7I86Q
Ansari Yasmeen    (2022-09-06 11:51:15)
6k start from sep 2022
Monthly Bonus
(After 2 months bonus deposited with us)</t>
        </r>
      </text>
    </comment>
    <comment ref="T66" authorId="0" shapeId="0" xr:uid="{00000000-0006-0000-1E00-00004C000000}">
      <text>
        <r>
          <rPr>
            <sz val="11"/>
            <color rgb="FF000000"/>
            <rFont val="Arial"/>
            <family val="2"/>
            <scheme val="minor"/>
          </rPr>
          <t>======
ID#AAABLLFlNiE
Faaiza Shaikh    (2023-03-28 09:38:52)
2 Month's Salary is deposited with us and will be paid after completion of one year</t>
        </r>
      </text>
    </comment>
    <comment ref="E67" authorId="0" shapeId="0" xr:uid="{00000000-0006-0000-1E00-00004D000000}">
      <text>
        <r>
          <rPr>
            <sz val="11"/>
            <color rgb="FF000000"/>
            <rFont val="Arial"/>
            <family val="2"/>
            <scheme val="minor"/>
          </rPr>
          <t>======
ID#AAAAsv7I9Iw
IqraTechnology    (2022-10-01 08:41:15)
Monthly Bonus</t>
        </r>
      </text>
    </comment>
    <comment ref="E68" authorId="0" shapeId="0" xr:uid="{00000000-0006-0000-1E00-00004E000000}">
      <text>
        <r>
          <rPr>
            <sz val="11"/>
            <color rgb="FF000000"/>
            <rFont val="Arial"/>
            <family val="2"/>
            <scheme val="minor"/>
          </rPr>
          <t>======
ID#AAAAsv7I8-I
IqraTechnology    (2022-10-02 07:16:58)
Monthly bonus 
(After 2 months bonus deposited with us)</t>
        </r>
      </text>
    </comment>
    <comment ref="E69" authorId="0" shapeId="0" xr:uid="{00000000-0006-0000-1E00-00004F000000}">
      <text>
        <r>
          <rPr>
            <sz val="11"/>
            <color rgb="FF000000"/>
            <rFont val="Arial"/>
            <family val="2"/>
            <scheme val="minor"/>
          </rPr>
          <t>======
ID#AAAAsv7I9Pc
Faaiza Shaikh    (2022-10-02 07:16:58)
Monthly Bonus
 (After depositing hold bonus amount)</t>
        </r>
      </text>
    </comment>
    <comment ref="E70" authorId="0" shapeId="0" xr:uid="{00000000-0006-0000-1E00-000050000000}">
      <text>
        <r>
          <rPr>
            <sz val="11"/>
            <color rgb="FF000000"/>
            <rFont val="Arial"/>
            <family val="2"/>
            <scheme val="minor"/>
          </rPr>
          <t>======
ID#AAAAsv7I864
Faaiza Shaikh    (2022-10-02 06:56:55)
10k Bonus starts from 23 May 2022
Bonus will be paid after completion of 1 Year</t>
        </r>
      </text>
    </comment>
    <comment ref="E72" authorId="0" shapeId="0" xr:uid="{00000000-0006-0000-1E00-000051000000}">
      <text>
        <r>
          <rPr>
            <sz val="11"/>
            <color rgb="FF000000"/>
            <rFont val="Arial"/>
            <family val="2"/>
            <scheme val="minor"/>
          </rPr>
          <t>======
ID#AAAAsv7I9GE
IqraTechnology    (2022-10-01 12:27:00)
Bonus will be given after 1 year.</t>
        </r>
      </text>
    </comment>
    <comment ref="E73" authorId="0" shapeId="0" xr:uid="{00000000-0006-0000-1E00-000052000000}">
      <text>
        <r>
          <rPr>
            <sz val="11"/>
            <color rgb="FF000000"/>
            <rFont val="Arial"/>
            <family val="2"/>
            <scheme val="minor"/>
          </rPr>
          <t>======
ID#AAABLLFlNjc
iqra Tech    (2023-03-28 09:38:52)
6k Bonus starts from March month 
(For 6 months only)</t>
        </r>
      </text>
    </comment>
    <comment ref="I73" authorId="0" shapeId="0" xr:uid="{00000000-0006-0000-1E00-000053000000}">
      <text>
        <r>
          <rPr>
            <sz val="11"/>
            <color rgb="FF000000"/>
            <rFont val="Arial"/>
            <family val="2"/>
            <scheme val="minor"/>
          </rPr>
          <t>======
ID#AAABLLFlNec
iqra Tech    (2023-03-28 09:38:52)
6k Bonus starts from this month 
(For 6 months only)</t>
        </r>
      </text>
    </comment>
    <comment ref="D74" authorId="0" shapeId="0" xr:uid="{00000000-0006-0000-1E00-000054000000}">
      <text>
        <r>
          <rPr>
            <sz val="11"/>
            <color rgb="FF000000"/>
            <rFont val="Arial"/>
            <family val="2"/>
            <scheme val="minor"/>
          </rPr>
          <t>======
ID#AAAAsv7I9JY
Iqra Technology    (2021-09-03 07:02:00)
1 Sep 2021</t>
        </r>
      </text>
    </comment>
    <comment ref="E74" authorId="0" shapeId="0" xr:uid="{00000000-0006-0000-1E00-000055000000}">
      <text>
        <r>
          <rPr>
            <sz val="11"/>
            <color rgb="FF000000"/>
            <rFont val="Arial"/>
            <family val="2"/>
            <scheme val="minor"/>
          </rPr>
          <t>======
ID#AAAAsv7I85E
IqraTechnology    (2022-10-01 12:27:00)
Bonus will be paid after one year completion.</t>
        </r>
      </text>
    </comment>
    <comment ref="D75" authorId="0" shapeId="0" xr:uid="{00000000-0006-0000-1E00-000056000000}">
      <text>
        <r>
          <rPr>
            <sz val="11"/>
            <color rgb="FF000000"/>
            <rFont val="Arial"/>
            <family val="2"/>
            <scheme val="minor"/>
          </rPr>
          <t>======
ID#AAAAsv7I9Ls
User    (2021-09-03 07:02:00)
6k to 12k from july 2021
12k to 14k from Oct 2021</t>
        </r>
      </text>
    </comment>
    <comment ref="E75" authorId="0" shapeId="0" xr:uid="{00000000-0006-0000-1E00-000057000000}">
      <text>
        <r>
          <rPr>
            <sz val="11"/>
            <color rgb="FF000000"/>
            <rFont val="Arial"/>
            <family val="2"/>
            <scheme val="minor"/>
          </rPr>
          <t>======
ID#AAAAsv7I85w
User    (2021-09-03 07:02:00)
july 202111111
Bonus will be paid after one year completion.</t>
        </r>
      </text>
    </comment>
    <comment ref="E76" authorId="0" shapeId="0" xr:uid="{00000000-0006-0000-1E00-000058000000}">
      <text>
        <r>
          <rPr>
            <sz val="11"/>
            <color rgb="FF000000"/>
            <rFont val="Arial"/>
            <family val="2"/>
            <scheme val="minor"/>
          </rPr>
          <t>======
ID#AAAAsv7I9MQ
Ansari Yasmeen    (2022-09-03 12:04:06)
6k strat from 1 sep 2022
Bonus will given after 1 year completion of contract.</t>
        </r>
      </text>
    </comment>
    <comment ref="I76" authorId="0" shapeId="0" xr:uid="{00000000-0006-0000-1E00-000059000000}">
      <text>
        <r>
          <rPr>
            <sz val="11"/>
            <color rgb="FF000000"/>
            <rFont val="Arial"/>
            <family val="2"/>
            <scheme val="minor"/>
          </rPr>
          <t>======
ID#AAABLLFlNf0
IqraTechnology    (2023-03-28 09:38:52)
Bonus deduced for January month loan recovery</t>
        </r>
      </text>
    </comment>
    <comment ref="J76" authorId="0" shapeId="0" xr:uid="{00000000-0006-0000-1E00-00005A000000}">
      <text>
        <r>
          <rPr>
            <sz val="11"/>
            <color rgb="FF000000"/>
            <rFont val="Arial"/>
            <family val="2"/>
            <scheme val="minor"/>
          </rPr>
          <t>======
ID#AAABLLFlNeM
IqraTechnology    (2023-04-12 11:11:12)
Bonus deduced for loan recovery</t>
        </r>
      </text>
    </comment>
    <comment ref="K76" authorId="0" shapeId="0" xr:uid="{00000000-0006-0000-1E00-00005B000000}">
      <text>
        <r>
          <rPr>
            <sz val="11"/>
            <color rgb="FF000000"/>
            <rFont val="Arial"/>
            <family val="2"/>
            <scheme val="minor"/>
          </rPr>
          <t>======
ID#AAABLLFlNiY
IqraTechnology    (2023-04-12 11:11:12)
Bonus deduced for loan recovery for march month</t>
        </r>
      </text>
    </comment>
    <comment ref="E78" authorId="0" shapeId="0" xr:uid="{00000000-0006-0000-1E00-00005C000000}">
      <text>
        <r>
          <rPr>
            <sz val="11"/>
            <color rgb="FF000000"/>
            <rFont val="Arial"/>
            <family val="2"/>
            <scheme val="minor"/>
          </rPr>
          <t>======
ID#AAABLLFlNgU
Shunaiza Shaikh    (2023-06-15 13:01:57)
50% of bonus will be paid after 1 Yr and balance 50% after 1.5 yrs</t>
        </r>
      </text>
    </comment>
    <comment ref="E80" authorId="0" shapeId="0" xr:uid="{00000000-0006-0000-1E00-00005D000000}">
      <text>
        <r>
          <rPr>
            <sz val="11"/>
            <color rgb="FF000000"/>
            <rFont val="Arial"/>
            <family val="2"/>
            <scheme val="minor"/>
          </rPr>
          <t>======
ID#AAAAsv7I9DA
Ansari Yasmeen    (2022-09-03 12:04:06)
6k strat from 1 sep 2022
Bonus will be given after 1 year completion of bonus.</t>
        </r>
      </text>
    </comment>
    <comment ref="E81" authorId="0" shapeId="0" xr:uid="{00000000-0006-0000-1E00-00005E000000}">
      <text>
        <r>
          <rPr>
            <sz val="11"/>
            <color rgb="FF000000"/>
            <rFont val="Arial"/>
            <family val="2"/>
            <scheme val="minor"/>
          </rPr>
          <t>======
ID#AAABLLFlNe8
Shunaiza Shaikh    (2023-06-15 12:02:00)
50% of bonus will be paid after 1 Yr and balance 50% after 1.5 yrs</t>
        </r>
      </text>
    </comment>
    <comment ref="N81" authorId="0" shapeId="0" xr:uid="{00000000-0006-0000-1E00-00005F000000}">
      <text>
        <r>
          <rPr>
            <sz val="11"/>
            <color rgb="FF000000"/>
            <rFont val="Arial"/>
            <family val="2"/>
            <scheme val="minor"/>
          </rPr>
          <t>======
ID#AAABLLFlNhQ
Faaiza Shaikh    (2023-07-17 08:11:19)
10k Bonus started from this month</t>
        </r>
      </text>
    </comment>
    <comment ref="E82" authorId="0" shapeId="0" xr:uid="{00000000-0006-0000-1E00-000060000000}">
      <text>
        <r>
          <rPr>
            <sz val="11"/>
            <color rgb="FF000000"/>
            <rFont val="Arial"/>
            <family val="2"/>
            <scheme val="minor"/>
          </rPr>
          <t>======
ID#AAABLLFlNgc
Shunaiza Shaikh    (2023-06-15 13:01:57)
50% of bonus will be paid after 1 Yr and balance 50% after 1.5 yrs</t>
        </r>
      </text>
    </comment>
    <comment ref="N82" authorId="0" shapeId="0" xr:uid="{00000000-0006-0000-1E00-000061000000}">
      <text>
        <r>
          <rPr>
            <sz val="11"/>
            <color rgb="FF000000"/>
            <rFont val="Arial"/>
            <family val="2"/>
            <scheme val="minor"/>
          </rPr>
          <t>======
ID#AAABLLFlNek
Faaiza Shaikh    (2023-07-17 08:11:19)
10k Bonus started from this month</t>
        </r>
      </text>
    </comment>
    <comment ref="E83" authorId="0" shapeId="0" xr:uid="{00000000-0006-0000-1E00-000062000000}">
      <text>
        <r>
          <rPr>
            <sz val="11"/>
            <color rgb="FF000000"/>
            <rFont val="Arial"/>
            <family val="2"/>
            <scheme val="minor"/>
          </rPr>
          <t>======
ID#AAAA9v8wUSE
IqraTechnology    (2022-10-01 08:41:15)
Bonus will be paid after 1 year completion</t>
        </r>
      </text>
    </comment>
    <comment ref="E85" authorId="0" shapeId="0" xr:uid="{00000000-0006-0000-1E00-000063000000}">
      <text>
        <r>
          <rPr>
            <sz val="11"/>
            <color rgb="FF000000"/>
            <rFont val="Arial"/>
            <family val="2"/>
            <scheme val="minor"/>
          </rPr>
          <t>======
ID#AAABDVS7Eg8
IqraTechnology    (2022-10-01 12:27:00)
Bonus will be given after 1 year completion of contract.</t>
        </r>
      </text>
    </comment>
    <comment ref="E86" authorId="0" shapeId="0" xr:uid="{00000000-0006-0000-1E00-000064000000}">
      <text>
        <r>
          <rPr>
            <sz val="11"/>
            <color rgb="FF000000"/>
            <rFont val="Arial"/>
            <family val="2"/>
            <scheme val="minor"/>
          </rPr>
          <t>======
ID#AAAA7c7uBg8
Faaiza Shaikh    (2022-10-03 07:36:15)
Bonus will be paid after completion of One Year</t>
        </r>
      </text>
    </comment>
    <comment ref="E87" authorId="0" shapeId="0" xr:uid="{00000000-0006-0000-1E00-000065000000}">
      <text>
        <r>
          <rPr>
            <sz val="11"/>
            <color rgb="FF000000"/>
            <rFont val="Arial"/>
            <family val="2"/>
            <scheme val="minor"/>
          </rPr>
          <t>======
ID#AAAA7c7uBgg
IqraTechnology    (2022-10-02 07:16:58)
Bonus will start after 3 month stipend (from August 2022)
Bonus will be given after 1.5 year completion of contract.</t>
        </r>
      </text>
    </comment>
    <comment ref="E88" authorId="0" shapeId="0" xr:uid="{00000000-0006-0000-1E00-000066000000}">
      <text>
        <r>
          <rPr>
            <sz val="11"/>
            <color rgb="FF000000"/>
            <rFont val="Arial"/>
            <family val="2"/>
            <scheme val="minor"/>
          </rPr>
          <t>======
ID#AAAA7c7uBg4
Faaiza Shaikh    (2022-10-02 06:56:55)
10k Bonus starts from 16 Sep 2022
Bonus will be paid after completion of 1 Year</t>
        </r>
      </text>
    </comment>
    <comment ref="E89" authorId="0" shapeId="0" xr:uid="{00000000-0006-0000-1E00-000067000000}">
      <text>
        <r>
          <rPr>
            <sz val="11"/>
            <color rgb="FF000000"/>
            <rFont val="Arial"/>
            <family val="2"/>
            <scheme val="minor"/>
          </rPr>
          <t>======
ID#AAABBDai-F8
IqraTechnology    (2022-10-01 12:27:00)
Bonus will be given after 1 year completion of contract.</t>
        </r>
      </text>
    </comment>
    <comment ref="E90" authorId="0" shapeId="0" xr:uid="{00000000-0006-0000-1E00-000068000000}">
      <text>
        <r>
          <rPr>
            <sz val="11"/>
            <color rgb="FF000000"/>
            <rFont val="Arial"/>
            <family val="2"/>
            <scheme val="minor"/>
          </rPr>
          <t>======
ID#AAAA7c7uBgk
User    (2021-09-19 08:42:25)
July 2021
Monthly Bonus 
(After 2 months salary deposited with us)</t>
        </r>
      </text>
    </comment>
    <comment ref="D91" authorId="0" shapeId="0" xr:uid="{00000000-0006-0000-1E00-000069000000}">
      <text>
        <r>
          <rPr>
            <sz val="11"/>
            <color rgb="FF000000"/>
            <rFont val="Arial"/>
            <family val="2"/>
            <scheme val="minor"/>
          </rPr>
          <t>======
ID#AAAAsv7I9Ec
Ansari Yasmeen    (2020-10-16 13:34:01)
21k to 25k from sep 2020
25k to 30k from May 2021
30k to 52k from Sep 2021
50k salary from 20 sep 2022</t>
        </r>
      </text>
    </comment>
    <comment ref="E91" authorId="0" shapeId="0" xr:uid="{00000000-0006-0000-1E00-00006A000000}">
      <text>
        <r>
          <rPr>
            <sz val="11"/>
            <color rgb="FF000000"/>
            <rFont val="Arial"/>
            <family val="2"/>
            <scheme val="minor"/>
          </rPr>
          <t>======
ID#AAAAsv7I9HE
Ansari Yasmeen    (2020-10-16 13:34:01)
5k to 10k from sep2020
10k to 5k from sep 
Bonus will be given after completion of 1 year contract.</t>
        </r>
      </text>
    </comment>
    <comment ref="E93" authorId="0" shapeId="0" xr:uid="{00000000-0006-0000-1E00-00006B000000}">
      <text>
        <r>
          <rPr>
            <sz val="11"/>
            <color rgb="FF000000"/>
            <rFont val="Arial"/>
            <family val="2"/>
            <scheme val="minor"/>
          </rPr>
          <t>======
ID#AAAAsv7I88U
IqraTechnology    (2022-10-01 12:27:00)
Bonus will be given after 1 year completion of contract.</t>
        </r>
      </text>
    </comment>
    <comment ref="O93" authorId="0" shapeId="0" xr:uid="{00000000-0006-0000-1E00-00006C000000}">
      <text>
        <r>
          <rPr>
            <sz val="11"/>
            <color rgb="FF000000"/>
            <rFont val="Arial"/>
            <family val="2"/>
            <scheme val="minor"/>
          </rPr>
          <t>======
ID#AAABAr5T-Vc
IQRA TECHNOLOGY    (2023-07-29 06:46:25)
IQRA TECHNOLOGY paid hold bonus till this month</t>
        </r>
      </text>
    </comment>
    <comment ref="D94" authorId="0" shapeId="0" xr:uid="{00000000-0006-0000-1E00-00006D000000}">
      <text>
        <r>
          <rPr>
            <sz val="11"/>
            <color rgb="FF000000"/>
            <rFont val="Arial"/>
            <family val="2"/>
            <scheme val="minor"/>
          </rPr>
          <t>======
ID#AAAA9v-EMps
Ansari Yasmeen    (2021-11-12 08:16:47)
Start from Nov 2021</t>
        </r>
      </text>
    </comment>
    <comment ref="D95" authorId="0" shapeId="0" xr:uid="{00000000-0006-0000-1E00-00006E000000}">
      <text>
        <r>
          <rPr>
            <sz val="11"/>
            <color rgb="FF000000"/>
            <rFont val="Arial"/>
            <family val="2"/>
            <scheme val="minor"/>
          </rPr>
          <t>======
ID#AAAA9v8wUSg
Faaiza Shaikh    (2022-09-12 10:36:44)
20,000 to 40,000
Starts from 13 Sep 2022</t>
        </r>
      </text>
    </comment>
    <comment ref="E95" authorId="0" shapeId="0" xr:uid="{00000000-0006-0000-1E00-00006F000000}">
      <text>
        <r>
          <rPr>
            <sz val="11"/>
            <color rgb="FF000000"/>
            <rFont val="Arial"/>
            <family val="2"/>
            <scheme val="minor"/>
          </rPr>
          <t>======
ID#AAAAsv7I9FQ
Faaiza Shaikh    (2022-09-12 10:36:44)
5,000 to 10,000
Starts from 13 Sep 2022
(Monthly)
Monthly bonus 
(After 2 months bonus deposited with us)</t>
        </r>
      </text>
    </comment>
    <comment ref="E96" authorId="0" shapeId="0" xr:uid="{00000000-0006-0000-1E00-000070000000}">
      <text>
        <r>
          <rPr>
            <sz val="11"/>
            <color rgb="FF000000"/>
            <rFont val="Arial"/>
            <family val="2"/>
            <scheme val="minor"/>
          </rPr>
          <t>======
ID#AAAA9qZgzAg
IqraTechnology    (2022-10-01 08:41:15)
Bonus will be paid after 1 year completion</t>
        </r>
      </text>
    </comment>
    <comment ref="I96" authorId="0" shapeId="0" xr:uid="{00000000-0006-0000-1E00-000071000000}">
      <text>
        <r>
          <rPr>
            <sz val="11"/>
            <color rgb="FF000000"/>
            <rFont val="Arial"/>
            <family val="2"/>
            <scheme val="minor"/>
          </rPr>
          <t>======
ID#AAABEi6bqXI
Faaiza Shaikh    (2024-01-18 13:17:33)
Bonus paid only for Old Contract working days
New Contract has NO BONUS Clause</t>
        </r>
      </text>
    </comment>
    <comment ref="D98" authorId="0" shapeId="0" xr:uid="{00000000-0006-0000-1E00-000072000000}">
      <text>
        <r>
          <rPr>
            <sz val="11"/>
            <color rgb="FF000000"/>
            <rFont val="Arial"/>
            <family val="2"/>
            <scheme val="minor"/>
          </rPr>
          <t>======
ID#AAAAsv7I9Jg
User    (2021-09-03 07:02:00)
Start from April 2021</t>
        </r>
      </text>
    </comment>
    <comment ref="E98" authorId="0" shapeId="0" xr:uid="{00000000-0006-0000-1E00-000073000000}">
      <text>
        <r>
          <rPr>
            <sz val="11"/>
            <color rgb="FF000000"/>
            <rFont val="Arial"/>
            <family val="2"/>
            <scheme val="minor"/>
          </rPr>
          <t>======
ID#AAAAsv7I8-c
Ansari Yasmeen    (2022-01-23 07:59:00)
jan 2022
Monthly Bonus</t>
        </r>
      </text>
    </comment>
    <comment ref="E99" authorId="0" shapeId="0" xr:uid="{00000000-0006-0000-1E00-000074000000}">
      <text>
        <r>
          <rPr>
            <sz val="11"/>
            <color rgb="FF000000"/>
            <rFont val="Arial"/>
            <family val="2"/>
            <scheme val="minor"/>
          </rPr>
          <t>======
ID#AAAA9v8wURo
Ansari Yasmeen    (2022-01-23 08:08:46)
Jan 2022
Bonus will be given after completion of 1 year contract.</t>
        </r>
      </text>
    </comment>
    <comment ref="E100" authorId="0" shapeId="0" xr:uid="{00000000-0006-0000-1E00-000075000000}">
      <text>
        <r>
          <rPr>
            <sz val="11"/>
            <color rgb="FF000000"/>
            <rFont val="Arial"/>
            <family val="2"/>
            <scheme val="minor"/>
          </rPr>
          <t>======
ID#AAAA9v8p7Ss
Faaiza Shaikh    (2022-11-16 13:25:40)
10k Bonus Starts from 16 Nov 2022
Bonus will be paid after completion of one Year</t>
        </r>
      </text>
    </comment>
    <comment ref="C102" authorId="0" shapeId="0" xr:uid="{00000000-0006-0000-1E00-000076000000}">
      <text>
        <r>
          <rPr>
            <sz val="11"/>
            <color rgb="FF000000"/>
            <rFont val="Arial"/>
            <family val="2"/>
            <scheme val="minor"/>
          </rPr>
          <t>======
ID#AAAAsv7I9Cs
Author    (2021-09-13 13:34:11)
6k to 12k From Sep 2020
30k May 2021
Renewal contract on  jul 2022</t>
        </r>
      </text>
    </comment>
    <comment ref="D102" authorId="0" shapeId="0" xr:uid="{00000000-0006-0000-1E00-000077000000}">
      <text>
        <r>
          <rPr>
            <sz val="11"/>
            <color rgb="FF000000"/>
            <rFont val="Arial"/>
            <family val="2"/>
            <scheme val="minor"/>
          </rPr>
          <t>======
ID#AAAAsv7I9Ic
Author    (2021-09-13 13:34:11)
From Sep 2020
Renewal contract on jul 2022</t>
        </r>
      </text>
    </comment>
    <comment ref="E102" authorId="0" shapeId="0" xr:uid="{00000000-0006-0000-1E00-000078000000}">
      <text>
        <r>
          <rPr>
            <sz val="11"/>
            <color rgb="FF000000"/>
            <rFont val="Arial"/>
            <family val="2"/>
            <scheme val="minor"/>
          </rPr>
          <t>======
ID#AAAAsv7I858
Ansari Yasmeen    (2022-02-03 12:59:00)
9k to 18k feb 2022
Renewal contract jul 2022</t>
        </r>
      </text>
    </comment>
    <comment ref="C104" authorId="0" shapeId="0" xr:uid="{00000000-0006-0000-1E00-000079000000}">
      <text>
        <r>
          <rPr>
            <sz val="11"/>
            <color rgb="FF000000"/>
            <rFont val="Arial"/>
            <family val="2"/>
            <scheme val="minor"/>
          </rPr>
          <t>======
ID#AAAAx7fxtuU
Ansari Yasmeen    (2021-10-11 13:06:12)
14k to 25k from Oct 2021
25k to 40k after renewal ( 4 oct 2022 )</t>
        </r>
      </text>
    </comment>
    <comment ref="D104" authorId="0" shapeId="0" xr:uid="{00000000-0006-0000-1E00-00007A000000}">
      <text>
        <r>
          <rPr>
            <sz val="11"/>
            <color rgb="FF000000"/>
            <rFont val="Arial"/>
            <family val="2"/>
            <scheme val="minor"/>
          </rPr>
          <t>======
ID#AAAAsv7I8-E
Iqra Technology    (2021-09-03 07:02:00)
3-6-2021</t>
        </r>
      </text>
    </comment>
    <comment ref="S104" authorId="0" shapeId="0" xr:uid="{00000000-0006-0000-1E00-00007B000000}">
      <text>
        <r>
          <rPr>
            <sz val="11"/>
            <color rgb="FF000000"/>
            <rFont val="Arial"/>
            <family val="2"/>
            <scheme val="minor"/>
          </rPr>
          <t>======
ID#AAABAr5T-VY
Faaiza Shaikh    (2023-08-21 08:07:58)
May and June month bonus for Tawazon project + 15,000 for HCS Project</t>
        </r>
      </text>
    </comment>
    <comment ref="E105" authorId="0" shapeId="0" xr:uid="{00000000-0006-0000-1E00-00007C000000}">
      <text>
        <r>
          <rPr>
            <sz val="11"/>
            <color rgb="FF000000"/>
            <rFont val="Arial"/>
            <family val="2"/>
            <scheme val="minor"/>
          </rPr>
          <t>======
ID#AAABIPoLzK0
iqra Tech    (2023-03-28 09:38:52)
6k Bonus starts from March month 2023</t>
        </r>
      </text>
    </comment>
    <comment ref="J105" authorId="0" shapeId="0" xr:uid="{00000000-0006-0000-1E00-00007D000000}">
      <text>
        <r>
          <rPr>
            <sz val="11"/>
            <color rgb="FF000000"/>
            <rFont val="Arial"/>
            <family val="2"/>
            <scheme val="minor"/>
          </rPr>
          <t>======
ID#AAAA9v8p7PQ
iqra Tech    (2023-03-28 09:38:52)
6k Bonus starts from March month 2023</t>
        </r>
      </text>
    </comment>
    <comment ref="E106" authorId="0" shapeId="0" xr:uid="{00000000-0006-0000-1E00-00007E000000}">
      <text>
        <r>
          <rPr>
            <sz val="11"/>
            <color rgb="FF000000"/>
            <rFont val="Arial"/>
            <family val="2"/>
            <scheme val="minor"/>
          </rPr>
          <t>======
ID#AAAA9v8p7SM
Ansari Yasmeen    (2022-01-23 08:08:46)
Jan 2022
Bonus will be paid after one year completion.</t>
        </r>
      </text>
    </comment>
    <comment ref="J106" authorId="0" shapeId="0" xr:uid="{00000000-0006-0000-1E00-00007F000000}">
      <text>
        <r>
          <rPr>
            <sz val="11"/>
            <color rgb="FF000000"/>
            <rFont val="Arial"/>
            <family val="2"/>
            <scheme val="minor"/>
          </rPr>
          <t>======
ID#AAABGITCG7A
Faaiza Shaikh    (2024-02-07 07:18:31)
He is not on Contract
Bonus will get hold from this month until he formally resign and serve his notice period.</t>
        </r>
      </text>
    </comment>
    <comment ref="E107" authorId="0" shapeId="0" xr:uid="{00000000-0006-0000-1E00-000080000000}">
      <text>
        <r>
          <rPr>
            <sz val="11"/>
            <color rgb="FF000000"/>
            <rFont val="Arial"/>
            <family val="2"/>
            <scheme val="minor"/>
          </rPr>
          <t>======
ID#AAAA9v8wURE
Faaiza Shaikh    (2024-01-04 11:48:55)
Bonus Started from 01 Jan 2024</t>
        </r>
      </text>
    </comment>
    <comment ref="I107" authorId="0" shapeId="0" xr:uid="{00000000-0006-0000-1E00-000081000000}">
      <text>
        <r>
          <rPr>
            <sz val="11"/>
            <color rgb="FF000000"/>
            <rFont val="Arial"/>
            <family val="2"/>
            <scheme val="minor"/>
          </rPr>
          <t>======
ID#AAABDVS7Egc
Faaiza Shaikh    (2024-01-20 07:52:28)
4k Bonus started from 1st Jan 2024</t>
        </r>
      </text>
    </comment>
    <comment ref="D108" authorId="0" shapeId="0" xr:uid="{00000000-0006-0000-1E00-000082000000}">
      <text>
        <r>
          <rPr>
            <sz val="11"/>
            <color rgb="FF000000"/>
            <rFont val="Arial"/>
            <family val="2"/>
            <scheme val="minor"/>
          </rPr>
          <t>======
ID#AAAA9v8p7QE
Iqra Technology    (2021-09-03 07:02:00)
Start from June 2021</t>
        </r>
      </text>
    </comment>
    <comment ref="E108" authorId="0" shapeId="0" xr:uid="{00000000-0006-0000-1E00-000083000000}">
      <text>
        <r>
          <rPr>
            <sz val="11"/>
            <color rgb="FF000000"/>
            <rFont val="Arial"/>
            <family val="2"/>
            <scheme val="minor"/>
          </rPr>
          <t>======
ID#AAAAsv7I9HM
IqraTechnology    (2022-10-03 11:39:01)
Bonus will be paid after 1 year completion of contract</t>
        </r>
      </text>
    </comment>
    <comment ref="J108" authorId="0" shapeId="0" xr:uid="{00000000-0006-0000-1E00-000084000000}">
      <text>
        <r>
          <rPr>
            <sz val="11"/>
            <color rgb="FF000000"/>
            <rFont val="Arial"/>
            <family val="2"/>
            <scheme val="minor"/>
          </rPr>
          <t>======
ID#AAABIPoLzLE
IqraTechnology    (2022-10-03 11:39:01)
Bonus will be paid after 1 year completion of contract</t>
        </r>
      </text>
    </comment>
    <comment ref="E109" authorId="0" shapeId="0" xr:uid="{00000000-0006-0000-1E00-000085000000}">
      <text>
        <r>
          <rPr>
            <sz val="11"/>
            <color rgb="FF000000"/>
            <rFont val="Arial"/>
            <family val="2"/>
            <scheme val="minor"/>
          </rPr>
          <t>======
ID#AAAAsv7I88g
IqraTechnology    (2022-10-03 12:39:05)
Bonus will start after 3 month stipend (from January 2023)
Bonus will be given after 1.5 year completion of contract.</t>
        </r>
      </text>
    </comment>
    <comment ref="D110" authorId="0" shapeId="0" xr:uid="{00000000-0006-0000-1E00-000086000000}">
      <text>
        <r>
          <rPr>
            <sz val="11"/>
            <color rgb="FF000000"/>
            <rFont val="Arial"/>
            <family val="2"/>
            <scheme val="minor"/>
          </rPr>
          <t>======
ID#AAAA9v8wURQ
Faaiza Shaikh    (2024-01-04 11:48:55)
10k to 15k increment has started from 19
 Oct 2023</t>
        </r>
      </text>
    </comment>
    <comment ref="E110" authorId="0" shapeId="0" xr:uid="{00000000-0006-0000-1E00-000087000000}">
      <text>
        <r>
          <rPr>
            <sz val="11"/>
            <color rgb="FF000000"/>
            <rFont val="Arial"/>
            <family val="2"/>
            <scheme val="minor"/>
          </rPr>
          <t>======
ID#AAAAsv7I9FI
Faaiza Shaikh    (2022-10-07 05:19:08)
Bonus will be paid after one year completion.</t>
        </r>
      </text>
    </comment>
    <comment ref="E112" authorId="0" shapeId="0" xr:uid="{00000000-0006-0000-1E00-000088000000}">
      <text>
        <r>
          <rPr>
            <sz val="11"/>
            <color rgb="FF000000"/>
            <rFont val="Arial"/>
            <family val="2"/>
            <scheme val="minor"/>
          </rPr>
          <t>======
ID#AAAAsv7I9Og
IqraTechnology    (2022-10-01 12:27:00)
Bonus will be given after 1 year completion of contract.</t>
        </r>
      </text>
    </comment>
    <comment ref="F112" authorId="0" shapeId="0" xr:uid="{00000000-0006-0000-1E00-000089000000}">
      <text>
        <r>
          <rPr>
            <sz val="11"/>
            <color rgb="FF000000"/>
            <rFont val="Arial"/>
            <family val="2"/>
            <scheme val="minor"/>
          </rPr>
          <t>======
ID#AAAA84XSG3M
Faaiza Shaikh    (2023-12-06 08:36:47)
YEARLY BASED</t>
        </r>
      </text>
    </comment>
    <comment ref="G112" authorId="0" shapeId="0" xr:uid="{00000000-0006-0000-1E00-00008A000000}">
      <text>
        <r>
          <rPr>
            <sz val="11"/>
            <color rgb="FF000000"/>
            <rFont val="Arial"/>
            <family val="2"/>
            <scheme val="minor"/>
          </rPr>
          <t>======
ID#AAABDVS7Ego
Faaiza Shaikh    (2024-01-20 07:52:28)
Contract started from 18 Sep 2023
(3 Month's contract)
Renewed Contract started from 18 Dec 2023
(3 Month's contrac)</t>
        </r>
      </text>
    </comment>
    <comment ref="H112" authorId="0" shapeId="0" xr:uid="{00000000-0006-0000-1E00-00008B000000}">
      <text>
        <r>
          <rPr>
            <sz val="11"/>
            <color rgb="FF000000"/>
            <rFont val="Arial"/>
            <family val="2"/>
            <scheme val="minor"/>
          </rPr>
          <t>======
ID#AAABDVS7Egg
Faaiza Shaikh    (2024-01-20 07:52:28)
Working days= 23
working hours in a month = 8*23 = 184
Have worked for 44 hours</t>
        </r>
      </text>
    </comment>
    <comment ref="I112" authorId="0" shapeId="0" xr:uid="{00000000-0006-0000-1E00-00008C000000}">
      <text>
        <r>
          <rPr>
            <sz val="11"/>
            <color rgb="FF000000"/>
            <rFont val="Arial"/>
            <family val="2"/>
            <scheme val="minor"/>
          </rPr>
          <t>======
ID#AAABF_QGNYA
Zohra Shaikh    (2024-02-27 12:57:16)
working hours in a month = 8*22 = 176
Have worked for 44 hours</t>
        </r>
      </text>
    </comment>
    <comment ref="E114" authorId="0" shapeId="0" xr:uid="{00000000-0006-0000-1E00-00008D000000}">
      <text>
        <r>
          <rPr>
            <sz val="11"/>
            <color rgb="FF000000"/>
            <rFont val="Arial"/>
            <family val="2"/>
            <scheme val="minor"/>
          </rPr>
          <t>======
ID#AAABIPoLzKQ
Faaiza Shaikh    (2024-02-29 10:01:21)
Bonus Started from 30 Dec 2023</t>
        </r>
      </text>
    </comment>
    <comment ref="I114" authorId="0" shapeId="0" xr:uid="{00000000-0006-0000-1E00-00008E000000}">
      <text>
        <r>
          <rPr>
            <sz val="11"/>
            <color rgb="FF000000"/>
            <rFont val="Arial"/>
            <family val="2"/>
            <scheme val="minor"/>
          </rPr>
          <t>======
ID#AAABDVS7Egk
Faaiza Shaikh    (2024-01-20 07:52:28)
4k Bonus started from 30th Dec 2023</t>
        </r>
      </text>
    </comment>
    <comment ref="J114" authorId="0" shapeId="0" xr:uid="{00000000-0006-0000-1E00-00008F000000}">
      <text>
        <r>
          <rPr>
            <sz val="11"/>
            <color rgb="FF000000"/>
            <rFont val="Arial"/>
            <family val="2"/>
            <scheme val="minor"/>
          </rPr>
          <t>======
ID#AAAA9v-EMow
Faaiza Shaikh    (2024-01-04 11:48:55)
Bonus Started from 30 Dec 2023</t>
        </r>
      </text>
    </comment>
    <comment ref="D115" authorId="0" shapeId="0" xr:uid="{00000000-0006-0000-1E00-000090000000}">
      <text>
        <r>
          <rPr>
            <sz val="11"/>
            <color rgb="FF000000"/>
            <rFont val="Arial"/>
            <family val="2"/>
            <scheme val="minor"/>
          </rPr>
          <t>======
ID#AAABDVS7EhE
Ansari Yasmeen    (2021-09-19 08:42:25)
from april 2021
------
ID#AAABN_R6ghI
Ansari Yasmeen    (2022-01-16 06:18:50)
12000 to 16000 from jan 2022
renew contract start from 5-jul-2022 to 5-jul-2023
28k+5k
renew contract start from 7-jul-2023 to 7-jul-2024
38k+5k</t>
        </r>
      </text>
    </comment>
    <comment ref="E115" authorId="0" shapeId="0" xr:uid="{00000000-0006-0000-1E00-000091000000}">
      <text>
        <r>
          <rPr>
            <sz val="11"/>
            <color rgb="FF000000"/>
            <rFont val="Arial"/>
            <family val="2"/>
            <scheme val="minor"/>
          </rPr>
          <t>======
ID#AAABDHVApjs
Iqra Technology    (2021-09-19 08:42:25)
start junr 
Bonus will be given after completion of 1 year contract</t>
        </r>
      </text>
    </comment>
    <comment ref="G115" authorId="0" shapeId="0" xr:uid="{00000000-0006-0000-1E00-000092000000}">
      <text>
        <r>
          <rPr>
            <sz val="11"/>
            <color rgb="FF000000"/>
            <rFont val="Arial"/>
            <family val="2"/>
            <scheme val="minor"/>
          </rPr>
          <t>======
ID#AAABDVS7EhU
Faaiza Shaikh    (2024-01-20 07:52:28)
Contract Started from 14 Dec 2023
4 Month's Contract</t>
        </r>
      </text>
    </comment>
    <comment ref="J115" authorId="0" shapeId="0" xr:uid="{00000000-0006-0000-1E00-000093000000}">
      <text>
        <r>
          <rPr>
            <sz val="11"/>
            <color rgb="FF000000"/>
            <rFont val="Arial"/>
            <family val="2"/>
            <scheme val="minor"/>
          </rPr>
          <t>======
ID#AAABIPoLzK4
Faaiza Shaikh    (2024-02-29 10:01:21)
3 Months get completed</t>
        </r>
      </text>
    </comment>
    <comment ref="K115" authorId="0" shapeId="0" xr:uid="{00000000-0006-0000-1E00-000094000000}">
      <text>
        <r>
          <rPr>
            <sz val="11"/>
            <color rgb="FF000000"/>
            <rFont val="Arial"/>
            <family val="2"/>
            <scheme val="minor"/>
          </rPr>
          <t>======
ID#AAABMJEyGkw
Faaiza Shaikh    (2024-04-19 08:18:18)
4
Months get completed</t>
        </r>
      </text>
    </comment>
    <comment ref="D116" authorId="0" shapeId="0" xr:uid="{00000000-0006-0000-1E00-000095000000}">
      <text>
        <r>
          <rPr>
            <sz val="11"/>
            <color rgb="FF000000"/>
            <rFont val="Arial"/>
            <family val="2"/>
            <scheme val="minor"/>
          </rPr>
          <t>======
ID#AAAAsv7I9OE
Ansari Yasmeen    (2022-07-25 11:05:19)
12000 to 25000 from
 4 July 2022</t>
        </r>
      </text>
    </comment>
    <comment ref="E116" authorId="0" shapeId="0" xr:uid="{00000000-0006-0000-1E00-000096000000}">
      <text>
        <r>
          <rPr>
            <sz val="11"/>
            <color rgb="FF000000"/>
            <rFont val="Arial"/>
            <family val="2"/>
            <scheme val="minor"/>
          </rPr>
          <t>======
ID#AAAAsv7I9Nc
Faaiza Shaikh    (2022-07-25 11:05:19)
Ansari Yasmeen::
4000 to 5000 from 
4 July 2022
(15000 paid quarterly)
Bonus will be given quarterly.</t>
        </r>
      </text>
    </comment>
    <comment ref="AE116" authorId="0" shapeId="0" xr:uid="{00000000-0006-0000-1E00-000097000000}">
      <text>
        <r>
          <rPr>
            <sz val="11"/>
            <color rgb="FF000000"/>
            <rFont val="Arial"/>
            <family val="2"/>
            <scheme val="minor"/>
          </rPr>
          <t>======
ID#AAABBtxnZsI
Faaiza Shaikh    (2023-07-17 08:11:19)
Quaertly Bonus Paid for the month of 
April - 5,000
May - 5,000
June - 5,000</t>
        </r>
      </text>
    </comment>
    <comment ref="E118" authorId="0" shapeId="0" xr:uid="{00000000-0006-0000-1E00-000098000000}">
      <text>
        <r>
          <rPr>
            <sz val="11"/>
            <color rgb="FF000000"/>
            <rFont val="Arial"/>
            <family val="2"/>
            <scheme val="minor"/>
          </rPr>
          <t>======
ID#AAAA9v8p7Po
IqraTechnology    (2022-10-01 12:27:00)
Bonus will be given after 1 year completion of contract.</t>
        </r>
      </text>
    </comment>
    <comment ref="M118" authorId="1" shapeId="0" xr:uid="{00000000-0006-0000-1E00-000099000000}">
      <text>
        <r>
          <rPr>
            <sz val="9"/>
            <rFont val="Tahoma"/>
            <family val="2"/>
          </rPr>
          <t xml:space="preserve">paid 20 k from his bonus will deduct will giving his hold bonus 
</t>
        </r>
      </text>
    </comment>
    <comment ref="E122" authorId="0" shapeId="0" xr:uid="{08B0869C-6657-4375-BFEB-FBEE6CEAC572}">
      <text>
        <r>
          <rPr>
            <sz val="11"/>
            <color rgb="FF000000"/>
            <rFont val="Arial"/>
            <family val="2"/>
            <scheme val="minor"/>
          </rPr>
          <t>======
ID#AAAA9v-EMpU
    (2024-01-04 11:48:55)
Yearly Bonus (Paid after completion of his employment period)
5k Bonus started from 17 Oct 2023</t>
        </r>
      </text>
    </comment>
    <comment ref="D123" authorId="0" shapeId="0" xr:uid="{846E402E-78B7-446B-A379-F1011F5F722C}">
      <text>
        <r>
          <rPr>
            <sz val="11"/>
            <color rgb="FF000000"/>
            <rFont val="Arial"/>
            <family val="2"/>
            <scheme val="minor"/>
          </rPr>
          <t>======
ID#AAAA9v8p7Sc
Ansari Yasmeen    (2021-12-01 10:54:38)
14k to 18k from Dec 2021
18k to 35k from Oct 2022</t>
        </r>
      </text>
    </comment>
    <comment ref="E123" authorId="0" shapeId="0" xr:uid="{479F2BF8-35C2-421B-A7D2-07DF3B97DCEF}">
      <text>
        <r>
          <rPr>
            <sz val="11"/>
            <color rgb="FF000000"/>
            <rFont val="Arial"/>
            <family val="2"/>
            <scheme val="minor"/>
          </rPr>
          <t>======
ID#AAAA9v-EMo8
IqraTechnology    (2022-10-06 05:00:04)
6k to 5k starts from Oct 2022
Bonus will be given after completion of One Year</t>
        </r>
      </text>
    </comment>
    <comment ref="E124" authorId="0" shapeId="0" xr:uid="{5213C596-C4A7-45DA-A554-AE40A358BF85}">
      <text>
        <r>
          <rPr>
            <sz val="11"/>
            <color rgb="FF000000"/>
            <rFont val="Arial"/>
            <family val="2"/>
            <scheme val="minor"/>
          </rPr>
          <t>======
ID#AAAAsv7I89Q
IqraTechnology    (2022-10-01 12:27:00)
Bonus will be paid after one year completion.</t>
        </r>
      </text>
    </comment>
    <comment ref="E125" authorId="0" shapeId="0" xr:uid="{E858FB3D-CBB6-48E3-9452-46E753D91A96}">
      <text>
        <r>
          <rPr>
            <sz val="11"/>
            <color rgb="FF000000"/>
            <rFont val="Arial"/>
            <family val="2"/>
            <scheme val="minor"/>
          </rPr>
          <t>======
ID#AAAA9v8p7SQ
IqraTechnology    (2022-10-01 12:27:00)
Bonus will be paid after one year completion.</t>
        </r>
      </text>
    </comment>
    <comment ref="E126" authorId="0" shapeId="0" xr:uid="{00522E60-80EA-467D-815B-3003A8822C78}">
      <text>
        <r>
          <rPr>
            <sz val="11"/>
            <color rgb="FF000000"/>
            <rFont val="Arial"/>
            <family val="2"/>
            <scheme val="minor"/>
          </rPr>
          <t>======
ID#AAAA7c7uBgo
IqraTechnology    (2022-10-01 12:27:00)
Bonus will be given after 1 year completion of contract.</t>
        </r>
      </text>
    </comment>
    <comment ref="E127" authorId="0" shapeId="0" xr:uid="{8DB7A95E-4D43-4A3A-A209-FCBE28092195}">
      <text>
        <r>
          <rPr>
            <sz val="11"/>
            <color rgb="FF000000"/>
            <rFont val="Arial"/>
            <family val="2"/>
            <scheme val="minor"/>
          </rPr>
          <t>======
ID#AAAA9v8wUSY
Faaiza Shaikh    (2022-10-04 08:46:11)
Bonus will be paid after completion of One Year</t>
        </r>
      </text>
    </comment>
    <comment ref="D130" authorId="0" shapeId="0" xr:uid="{DA4B2BA0-BBF8-41AC-B6F0-00110BF8EA67}">
      <text>
        <r>
          <rPr>
            <sz val="11"/>
            <color rgb="FF000000"/>
            <rFont val="Arial"/>
            <family val="2"/>
            <scheme val="minor"/>
          </rPr>
          <t>======
ID#AAABQU9IBFs
Faaiza Shaikh    (2022-09-12 10:36:44)
27000 to 55000
Starts from 13 Sep 2022</t>
        </r>
      </text>
    </comment>
    <comment ref="D131" authorId="0" shapeId="0" xr:uid="{180B4A03-F0E1-41CB-989A-B26426F57604}">
      <text>
        <r>
          <rPr>
            <sz val="11"/>
            <color rgb="FF000000"/>
            <rFont val="Arial"/>
            <family val="2"/>
            <scheme val="minor"/>
          </rPr>
          <t>======
ID#AAAA9v8p7Sg
User    (2021-09-03 07:02:00)
June 2021</t>
        </r>
      </text>
    </comment>
    <comment ref="E131" authorId="0" shapeId="0" xr:uid="{9F4C7438-BA7B-4BFB-837D-A50951D1ADC0}">
      <text>
        <r>
          <rPr>
            <sz val="11"/>
            <color rgb="FF000000"/>
            <rFont val="Arial"/>
            <family val="2"/>
            <scheme val="minor"/>
          </rPr>
          <t>======
ID#AAAA9v-EMo4
IqraTechnology    (2022-10-01 12:27:00)
Bonus will be paid after one year completion.</t>
        </r>
      </text>
    </comment>
    <comment ref="D132" authorId="0" shapeId="0" xr:uid="{08F36994-1218-4A1B-9424-5522D39AC0A8}">
      <text>
        <r>
          <rPr>
            <sz val="11"/>
            <color rgb="FF000000"/>
            <rFont val="Arial"/>
            <family val="2"/>
            <scheme val="minor"/>
          </rPr>
          <t>======
ID#AAAA9v-EMo0
Faaiza Shaikh    (2022-10-06 05:19:11)
12k to 25k starts from
Oct 2022</t>
        </r>
      </text>
    </comment>
    <comment ref="E132" authorId="0" shapeId="0" xr:uid="{AF6F6B18-1E39-47D8-957A-F9E060B5D3C5}">
      <text>
        <r>
          <rPr>
            <sz val="11"/>
            <color rgb="FF000000"/>
            <rFont val="Arial"/>
            <family val="2"/>
            <scheme val="minor"/>
          </rPr>
          <t>======
ID#AAAA9v8wURk
IqraTechnology    (2022-10-02 06:56:55)
Bonus will be given after completion of 1 Year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A00-000001000000}">
      <text>
        <r>
          <rPr>
            <sz val="11"/>
            <color rgb="FF000000"/>
            <rFont val="Arial"/>
            <family val="2"/>
            <scheme val="minor"/>
          </rPr>
          <t>======
ID#AAABBwtNndQ
Faaiza Shaikh    (2023-12-27 12:12:54)
1.5 Year Contract
4000 bonus for 6 months
10000 after completion of 6 months
(Yearly Bonus)</t>
        </r>
      </text>
    </comment>
    <comment ref="I21" authorId="0" shapeId="0" xr:uid="{00000000-0006-0000-0A00-000002000000}">
      <text>
        <r>
          <rPr>
            <sz val="11"/>
            <color rgb="FF000000"/>
            <rFont val="Arial"/>
            <family val="2"/>
            <scheme val="minor"/>
          </rPr>
          <t xml:space="preserve">
Faaiza Shaikh    (2023-11-01 11:10:39)
Need to Hold till we deposit his 2 months salary amount 
i.e. 25,000*2=50,000</t>
        </r>
      </text>
    </comment>
    <comment ref="D33" authorId="0" shapeId="0" xr:uid="{00000000-0006-0000-0A00-000003000000}">
      <text>
        <r>
          <rPr>
            <sz val="11"/>
            <color rgb="FF000000"/>
            <rFont val="Arial"/>
            <family val="2"/>
            <scheme val="minor"/>
          </rPr>
          <t>======
ID#AAAA9v8p7Sk
Faaiza Shaikh    (2024-01-04 11:48:55)
1.5 Year Contract
4000 bonus for 6 months
10000 after completion of 6 months
(Yearly Bonus)</t>
        </r>
      </text>
    </comment>
    <comment ref="G42" authorId="0" shapeId="0" xr:uid="{00000000-0006-0000-0A00-000004000000}">
      <text>
        <r>
          <rPr>
            <sz val="11"/>
            <color rgb="FF000000"/>
            <rFont val="Arial"/>
            <family val="2"/>
            <scheme val="minor"/>
          </rPr>
          <t>======
ID#AAAA_R5hpbA
Faaiza Shaikh    (2023-11-01 14:22:29)
67,081 Total Hold Bonus Amount</t>
        </r>
      </text>
    </comment>
    <comment ref="D45" authorId="0" shapeId="0" xr:uid="{00000000-0006-0000-0A00-000005000000}">
      <text>
        <r>
          <rPr>
            <sz val="11"/>
            <color rgb="FF000000"/>
            <rFont val="Arial"/>
            <family val="2"/>
            <scheme val="minor"/>
          </rPr>
          <t>======
ID#AAABEBZwNDU
Faaiza Shaikh    (2024-01-29 13:05:39)
1.5 Year Contract
4000 bonus for 6 months
10000 after completion of 6 months
(Yearly Bonus)</t>
        </r>
      </text>
    </comment>
    <comment ref="D48" authorId="0" shapeId="0" xr:uid="{00000000-0006-0000-0A00-000006000000}">
      <text>
        <r>
          <rPr>
            <sz val="11"/>
            <color rgb="FF000000"/>
            <rFont val="Arial"/>
            <family val="2"/>
            <scheme val="minor"/>
          </rPr>
          <t>======
ID#AAABBIa-PUc
Faaiza Shaikh    (2023-11-23 12:21:22)
1.5 Year Contract
4000 bonus for 6 months
10000 after completion of 6 months
(Yearly Bonus)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P2" authorId="0" shapeId="0" xr:uid="{00000000-0006-0000-1000-000001000000}">
      <text>
        <r>
          <rPr>
            <sz val="11"/>
            <color rgb="FF000000"/>
            <rFont val="Arial"/>
            <family val="2"/>
            <scheme val="minor"/>
          </rPr>
          <t>======
ID#AAABBOa70Wg
Faaiza Shaikh    (2023-11-25 06:21:15)
Nintex project started on 3rd oct 2023
Working days= 21
working hours in a month = 8*21 = 168
Have worked for 44 hours</t>
        </r>
      </text>
    </comment>
    <comment ref="Q2" authorId="0" shapeId="0" xr:uid="{00000000-0006-0000-1000-000002000000}">
      <text>
        <r>
          <rPr>
            <sz val="11"/>
            <color rgb="FF000000"/>
            <rFont val="Arial"/>
            <family val="2"/>
            <scheme val="minor"/>
          </rPr>
          <t>======
ID#AAABDVS7Egs
Faaiza Shaikh    (2024-01-20 07:52:28)
Working days= 23
working hours in a month = 8*23 = 184
Have worked for 44 hours</t>
        </r>
      </text>
    </comment>
    <comment ref="R2" authorId="0" shapeId="0" xr:uid="{00000000-0006-0000-1000-000003000000}">
      <text>
        <r>
          <rPr>
            <sz val="11"/>
            <color rgb="FF000000"/>
            <rFont val="Arial"/>
            <family val="2"/>
            <scheme val="minor"/>
          </rPr>
          <t>======
ID#AAAA9wpeDS4
Faaiza Shaikh    (2024-01-05 06:59:06)
Working days= 20
working hours in a month = 8*20 = 160
Have worked for 33 hours
Out of total 44 hours she has worked only 33 hours and will cover the reamining 10 hours in Feb Month</t>
        </r>
      </text>
    </comment>
    <comment ref="D3" authorId="0" shapeId="0" xr:uid="{00000000-0006-0000-1000-000004000000}">
      <text>
        <r>
          <rPr>
            <sz val="11"/>
            <color rgb="FF000000"/>
            <rFont val="Arial"/>
            <family val="2"/>
            <scheme val="minor"/>
          </rPr>
          <t>======
ID#AAAA7c7uBgs
IqraTechnology    (2022-10-01 12:27:00)
Bonus will be given after 1 year completion of contract.</t>
        </r>
      </text>
    </comment>
    <comment ref="E3" authorId="0" shapeId="0" xr:uid="{00000000-0006-0000-1000-000005000000}">
      <text>
        <r>
          <rPr>
            <sz val="11"/>
            <color rgb="FF000000"/>
            <rFont val="Arial"/>
            <family val="2"/>
            <scheme val="minor"/>
          </rPr>
          <t>======
ID#AAABDVS7Eg4
Faaiza Shaikh    (2024-01-20 07:52:28)
YEARLY BASED</t>
        </r>
      </text>
    </comment>
    <comment ref="O3" authorId="0" shapeId="0" xr:uid="{00000000-0006-0000-1000-000006000000}">
      <text>
        <r>
          <rPr>
            <sz val="11"/>
            <color rgb="FF000000"/>
            <rFont val="Arial"/>
            <family val="2"/>
            <scheme val="minor"/>
          </rPr>
          <t>======
ID#AAABBOa70WY
Faaiza Shaikh    (2023-11-25 06:21:15)
Crashva project started on 6th Sep 2023
Working days= 22
working hours in a month = 8*22 = 176
Have worked for 44</t>
        </r>
      </text>
    </comment>
    <comment ref="P3" authorId="0" shapeId="0" xr:uid="{00000000-0006-0000-1000-000007000000}">
      <text>
        <r>
          <rPr>
            <sz val="11"/>
            <color rgb="FF000000"/>
            <rFont val="Arial"/>
            <family val="2"/>
            <scheme val="minor"/>
          </rPr>
          <t>======
ID#AAABBOa70Wc
Faaiza Shaikh    (2023-11-25 06:21:15)
Working days= 21
working hours in a month = 8*21 = 168
Have worked for 44</t>
        </r>
      </text>
    </comment>
    <comment ref="Q3" authorId="0" shapeId="0" xr:uid="{00000000-0006-0000-1000-000008000000}">
      <text>
        <r>
          <rPr>
            <sz val="11"/>
            <color rgb="FF000000"/>
            <rFont val="Arial"/>
            <family val="2"/>
            <scheme val="minor"/>
          </rPr>
          <t>======
ID#AAABBOa70Wk
Faaiza Shaikh    (2023-11-25 06:21:15)
Working days= 23
working hours in a month = 8*23 = 184
Have worked for 44</t>
        </r>
      </text>
    </comment>
    <comment ref="C4" authorId="0" shapeId="0" xr:uid="{00000000-0006-0000-1000-000009000000}">
      <text>
        <r>
          <rPr>
            <sz val="11"/>
            <color rgb="FF000000"/>
            <rFont val="Arial"/>
            <family val="2"/>
            <scheme val="minor"/>
          </rPr>
          <t>======
ID#AAAA7hWdHj4
Faaiza Shaikh    (2022-09-06 05:10:59)
12k to 30k 
Starts from 02 Sep 2022</t>
        </r>
      </text>
    </comment>
    <comment ref="D4" authorId="0" shapeId="0" xr:uid="{00000000-0006-0000-1000-00000A000000}">
      <text>
        <r>
          <rPr>
            <sz val="11"/>
            <color rgb="FF000000"/>
            <rFont val="Arial"/>
            <family val="2"/>
            <scheme val="minor"/>
          </rPr>
          <t>======
ID#AAAA7hWdHjg
Faaiza Shaikh    (2022-09-06 05:10:59)
6k to 5k bonus
Starts from 02 Sep 2022
Bonus will be given after completion of contract.</t>
        </r>
      </text>
    </comment>
    <comment ref="P4" authorId="0" shapeId="0" xr:uid="{00000000-0006-0000-1000-00000B000000}">
      <text>
        <r>
          <rPr>
            <sz val="11"/>
            <color rgb="FF000000"/>
            <rFont val="Arial"/>
            <family val="2"/>
            <scheme val="minor"/>
          </rPr>
          <t>======
ID#AAABBCjWtxo
Faaiza Shaikh    (2023-11-21 12:54:34)
9K Client Bonus started from Oct 2023
Project started on 10th Oct 2023</t>
        </r>
      </text>
    </comment>
    <comment ref="C5" authorId="0" shapeId="0" xr:uid="{00000000-0006-0000-1000-00000C000000}">
      <text>
        <r>
          <rPr>
            <sz val="11"/>
            <color rgb="FF000000"/>
            <rFont val="Arial"/>
            <family val="2"/>
            <scheme val="minor"/>
          </rPr>
          <t>======
ID#AAABBc1-Sxk
Faaiza Shaikh    (2022-10-06 05:19:11)
12k to 25k starts from
Oct 2022</t>
        </r>
      </text>
    </comment>
    <comment ref="D5" authorId="0" shapeId="0" xr:uid="{00000000-0006-0000-1000-00000D000000}">
      <text>
        <r>
          <rPr>
            <sz val="11"/>
            <color rgb="FF000000"/>
            <rFont val="Arial"/>
            <family val="2"/>
            <scheme val="minor"/>
          </rPr>
          <t>======
ID#AAABDVS7Eg0
IqraTechnology    (2022-10-02 06:56:55)
Bonus will be given after completion of 1 Year</t>
        </r>
      </text>
    </comment>
    <comment ref="R6" authorId="0" shapeId="0" xr:uid="{00000000-0006-0000-1000-00000E000000}">
      <text>
        <r>
          <rPr>
            <sz val="11"/>
            <color rgb="FF000000"/>
            <rFont val="Arial"/>
            <family val="2"/>
            <scheme val="minor"/>
          </rPr>
          <t>======
ID#AAABBtxnZsM
Faaiza Shaikh    (2023-12-21 07:35:43)
Cloud360 project got started from 5th Dec 2023</t>
        </r>
      </text>
    </comment>
    <comment ref="C7" authorId="0" shapeId="0" xr:uid="{00000000-0006-0000-1000-00000F000000}">
      <text>
        <r>
          <rPr>
            <sz val="11"/>
            <color rgb="FF000000"/>
            <rFont val="Arial"/>
            <family val="2"/>
            <scheme val="minor"/>
          </rPr>
          <t>======
ID#AAAA9v8wURI
Ansari Yasmeen    (2021-09-19 08:42:25)
from april 2021
------
ID#AAABN_R6gg8
Ansari Yasmeen    (2022-01-16 06:18:50)
12000 to 16000 from jan 2022
renew contract start from 5-jul-2022 to 5-jul-2023
28k+5k
renew contract start from 7-jul-2023 to 7-jul-2024
38k+5k</t>
        </r>
      </text>
    </comment>
    <comment ref="D7" authorId="0" shapeId="0" xr:uid="{00000000-0006-0000-1000-000010000000}">
      <text>
        <r>
          <rPr>
            <sz val="11"/>
            <color rgb="FF000000"/>
            <rFont val="Arial"/>
            <family val="2"/>
            <scheme val="minor"/>
          </rPr>
          <t>======
ID#AAABDVS7Eho
Iqra Technology    (2021-09-19 08:42:25)
start junr 
Bonus will be given after completion of 1 year contract</t>
        </r>
      </text>
    </comment>
    <comment ref="R7" authorId="0" shapeId="0" xr:uid="{00000000-0006-0000-1000-000011000000}">
      <text>
        <r>
          <rPr>
            <sz val="11"/>
            <color rgb="FF000000"/>
            <rFont val="Arial"/>
            <family val="2"/>
            <scheme val="minor"/>
          </rPr>
          <t>======
ID#AAABDHe3NPs
Faaiza Shaikh    (2023-12-22 06:37:41)
Panda contract has started 14 Dec 2023
Bonus will get decided after the completion of 3 months</t>
        </r>
      </text>
    </comment>
    <comment ref="D8" authorId="0" shapeId="0" xr:uid="{00000000-0006-0000-1000-000012000000}">
      <text>
        <r>
          <rPr>
            <sz val="11"/>
            <color rgb="FF000000"/>
            <rFont val="Arial"/>
            <family val="2"/>
            <scheme val="minor"/>
          </rPr>
          <t>======
ID#AAABFbC_6tc
IqraTechnology    (2022-10-03 12:39:05)
Bonus will start after 3 month stipend (from January 2023)
Bonus will be given after 1.5 year completion of contract.</t>
        </r>
      </text>
    </comment>
    <comment ref="F8" authorId="0" shapeId="0" xr:uid="{00000000-0006-0000-1000-000013000000}">
      <text>
        <r>
          <rPr>
            <sz val="11"/>
            <color rgb="FF000000"/>
            <rFont val="Arial"/>
            <family val="2"/>
            <scheme val="minor"/>
          </rPr>
          <t>======
ID#AAABFbC_6tU
Faaiza Shaikh    (2024-01-31 07:57:42)
Optis project has started from 20th Nov 2023</t>
        </r>
      </text>
    </comment>
    <comment ref="Q8" authorId="0" shapeId="0" xr:uid="{00000000-0006-0000-1000-000014000000}">
      <text>
        <r>
          <rPr>
            <sz val="11"/>
            <color rgb="FF000000"/>
            <rFont val="Arial"/>
            <family val="2"/>
            <scheme val="minor"/>
          </rPr>
          <t>======
ID#AAABEVuNx10
Faaiza Shaikh    (2024-02-01 10:40:45)
Working days= 23
working hours in a month = 8*23 = 184
Have worked for 44</t>
        </r>
      </text>
    </comment>
    <comment ref="R8" authorId="0" shapeId="0" xr:uid="{00000000-0006-0000-1000-000015000000}">
      <text>
        <r>
          <rPr>
            <sz val="11"/>
            <color rgb="FF000000"/>
            <rFont val="Arial"/>
            <family val="2"/>
            <scheme val="minor"/>
          </rPr>
          <t>======
ID#AAABEVuNx1s
Faaiza Shaikh    (2024-02-01 10:40:45)
Working days= 20
working hours in a month = 8*20 = 160
Have worked for 44</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admin</author>
    <author>Ajida samani</author>
  </authors>
  <commentList>
    <comment ref="F2" authorId="0" shapeId="0" xr:uid="{EE73E19F-2E65-4F58-AC15-56004692B6F8}">
      <text>
        <r>
          <rPr>
            <sz val="11"/>
            <color rgb="FF000000"/>
            <rFont val="Arial"/>
            <family val="2"/>
            <scheme val="minor"/>
          </rPr>
          <t>======
ID#AAABFOLIaGo
Faaiza Shaikh    (2024-02-02 11:23:49)
Monthly Client bonus</t>
        </r>
      </text>
    </comment>
    <comment ref="G2" authorId="0" shapeId="0" xr:uid="{D0C0F632-9858-4762-AE14-CCB288B78686}">
      <text>
        <r>
          <rPr>
            <sz val="11"/>
            <color rgb="FF000000"/>
            <rFont val="Arial"/>
            <family val="2"/>
            <scheme val="minor"/>
          </rPr>
          <t>======
ID#AAABDVS7Egw
Faaiza Shaikh    (2024-01-20 07:52:28)
Contract started from 9 Oct 2023
4 Month's Contract</t>
        </r>
      </text>
    </comment>
    <comment ref="H2" authorId="0" shapeId="0" xr:uid="{C340F902-782A-4967-B75F-47725EC92C81}">
      <text>
        <r>
          <rPr>
            <sz val="11"/>
            <color rgb="FF000000"/>
            <rFont val="Arial"/>
            <family val="2"/>
            <scheme val="minor"/>
          </rPr>
          <t>======
ID#AAABFbC_6tQ
Faaiza Shaikh    (2024-01-31 07:57:42)
Working days= 23
working hours in a month = 8*23 = 184
Have worked for 54 hours</t>
        </r>
      </text>
    </comment>
    <comment ref="I2" authorId="0" shapeId="0" xr:uid="{E49489E6-6245-4FF1-83AB-55C0E5CD7A36}">
      <text>
        <r>
          <rPr>
            <sz val="11"/>
            <color rgb="FF000000"/>
            <rFont val="Arial"/>
            <family val="2"/>
            <scheme val="minor"/>
          </rPr>
          <t>======
ID#AAABF_QGNX8
Zohra Shaikh    (2024-02-27 12:57:16)
Working days= 22
working hours in a month = 8*22 = 176
Have worked for 40 hours</t>
        </r>
      </text>
    </comment>
    <comment ref="F3" authorId="0" shapeId="0" xr:uid="{AE7310EB-7E21-4BBE-87CD-698B29AE96A8}">
      <text>
        <r>
          <rPr>
            <sz val="11"/>
            <color rgb="FF000000"/>
            <rFont val="Arial"/>
            <family val="2"/>
            <scheme val="minor"/>
          </rPr>
          <t>======
ID#AAABFOLIaG4
Faaiza Shaikh    (2024-02-02 11:23:49)
Monthly Client bonus</t>
        </r>
      </text>
    </comment>
    <comment ref="G3" authorId="0" shapeId="0" xr:uid="{994A175A-63EF-4039-A14A-3DC6C3208FB1}">
      <text>
        <r>
          <rPr>
            <sz val="11"/>
            <color rgb="FF000000"/>
            <rFont val="Arial"/>
            <family val="2"/>
            <scheme val="minor"/>
          </rPr>
          <t>======
ID#AAABDVS7Ehw
Faaiza Shaikh    (2024-01-20 07:52:28)
Contract Started from 2 Jan 2024
7 Month's Contract</t>
        </r>
      </text>
    </comment>
    <comment ref="D4" authorId="0" shapeId="0" xr:uid="{7EBF2950-C21F-4124-B326-DEF6D53F0486}">
      <text>
        <r>
          <rPr>
            <sz val="11"/>
            <color rgb="FF000000"/>
            <rFont val="Arial"/>
            <family val="2"/>
            <scheme val="minor"/>
          </rPr>
          <t>======
ID#AAABIteAthA
    (2022-04-27 06:12:44)
6k to 10k from 27 april 2022</t>
        </r>
      </text>
    </comment>
    <comment ref="G4" authorId="0" shapeId="0" xr:uid="{71D9BD0D-FD3B-4FDC-9638-3412722E6E53}">
      <text>
        <r>
          <rPr>
            <sz val="11"/>
            <color rgb="FF000000"/>
            <rFont val="Arial"/>
            <family val="2"/>
            <scheme val="minor"/>
          </rPr>
          <t>======
ID#AAABDVS7EhY
Faaiza Shaikh    (2024-01-20 07:52:28)
Contract Started from 2 Jan 2024
7 Month's Contract</t>
        </r>
      </text>
    </comment>
    <comment ref="D5" authorId="0" shapeId="0" xr:uid="{5D84FB69-37A7-41E8-8810-6DB07A60FE09}">
      <text>
        <r>
          <rPr>
            <sz val="11"/>
            <color rgb="FF000000"/>
            <rFont val="Arial"/>
            <family val="2"/>
            <scheme val="minor"/>
          </rPr>
          <t>======
ID#AAAAsv7I9Ew
Faaiza Shaikh    (2022-09-06 05:10:59)
12k to 30k 
Starts from 02 Sep 2022</t>
        </r>
      </text>
    </comment>
    <comment ref="E5" authorId="0" shapeId="0" xr:uid="{F86187BF-24EF-4A81-B4B1-A97D2CDBDD53}">
      <text>
        <r>
          <rPr>
            <sz val="11"/>
            <color rgb="FF000000"/>
            <rFont val="Arial"/>
            <family val="2"/>
            <scheme val="minor"/>
          </rPr>
          <t>======
ID#AAABDVS7EhA
Faaiza Shaikh    (2022-09-06 05:10:59)
6k to 5k bonus
Starts from 02 Sep 2022
Bonus will be given after completion of contract.</t>
        </r>
      </text>
    </comment>
    <comment ref="G5" authorId="0" shapeId="0" xr:uid="{FADB58DE-276D-41A4-9285-B05AF0D2DA09}">
      <text>
        <r>
          <rPr>
            <sz val="11"/>
            <color rgb="FF000000"/>
            <rFont val="Arial"/>
            <family val="2"/>
            <scheme val="minor"/>
          </rPr>
          <t>======
ID#AAABDVS7Ehg
Faaiza Shaikh    (2024-01-20 07:52:28)
Contract started from 10 Oct 2023
6 Month's Contract</t>
        </r>
      </text>
    </comment>
    <comment ref="H5" authorId="0" shapeId="0" xr:uid="{8D822B82-7226-401D-B2AF-985B7C4DE957}">
      <text>
        <r>
          <rPr>
            <sz val="11"/>
            <color rgb="FF000000"/>
            <rFont val="Arial"/>
            <family val="2"/>
            <scheme val="minor"/>
          </rPr>
          <t>======
ID#AAABFOLIaGc
Faaiza Shaikh    (2024-02-02 11:23:49)
He has taken leave on 16th Jan 2024
1 leave will get deducted</t>
        </r>
      </text>
    </comment>
    <comment ref="D6" authorId="0" shapeId="0" xr:uid="{A933E58F-8DB7-4356-B1D3-9010E68986A7}">
      <text>
        <r>
          <rPr>
            <sz val="11"/>
            <color rgb="FF000000"/>
            <rFont val="Arial"/>
            <family val="2"/>
            <scheme val="minor"/>
          </rPr>
          <t>======
ID#AAABDVS7Eh0
Faaiza Shaikh    (2022-10-06 05:19:11)
12k to 25k starts from
Oct 2022</t>
        </r>
      </text>
    </comment>
    <comment ref="E6" authorId="0" shapeId="0" xr:uid="{205910C2-3A5A-4A47-BD98-39DCDDB4C46B}">
      <text>
        <r>
          <rPr>
            <sz val="11"/>
            <color rgb="FF000000"/>
            <rFont val="Arial"/>
            <family val="2"/>
            <scheme val="minor"/>
          </rPr>
          <t>======
ID#AAAAsv7I9D0
IqraTechnology    (2022-10-02 06:56:55)
Bonus will be given after completion of 1 Year</t>
        </r>
      </text>
    </comment>
    <comment ref="G6" authorId="0" shapeId="0" xr:uid="{3720DFC9-FB00-42E4-A5AE-EE9CF398AA8F}">
      <text>
        <r>
          <rPr>
            <sz val="11"/>
            <color rgb="FF000000"/>
            <rFont val="Arial"/>
            <family val="2"/>
            <scheme val="minor"/>
          </rPr>
          <t>======
ID#AAABDVS7Ehs
Faaiza Shaikh    (2024-01-20 07:52:28)
Contract started from 31 Aug 2023
12 Month's Contract</t>
        </r>
      </text>
    </comment>
    <comment ref="F7" authorId="0" shapeId="0" xr:uid="{B92C2527-95CF-4448-8FF8-1F88857D03B2}">
      <text>
        <r>
          <rPr>
            <sz val="11"/>
            <color rgb="FF000000"/>
            <rFont val="Arial"/>
            <family val="2"/>
            <scheme val="minor"/>
          </rPr>
          <t>======
ID#AAABFOLIaG0
Faaiza Shaikh    (2024-02-02 11:23:49)
Monthly Client bonus</t>
        </r>
      </text>
    </comment>
    <comment ref="G7" authorId="0" shapeId="0" xr:uid="{B4DBF6A7-B768-4F68-98D1-CC625EF33B3D}">
      <text>
        <r>
          <rPr>
            <sz val="11"/>
            <color rgb="FF000000"/>
            <rFont val="Arial"/>
            <family val="2"/>
            <scheme val="minor"/>
          </rPr>
          <t>======
ID#AAABDVS7EhQ
Faaiza Shaikh    (2024-01-20 07:52:28)
Contract started from 5 Dec 2023
12 Month's Contract</t>
        </r>
      </text>
    </comment>
    <comment ref="F8" authorId="0" shapeId="0" xr:uid="{8FBFCDB6-AE4E-40DD-9486-823AD7CCD3DE}">
      <text>
        <r>
          <rPr>
            <sz val="11"/>
            <color rgb="FF000000"/>
            <rFont val="Arial"/>
            <family val="2"/>
            <scheme val="minor"/>
          </rPr>
          <t>======
ID#AAABFOLIaGY
Faaiza Shaikh    (2024-02-02 11:23:49)
Monthly Client bonus</t>
        </r>
      </text>
    </comment>
    <comment ref="G8" authorId="0" shapeId="0" xr:uid="{5D44A9C8-4741-426B-BD77-B19315CCF099}">
      <text>
        <r>
          <rPr>
            <sz val="11"/>
            <color rgb="FF000000"/>
            <rFont val="Arial"/>
            <family val="2"/>
            <scheme val="minor"/>
          </rPr>
          <t>======
ID#AAABIteAthM
Faaiza Shaikh    (2024-03-26 08:47:34)
Contract Started from 2 Jan 2024
7 Month's Contract</t>
        </r>
      </text>
    </comment>
    <comment ref="H8" authorId="0" shapeId="0" xr:uid="{B991128C-F404-4415-B7A1-3584B03A9F1F}">
      <text>
        <r>
          <rPr>
            <sz val="11"/>
            <color rgb="FF000000"/>
            <rFont val="Arial"/>
            <family val="2"/>
            <scheme val="minor"/>
          </rPr>
          <t>======
ID#AAABFOLIaGk
Faaiza Shaikh    (2024-02-02 11:23:49)
Worked for Whole jan Month</t>
        </r>
      </text>
    </comment>
    <comment ref="D9" authorId="0" shapeId="0" xr:uid="{0332ABC6-38FC-4703-9380-81D08B636D63}">
      <text>
        <r>
          <rPr>
            <sz val="11"/>
            <color rgb="FF000000"/>
            <rFont val="Arial"/>
            <family val="2"/>
            <scheme val="minor"/>
          </rPr>
          <t>======
ID#AAABQU9IBFs
Faaiza Shaikh    (2022-09-12 10:36:44)
27000 to 55000
Starts from 13 Sep 2022</t>
        </r>
      </text>
    </comment>
    <comment ref="R10" authorId="1" shapeId="0" xr:uid="{671422B4-C799-4A7E-B624-440ADF8DA1DC}">
      <text>
        <r>
          <rPr>
            <b/>
            <sz val="9"/>
            <color indexed="81"/>
            <rFont val="Tahoma"/>
            <family val="2"/>
          </rPr>
          <t>admin:</t>
        </r>
        <r>
          <rPr>
            <sz val="9"/>
            <color indexed="81"/>
            <rFont val="Tahoma"/>
            <family val="2"/>
          </rPr>
          <t xml:space="preserve">
10k pay karn ahi ahlf</t>
        </r>
      </text>
    </comment>
    <comment ref="D11" authorId="0" shapeId="0" xr:uid="{9281BBF0-2EE2-498A-90FC-DB44C06F8615}">
      <text>
        <r>
          <rPr>
            <sz val="11"/>
            <color rgb="FF000000"/>
            <rFont val="Arial"/>
            <family val="2"/>
            <scheme val="minor"/>
          </rPr>
          <t>======
ID#AAAA9v8wURg
Faaiza Shaikh    (2024-01-04 11:48:55)
1.5 Year Contract
4000 bonus for 6 months
10000 after completion of 6 months
(Yearly Bonus)</t>
        </r>
      </text>
    </comment>
    <comment ref="Q13" authorId="2" shapeId="0" xr:uid="{72627BE4-417D-4722-BB50-FA5569D81688}">
      <text>
        <r>
          <rPr>
            <b/>
            <sz val="9"/>
            <color indexed="81"/>
            <rFont val="Tahoma"/>
            <family val="2"/>
          </rPr>
          <t>Ajida samani:</t>
        </r>
        <r>
          <rPr>
            <sz val="9"/>
            <color indexed="81"/>
            <rFont val="Tahoma"/>
            <family val="2"/>
          </rPr>
          <t xml:space="preserve">
Neesha Bonus will paid to him till new backup</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327" authorId="0" shapeId="0" xr:uid="{00000000-0006-0000-1300-000001000000}">
      <text>
        <r>
          <rPr>
            <sz val="11"/>
            <color rgb="FF000000"/>
            <rFont val="Arial"/>
            <family val="2"/>
            <scheme val="minor"/>
          </rPr>
          <t>======
ID#AAAA_ivhoOM
Faaiza Shaikh    (2023-11-04 07:19:11)
2826 actual Nov month bonus and 1826 paid
1000 remaining amount need to pay</t>
        </r>
      </text>
    </comment>
    <comment ref="B566" authorId="0" shapeId="0" xr:uid="{00000000-0006-0000-1300-000002000000}">
      <text>
        <r>
          <rPr>
            <sz val="11"/>
            <color rgb="FF000000"/>
            <rFont val="Arial"/>
            <family val="2"/>
            <scheme val="minor"/>
          </rPr>
          <t>======
ID#AAABLLFlNhY
Iqra Technology    (2023-03-28 09:38:52)
renewal contract start from 3rd oct so 9 days will be count on 4k 
renewal bonus will be on hold and paid after one year  1714 paid in sep month remaining bonus will be paid after 1 year</t>
        </r>
      </text>
    </comment>
    <comment ref="B655" authorId="0" shapeId="0" xr:uid="{00000000-0006-0000-1300-000003000000}">
      <text>
        <r>
          <rPr>
            <sz val="11"/>
            <color rgb="FF000000"/>
            <rFont val="Arial"/>
            <family val="2"/>
            <scheme val="minor"/>
          </rPr>
          <t>======
ID#AAAA-LZEsUk
Faaiza Shaikh    (2023-03-28 09:38:52)
His Contract has started from 16 Nov 2022
Bonus will be paid after completion of one year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1400-000001000000}">
      <text>
        <r>
          <rPr>
            <sz val="11"/>
            <color rgb="FF000000"/>
            <rFont val="Arial"/>
            <family val="2"/>
            <scheme val="minor"/>
          </rPr>
          <t>======
ID#AAAA-MLCQlk
Faaiza Shaikh    (2023-11-06 13:48:01)
Out of 12,000 One Time Bonus 6,000 deducted as loan recovery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J13" authorId="0" shapeId="0" xr:uid="{00000000-0006-0000-1900-000001000000}">
      <text>
        <r>
          <rPr>
            <sz val="11"/>
            <color rgb="FF000000"/>
            <rFont val="Arial"/>
            <family val="2"/>
            <scheme val="minor"/>
          </rPr>
          <t>======
ID#AAABLLFlNdU
Faaiza Shaikh    (2023-07-22 06:25:32)
Calculations done on the basis of her present days in this month</t>
        </r>
      </text>
    </comment>
    <comment ref="J15" authorId="0" shapeId="0" xr:uid="{00000000-0006-0000-1900-000002000000}">
      <text>
        <r>
          <rPr>
            <sz val="11"/>
            <color rgb="FF000000"/>
            <rFont val="Arial"/>
            <family val="2"/>
            <scheme val="minor"/>
          </rPr>
          <t>======
ID#AAABLLFlNgA
Faaiza Shaikh    (2023-07-22 06:25:32)
Calculations done on the basis of his present days in this month</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2000-000001000000}">
      <text>
        <r>
          <rPr>
            <sz val="11"/>
            <color rgb="FF000000"/>
            <rFont val="Arial"/>
            <family val="2"/>
            <scheme val="minor"/>
          </rPr>
          <t>======
ID#AAAAsv7I9Ng
Author    (2021-09-13 13:34:11)
6k to 12k From Sep 2020
30k May 2021
Renewal contract on  jul 2022</t>
        </r>
      </text>
    </comment>
    <comment ref="D2" authorId="0" shapeId="0" xr:uid="{00000000-0006-0000-2000-000002000000}">
      <text>
        <r>
          <rPr>
            <sz val="11"/>
            <color rgb="FF000000"/>
            <rFont val="Arial"/>
            <family val="2"/>
            <scheme val="minor"/>
          </rPr>
          <t>======
ID#AAAAsv7I9I0
Author    (2021-09-13 13:34:11)
From Sep 2020
Renewal contract on jul 2022</t>
        </r>
      </text>
    </comment>
    <comment ref="E2" authorId="0" shapeId="0" xr:uid="{00000000-0006-0000-2000-000003000000}">
      <text>
        <r>
          <rPr>
            <sz val="11"/>
            <color rgb="FF000000"/>
            <rFont val="Arial"/>
            <family val="2"/>
            <scheme val="minor"/>
          </rPr>
          <t>======
ID#AAAAsv7I9IM
Ansari Yasmeen    (2022-02-03 12:59:00)
9k to 18k feb 2022
Renewal contract jul 2022</t>
        </r>
      </text>
    </comment>
    <comment ref="C4" authorId="0" shapeId="0" xr:uid="{00000000-0006-0000-2000-000004000000}">
      <text>
        <r>
          <rPr>
            <sz val="11"/>
            <color rgb="FF000000"/>
            <rFont val="Arial"/>
            <family val="2"/>
            <scheme val="minor"/>
          </rPr>
          <t>======
ID#AAAAsv7I854
Ansari Yasmeen    (2022-01-17 10:28:43)
after 6 month Sep2021
15k to 20k</t>
        </r>
      </text>
    </comment>
    <comment ref="J4" authorId="0" shapeId="0" xr:uid="{00000000-0006-0000-2000-000005000000}">
      <text>
        <r>
          <rPr>
            <sz val="11"/>
            <color rgb="FF000000"/>
            <rFont val="Arial"/>
            <family val="2"/>
            <scheme val="minor"/>
          </rPr>
          <t>======
ID#AAABLLFlNeE
Ansari Yasmeen    (2023-03-28 09:38:52)
PWC company bonus start from this month</t>
        </r>
      </text>
    </comment>
    <comment ref="C28" authorId="0" shapeId="0" xr:uid="{00000000-0006-0000-2000-000006000000}">
      <text>
        <r>
          <rPr>
            <sz val="11"/>
            <color rgb="FF000000"/>
            <rFont val="Arial"/>
            <family val="2"/>
            <scheme val="minor"/>
          </rPr>
          <t>======
ID#AAAAsv7I8-s
Author    (2021-09-13 13:34:11)
6k to 12k from july 2021</t>
        </r>
      </text>
    </comment>
    <comment ref="D28" authorId="0" shapeId="0" xr:uid="{00000000-0006-0000-2000-000007000000}">
      <text>
        <r>
          <rPr>
            <sz val="11"/>
            <color rgb="FF000000"/>
            <rFont val="Arial"/>
            <family val="2"/>
            <scheme val="minor"/>
          </rPr>
          <t>======
ID#AAAAsv7I9DM
Author    (2021-09-13 13:34:11)
july 2021</t>
        </r>
      </text>
    </comment>
    <comment ref="C36" authorId="0" shapeId="0" xr:uid="{00000000-0006-0000-2000-000008000000}">
      <text>
        <r>
          <rPr>
            <sz val="11"/>
            <color rgb="FF000000"/>
            <rFont val="Arial"/>
            <family val="2"/>
            <scheme val="minor"/>
          </rPr>
          <t>======
ID#AAAAsv7I890
Author    (2021-09-13 13:34:11)
6k to 12k from july 2021</t>
        </r>
      </text>
    </comment>
    <comment ref="D36" authorId="0" shapeId="0" xr:uid="{00000000-0006-0000-2000-000009000000}">
      <text>
        <r>
          <rPr>
            <sz val="11"/>
            <color rgb="FF000000"/>
            <rFont val="Arial"/>
            <family val="2"/>
            <scheme val="minor"/>
          </rPr>
          <t>======
ID#AAAAsv7I9JI
Author    (2021-09-13 13:34:11)
july 2021</t>
        </r>
      </text>
    </comment>
  </commentList>
</comments>
</file>

<file path=xl/sharedStrings.xml><?xml version="1.0" encoding="utf-8"?>
<sst xmlns="http://schemas.openxmlformats.org/spreadsheetml/2006/main" count="5177" uniqueCount="1115">
  <si>
    <t>Sr No</t>
  </si>
  <si>
    <t>Name of the Employee</t>
  </si>
  <si>
    <t>Salary</t>
  </si>
  <si>
    <t>Bonus amount</t>
  </si>
  <si>
    <t>Reporting manager</t>
  </si>
  <si>
    <t xml:space="preserve">March </t>
  </si>
  <si>
    <t>April</t>
  </si>
  <si>
    <t xml:space="preserve">May </t>
  </si>
  <si>
    <t>June</t>
  </si>
  <si>
    <t>July</t>
  </si>
  <si>
    <t>August</t>
  </si>
  <si>
    <t>Sept</t>
  </si>
  <si>
    <t>Oct</t>
  </si>
  <si>
    <t>Nov</t>
  </si>
  <si>
    <t>Dec</t>
  </si>
  <si>
    <t>TOTAL</t>
  </si>
  <si>
    <t>Paid Amount</t>
  </si>
  <si>
    <t xml:space="preserve">hold bonus </t>
  </si>
  <si>
    <t>Mariyam</t>
  </si>
  <si>
    <t>Kaniz Fatema</t>
  </si>
  <si>
    <t>Nagma Khan</t>
  </si>
  <si>
    <t>Akbar sir</t>
  </si>
  <si>
    <t xml:space="preserve">Kaniz Fatema </t>
  </si>
  <si>
    <t>Avesh</t>
  </si>
  <si>
    <t>Shaikh Mohd Salman</t>
  </si>
  <si>
    <t>Shahrukh Siddiqui</t>
  </si>
  <si>
    <t>Musharraf Siddiqui</t>
  </si>
  <si>
    <t>Nabeela Khan</t>
  </si>
  <si>
    <t>Rehanuddin Mohd</t>
  </si>
  <si>
    <t>Shaikh Sameer</t>
  </si>
  <si>
    <t>NA</t>
  </si>
  <si>
    <t>Not paid</t>
  </si>
  <si>
    <t>Shaihk Fares</t>
  </si>
  <si>
    <t>Aameruddin</t>
  </si>
  <si>
    <t>shahid quadri</t>
  </si>
  <si>
    <t>Sayyed Amjad</t>
  </si>
  <si>
    <t xml:space="preserve">Mustaqueem </t>
  </si>
  <si>
    <t>Irteqaz ahmed</t>
  </si>
  <si>
    <t>Shaikh Saifullah</t>
  </si>
  <si>
    <t>Shah Alam</t>
  </si>
  <si>
    <t>Shamshad</t>
  </si>
  <si>
    <t>Shaikh Tareq</t>
  </si>
  <si>
    <t>Vasim Shaikh</t>
  </si>
  <si>
    <t xml:space="preserve"> </t>
  </si>
  <si>
    <t>Paid with salary</t>
  </si>
  <si>
    <t>Paid in advance</t>
  </si>
  <si>
    <t>Paid Total amount</t>
  </si>
  <si>
    <t>Not applicable for this month</t>
  </si>
  <si>
    <t>Technology</t>
  </si>
  <si>
    <t>Jan</t>
  </si>
  <si>
    <t>Feb</t>
  </si>
  <si>
    <t>Mar</t>
  </si>
  <si>
    <t>Apr</t>
  </si>
  <si>
    <t>May</t>
  </si>
  <si>
    <t>Jun</t>
  </si>
  <si>
    <t>Jul</t>
  </si>
  <si>
    <t>Aug</t>
  </si>
  <si>
    <t>Sep</t>
  </si>
  <si>
    <t>This year 2020</t>
  </si>
  <si>
    <t>Previous year 2019 total</t>
  </si>
  <si>
    <t>2 Months salary</t>
  </si>
  <si>
    <t>Yearly Permissible Bonus  amount</t>
  </si>
  <si>
    <t>To be Paid with Salary in May</t>
  </si>
  <si>
    <t>To be Paid with Salary in June</t>
  </si>
  <si>
    <t>To be Paid with Salary in July</t>
  </si>
  <si>
    <t>To be Paid with Salary in August</t>
  </si>
  <si>
    <t>To be Paid with Salary in September</t>
  </si>
  <si>
    <t>To be Paid with Salary in October</t>
  </si>
  <si>
    <t>To be Paid with Salary in November</t>
  </si>
  <si>
    <t>To be Paid with Salary in December</t>
  </si>
  <si>
    <t>Total bonus given in 2020 amount</t>
  </si>
  <si>
    <t>Remaining Bonus amount  in dec 2020</t>
  </si>
  <si>
    <t>Salesforce</t>
  </si>
  <si>
    <t>Sayyed Manzar Ali</t>
  </si>
  <si>
    <t>Uipath</t>
  </si>
  <si>
    <t>Zeeshan Sayyed</t>
  </si>
  <si>
    <t>OIC</t>
  </si>
  <si>
    <t>Web development</t>
  </si>
  <si>
    <t>Sayyed Haider</t>
  </si>
  <si>
    <t>SharePoint</t>
  </si>
  <si>
    <t>Saba Shaikh</t>
  </si>
  <si>
    <t>Shamshad  Ahmed</t>
  </si>
  <si>
    <t>Qliksense</t>
  </si>
  <si>
    <t>Musharrafuddin Siddiqui</t>
  </si>
  <si>
    <t>Shahid Qadri</t>
  </si>
  <si>
    <t>Nabeela khan</t>
  </si>
  <si>
    <t>Microsoft CRM</t>
  </si>
  <si>
    <t>Mohammad Rehanuddin</t>
  </si>
  <si>
    <t>Eautomate</t>
  </si>
  <si>
    <t>Sohel Shaikh</t>
  </si>
  <si>
    <t>Irfan Shaikh</t>
  </si>
  <si>
    <t>Waseem Mohammad</t>
  </si>
  <si>
    <t>Shaikh Mudassir</t>
  </si>
  <si>
    <t>E-automate</t>
  </si>
  <si>
    <t>Shaikh Javed</t>
  </si>
  <si>
    <t>Mustaqeem</t>
  </si>
  <si>
    <t>Maaz Shaokat Choughle</t>
  </si>
  <si>
    <t>Sohail Inamdar</t>
  </si>
  <si>
    <t>Ansari Mohd Ateef</t>
  </si>
  <si>
    <t>Tarekh Shaikh</t>
  </si>
  <si>
    <t>Zubair Shaikh</t>
  </si>
  <si>
    <t>E- Commerce</t>
  </si>
  <si>
    <t>Muqtadir Khan</t>
  </si>
  <si>
    <t>Adil Khan</t>
  </si>
  <si>
    <t>Mohsin Mohd</t>
  </si>
  <si>
    <t>Faizan</t>
  </si>
  <si>
    <t>kaniz Fatema</t>
  </si>
  <si>
    <t>This year 2021 bonus amount</t>
  </si>
  <si>
    <t>Previous year 2020 total bonus amount</t>
  </si>
  <si>
    <t>Total Bonus Amount</t>
  </si>
  <si>
    <t>2 Months salary on hold</t>
  </si>
  <si>
    <t>Total bonus amount pay after notice period</t>
  </si>
  <si>
    <t>To be Paid with Salary in Jan 2021</t>
  </si>
  <si>
    <t>To be Paid with Salary in Feb 2021</t>
  </si>
  <si>
    <t>To be Paid with Salary in Mar 2021</t>
  </si>
  <si>
    <t>To be Paid with Salary in Apr 2021</t>
  </si>
  <si>
    <t>To be Paid with Salary in May 2021</t>
  </si>
  <si>
    <t>To be Paid with Salary in Jun 2021</t>
  </si>
  <si>
    <t>To be Paid with Salary in July 2021</t>
  </si>
  <si>
    <t>To be Paid with Salary in Aug 2021</t>
  </si>
  <si>
    <t>To be Paid with Salary in Sep 2021</t>
  </si>
  <si>
    <t>To be Paid with Salary in Oct 2021</t>
  </si>
  <si>
    <t>To be Paid with Salary in Nov 2021</t>
  </si>
  <si>
    <t>To be Paid with Salary in Dec 2021</t>
  </si>
  <si>
    <t>Total bonus given in 2021 amount</t>
  </si>
  <si>
    <t>Remaining Bonus amount in dec 2021</t>
  </si>
  <si>
    <t>Total</t>
  </si>
  <si>
    <t>Yasmeen</t>
  </si>
  <si>
    <t>Accountant</t>
  </si>
  <si>
    <t>Sherkhan Misbah ismail</t>
  </si>
  <si>
    <t>Imran</t>
  </si>
  <si>
    <t>Angular</t>
  </si>
  <si>
    <t>Younus</t>
  </si>
  <si>
    <t>Dot Net</t>
  </si>
  <si>
    <t>Osama</t>
  </si>
  <si>
    <t>Salman</t>
  </si>
  <si>
    <t>Arshaduddin</t>
  </si>
  <si>
    <t>Muzafar</t>
  </si>
  <si>
    <t>Noorul Khan</t>
  </si>
  <si>
    <t>Shazeena</t>
  </si>
  <si>
    <t>Financial Force</t>
  </si>
  <si>
    <t>Amir Dalvi</t>
  </si>
  <si>
    <t>#######</t>
  </si>
  <si>
    <t>Najeeb</t>
  </si>
  <si>
    <t>Neha Shaikh</t>
  </si>
  <si>
    <t>Shamshad Ahmed</t>
  </si>
  <si>
    <t>Ahtesham</t>
  </si>
  <si>
    <t>Tauseef</t>
  </si>
  <si>
    <t>Warfan</t>
  </si>
  <si>
    <t>Fahmida</t>
  </si>
  <si>
    <t>Sales</t>
  </si>
  <si>
    <t>Ibrahim</t>
  </si>
  <si>
    <t>Sana</t>
  </si>
  <si>
    <t>Gaus</t>
  </si>
  <si>
    <t>Zafar</t>
  </si>
  <si>
    <t>Shahzad</t>
  </si>
  <si>
    <t>Rahmath</t>
  </si>
  <si>
    <t>Khizer</t>
  </si>
  <si>
    <t>Rameez</t>
  </si>
  <si>
    <t>Ahad</t>
  </si>
  <si>
    <t>wordpresss</t>
  </si>
  <si>
    <t>Amir Shaikh</t>
  </si>
  <si>
    <t>Zeeshan Shaikh</t>
  </si>
  <si>
    <t>Eienstein</t>
  </si>
  <si>
    <t>Rehan</t>
  </si>
  <si>
    <t>Samee</t>
  </si>
  <si>
    <t>Sufyan Aquib</t>
  </si>
  <si>
    <t>Shahid</t>
  </si>
  <si>
    <t>Priya Sharma</t>
  </si>
  <si>
    <t>Swati</t>
  </si>
  <si>
    <t>Muzafar Khan</t>
  </si>
  <si>
    <t>Samad</t>
  </si>
  <si>
    <t>Saeed</t>
  </si>
  <si>
    <t>Financial Force-Salesforce</t>
  </si>
  <si>
    <t>Sajed</t>
  </si>
  <si>
    <t>Batul</t>
  </si>
  <si>
    <t>Shaikh Asmina Mohd Aslam</t>
  </si>
  <si>
    <t>This year 2022 bonus amount</t>
  </si>
  <si>
    <t>as per rule 2 month hold bonus amount should be</t>
  </si>
  <si>
    <t>Deposit bonus Amount along with us till 2022 paid after notice period /Contract</t>
  </si>
  <si>
    <t>Hold Bonus paid amount 2022</t>
  </si>
  <si>
    <t>To be Paid with Salary in Jan 2022</t>
  </si>
  <si>
    <t>To be Paid with Salary in Feb 2022</t>
  </si>
  <si>
    <t>To be Paid with Salary in Mar 2022</t>
  </si>
  <si>
    <t>To be Paid with Salary in Apr 2022</t>
  </si>
  <si>
    <t>To be Paid with Salary in May 2022</t>
  </si>
  <si>
    <t>To be Paid with Salary in Jun 2022</t>
  </si>
  <si>
    <t>To be Paid with Salary in July 2022</t>
  </si>
  <si>
    <t>To be Paid with Salary in Aug 2022</t>
  </si>
  <si>
    <t>To be Paid with Salary in Sep 2022</t>
  </si>
  <si>
    <t>To be Paid with Salary in Oct 2022</t>
  </si>
  <si>
    <t>To be Paid with Salary in Nov 2022</t>
  </si>
  <si>
    <t>To be Paid with Salary in Dec 2022</t>
  </si>
  <si>
    <t>Total bonus given in 2022 amount</t>
  </si>
  <si>
    <t>remaining 2022</t>
  </si>
  <si>
    <t>remaining 2021</t>
  </si>
  <si>
    <t>remaining 2020</t>
  </si>
  <si>
    <t>Total Balance need to pay after notice period</t>
  </si>
  <si>
    <t>Ansari Yasmeen</t>
  </si>
  <si>
    <t>Accounts</t>
  </si>
  <si>
    <t>a</t>
  </si>
  <si>
    <t>Imran Ahmed</t>
  </si>
  <si>
    <t>Shaikh Muddassir</t>
  </si>
  <si>
    <t>Shaikh Tareque</t>
  </si>
  <si>
    <t>Khan Noorul Hasan</t>
  </si>
  <si>
    <t>Osama Khan</t>
  </si>
  <si>
    <t>Amir Khan</t>
  </si>
  <si>
    <t>Arshad Ansari</t>
  </si>
  <si>
    <t>Ziaullah Ansari</t>
  </si>
  <si>
    <t>Tauseef Khan</t>
  </si>
  <si>
    <t>Qlik sense</t>
  </si>
  <si>
    <t>Syed Mustafa</t>
  </si>
  <si>
    <t>Qlik Sense</t>
  </si>
  <si>
    <t>Ahtesham Mohammed</t>
  </si>
  <si>
    <t xml:space="preserve">Krushna Rauda </t>
  </si>
  <si>
    <t>Warfan ahmed khan</t>
  </si>
  <si>
    <t>Saif Khan</t>
  </si>
  <si>
    <t>Sana Choudhary</t>
  </si>
  <si>
    <t>Hajra Shaikh</t>
  </si>
  <si>
    <t>Shariqa Lashkar</t>
  </si>
  <si>
    <t>Tehmina Hamduley</t>
  </si>
  <si>
    <t>Yasmeen Shaikh</t>
  </si>
  <si>
    <t>Sadat sir</t>
  </si>
  <si>
    <t>3500AED</t>
  </si>
  <si>
    <t>Salesforce admin</t>
  </si>
  <si>
    <t>Basit Khan</t>
  </si>
  <si>
    <t>Naeem imran</t>
  </si>
  <si>
    <t xml:space="preserve">Asbiya Sadaf </t>
  </si>
  <si>
    <t>Saniya Shaikh</t>
  </si>
  <si>
    <t>Naheed</t>
  </si>
  <si>
    <t>Salesforce Technical</t>
  </si>
  <si>
    <t>Nazmin</t>
  </si>
  <si>
    <t>Akbar</t>
  </si>
  <si>
    <t>Afroz Khan</t>
  </si>
  <si>
    <t>Shaikh Zeeshan Shaikh Rafeeque</t>
  </si>
  <si>
    <t>Salesforce-Eienstein</t>
  </si>
  <si>
    <t xml:space="preserve">Shaikh Samee </t>
  </si>
  <si>
    <t>Minhaj mohammed</t>
  </si>
  <si>
    <t>Sharepoint</t>
  </si>
  <si>
    <t>Ansari Mohammed Arshduddin Mohammed Masooduddin</t>
  </si>
  <si>
    <t>Rahmatullah</t>
  </si>
  <si>
    <t>Huzaif Khot</t>
  </si>
  <si>
    <t>Noorullah Khan</t>
  </si>
  <si>
    <t>Rameez Sufiyan</t>
  </si>
  <si>
    <t>Zishan shaikh</t>
  </si>
  <si>
    <t>Abdul Baseet Baig</t>
  </si>
  <si>
    <t>Shazeena aslam motani</t>
  </si>
  <si>
    <t>Financial Force-PSA</t>
  </si>
  <si>
    <t>Arshi Sayyed</t>
  </si>
  <si>
    <t>Saeed Shaikh</t>
  </si>
  <si>
    <t>Mehboob</t>
  </si>
  <si>
    <t>imran patel</t>
  </si>
  <si>
    <t>Anam Khan</t>
  </si>
  <si>
    <t>Saba</t>
  </si>
  <si>
    <t>Sidra Ansari</t>
  </si>
  <si>
    <t>Huzaif Khan</t>
  </si>
  <si>
    <t>Rijvana</t>
  </si>
  <si>
    <t xml:space="preserve">Swati Amode </t>
  </si>
  <si>
    <t xml:space="preserve">Mahek Shaikh </t>
  </si>
  <si>
    <t>Humera Shaikh</t>
  </si>
  <si>
    <t>Saleha Khan</t>
  </si>
  <si>
    <t xml:space="preserve">after 1 year will be pay bonus </t>
  </si>
  <si>
    <t>Samee Quarterly bonus</t>
  </si>
  <si>
    <t>Sadat sir UAE</t>
  </si>
  <si>
    <t>Ziaullah propotion bonus</t>
  </si>
  <si>
    <t>Commitment Start date</t>
  </si>
  <si>
    <t>Commitment End date</t>
  </si>
  <si>
    <t>This year 2023 bonus amount</t>
  </si>
  <si>
    <t>Deposit bonus Amount along with us till 2023 paid after notice period /Contract</t>
  </si>
  <si>
    <t>To be Paid with Salary in Jan 2023</t>
  </si>
  <si>
    <t>To be Paid with Salary in Feb 2023</t>
  </si>
  <si>
    <t>To be Paid with Salary in Mar 2023</t>
  </si>
  <si>
    <t>To be Paid with Salary in Apr 2023</t>
  </si>
  <si>
    <t>To be Paid with Salary in May 2023</t>
  </si>
  <si>
    <t>To be Paid with Salary in Jun 2023</t>
  </si>
  <si>
    <t>To be Paid with Salary in July 2023</t>
  </si>
  <si>
    <t>To be Paid with Salary in Aug 2023</t>
  </si>
  <si>
    <t>To be Paid with Salary in Sep 2023</t>
  </si>
  <si>
    <t>To be Paid with Salary in Oct 2023</t>
  </si>
  <si>
    <t>To be Paid with Salary in Nov 2023</t>
  </si>
  <si>
    <t>To be Paid with Salary in Dec 2023</t>
  </si>
  <si>
    <t>remaining 2023</t>
  </si>
  <si>
    <t>Akbar Sir</t>
  </si>
  <si>
    <t>#REF!</t>
  </si>
  <si>
    <t>Tanzeela Shaikh</t>
  </si>
  <si>
    <t>Farheen Sultanpuri</t>
  </si>
  <si>
    <t>Alfahad Shaikh</t>
  </si>
  <si>
    <t>Yasir khan</t>
  </si>
  <si>
    <t>Naeem Imran</t>
  </si>
  <si>
    <t>Hamza khot</t>
  </si>
  <si>
    <t xml:space="preserve">Arshad Ansari </t>
  </si>
  <si>
    <t xml:space="preserve">Saif Khan </t>
  </si>
  <si>
    <t>Krushna Rauda</t>
  </si>
  <si>
    <t>Fahim Shaikh</t>
  </si>
  <si>
    <t>Abdus Samad Chaudhary</t>
  </si>
  <si>
    <t>Shariqa Lashkar (Performance Bonus)</t>
  </si>
  <si>
    <t>Shariqa Lashkar (Lead Bonus)</t>
  </si>
  <si>
    <t>Sana  Choudhary</t>
  </si>
  <si>
    <t>Heena khan</t>
  </si>
  <si>
    <t>Shama Parveen</t>
  </si>
  <si>
    <t>On Stipend</t>
  </si>
  <si>
    <t>Swati Amode</t>
  </si>
  <si>
    <t>Nazmin Shaikh</t>
  </si>
  <si>
    <t>Naheed Khan</t>
  </si>
  <si>
    <t>loan deduct</t>
  </si>
  <si>
    <t>Mehboob Shaikh</t>
  </si>
  <si>
    <t>Imran patel</t>
  </si>
  <si>
    <t>Neesha Yadav</t>
  </si>
  <si>
    <t>Shaikh Samee</t>
  </si>
  <si>
    <t>Saleha khan</t>
  </si>
  <si>
    <t>Noorullah khan</t>
  </si>
  <si>
    <t xml:space="preserve">Mohammed Rahmatullah </t>
  </si>
  <si>
    <t>Ansari MohammedArshduddin MohammedMasooduddin</t>
  </si>
  <si>
    <t>Baseet Baig</t>
  </si>
  <si>
    <t>Saniya khanam</t>
  </si>
  <si>
    <t xml:space="preserve">Amir shaikh </t>
  </si>
  <si>
    <t>Wordpress</t>
  </si>
  <si>
    <t>Lead Bonus</t>
  </si>
  <si>
    <t>Remark</t>
  </si>
  <si>
    <t>This year 2024 bonus amount</t>
  </si>
  <si>
    <t>To be Paid with Salary in Jan 2024</t>
  </si>
  <si>
    <t>To be Paid with Salary in Feb 2024</t>
  </si>
  <si>
    <t>To be Paid with Salary in Mar 2024</t>
  </si>
  <si>
    <t>To be Paid with Salary in Apr 2024</t>
  </si>
  <si>
    <t>To be Paid with Salary in May 2024</t>
  </si>
  <si>
    <t>To be Paid with Salary in Jun 2024</t>
  </si>
  <si>
    <t>To be Paid with Salary in July 2024</t>
  </si>
  <si>
    <t>To be Paid with Salary in Aug 2024</t>
  </si>
  <si>
    <t>To be Paid with Salary in Oct 2024</t>
  </si>
  <si>
    <t>To be Paid with Salary in Nov 2024</t>
  </si>
  <si>
    <t>To be Paid with Salary in Dec 2024</t>
  </si>
  <si>
    <t>Ajida Samani</t>
  </si>
  <si>
    <t>HR</t>
  </si>
  <si>
    <t>Joget</t>
  </si>
  <si>
    <t>Arshduddin Ansari MohammedMasooduddin</t>
  </si>
  <si>
    <t>Zaif Khan</t>
  </si>
  <si>
    <t>Rifah Shaikh</t>
  </si>
  <si>
    <t>Marketing</t>
  </si>
  <si>
    <t>Sayed Yasir</t>
  </si>
  <si>
    <t>Muzaffar Sayyed</t>
  </si>
  <si>
    <t>Kashaf Shaikh</t>
  </si>
  <si>
    <t>Power Bi</t>
  </si>
  <si>
    <t>PowerApps</t>
  </si>
  <si>
    <t>Shahad Alam Chaudary</t>
  </si>
  <si>
    <t>Sufiya kalepad</t>
  </si>
  <si>
    <t>Pratham</t>
  </si>
  <si>
    <t>Shaziya Shaikh</t>
  </si>
  <si>
    <t>Shirin Muzaffar</t>
  </si>
  <si>
    <t>After 2 month salary</t>
  </si>
  <si>
    <t>Mohammad Faiz</t>
  </si>
  <si>
    <t>Shaikh Saif</t>
  </si>
  <si>
    <t>Vishakah</t>
  </si>
  <si>
    <t>Salesforce CPQ</t>
  </si>
  <si>
    <t>Owais Chipa</t>
  </si>
  <si>
    <t>not submited 3 videos</t>
  </si>
  <si>
    <t xml:space="preserve">after 2 month salary </t>
  </si>
  <si>
    <t xml:space="preserve">Name </t>
  </si>
  <si>
    <t xml:space="preserve">Bonus </t>
  </si>
  <si>
    <t xml:space="preserve">Client Bonus </t>
  </si>
  <si>
    <t>Client Name</t>
  </si>
  <si>
    <t xml:space="preserve">Total bonus amount </t>
  </si>
  <si>
    <t xml:space="preserve">Nagma Khan </t>
  </si>
  <si>
    <t>Share point</t>
  </si>
  <si>
    <t>Retail First</t>
  </si>
  <si>
    <t>ThinkBiz</t>
  </si>
  <si>
    <t>Cloud360</t>
  </si>
  <si>
    <t>Samee shaikh</t>
  </si>
  <si>
    <t>Aamir Dalvi</t>
  </si>
  <si>
    <t>Jellyfish</t>
  </si>
  <si>
    <t>Abu Syfiyan</t>
  </si>
  <si>
    <t>Thinkbiz</t>
  </si>
  <si>
    <t>Abdus Samad</t>
  </si>
  <si>
    <t>PRODEVA</t>
  </si>
  <si>
    <t>Nesha Yadav</t>
  </si>
  <si>
    <t>Digital Media Solutions</t>
  </si>
  <si>
    <t xml:space="preserve">Raheem </t>
  </si>
  <si>
    <t>Maaz Chougle</t>
  </si>
  <si>
    <t>PWC</t>
  </si>
  <si>
    <t xml:space="preserve">Total </t>
  </si>
  <si>
    <t>paid</t>
  </si>
  <si>
    <t>Not applicable</t>
  </si>
  <si>
    <t>Target based on Old criteria</t>
  </si>
  <si>
    <t>Month</t>
  </si>
  <si>
    <t>Person Name</t>
  </si>
  <si>
    <t>Count of Registered Domain</t>
  </si>
  <si>
    <t>Count Available In SEM RD</t>
  </si>
  <si>
    <t>DA Available</t>
  </si>
  <si>
    <t>Registered Percentage (%)</t>
  </si>
  <si>
    <t>DA Registered</t>
  </si>
  <si>
    <t>Taget DA</t>
  </si>
  <si>
    <t>Bonus DA</t>
  </si>
  <si>
    <t>Rate per DA</t>
  </si>
  <si>
    <t>Additional Bonus Amt</t>
  </si>
  <si>
    <t>Target Achieved Bonus amt</t>
  </si>
  <si>
    <t>Total Bonus</t>
  </si>
  <si>
    <t>23-March to 30-April</t>
  </si>
  <si>
    <t>Farheen</t>
  </si>
  <si>
    <t>Shaziya</t>
  </si>
  <si>
    <t>Samreen</t>
  </si>
  <si>
    <t>*10%</t>
  </si>
  <si>
    <t>Rifah Bonus</t>
  </si>
  <si>
    <t>Lead target per month</t>
  </si>
  <si>
    <t>Target new lead per month to be generated by linkedin , phone , email etc</t>
  </si>
  <si>
    <t>Lead reached to meeting stage</t>
  </si>
  <si>
    <t>Lead reached to proposal stage</t>
  </si>
  <si>
    <t>Note: Bonus will be linked with Leads generated as follows</t>
  </si>
  <si>
    <t>Aban group compnaies are not included in above</t>
  </si>
  <si>
    <t>till september 2022</t>
  </si>
  <si>
    <t>Name</t>
  </si>
  <si>
    <t>Total Hold Bonus</t>
  </si>
  <si>
    <t>Status</t>
  </si>
  <si>
    <t xml:space="preserve">Shahid </t>
  </si>
  <si>
    <t xml:space="preserve">Rehan </t>
  </si>
  <si>
    <t>correct</t>
  </si>
  <si>
    <t xml:space="preserve">Till December </t>
  </si>
  <si>
    <t>Amir Dalvi hold bonus amount</t>
  </si>
  <si>
    <t>Will be paid in October 2023</t>
  </si>
  <si>
    <t xml:space="preserve">Shamsahd </t>
  </si>
  <si>
    <t>Client Bonus</t>
  </si>
  <si>
    <t>Musharraf</t>
  </si>
  <si>
    <t>1,29,000</t>
  </si>
  <si>
    <t>Shahrukh</t>
  </si>
  <si>
    <t>Deposit Amount</t>
  </si>
  <si>
    <t>On Hold</t>
  </si>
  <si>
    <t>Need to be paid</t>
  </si>
  <si>
    <t>Paid</t>
  </si>
  <si>
    <t>Manzar</t>
  </si>
  <si>
    <t>Shahezad</t>
  </si>
  <si>
    <t>15000 paid him in advance</t>
  </si>
  <si>
    <t>Asmina</t>
  </si>
  <si>
    <t xml:space="preserve">Fahmida </t>
  </si>
  <si>
    <t>Nabeela</t>
  </si>
  <si>
    <t xml:space="preserve">Tareq </t>
  </si>
  <si>
    <t xml:space="preserve">Javed </t>
  </si>
  <si>
    <t>Mohsin</t>
  </si>
  <si>
    <t>Mohsin new contract 2022</t>
  </si>
  <si>
    <t>from june 2022 till May 2023</t>
  </si>
  <si>
    <t xml:space="preserve">Warfan </t>
  </si>
  <si>
    <t>Will be paid when he will leave iqra</t>
  </si>
  <si>
    <t>Rahmatullah (First Contract)</t>
  </si>
  <si>
    <t>Rahmatullah (Second Contract)</t>
  </si>
  <si>
    <t>Need to paid</t>
  </si>
  <si>
    <t>Mudassir</t>
  </si>
  <si>
    <t xml:space="preserve">Nagma </t>
  </si>
  <si>
    <t>Will be paid when she will be left iqra</t>
  </si>
  <si>
    <t>Noorul hasan</t>
  </si>
  <si>
    <t>Hold</t>
  </si>
  <si>
    <t>need to be paid</t>
  </si>
  <si>
    <t>67000(36000old hold bonus+31000 new)till september month 2022</t>
  </si>
  <si>
    <t>Maaz</t>
  </si>
  <si>
    <t xml:space="preserve">Swati </t>
  </si>
  <si>
    <t xml:space="preserve">Muzaffar </t>
  </si>
  <si>
    <t>total Hold</t>
  </si>
  <si>
    <t xml:space="preserve">Tauseef </t>
  </si>
  <si>
    <t>Neha</t>
  </si>
  <si>
    <t xml:space="preserve">Arshaduddin </t>
  </si>
  <si>
    <t xml:space="preserve">Irfan </t>
  </si>
  <si>
    <t xml:space="preserve">Samad </t>
  </si>
  <si>
    <t xml:space="preserve">Ahtesham </t>
  </si>
  <si>
    <t xml:space="preserve">Krushna </t>
  </si>
  <si>
    <t>1 year bonus</t>
  </si>
  <si>
    <t xml:space="preserve">Hajra </t>
  </si>
  <si>
    <t xml:space="preserve">Khizer </t>
  </si>
  <si>
    <t xml:space="preserve">Zeeshan Shaikh </t>
  </si>
  <si>
    <t>54000client bonus</t>
  </si>
  <si>
    <t>Ateef</t>
  </si>
  <si>
    <t>imran ahmed</t>
  </si>
  <si>
    <t>24000+42000=66000(teaching bonus)</t>
  </si>
  <si>
    <t xml:space="preserve">Imran Patel </t>
  </si>
  <si>
    <t>Sohail inamdar</t>
  </si>
  <si>
    <t>plz check once</t>
  </si>
  <si>
    <t>Amir shaikh</t>
  </si>
  <si>
    <t>Shariqa</t>
  </si>
  <si>
    <t>Tehmina</t>
  </si>
  <si>
    <t xml:space="preserve">Till  December </t>
  </si>
  <si>
    <t xml:space="preserve">Tanzeela Shaikh </t>
  </si>
  <si>
    <t xml:space="preserve">Abdul Nausheed </t>
  </si>
  <si>
    <t xml:space="preserve">Noorullah Khan </t>
  </si>
  <si>
    <t>Mahek Shaikh</t>
  </si>
  <si>
    <t xml:space="preserve">Asbiya </t>
  </si>
  <si>
    <t>Humera</t>
  </si>
  <si>
    <t>92192 already paid till Jan 2023</t>
  </si>
  <si>
    <t>Afroz</t>
  </si>
  <si>
    <t xml:space="preserve">Akbar </t>
  </si>
  <si>
    <t xml:space="preserve">Hold bonus amount paid </t>
  </si>
  <si>
    <t>hold bonus amount paid when they left iqra</t>
  </si>
  <si>
    <t xml:space="preserve"> bonus after 1 yr</t>
  </si>
  <si>
    <t>Sr no</t>
  </si>
  <si>
    <t>Employee Name</t>
  </si>
  <si>
    <t>Bonus</t>
  </si>
  <si>
    <t>Commitment Start Date</t>
  </si>
  <si>
    <t>Commitment End Date</t>
  </si>
  <si>
    <t>Hold Bonus deposit with us</t>
  </si>
  <si>
    <t>Paid Till</t>
  </si>
  <si>
    <t>Started Holding from</t>
  </si>
  <si>
    <t>Bonus Status</t>
  </si>
  <si>
    <t>Aaliya Bhatkar</t>
  </si>
  <si>
    <t>Monthly</t>
  </si>
  <si>
    <t>Not having bonus in his current contract</t>
  </si>
  <si>
    <t>Yearly</t>
  </si>
  <si>
    <t xml:space="preserve">Akbar Shaikh </t>
  </si>
  <si>
    <t>Left Employee</t>
  </si>
  <si>
    <t>Faaiza Shaikh</t>
  </si>
  <si>
    <t>Hamza Khot</t>
  </si>
  <si>
    <t>Imran Ahmad</t>
  </si>
  <si>
    <t>Mahek shaikh</t>
  </si>
  <si>
    <t>no Bonus</t>
  </si>
  <si>
    <t>Minhaj Mohammed</t>
  </si>
  <si>
    <t>No Bonus in Current Contract</t>
  </si>
  <si>
    <t>Mustaqeem Shaikh</t>
  </si>
  <si>
    <t>Muzaffar Syed</t>
  </si>
  <si>
    <t xml:space="preserve">Nazmin Patel </t>
  </si>
  <si>
    <t>no bonus</t>
  </si>
  <si>
    <t>Half Amount on Hold</t>
  </si>
  <si>
    <t>Sana Chaudary</t>
  </si>
  <si>
    <t>Shahad Chaudary</t>
  </si>
  <si>
    <r>
      <rPr>
        <sz val="11"/>
        <color rgb="FF000000"/>
        <rFont val="Arial"/>
        <family val="2"/>
      </rPr>
      <t>Shaikh Ir</t>
    </r>
    <r>
      <rPr>
        <sz val="11"/>
        <color theme="1"/>
        <rFont val="Arial"/>
        <family val="2"/>
      </rPr>
      <t>fan</t>
    </r>
  </si>
  <si>
    <t>ta</t>
  </si>
  <si>
    <t>Summary till 21st July 2023</t>
  </si>
  <si>
    <t>Back up name</t>
  </si>
  <si>
    <t>Shahid Quadri</t>
  </si>
  <si>
    <t>Maaz Chaugle</t>
  </si>
  <si>
    <t>Rehan Shaikh</t>
  </si>
  <si>
    <t>Nazmin Ali Pande</t>
  </si>
  <si>
    <t>Akber Shaikh</t>
  </si>
  <si>
    <t>Mahek</t>
  </si>
  <si>
    <t>Vishakha Wagh</t>
  </si>
  <si>
    <t>Nisha Yadav</t>
  </si>
  <si>
    <t>Asmina Shaikh</t>
  </si>
  <si>
    <t>Summary till 21st AUG 2023</t>
  </si>
  <si>
    <t>Summary till 21st September 2023</t>
  </si>
  <si>
    <t>Summary till Oct 21st 2023</t>
  </si>
  <si>
    <t>Summary till Nov 21st 2023</t>
  </si>
  <si>
    <t>Summary till Dec 21st 2023</t>
  </si>
  <si>
    <t>Summary till Jan 21st 2024</t>
  </si>
  <si>
    <t>Summary till Feb 21st 2024</t>
  </si>
  <si>
    <t>Summary till March 20th 2024</t>
  </si>
  <si>
    <t>Backup name</t>
  </si>
  <si>
    <t>Core Member</t>
  </si>
  <si>
    <t>Backup Type</t>
  </si>
  <si>
    <t xml:space="preserve">Current Work Handling Status </t>
  </si>
  <si>
    <t>Working Oct Target</t>
  </si>
  <si>
    <t>Training Target</t>
  </si>
  <si>
    <t>Work handling Target Achieved %</t>
  </si>
  <si>
    <t>Training Target Achieved %</t>
  </si>
  <si>
    <t>Bonus by Mustaqeem</t>
  </si>
  <si>
    <t>Salesforce Development</t>
  </si>
  <si>
    <t>Marketing  Team Bonus Structure</t>
  </si>
  <si>
    <t>Month start date for  monthly registration sheet</t>
  </si>
  <si>
    <t>22nd of the month</t>
  </si>
  <si>
    <t>Month end date  for  monthly registration sheet</t>
  </si>
  <si>
    <t>22nd of next month</t>
  </si>
  <si>
    <t>No. of total DA to be achieved to qualify for bonus</t>
  </si>
  <si>
    <t>Sum of all DA on which Iqra Technology is registered</t>
  </si>
  <si>
    <t>Bonus Amount</t>
  </si>
  <si>
    <t>If more the Target achived then bonus will be paid @ Rs 11 per DA</t>
  </si>
  <si>
    <t>Eligible for Bonus Rifah, Farheen Ansari, Shaziya</t>
  </si>
  <si>
    <r>
      <rPr>
        <b/>
        <u/>
        <sz val="11"/>
        <color theme="1"/>
        <rFont val="Arial"/>
        <family val="2"/>
      </rPr>
      <t>DA accounting process</t>
    </r>
    <r>
      <rPr>
        <b/>
        <sz val="11"/>
        <color theme="1"/>
        <rFont val="Arial"/>
        <family val="2"/>
      </rPr>
      <t>:</t>
    </r>
    <r>
      <rPr>
        <sz val="11"/>
        <color theme="1"/>
        <rFont val="Arial"/>
        <family val="2"/>
      </rPr>
      <t xml:space="preserve"> All website where you have registered will be maintained with date range on 22nd of the month you will pass the sheet to Sana for verification, all those added in the DA will be mentioned, at the end of 2nd month we will review how many sites are added in DA and accordingly pay the bonus based on no. of websites added</t>
    </r>
  </si>
  <si>
    <t xml:space="preserve">Contract end date </t>
  </si>
  <si>
    <t>not on contract</t>
  </si>
  <si>
    <t>10 hours deducted for 6 leaves</t>
  </si>
  <si>
    <t>Worked for 14 Days</t>
  </si>
  <si>
    <t>project got started from 5th Dec 2023</t>
  </si>
  <si>
    <r>
      <rPr>
        <sz val="11"/>
        <color theme="1"/>
        <rFont val="Arial"/>
        <family val="2"/>
      </rPr>
      <t>Will get 45,000 client-facing bonus at the end of 3 months</t>
    </r>
    <r>
      <rPr>
        <sz val="11"/>
        <color rgb="FFFF0000"/>
        <rFont val="Arial"/>
        <family val="2"/>
      </rPr>
      <t xml:space="preserve"> if the project goes live within 3 months</t>
    </r>
  </si>
  <si>
    <t>Optis Consulting</t>
  </si>
  <si>
    <t>Traininig Target</t>
  </si>
  <si>
    <t>Bonus by Shahid</t>
  </si>
  <si>
    <t>Maaz Choughle</t>
  </si>
  <si>
    <t>First</t>
  </si>
  <si>
    <t>Sales admin- Client/Conga and Adobe</t>
  </si>
  <si>
    <t>Completed</t>
  </si>
  <si>
    <t>Working on production</t>
  </si>
  <si>
    <t xml:space="preserve"> Conga/Adobe</t>
  </si>
  <si>
    <t>100% Target achieved in Nov Month</t>
  </si>
  <si>
    <t>Mustaeeqm</t>
  </si>
  <si>
    <t>Sohail</t>
  </si>
  <si>
    <t>paid monhly</t>
  </si>
  <si>
    <t>paid yearly</t>
  </si>
  <si>
    <t>remaining</t>
  </si>
  <si>
    <t>June 21 to Feb 22</t>
  </si>
  <si>
    <t>Sep and Oct 22</t>
  </si>
  <si>
    <t>-</t>
  </si>
  <si>
    <t xml:space="preserve">Hold bonus </t>
  </si>
  <si>
    <t>Arshi</t>
  </si>
  <si>
    <t>Year</t>
  </si>
  <si>
    <t>Total Paid</t>
  </si>
  <si>
    <t>Remaining</t>
  </si>
  <si>
    <t>Monthly + Client Remaining Bonus</t>
  </si>
  <si>
    <t>Ahtesham Bonus Calulation</t>
  </si>
  <si>
    <t>March</t>
  </si>
  <si>
    <t>Deposited</t>
  </si>
  <si>
    <t>September</t>
  </si>
  <si>
    <t>Already paid</t>
  </si>
  <si>
    <t>October</t>
  </si>
  <si>
    <t>November</t>
  </si>
  <si>
    <t>December</t>
  </si>
  <si>
    <t>Remaining Hold Bonus</t>
  </si>
  <si>
    <t>Tareq</t>
  </si>
  <si>
    <t>Hold Bonus from Sep 2022 to Aug 2023</t>
  </si>
  <si>
    <t xml:space="preserve">Total Hold Bonus </t>
  </si>
  <si>
    <t>Naeem (PAID)</t>
  </si>
  <si>
    <t>Naeem (NEW) (paid)</t>
  </si>
  <si>
    <t>Hold Bonus from Oct 2022 to Sep 2023</t>
  </si>
  <si>
    <t>Hold Bonus from Oct 2023 to Feb 2024</t>
  </si>
  <si>
    <t xml:space="preserve">                                   -</t>
  </si>
  <si>
    <t>Total Hold Bonus Amount</t>
  </si>
  <si>
    <t>Hold Bonus from April 2022 to Sep 2023</t>
  </si>
  <si>
    <t>Performance Bonus</t>
  </si>
  <si>
    <t>Client Facing Bonus</t>
  </si>
  <si>
    <t>Asmina Hold Bonus from July 2022 to Sep 2023</t>
  </si>
  <si>
    <t>Anam Hold Bonus from Sep 2022 to Sep 2023</t>
  </si>
  <si>
    <t>Anam</t>
  </si>
  <si>
    <t>Saif</t>
  </si>
  <si>
    <t>Total hold Bonus</t>
  </si>
  <si>
    <t>Half Bonus paid in Sep 2023</t>
  </si>
  <si>
    <t>Noorul</t>
  </si>
  <si>
    <t>Hold bonus from Sep 2022 to Sep 2023</t>
  </si>
  <si>
    <t>Hold bonus from Sep 2022 to Oct 2023</t>
  </si>
  <si>
    <t>Zeeshan Shaikh Hold Bonus from May 2021 to Oct 2023</t>
  </si>
  <si>
    <t>Performance Bonus 2021-2023</t>
  </si>
  <si>
    <t>client bonus 2022-2023</t>
  </si>
  <si>
    <t>total bonus</t>
  </si>
  <si>
    <t>total clinet bonus</t>
  </si>
  <si>
    <t xml:space="preserve">Hold Bonus Need to Pay </t>
  </si>
  <si>
    <t>total - monthly paid</t>
  </si>
  <si>
    <t>total - hold paid</t>
  </si>
  <si>
    <t>remaining - 1826</t>
  </si>
  <si>
    <t>remaining amt</t>
  </si>
  <si>
    <t>Arshduddin</t>
  </si>
  <si>
    <t>Hold Bonus from Sep 2022 to Oct 2023</t>
  </si>
  <si>
    <t>Hold Bonus from April 2023 to Oct 2023</t>
  </si>
  <si>
    <t>Hold Bonus from May 2023 to Oct 2023</t>
  </si>
  <si>
    <t>Hold Bonus from Sep 2022 to Sep 2023</t>
  </si>
  <si>
    <t>Naeem</t>
  </si>
  <si>
    <t>Arshad Ansari (OIC)</t>
  </si>
  <si>
    <t xml:space="preserve"> Hold Bonus from Jan 2023 to Oct 2023</t>
  </si>
  <si>
    <t xml:space="preserve">Ziaullah </t>
  </si>
  <si>
    <t>Hold Bonus from Nov 2022 to Oct 2023</t>
  </si>
  <si>
    <t>Krushna</t>
  </si>
  <si>
    <t>Ziaullah Hold Bonus from March 2023 to Oct 2023</t>
  </si>
  <si>
    <t>Mustafa</t>
  </si>
  <si>
    <t>Yasmeen Hold Bonus From Jan 2023 to Jan 2024</t>
  </si>
  <si>
    <t>Imran patel hold bonus from Oct 2022 to Oct 2023</t>
  </si>
  <si>
    <t xml:space="preserve">Oct </t>
  </si>
  <si>
    <t xml:space="preserve">Feb </t>
  </si>
  <si>
    <t>Aprl</t>
  </si>
  <si>
    <t xml:space="preserve">sept </t>
  </si>
  <si>
    <t>Huzaif khot</t>
  </si>
  <si>
    <t>Huzaif khot hold bonus from Jan 2023 to Oct 2023</t>
  </si>
  <si>
    <t>july</t>
  </si>
  <si>
    <t>august</t>
  </si>
  <si>
    <t>Rahmatullah hold bonus from july 2023 to oct 2023</t>
  </si>
  <si>
    <t xml:space="preserve">Sept </t>
  </si>
  <si>
    <t>zishan hold bonus from June 2023 to Oct 2023</t>
  </si>
  <si>
    <t>aug</t>
  </si>
  <si>
    <t>sept</t>
  </si>
  <si>
    <t>Sidra</t>
  </si>
  <si>
    <t>Hold Bonus from Jan 2023 to Jan 2024</t>
  </si>
  <si>
    <t>Baseet hold bonus from nov 2022 to oct 2023</t>
  </si>
  <si>
    <t>aprl</t>
  </si>
  <si>
    <t>Hold Bonus from Dec 2022 to Oct 2023</t>
  </si>
  <si>
    <t>Hold Bonus from Oct 2022 to Feb 2024</t>
  </si>
  <si>
    <t>Hold Bonus from Aug 2023 to Oct 2023</t>
  </si>
  <si>
    <t>Hold Bonus from July 2023 to Oct 2023</t>
  </si>
  <si>
    <t>Hold Bonus from Jan 2023 to Oct 2023</t>
  </si>
  <si>
    <t>Hold Bonus from Oct 2022 to Oct 2023</t>
  </si>
  <si>
    <t>Fahim</t>
  </si>
  <si>
    <t>Hold Bonus from Sep 2023 to Oct 2023</t>
  </si>
  <si>
    <t>Heena Khan</t>
  </si>
  <si>
    <t>Hold Bonus from Sep 2023 to Jan 2024</t>
  </si>
  <si>
    <t>Hold Bonus From Jan 2023 to Jan 2024</t>
  </si>
  <si>
    <t>Hajra</t>
  </si>
  <si>
    <t>Hold Bonus from Jan 2022 to March 2022 &amp; Feb 2024</t>
  </si>
  <si>
    <t>Amount</t>
  </si>
  <si>
    <t>Reason</t>
  </si>
  <si>
    <t>Best Performance</t>
  </si>
  <si>
    <t>Target Achieved</t>
  </si>
  <si>
    <t>She got an Enquiry for Sharepoint (Oman)
Meeting Done with Sajid Sir + Proposal sent {According to sales bonus rule she will get 3,000}</t>
  </si>
  <si>
    <t>first</t>
  </si>
  <si>
    <t>Not achived</t>
  </si>
  <si>
    <t>working on conga and adobe tickets</t>
  </si>
  <si>
    <t>FF</t>
  </si>
  <si>
    <t>CPQ</t>
  </si>
  <si>
    <t>BA</t>
  </si>
  <si>
    <t>Working Sept Target</t>
  </si>
  <si>
    <t>not completed</t>
  </si>
  <si>
    <t>Form Assembly and Conga/Adobe</t>
  </si>
  <si>
    <t>form assembly completed and conga and adobe is 40%</t>
  </si>
  <si>
    <t>Conga/Adobe/Dev</t>
  </si>
  <si>
    <t>100% ( 3projects)</t>
  </si>
  <si>
    <t>Working with sir</t>
  </si>
  <si>
    <t>Not completed</t>
  </si>
  <si>
    <t>No improvement</t>
  </si>
  <si>
    <t>Second</t>
  </si>
  <si>
    <t>on Stipend</t>
  </si>
  <si>
    <t xml:space="preserve">Sales admin complete. </t>
  </si>
  <si>
    <t>Improved</t>
  </si>
  <si>
    <t>target not completed</t>
  </si>
  <si>
    <t>Task</t>
  </si>
  <si>
    <t>Comments</t>
  </si>
  <si>
    <t>Shazeena memon</t>
  </si>
  <si>
    <t>No Tasks Assigned</t>
  </si>
  <si>
    <t>support client as we got the project</t>
  </si>
  <si>
    <t>Blog Writing</t>
  </si>
  <si>
    <t>Not Completed</t>
  </si>
  <si>
    <t>Have to manage service now request and response all users, Need to work on tickets raise by any of member, Need to work on Enhancement request by any of member &amp; Connect with the users who need help and explain them</t>
  </si>
  <si>
    <t>Saleha</t>
  </si>
  <si>
    <t>Learnt and Implement AI modules like prediction builder, Einstein discovery at least 50%</t>
  </si>
  <si>
    <t>1 Blog with 1200 words and 3 snippets with each 300 words.</t>
  </si>
  <si>
    <t>Work on PowerBI dashboard and predictions.</t>
  </si>
  <si>
    <t>Worked partially since assigned different work</t>
  </si>
  <si>
    <t>Assigned work on AI tool such as prediction builder and Einstein discovery.</t>
  </si>
  <si>
    <t>Work Handling first backup</t>
  </si>
  <si>
    <t>Working Aug Target</t>
  </si>
  <si>
    <t>Lighting &amp; Aura &amp; technical project - Complete 3 project what other team member have done</t>
  </si>
  <si>
    <t>100% (3projects)</t>
  </si>
  <si>
    <t>Created 3 projed in Lightning Aura,  she can handle 50% of my task. she has worked on conga related ticket as well. Work handling target is not complete.</t>
  </si>
  <si>
    <t>on annual leave when conga trianing is going on.</t>
  </si>
  <si>
    <t>Working target and Conga training Target is not complete</t>
  </si>
  <si>
    <t>Integration - 3 projects what team has already done</t>
  </si>
  <si>
    <t>Conga training Target is not complete</t>
  </si>
  <si>
    <t>Nisha Yadav (On Stipend)</t>
  </si>
  <si>
    <t>Move to development training</t>
  </si>
  <si>
    <t>Reapeted mistake everytime, everytime late for standup. Only picking easy tickets, not showing intrest in learning as well. FF training is not complete as well as Conga training</t>
  </si>
  <si>
    <t>Target not complete</t>
  </si>
  <si>
    <t>Rehan Mohammed</t>
  </si>
  <si>
    <t>Based on Performance</t>
  </si>
  <si>
    <t>Asmina shaikh</t>
  </si>
  <si>
    <t>Becoming First Backup of Shahed</t>
  </si>
  <si>
    <t xml:space="preserve"> learning DAX in BI</t>
  </si>
  <si>
    <t>Imran Patel</t>
  </si>
  <si>
    <t>Conga composer and Integration</t>
  </si>
  <si>
    <t>Moved to development training</t>
  </si>
  <si>
    <t>Work on project if it get started and complete the course of powerBI &amp; Blog writing</t>
  </si>
  <si>
    <t>Service now Requests,Jira Tickets ,Enhancement Requests,Support Requests</t>
  </si>
  <si>
    <t>Support on Analytics tasks atleast 30% (IF project get started),Writing a blog (1200 words blog with 3 snippets),Learn PowerBI (Visualization) &amp; Learn DAX (50%)</t>
  </si>
  <si>
    <t>July Target</t>
  </si>
  <si>
    <t>Achieved Target July</t>
  </si>
  <si>
    <t>Bonus July</t>
  </si>
  <si>
    <t>Bonus Remark</t>
  </si>
  <si>
    <t>Shahed Hussain Quadri</t>
  </si>
  <si>
    <t>Lighting &amp; Aura</t>
  </si>
  <si>
    <t>Yes</t>
  </si>
  <si>
    <t>90% completed.</t>
  </si>
  <si>
    <t>6000(Stipend)</t>
  </si>
  <si>
    <t>Conga done 15%</t>
  </si>
  <si>
    <t>yes</t>
  </si>
  <si>
    <t>Integration</t>
  </si>
  <si>
    <t>20% topic complete</t>
  </si>
  <si>
    <t>Asbiya Sadaf</t>
  </si>
  <si>
    <t>Humera submitted resign and she is working on Blog as Asbiya has also left</t>
  </si>
  <si>
    <t>He is not confident on work, remark by Swati</t>
  </si>
  <si>
    <t>Asbiya</t>
  </si>
  <si>
    <t>Her last date was 14th July</t>
  </si>
  <si>
    <t>Conga completed FF trianig started.</t>
  </si>
  <si>
    <t>8 days annual leaves</t>
  </si>
  <si>
    <t>more then 3 month with DMG</t>
  </si>
  <si>
    <t>2 months with Dmg</t>
  </si>
  <si>
    <t>1 month with DMG</t>
  </si>
  <si>
    <t>Core member</t>
  </si>
  <si>
    <t>To understand whole project, taking client system training and working on tickets</t>
  </si>
  <si>
    <t>Complete integration training, learn 50% admin &amp; Prepare for PD2</t>
  </si>
  <si>
    <t>SQL</t>
  </si>
  <si>
    <t>Conga Composer</t>
  </si>
  <si>
    <t>Complete the course of Tableau desktop &amp; Work on the pwc project if it get started</t>
  </si>
  <si>
    <t>tableu training completed and this month target not given yet</t>
  </si>
  <si>
    <t>June Target</t>
  </si>
  <si>
    <t>Achieved Target June</t>
  </si>
  <si>
    <t>Bonus June</t>
  </si>
  <si>
    <t>Apex and Trigger Training</t>
  </si>
  <si>
    <t>Apex understanding is good, completed the Trigger scenario-based assignment</t>
  </si>
  <si>
    <t>He has improved as compare to last month. now he is doing few tickets from his own.</t>
  </si>
  <si>
    <t>She is able to do and understand the issues, I'm unable to give much time to training due to FFupgrade involvement</t>
  </si>
  <si>
    <t>10000 (she was on annual leave so calculate</t>
  </si>
  <si>
    <t>She is able to do and understand the issues. I haven't spent much time on her regarding training.</t>
  </si>
  <si>
    <t>she has done form assembly work , not have much knowledge about flows.</t>
  </si>
  <si>
    <t>He is unable to make a decision, he knows the process and everything but every time asking me</t>
  </si>
  <si>
    <t>He is on Leave from 5th June</t>
  </si>
  <si>
    <t>He is able to do 30% of work practically, he has knowledge of DMG process but unable to do very well.</t>
  </si>
  <si>
    <t>She has done form assembly work., not have much knowledge about flows</t>
  </si>
  <si>
    <t>Not provided much task on production as she is not aware about the DMG process. but she has completed few process on sandboxes</t>
  </si>
  <si>
    <t>Jave Script Exam need to Pass</t>
  </si>
  <si>
    <t>Exam passed</t>
  </si>
  <si>
    <t>Need to Learn Conga</t>
  </si>
  <si>
    <t>learn 30%</t>
  </si>
  <si>
    <t>Give and provide training to new team member</t>
  </si>
  <si>
    <t>50% training provided</t>
  </si>
  <si>
    <t xml:space="preserve">
built the scenario for PPT dashboard and finished it by adding screenshots to the PPT.
Completed one blog and posted to Sana after updating the required changes
Preparing for interview as per CV for 360 cloud, just done with screening round 
Working on second blog for wikipidea 
self training on agile methodology and scrum master</t>
  </si>
  <si>
    <t>On annual leave</t>
  </si>
  <si>
    <t>I'm attending salesforce development classes. 
I help trainees with their development and I am studying for the associate salesforce certification.
I looked into power bi and salesforce integeration.
I'm creating blogs and snippets.
I'm working on admin trailhead modules</t>
  </si>
  <si>
    <t xml:space="preserve">Completed </t>
  </si>
  <si>
    <t xml:space="preserve">Started Watching einstien video 1, Watching Admin video, practicing on personal instance, exploring Financial Service cloud just the objects </t>
  </si>
  <si>
    <t xml:space="preserve">on power bi for next month         </t>
  </si>
  <si>
    <t>Attending the Salesforce Development session. Watching the videos from YouTube, shared drive of Feroz Sir and from the udemy. Also working on the tasks given in session and from the study material.
Investigating related to the articles on Salesforce CPQ also working on the use cases.
Watching the videos of Salesforce Billing. Working on the related tasks and use cases.
Investigating and learning the FFA from shared study material.
Blog Writing
Worked on the tasks from DMG.
Working on the trailhead modules related to the above.</t>
  </si>
  <si>
    <t>QA will be completed by today, exploring other testing softwares and integration for july</t>
  </si>
  <si>
    <t xml:space="preserve">Zeeshan Shgaikh </t>
  </si>
  <si>
    <t xml:space="preserve"> learning SF admin and Tableau server.</t>
  </si>
  <si>
    <t xml:space="preserve">Month </t>
  </si>
  <si>
    <t>Dot net</t>
  </si>
  <si>
    <t>Arshad</t>
  </si>
  <si>
    <t>tareq</t>
  </si>
  <si>
    <t>Target Bonus</t>
  </si>
  <si>
    <t xml:space="preserve"> Amount</t>
  </si>
  <si>
    <t>Mohammed Mohsin</t>
  </si>
  <si>
    <t>Web Development</t>
  </si>
  <si>
    <t>Zeeshan</t>
  </si>
  <si>
    <t>Shaikh Sohel Dastagir</t>
  </si>
  <si>
    <t>Manzar Sayyed</t>
  </si>
  <si>
    <t>Haider Sayyed</t>
  </si>
  <si>
    <t>Shah alam</t>
  </si>
  <si>
    <t>Rizvi Shamshad Ahmed</t>
  </si>
  <si>
    <t>Ibrahim Shaikh</t>
  </si>
  <si>
    <t>Magento</t>
  </si>
  <si>
    <t>Date</t>
  </si>
  <si>
    <t xml:space="preserve">Amir </t>
  </si>
  <si>
    <t>Yusuf</t>
  </si>
  <si>
    <t>Akram</t>
  </si>
  <si>
    <t>Raiyan Chaus</t>
  </si>
  <si>
    <t xml:space="preserve">Ismail Ahmad Khan </t>
  </si>
  <si>
    <t>Total amount</t>
  </si>
  <si>
    <t>Remaining Bonus</t>
  </si>
  <si>
    <t>Mayur Gore</t>
  </si>
  <si>
    <t>Tausif Shaikh</t>
  </si>
  <si>
    <t>Usaid Syed</t>
  </si>
  <si>
    <t>Asif Shaikh</t>
  </si>
  <si>
    <t>Mohsin inamdar</t>
  </si>
  <si>
    <t>Shaikh Usama</t>
  </si>
  <si>
    <t>Murtuza</t>
  </si>
  <si>
    <t>Zahera</t>
  </si>
  <si>
    <t>Sohel Ahemad Shaikh</t>
  </si>
  <si>
    <t>He is not an employee he is taking dev training we have moved back him on stipend</t>
  </si>
  <si>
    <t>Taleb</t>
  </si>
  <si>
    <t>Kamala</t>
  </si>
  <si>
    <t>Muntajeeb</t>
  </si>
  <si>
    <t>Whole month absent</t>
  </si>
  <si>
    <t>Madiha pathan</t>
  </si>
  <si>
    <t>Mehlaqa Khna</t>
  </si>
  <si>
    <t>Mustakim</t>
  </si>
  <si>
    <t>Danish</t>
  </si>
  <si>
    <t>Wasif</t>
  </si>
  <si>
    <t>Intekhab Alam</t>
  </si>
  <si>
    <t>Salesforce-Conga</t>
  </si>
  <si>
    <t>Amaan</t>
  </si>
  <si>
    <t>last date 11 march</t>
  </si>
  <si>
    <t>Shahezad Shaikh Sajid</t>
  </si>
  <si>
    <t>Mohammad Muzaffaruddin Mumtazuddin</t>
  </si>
  <si>
    <t>Wordpress/PHP</t>
  </si>
  <si>
    <t>Abdul Ahad</t>
  </si>
  <si>
    <t>Imran Khan</t>
  </si>
  <si>
    <t>Arzoo</t>
  </si>
  <si>
    <t>4 days annaual leave</t>
  </si>
  <si>
    <t>Mustafa Shaikh</t>
  </si>
  <si>
    <t>saba</t>
  </si>
  <si>
    <t>Sayed Najeeb</t>
  </si>
  <si>
    <t>Khan shaista sohail ahmed</t>
  </si>
  <si>
    <t>Mohammad Salman</t>
  </si>
  <si>
    <t xml:space="preserve">Teaching Bonus </t>
  </si>
  <si>
    <t xml:space="preserve">After 1 year </t>
  </si>
  <si>
    <t>Shaikh Irfan</t>
  </si>
  <si>
    <t xml:space="preserve">Batul Kazi </t>
  </si>
  <si>
    <t xml:space="preserve">Sales </t>
  </si>
  <si>
    <t xml:space="preserve">her last date was 7 oct </t>
  </si>
  <si>
    <t>Samad Shaikh</t>
  </si>
  <si>
    <t>Shaikh Ibrahim</t>
  </si>
  <si>
    <t>Shaikh Afshan Jabeen</t>
  </si>
  <si>
    <t>Shaikh Khizer</t>
  </si>
  <si>
    <t>His Last date is 15 Nov</t>
  </si>
  <si>
    <t>Last date was 31st Oct</t>
  </si>
  <si>
    <t>His Last date is 31st Oct</t>
  </si>
  <si>
    <t>Employment End date 20 March 2023 (16 present days)</t>
  </si>
  <si>
    <t>Rijvana Shaikh</t>
  </si>
  <si>
    <t>Abdul Nausheed</t>
  </si>
  <si>
    <t>Basit Khan 2023</t>
  </si>
  <si>
    <t>Loan Adjusted</t>
  </si>
  <si>
    <t>Shifa Khan</t>
  </si>
  <si>
    <t>Muneer Ahmad</t>
  </si>
  <si>
    <t>Mohammad Sameer</t>
  </si>
  <si>
    <t>Zeeshan shaikh</t>
  </si>
  <si>
    <t>Bonus has stopped from this month</t>
  </si>
  <si>
    <t>Fully paid</t>
  </si>
  <si>
    <t>Last date was on 16 jan</t>
  </si>
  <si>
    <t>Blog Not Submitted</t>
  </si>
  <si>
    <t>Contract renewed from 11 jan 2024</t>
  </si>
  <si>
    <t xml:space="preserve">11 Leaves ( Last Date On 9 Feb) </t>
  </si>
  <si>
    <t>hold</t>
  </si>
  <si>
    <t>Blog Submitted</t>
  </si>
  <si>
    <t>Last Date 1 March</t>
  </si>
  <si>
    <t>2 days leave</t>
  </si>
  <si>
    <t>Afreen Khan</t>
  </si>
  <si>
    <t>Crashva</t>
  </si>
  <si>
    <t xml:space="preserve">Client </t>
  </si>
  <si>
    <t>Monisa Bushra</t>
  </si>
  <si>
    <t>o</t>
  </si>
  <si>
    <t>Zohra Shaikh</t>
  </si>
  <si>
    <t>Panda</t>
  </si>
  <si>
    <t>after 4 months 60k</t>
  </si>
  <si>
    <t>Sameer Ansari</t>
  </si>
  <si>
    <t>Power Apps</t>
  </si>
  <si>
    <t>low performacne</t>
  </si>
  <si>
    <t>8 days bounsCalculate old salary in new contract there are will be no performance bouns</t>
  </si>
  <si>
    <t>not  on client</t>
  </si>
  <si>
    <t>maaz</t>
  </si>
  <si>
    <t>Irfan</t>
  </si>
  <si>
    <t>Imran ahmed</t>
  </si>
  <si>
    <t>Zeeshan sayyed</t>
  </si>
  <si>
    <t xml:space="preserve">Neha </t>
  </si>
  <si>
    <t>Amir dalvi</t>
  </si>
  <si>
    <t>January</t>
  </si>
  <si>
    <t>February</t>
  </si>
  <si>
    <t xml:space="preserve">Paid Amount </t>
  </si>
  <si>
    <t xml:space="preserve">Remaining Amount </t>
  </si>
  <si>
    <t>Shirin Muzaffar (Lead Bonus)</t>
  </si>
  <si>
    <t>Shirin</t>
  </si>
  <si>
    <t>Till Sep 2024</t>
  </si>
  <si>
    <t>To be Paid with Salary in Sep 2024</t>
  </si>
  <si>
    <t xml:space="preserve">Mohammed Rehanuddin </t>
  </si>
  <si>
    <t xml:space="preserve">Saqlain Supariwala </t>
  </si>
  <si>
    <t xml:space="preserve">         -</t>
  </si>
  <si>
    <t>Left Iqra</t>
  </si>
  <si>
    <t>Hold Bonus from Oct 2023 to Sep 2024</t>
  </si>
  <si>
    <t>Swati (Paid)</t>
  </si>
  <si>
    <t xml:space="preserve">Abdul Raheem </t>
  </si>
  <si>
    <t>Owais</t>
  </si>
  <si>
    <t>2 leaves</t>
  </si>
  <si>
    <t xml:space="preserve">End Contract Client Bonus </t>
  </si>
  <si>
    <t xml:space="preserve">Left Iqra  Client Bonus </t>
  </si>
  <si>
    <t>oct</t>
  </si>
  <si>
    <t>Mustafa Hold Bonus from May 2023 to Oct 2024</t>
  </si>
  <si>
    <t xml:space="preserve">Mohammed Faiz </t>
  </si>
  <si>
    <t>nov</t>
  </si>
  <si>
    <t>JAN</t>
  </si>
  <si>
    <t>FEB</t>
  </si>
  <si>
    <t>MAR</t>
  </si>
  <si>
    <t>APR</t>
  </si>
  <si>
    <t>MAY</t>
  </si>
  <si>
    <t>Aug 2021 to feb2022</t>
  </si>
  <si>
    <t>Saif Shaikh</t>
  </si>
  <si>
    <t>2.5 leaves</t>
  </si>
  <si>
    <t>1 Leave</t>
  </si>
  <si>
    <t>1.5 leaves</t>
  </si>
  <si>
    <t>6.5 Annual leaves</t>
  </si>
  <si>
    <t>3.5 leaves</t>
  </si>
  <si>
    <t>2 Leaves</t>
  </si>
  <si>
    <t>12.5 Annual leaves</t>
  </si>
  <si>
    <t>9 Annual leaves</t>
  </si>
  <si>
    <t>12 Annual leaves</t>
  </si>
  <si>
    <t xml:space="preserve">Comment </t>
  </si>
  <si>
    <t>12 Leaves</t>
  </si>
  <si>
    <t xml:space="preserve">               -</t>
  </si>
  <si>
    <t xml:space="preserve">Not on Client </t>
  </si>
  <si>
    <t xml:space="preserve">Point of Rental (Salesforce CPQ) Singed but terminated focustek (Full Stack developer )contract signed CPPBI (Tableau Development )Contract </t>
  </si>
  <si>
    <t>9.5 Leaves &amp; Blog Not Submitted</t>
  </si>
  <si>
    <t>9 leaves &amp; Blog Not Submitted</t>
  </si>
  <si>
    <t>Blog Not Submitted will submit by tomorrow</t>
  </si>
  <si>
    <t xml:space="preserve">1.5 Leaves &amp; Blog not submitted he will not submit as today is his last date </t>
  </si>
  <si>
    <t>Blog Not Submitted will submit till 25 Dec</t>
  </si>
  <si>
    <t xml:space="preserve">2 leaves </t>
  </si>
  <si>
    <t>0.5 leaves</t>
  </si>
  <si>
    <t>Odoo</t>
  </si>
  <si>
    <t>bank account not opened</t>
  </si>
  <si>
    <t>1 leaves</t>
  </si>
  <si>
    <t>3 leaves 7182</t>
  </si>
  <si>
    <t>1 half day and 2 leaves</t>
  </si>
  <si>
    <t>low performance</t>
  </si>
  <si>
    <t>Blog Not Submitted will submit after project</t>
  </si>
  <si>
    <t>In this case contract start date is next month  and too long when rules were made we assumed contract will start in few days of siging. also from now onwards if contact for 15 days trail period only once we pass 15 days and contract goes ahead it can  be considered as final contact  and will be counted in pass 15 days for bonus calculation .Foster is not standard contract,  it is   business line and will.be under ibm so this is not part of this bonus</t>
  </si>
  <si>
    <t>Powerapps</t>
  </si>
  <si>
    <t>Total bonus given in 2024 amount</t>
  </si>
  <si>
    <t xml:space="preserve">     - </t>
  </si>
  <si>
    <t>1 Half Day Leave</t>
  </si>
  <si>
    <t>PowerAutomate</t>
  </si>
  <si>
    <t>Comment</t>
  </si>
  <si>
    <t>CPPIB</t>
  </si>
  <si>
    <t xml:space="preserve">Hamza Paid </t>
  </si>
  <si>
    <t>Yasir Paid</t>
  </si>
  <si>
    <t>IF  one  deal is sign then  all above 2 sales staff  will be eligible for full lead bonus irrespecteive of you generate new lead or not</t>
  </si>
  <si>
    <t xml:space="preserve">Client Bonus one time paid </t>
  </si>
  <si>
    <t xml:space="preserve">Hold period </t>
  </si>
  <si>
    <t>Deposit Rule</t>
  </si>
  <si>
    <t>yearly</t>
  </si>
  <si>
    <t>Bonus start from 2022</t>
  </si>
  <si>
    <t>No amount is paid till yet</t>
  </si>
  <si>
    <t>Bonus start from 2023</t>
  </si>
  <si>
    <t>N/A</t>
  </si>
  <si>
    <t xml:space="preserve">Saniya Khannam </t>
  </si>
  <si>
    <t>ARS</t>
  </si>
  <si>
    <t>Aban</t>
  </si>
  <si>
    <t>Paid Status</t>
  </si>
  <si>
    <t xml:space="preserve">Rehanuddin </t>
  </si>
  <si>
    <t>Foundation Partners Group</t>
  </si>
  <si>
    <t>Naeem Imrran</t>
  </si>
  <si>
    <t>Night allowance</t>
  </si>
  <si>
    <t>paid till 2024 jan to dec</t>
  </si>
  <si>
    <t>paid till 2025 feb</t>
  </si>
  <si>
    <t>Last Paid Date</t>
  </si>
  <si>
    <t>Updated till</t>
  </si>
  <si>
    <t>paid tilll 2025</t>
  </si>
  <si>
    <t xml:space="preserve">march 2025 to </t>
  </si>
  <si>
    <t>March 2025 to</t>
  </si>
  <si>
    <t>3.5 Leaves</t>
  </si>
  <si>
    <t>Left iqra client bonus</t>
  </si>
  <si>
    <t>Pratham Singh</t>
  </si>
  <si>
    <t>Sufiya Kalepad</t>
  </si>
  <si>
    <t>Oilfiled supply centre ltd</t>
  </si>
  <si>
    <t>Enigma RM</t>
  </si>
  <si>
    <t>DMG</t>
  </si>
  <si>
    <t xml:space="preserve">working on behalf of swati for whole month </t>
  </si>
  <si>
    <t>Aditya Ghule</t>
  </si>
  <si>
    <t>1 years, 2 months, 5 days</t>
  </si>
  <si>
    <t>Sultan raza</t>
  </si>
  <si>
    <t>1 years, 2 months, 3 days</t>
  </si>
  <si>
    <t>Rafiya Shaikh</t>
  </si>
  <si>
    <t>1 years, 1 months, 14 days</t>
  </si>
  <si>
    <t>Shaikh Rehan</t>
  </si>
  <si>
    <t>Misbah Ansari</t>
  </si>
  <si>
    <t>0 years, 6 months, 26 days</t>
  </si>
  <si>
    <t>Farheen Ansari</t>
  </si>
  <si>
    <t>3 years, 2 months, 10 days</t>
  </si>
  <si>
    <t>Nerli Nazreen</t>
  </si>
  <si>
    <t>0 years, 8 months, 7 days</t>
  </si>
  <si>
    <t>Mohammad Maaz Siddiqui</t>
  </si>
  <si>
    <t>0 years, 7 months, 5 days</t>
  </si>
  <si>
    <t>Iqra Qureshi</t>
  </si>
  <si>
    <t>0 years, 6 months, 18 days</t>
  </si>
  <si>
    <t>Pakeeza Wahid Ali</t>
  </si>
  <si>
    <t>0 years, 6 months, 15 days</t>
  </si>
  <si>
    <t>Sana Ansari</t>
  </si>
  <si>
    <t>Sharmeen Shaikh</t>
  </si>
  <si>
    <t>0 years, 6 months, 11 days</t>
  </si>
  <si>
    <t>1 years, 8 months, 25 days</t>
  </si>
  <si>
    <t>Fiza Sherkhan</t>
  </si>
  <si>
    <t>1 years, 8 months, 12 days</t>
  </si>
  <si>
    <t>Fatima shaikh</t>
  </si>
  <si>
    <t>1 years, 5 months, 18 days</t>
  </si>
  <si>
    <t>Faraz Shaikh</t>
  </si>
  <si>
    <t>1 years, 4 months, 5 days</t>
  </si>
  <si>
    <t>Samreen Suapriwala</t>
  </si>
  <si>
    <t xml:space="preserve">Zohra Shaikh </t>
  </si>
  <si>
    <t>Jan 2024 to July 2024</t>
  </si>
  <si>
    <t>Last paid duration</t>
  </si>
  <si>
    <t xml:space="preserve">March 2025 to </t>
  </si>
  <si>
    <t>Nov 2023 to Feb 2025</t>
  </si>
  <si>
    <t>Sep 2021 to Jan 2022</t>
  </si>
  <si>
    <t xml:space="preserve">Monthly </t>
  </si>
  <si>
    <t>This year 2025 bonus amount</t>
  </si>
  <si>
    <t>Deposit bonus Amount along with us till 2024 paid after notice period /Contract</t>
  </si>
  <si>
    <t>To be Paid with Salary in Jan 2025</t>
  </si>
  <si>
    <t>To be Paid with Salary in Feb 2025</t>
  </si>
  <si>
    <t>To be Paid with Salary in Mar 2025</t>
  </si>
  <si>
    <t>To be Paid with Salary in Apr 2025</t>
  </si>
  <si>
    <t>To be Paid with Salary in May 2025</t>
  </si>
  <si>
    <t>To be Paid with Salary in Jun 2025</t>
  </si>
  <si>
    <t>To be Paid with Salary in July 2025</t>
  </si>
  <si>
    <t>To be Paid with Salary in Aug 2025</t>
  </si>
  <si>
    <t>To be Paid with Salary in Sep 2025</t>
  </si>
  <si>
    <t>To be Paid with Salary in Oct 2025</t>
  </si>
  <si>
    <t>To be Paid with Salary in Nov 2025</t>
  </si>
  <si>
    <t>To be Paid with Salary in Dec 2025</t>
  </si>
  <si>
    <t>Total bonus given in 2025 amount</t>
  </si>
  <si>
    <t>remaining 2024</t>
  </si>
  <si>
    <t>Total bonus given in 2023 amount</t>
  </si>
  <si>
    <t>July 2023 to August 2023</t>
  </si>
  <si>
    <t>May 2023 to Oct 2023</t>
  </si>
  <si>
    <t>Aug 2024 to Oct 2024</t>
  </si>
  <si>
    <t>Bonus Satart from 2022</t>
  </si>
  <si>
    <t>Sep 2024 to March 2025</t>
  </si>
  <si>
    <t>Aug 2023 to Aug 2024</t>
  </si>
  <si>
    <t>Two month salary amount is hold, monthly bonus is each given month from august 2023</t>
  </si>
  <si>
    <t>Two Month salary amount is hold, monthly bonus is given each month from feb 2022</t>
  </si>
  <si>
    <t>Two month salary amount is hold, monthly bonus is given each month from May 2023</t>
  </si>
  <si>
    <t>Two month salary amount is hold, monthly bonus given is each month from jan 2024</t>
  </si>
  <si>
    <t>Two month salary amount is hold, monthly bonus is given each month from August 2024</t>
  </si>
  <si>
    <t>march 2024 to march 2025</t>
  </si>
  <si>
    <t>Dec 2023 to March 2025</t>
  </si>
  <si>
    <t>Jan2023 to nov 2023</t>
  </si>
  <si>
    <t>July 2024 to March 2025</t>
  </si>
  <si>
    <t>Bonus Satart from 2024</t>
  </si>
  <si>
    <t>Aug 2024 to March 2025</t>
  </si>
  <si>
    <t>Bonus start from 2019</t>
  </si>
  <si>
    <t>Nov 2023 to march 2025</t>
  </si>
  <si>
    <t>May 2024 to July 2024</t>
  </si>
  <si>
    <t>March 2024 to March 2025</t>
  </si>
  <si>
    <t>Feb 2024 to March 2025</t>
  </si>
  <si>
    <t>nov 2023 to March 2025</t>
  </si>
  <si>
    <t xml:space="preserve">jan 2024 to March 2025 </t>
  </si>
  <si>
    <t>jan 2025 to March 2025</t>
  </si>
  <si>
    <t>Jan2024 to Dec 2024</t>
  </si>
  <si>
    <t>march</t>
  </si>
  <si>
    <t>mach 2024 to may 2024</t>
  </si>
  <si>
    <t>3 Leaves</t>
  </si>
  <si>
    <t>8 Leaves</t>
  </si>
  <si>
    <t>10 Leaves</t>
  </si>
  <si>
    <t>1 leave</t>
  </si>
  <si>
    <t>Grover corlew : Sharepoint hourly support for 6 month contract signed (Sufiya is working)</t>
  </si>
  <si>
    <t xml:space="preserve">On leave </t>
  </si>
  <si>
    <t>4 leaves</t>
  </si>
  <si>
    <t>8 leaves</t>
  </si>
  <si>
    <t xml:space="preserve">   -</t>
  </si>
  <si>
    <t>Contract start on 7 April</t>
  </si>
  <si>
    <t> Grower corlew</t>
  </si>
  <si>
    <t>calculated till 21 april</t>
  </si>
  <si>
    <t>porject not delivered</t>
  </si>
  <si>
    <t>slow</t>
  </si>
  <si>
    <t>Not on prodject</t>
  </si>
  <si>
    <t>project not delivered</t>
  </si>
  <si>
    <t>Not clients work is slow</t>
  </si>
  <si>
    <t>noyt on client</t>
  </si>
  <si>
    <t>project not dleivered</t>
  </si>
  <si>
    <t>leave</t>
  </si>
  <si>
    <t xml:space="preserve">8 leaves </t>
  </si>
  <si>
    <t>Backup</t>
  </si>
  <si>
    <t>worked on pratham behalf and calculated till 24 april</t>
  </si>
  <si>
    <t>Noorullah</t>
  </si>
  <si>
    <t>Concordia</t>
  </si>
  <si>
    <t>calculated on hourly basis he worked on 270 hours till 3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</si>
</sst>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 #,##0.00_-;_-* &quot;-&quot;??_-;_-@_-"/>
    <numFmt numFmtId="165" formatCode="_ * #,##0_ ;_ * \-#,##0_ ;_ * &quot;-&quot;??_ ;_ @_ "/>
    <numFmt numFmtId="166" formatCode="_(* #,##0_);_(* \(#,##0\);_(* &quot;-&quot;??_);_(@_)"/>
    <numFmt numFmtId="167" formatCode="[$-409]d\-mmm\-yy"/>
    <numFmt numFmtId="168" formatCode="mmm\-d"/>
    <numFmt numFmtId="169" formatCode="d/m/yyyy"/>
    <numFmt numFmtId="170" formatCode="[$-409]dd\-mmm\-yy"/>
    <numFmt numFmtId="171" formatCode="_-* #,##0_-;\-* #,##0_-;_-* &quot;-&quot;??_-;_-@_-"/>
    <numFmt numFmtId="172" formatCode="0.0"/>
  </numFmts>
  <fonts count="72">
    <font>
      <sz val="11"/>
      <color theme="1"/>
      <name val="Arial"/>
      <charset val="134"/>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Arial"/>
      <family val="2"/>
    </font>
    <font>
      <sz val="11"/>
      <color theme="1"/>
      <name val="Arial"/>
      <family val="2"/>
    </font>
    <font>
      <sz val="12"/>
      <color rgb="FF000000"/>
      <name val="Calibri"/>
      <family val="2"/>
    </font>
    <font>
      <sz val="11"/>
      <color rgb="FFFF0000"/>
      <name val="Arial"/>
      <family val="2"/>
      <scheme val="minor"/>
    </font>
    <font>
      <b/>
      <sz val="12"/>
      <color theme="1"/>
      <name val="Calibri"/>
      <family val="2"/>
    </font>
    <font>
      <sz val="11"/>
      <color theme="1"/>
      <name val="Calibri"/>
      <family val="2"/>
    </font>
    <font>
      <sz val="12"/>
      <color rgb="FFFF0000"/>
      <name val="Calibri"/>
      <family val="2"/>
    </font>
    <font>
      <sz val="12"/>
      <color theme="1"/>
      <name val="Calibri"/>
      <family val="2"/>
    </font>
    <font>
      <sz val="11"/>
      <color rgb="FF000000"/>
      <name val="Arial"/>
      <family val="2"/>
    </font>
    <font>
      <sz val="11"/>
      <color rgb="FF000000"/>
      <name val="Calibri"/>
      <family val="2"/>
    </font>
    <font>
      <sz val="11"/>
      <name val="Arial"/>
      <family val="2"/>
    </font>
    <font>
      <b/>
      <sz val="11"/>
      <color theme="1"/>
      <name val="Calibri"/>
      <family val="2"/>
    </font>
    <font>
      <b/>
      <sz val="12"/>
      <color rgb="FF000000"/>
      <name val="Calibri"/>
      <family val="2"/>
    </font>
    <font>
      <b/>
      <sz val="12"/>
      <color rgb="FFFF0000"/>
      <name val="Calibri"/>
      <family val="2"/>
    </font>
    <font>
      <sz val="11"/>
      <color rgb="FFFF0000"/>
      <name val="Arial"/>
      <family val="2"/>
    </font>
    <font>
      <b/>
      <sz val="11"/>
      <color rgb="FF000000"/>
      <name val="Calibri"/>
      <family val="2"/>
    </font>
    <font>
      <u/>
      <sz val="11"/>
      <color theme="10"/>
      <name val="Arial"/>
      <family val="2"/>
    </font>
    <font>
      <sz val="12"/>
      <color rgb="FF000000"/>
      <name val="Arial"/>
      <family val="2"/>
    </font>
    <font>
      <b/>
      <sz val="14"/>
      <color theme="1"/>
      <name val="Calibri"/>
      <family val="2"/>
    </font>
    <font>
      <sz val="11"/>
      <color rgb="FFFF0000"/>
      <name val="Calibri"/>
      <family val="2"/>
    </font>
    <font>
      <sz val="10"/>
      <color rgb="FFFF0000"/>
      <name val="Arial"/>
      <family val="2"/>
    </font>
    <font>
      <sz val="10"/>
      <color theme="1"/>
      <name val="Arial"/>
      <family val="2"/>
    </font>
    <font>
      <sz val="16"/>
      <color theme="1"/>
      <name val="Arial"/>
      <family val="2"/>
    </font>
    <font>
      <sz val="10"/>
      <color theme="1"/>
      <name val="Calibri"/>
      <family val="2"/>
    </font>
    <font>
      <sz val="11"/>
      <color theme="0"/>
      <name val="Calibri"/>
      <family val="2"/>
    </font>
    <font>
      <sz val="10"/>
      <color theme="0"/>
      <name val="Arial"/>
      <family val="2"/>
    </font>
    <font>
      <sz val="10"/>
      <color theme="0"/>
      <name val="Calibri"/>
      <family val="2"/>
    </font>
    <font>
      <b/>
      <sz val="10"/>
      <color theme="1"/>
      <name val="Calibri"/>
      <family val="2"/>
    </font>
    <font>
      <b/>
      <sz val="10"/>
      <color theme="1"/>
      <name val="Arial"/>
      <family val="2"/>
    </font>
    <font>
      <b/>
      <sz val="12"/>
      <color theme="1"/>
      <name val="Arial"/>
      <family val="2"/>
    </font>
    <font>
      <b/>
      <u/>
      <sz val="11"/>
      <color theme="1"/>
      <name val="Arial"/>
      <family val="2"/>
    </font>
    <font>
      <sz val="11"/>
      <color theme="1"/>
      <name val="Arial"/>
      <family val="2"/>
      <scheme val="minor"/>
    </font>
    <font>
      <b/>
      <sz val="12"/>
      <color rgb="FFFF0000"/>
      <name val="Arial"/>
      <family val="2"/>
    </font>
    <font>
      <u/>
      <sz val="11"/>
      <color theme="1"/>
      <name val="Arial"/>
      <family val="2"/>
    </font>
    <font>
      <b/>
      <sz val="16"/>
      <color theme="1"/>
      <name val="Arial"/>
      <family val="2"/>
    </font>
    <font>
      <sz val="11"/>
      <color rgb="FF9C0006"/>
      <name val="Arial"/>
      <family val="2"/>
    </font>
    <font>
      <b/>
      <sz val="11"/>
      <color rgb="FF000000"/>
      <name val="Arial"/>
      <family val="2"/>
    </font>
    <font>
      <sz val="10"/>
      <color rgb="FF000000"/>
      <name val="Arial"/>
      <family val="2"/>
    </font>
    <font>
      <b/>
      <sz val="10"/>
      <color rgb="FF000000"/>
      <name val="Arial"/>
      <family val="2"/>
    </font>
    <font>
      <b/>
      <sz val="10"/>
      <color rgb="FF366092"/>
      <name val="Arial"/>
      <family val="2"/>
    </font>
    <font>
      <b/>
      <sz val="16"/>
      <color indexed="8"/>
      <name val="Arial"/>
      <family val="2"/>
      <scheme val="minor"/>
    </font>
    <font>
      <b/>
      <sz val="11"/>
      <color indexed="8"/>
      <name val="Arial"/>
      <family val="2"/>
      <scheme val="minor"/>
    </font>
    <font>
      <b/>
      <sz val="14"/>
      <color rgb="FF7F7F7F"/>
      <name val="Calibri"/>
      <family val="2"/>
    </font>
    <font>
      <sz val="12"/>
      <color rgb="FF333333"/>
      <name val="Arial"/>
      <family val="2"/>
    </font>
    <font>
      <b/>
      <sz val="8"/>
      <color theme="1"/>
      <name val="Calibri"/>
      <family val="2"/>
    </font>
    <font>
      <sz val="11"/>
      <color rgb="FF000000"/>
      <name val="Arial"/>
      <family val="2"/>
      <scheme val="minor"/>
    </font>
    <font>
      <sz val="9"/>
      <name val="Tahoma"/>
      <family val="2"/>
    </font>
    <font>
      <b/>
      <sz val="9"/>
      <name val="Tahoma"/>
      <family val="2"/>
    </font>
    <font>
      <sz val="8"/>
      <name val="Arial"/>
      <family val="2"/>
      <scheme val="minor"/>
    </font>
    <font>
      <sz val="12"/>
      <name val="Calibri"/>
      <family val="2"/>
    </font>
    <font>
      <b/>
      <sz val="12"/>
      <name val="Calibri"/>
      <family val="2"/>
    </font>
    <font>
      <sz val="9"/>
      <color indexed="81"/>
      <name val="Tahoma"/>
      <family val="2"/>
    </font>
    <font>
      <b/>
      <sz val="9"/>
      <color indexed="81"/>
      <name val="Tahoma"/>
      <family val="2"/>
    </font>
    <font>
      <sz val="11"/>
      <color rgb="FF000000"/>
      <name val="Arial"/>
      <family val="2"/>
      <scheme val="minor"/>
    </font>
    <font>
      <sz val="11"/>
      <color theme="1"/>
      <name val="Arial"/>
      <family val="2"/>
      <scheme val="minor"/>
    </font>
    <font>
      <b/>
      <sz val="12"/>
      <color theme="1"/>
      <name val="Arial"/>
      <family val="2"/>
      <scheme val="minor"/>
    </font>
    <font>
      <sz val="14"/>
      <color rgb="FF333333"/>
      <name val="Arial"/>
      <family val="2"/>
    </font>
    <font>
      <sz val="8"/>
      <name val="Arial"/>
      <charset val="134"/>
      <scheme val="minor"/>
    </font>
  </fonts>
  <fills count="47">
    <fill>
      <patternFill patternType="none"/>
    </fill>
    <fill>
      <patternFill patternType="gray125"/>
    </fill>
    <fill>
      <patternFill patternType="solid">
        <fgColor rgb="FFFBD4B4"/>
        <bgColor rgb="FFFBD4B4"/>
      </patternFill>
    </fill>
    <fill>
      <patternFill patternType="solid">
        <fgColor rgb="FFC2D69B"/>
        <bgColor rgb="FFC2D69B"/>
      </patternFill>
    </fill>
    <fill>
      <patternFill patternType="solid">
        <fgColor rgb="FFFFFF00"/>
        <bgColor rgb="FFFFFF00"/>
      </patternFill>
    </fill>
    <fill>
      <patternFill patternType="solid">
        <fgColor rgb="FFD6E3BC"/>
        <bgColor rgb="FFD6E3BC"/>
      </patternFill>
    </fill>
    <fill>
      <patternFill patternType="solid">
        <fgColor rgb="FFFABF8F"/>
        <bgColor rgb="FFFABF8F"/>
      </patternFill>
    </fill>
    <fill>
      <patternFill patternType="solid">
        <fgColor theme="0"/>
        <bgColor theme="0"/>
      </patternFill>
    </fill>
    <fill>
      <patternFill patternType="solid">
        <fgColor rgb="FFFFFFFF"/>
        <bgColor rgb="FFFFFFFF"/>
      </patternFill>
    </fill>
    <fill>
      <patternFill patternType="solid">
        <fgColor theme="7" tint="0.39994506668294322"/>
        <bgColor indexed="64"/>
      </patternFill>
    </fill>
    <fill>
      <patternFill patternType="solid">
        <fgColor rgb="FF00B0F0"/>
        <bgColor rgb="FF00B0F0"/>
      </patternFill>
    </fill>
    <fill>
      <patternFill patternType="solid">
        <fgColor rgb="FF92D050"/>
        <bgColor rgb="FF92D050"/>
      </patternFill>
    </fill>
    <fill>
      <patternFill patternType="solid">
        <fgColor rgb="FFDAEEF3"/>
        <bgColor rgb="FFDAEEF3"/>
      </patternFill>
    </fill>
    <fill>
      <patternFill patternType="solid">
        <fgColor rgb="FFFF0000"/>
        <bgColor rgb="FFFF0000"/>
      </patternFill>
    </fill>
    <fill>
      <patternFill patternType="solid">
        <fgColor rgb="FFB8CCE4"/>
        <bgColor rgb="FFB8CCE4"/>
      </patternFill>
    </fill>
    <fill>
      <patternFill patternType="solid">
        <fgColor theme="7" tint="0.39994506668294322"/>
        <bgColor rgb="FF92D050"/>
      </patternFill>
    </fill>
    <fill>
      <patternFill patternType="solid">
        <fgColor rgb="FFE5B8B7"/>
        <bgColor rgb="FFE5B8B7"/>
      </patternFill>
    </fill>
    <fill>
      <patternFill patternType="solid">
        <fgColor rgb="FFF2DBDB"/>
        <bgColor rgb="FFF2DBDB"/>
      </patternFill>
    </fill>
    <fill>
      <patternFill patternType="solid">
        <fgColor rgb="FFD99594"/>
        <bgColor rgb="FFD99594"/>
      </patternFill>
    </fill>
    <fill>
      <patternFill patternType="solid">
        <fgColor rgb="FF92CDDC"/>
        <bgColor rgb="FF92CDDC"/>
      </patternFill>
    </fill>
    <fill>
      <patternFill patternType="solid">
        <fgColor rgb="FFCCC0D9"/>
        <bgColor rgb="FFCCC0D9"/>
      </patternFill>
    </fill>
    <fill>
      <patternFill patternType="solid">
        <fgColor rgb="FFFCE5CD"/>
        <bgColor rgb="FFFCE5CD"/>
      </patternFill>
    </fill>
    <fill>
      <patternFill patternType="solid">
        <fgColor rgb="FFFCE4D6"/>
        <bgColor rgb="FFFCE4D6"/>
      </patternFill>
    </fill>
    <fill>
      <patternFill patternType="solid">
        <fgColor rgb="FFFFF2CC"/>
        <bgColor rgb="FFFFF2CC"/>
      </patternFill>
    </fill>
    <fill>
      <patternFill patternType="solid">
        <fgColor rgb="FFB6D7A8"/>
        <bgColor rgb="FFB6D7A8"/>
      </patternFill>
    </fill>
    <fill>
      <patternFill patternType="solid">
        <fgColor rgb="FFC6E0B4"/>
        <bgColor rgb="FFC6E0B4"/>
      </patternFill>
    </fill>
    <fill>
      <patternFill patternType="solid">
        <fgColor rgb="FF4285F4"/>
        <bgColor rgb="FF4285F4"/>
      </patternFill>
    </fill>
    <fill>
      <patternFill patternType="solid">
        <fgColor rgb="FFDBE5F1"/>
        <bgColor rgb="FFDBE5F1"/>
      </patternFill>
    </fill>
    <fill>
      <patternFill patternType="solid">
        <fgColor rgb="FFE5DFEC"/>
        <bgColor rgb="FFE5DFEC"/>
      </patternFill>
    </fill>
    <fill>
      <patternFill patternType="solid">
        <fgColor rgb="FFFDE9D9"/>
        <bgColor rgb="FFFDE9D9"/>
      </patternFill>
    </fill>
    <fill>
      <patternFill patternType="solid">
        <fgColor rgb="FFCCFFFF"/>
        <bgColor rgb="FFCCFFFF"/>
      </patternFill>
    </fill>
    <fill>
      <patternFill patternType="solid">
        <fgColor rgb="FFFFC7CE"/>
        <bgColor rgb="FFFFC7CE"/>
      </patternFill>
    </fill>
    <fill>
      <patternFill patternType="solid">
        <fgColor theme="7" tint="0.79995117038483843"/>
        <bgColor indexed="64"/>
      </patternFill>
    </fill>
    <fill>
      <patternFill patternType="solid">
        <fgColor rgb="FFFFFF00"/>
        <bgColor indexed="64"/>
      </patternFill>
    </fill>
    <fill>
      <patternFill patternType="solid">
        <fgColor theme="6"/>
        <bgColor indexed="64"/>
      </patternFill>
    </fill>
    <fill>
      <patternFill patternType="solid">
        <fgColor theme="9" tint="0.79995117038483843"/>
        <bgColor indexed="64"/>
      </patternFill>
    </fill>
    <fill>
      <patternFill patternType="solid">
        <fgColor rgb="FFE06666"/>
        <bgColor rgb="FFE06666"/>
      </patternFill>
    </fill>
    <fill>
      <patternFill patternType="solid">
        <fgColor rgb="FFD8D8D8"/>
        <bgColor rgb="FFD8D8D8"/>
      </patternFill>
    </fill>
    <fill>
      <patternFill patternType="solid">
        <fgColor rgb="FFF2F2F2"/>
        <bgColor rgb="FFF2F2F2"/>
      </patternFill>
    </fill>
    <fill>
      <patternFill patternType="solid">
        <fgColor rgb="FF548DD4"/>
        <bgColor rgb="FF548DD4"/>
      </patternFill>
    </fill>
    <fill>
      <patternFill patternType="solid">
        <fgColor rgb="FF00B0F0"/>
        <bgColor indexed="64"/>
      </patternFill>
    </fill>
    <fill>
      <patternFill patternType="solid">
        <fgColor rgb="FF92D050"/>
        <bgColor rgb="FFB8CCE4"/>
      </patternFill>
    </fill>
    <fill>
      <patternFill patternType="solid">
        <fgColor rgb="FF92D050"/>
        <bgColor indexed="64"/>
      </patternFill>
    </fill>
    <fill>
      <patternFill patternType="solid">
        <fgColor rgb="FF92D050"/>
        <bgColor rgb="FFD6E3BC"/>
      </patternFill>
    </fill>
    <fill>
      <patternFill patternType="solid">
        <fgColor rgb="FFFFFF00"/>
        <bgColor rgb="FF92D050"/>
      </patternFill>
    </fill>
    <fill>
      <patternFill patternType="solid">
        <fgColor theme="4" tint="0.79998168889431442"/>
        <bgColor indexed="64"/>
      </patternFill>
    </fill>
    <fill>
      <patternFill patternType="solid">
        <fgColor theme="9" tint="0.39997558519241921"/>
        <bgColor indexed="64"/>
      </patternFill>
    </fill>
  </fills>
  <borders count="6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CCCCCC"/>
      </left>
      <right style="medium">
        <color rgb="FFCCCCCC"/>
      </right>
      <top/>
      <bottom style="medium">
        <color rgb="FFCCCCCC"/>
      </bottom>
      <diagonal/>
    </border>
    <border>
      <left style="medium">
        <color rgb="FF000000"/>
      </left>
      <right style="thin">
        <color rgb="FF000000"/>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style="thin">
        <color rgb="FF000000"/>
      </right>
      <top style="medium">
        <color rgb="FF000000"/>
      </top>
      <bottom/>
      <diagonal/>
    </border>
    <border>
      <left/>
      <right/>
      <top style="thin">
        <color rgb="FF000000"/>
      </top>
      <bottom style="medium">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right style="thin">
        <color indexed="64"/>
      </right>
      <top style="thin">
        <color indexed="64"/>
      </top>
      <bottom style="thin">
        <color indexed="64"/>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2">
    <xf numFmtId="0" fontId="0" fillId="0" borderId="0"/>
    <xf numFmtId="164" fontId="68" fillId="0" borderId="0" applyFont="0" applyFill="0" applyBorder="0" applyAlignment="0" applyProtection="0"/>
  </cellStyleXfs>
  <cellXfs count="1190">
    <xf numFmtId="0" fontId="0" fillId="0" borderId="0" xfId="0"/>
    <xf numFmtId="0" fontId="14" fillId="2" borderId="1" xfId="0" applyFont="1" applyFill="1" applyBorder="1" applyAlignment="1">
      <alignment horizontal="left" vertical="center"/>
    </xf>
    <xf numFmtId="0" fontId="14" fillId="2" borderId="1" xfId="0" applyFont="1" applyFill="1" applyBorder="1" applyAlignment="1">
      <alignment horizontal="left" vertical="center" wrapText="1"/>
    </xf>
    <xf numFmtId="17" fontId="14" fillId="2" borderId="1" xfId="0" applyNumberFormat="1" applyFont="1" applyFill="1" applyBorder="1" applyAlignment="1">
      <alignment horizontal="left" vertical="center"/>
    </xf>
    <xf numFmtId="0" fontId="15" fillId="0" borderId="1" xfId="0" applyFont="1" applyBorder="1" applyAlignment="1">
      <alignment horizontal="left"/>
    </xf>
    <xf numFmtId="0" fontId="16" fillId="0" borderId="1" xfId="0" applyFont="1" applyBorder="1" applyAlignment="1">
      <alignment horizontal="left" vertical="top"/>
    </xf>
    <xf numFmtId="0" fontId="16" fillId="0" borderId="1" xfId="0" applyFont="1" applyBorder="1" applyAlignment="1">
      <alignment horizontal="left"/>
    </xf>
    <xf numFmtId="0" fontId="15" fillId="3" borderId="1" xfId="0" applyFont="1" applyFill="1" applyBorder="1" applyAlignment="1">
      <alignment horizontal="left"/>
    </xf>
    <xf numFmtId="1" fontId="15" fillId="3" borderId="1" xfId="0" applyNumberFormat="1" applyFont="1" applyFill="1" applyBorder="1" applyAlignment="1">
      <alignment horizontal="left"/>
    </xf>
    <xf numFmtId="0" fontId="15" fillId="0" borderId="1" xfId="0" applyFont="1" applyBorder="1" applyAlignment="1">
      <alignment horizontal="left" wrapText="1"/>
    </xf>
    <xf numFmtId="0" fontId="15" fillId="0" borderId="2" xfId="0" applyFont="1" applyBorder="1" applyAlignment="1">
      <alignment horizontal="left"/>
    </xf>
    <xf numFmtId="0" fontId="14" fillId="4" borderId="1" xfId="0" applyFont="1" applyFill="1" applyBorder="1" applyAlignment="1">
      <alignment horizontal="left" vertical="center"/>
    </xf>
    <xf numFmtId="1" fontId="14" fillId="4" borderId="1" xfId="0" applyNumberFormat="1" applyFont="1" applyFill="1" applyBorder="1" applyAlignment="1">
      <alignment horizontal="left" vertical="center"/>
    </xf>
    <xf numFmtId="0" fontId="15" fillId="0" borderId="3" xfId="0" applyFont="1" applyBorder="1" applyAlignment="1">
      <alignment horizontal="left"/>
    </xf>
    <xf numFmtId="0" fontId="16" fillId="0" borderId="4" xfId="0" applyFont="1" applyBorder="1" applyAlignment="1">
      <alignment horizontal="left" vertical="top" wrapText="1"/>
    </xf>
    <xf numFmtId="0" fontId="16" fillId="0" borderId="3" xfId="0" applyFont="1" applyBorder="1" applyAlignment="1">
      <alignment horizontal="left"/>
    </xf>
    <xf numFmtId="0" fontId="15" fillId="0" borderId="0" xfId="0" applyFont="1" applyAlignment="1">
      <alignment horizontal="left"/>
    </xf>
    <xf numFmtId="0" fontId="15" fillId="3" borderId="0" xfId="0" applyFont="1" applyFill="1" applyAlignment="1">
      <alignment horizontal="left"/>
    </xf>
    <xf numFmtId="1" fontId="15" fillId="0" borderId="1" xfId="0" applyNumberFormat="1" applyFont="1" applyBorder="1" applyAlignment="1">
      <alignment horizontal="left"/>
    </xf>
    <xf numFmtId="0" fontId="15" fillId="5" borderId="1" xfId="0" applyFont="1" applyFill="1" applyBorder="1" applyAlignment="1">
      <alignment horizontal="left"/>
    </xf>
    <xf numFmtId="0" fontId="14" fillId="2" borderId="0" xfId="0" applyFont="1" applyFill="1" applyAlignment="1">
      <alignment horizontal="left" vertical="center" wrapText="1"/>
    </xf>
    <xf numFmtId="0" fontId="14" fillId="2" borderId="0" xfId="0" applyFont="1" applyFill="1" applyAlignment="1">
      <alignment horizontal="left" vertical="center"/>
    </xf>
    <xf numFmtId="0" fontId="14" fillId="4" borderId="0" xfId="0" applyFont="1" applyFill="1" applyAlignment="1">
      <alignment horizontal="left" vertical="center"/>
    </xf>
    <xf numFmtId="0" fontId="15" fillId="6" borderId="1" xfId="0" applyFont="1" applyFill="1" applyBorder="1"/>
    <xf numFmtId="0" fontId="16" fillId="7" borderId="1" xfId="0" applyFont="1" applyFill="1" applyBorder="1" applyAlignment="1">
      <alignment vertical="top"/>
    </xf>
    <xf numFmtId="0" fontId="15" fillId="0" borderId="1" xfId="0" applyFont="1" applyBorder="1"/>
    <xf numFmtId="0" fontId="15" fillId="8" borderId="1" xfId="0" applyFont="1" applyFill="1" applyBorder="1"/>
    <xf numFmtId="0" fontId="15" fillId="7" borderId="1" xfId="0" applyFont="1" applyFill="1" applyBorder="1"/>
    <xf numFmtId="0" fontId="0" fillId="9" borderId="0" xfId="0" applyFill="1"/>
    <xf numFmtId="0" fontId="17" fillId="0" borderId="0" xfId="0" applyFont="1"/>
    <xf numFmtId="0" fontId="18" fillId="10" borderId="1" xfId="0" applyFont="1" applyFill="1" applyBorder="1" applyAlignment="1">
      <alignment horizontal="center" wrapText="1"/>
    </xf>
    <xf numFmtId="0" fontId="18" fillId="4" borderId="1" xfId="0" applyFont="1" applyFill="1" applyBorder="1" applyAlignment="1">
      <alignment wrapText="1"/>
    </xf>
    <xf numFmtId="0" fontId="18" fillId="4" borderId="1" xfId="0" applyFont="1" applyFill="1" applyBorder="1" applyAlignment="1">
      <alignment horizontal="right" wrapText="1"/>
    </xf>
    <xf numFmtId="0" fontId="19" fillId="10" borderId="1" xfId="0" applyFont="1" applyFill="1" applyBorder="1" applyAlignment="1">
      <alignment horizontal="center"/>
    </xf>
    <xf numFmtId="0" fontId="19" fillId="0" borderId="1" xfId="0" applyFont="1" applyBorder="1" applyAlignment="1">
      <alignment horizontal="left" vertical="top"/>
    </xf>
    <xf numFmtId="0" fontId="19" fillId="0" borderId="1" xfId="0" applyFont="1" applyBorder="1" applyAlignment="1">
      <alignment horizontal="right" vertical="top"/>
    </xf>
    <xf numFmtId="0" fontId="19" fillId="0" borderId="1" xfId="0" applyFont="1" applyBorder="1"/>
    <xf numFmtId="0" fontId="19" fillId="0" borderId="1" xfId="0" applyFont="1" applyBorder="1" applyAlignment="1">
      <alignment horizontal="right"/>
    </xf>
    <xf numFmtId="0" fontId="19" fillId="11" borderId="1" xfId="0" applyFont="1" applyFill="1" applyBorder="1" applyAlignment="1">
      <alignment horizontal="left" vertical="top"/>
    </xf>
    <xf numFmtId="0" fontId="19" fillId="11" borderId="1" xfId="0" applyFont="1" applyFill="1" applyBorder="1" applyAlignment="1">
      <alignment horizontal="left"/>
    </xf>
    <xf numFmtId="0" fontId="19" fillId="11" borderId="1" xfId="0" applyFont="1" applyFill="1" applyBorder="1"/>
    <xf numFmtId="0" fontId="19" fillId="11" borderId="1" xfId="0" applyFont="1" applyFill="1" applyBorder="1" applyAlignment="1">
      <alignment horizontal="right"/>
    </xf>
    <xf numFmtId="0" fontId="19" fillId="11" borderId="1" xfId="0" applyFont="1" applyFill="1" applyBorder="1" applyAlignment="1">
      <alignment horizontal="right" vertical="top"/>
    </xf>
    <xf numFmtId="0" fontId="19" fillId="12" borderId="1" xfId="0" applyFont="1" applyFill="1" applyBorder="1" applyAlignment="1">
      <alignment horizontal="left" vertical="top"/>
    </xf>
    <xf numFmtId="0" fontId="19" fillId="12" borderId="1" xfId="0" applyFont="1" applyFill="1" applyBorder="1" applyAlignment="1">
      <alignment horizontal="right"/>
    </xf>
    <xf numFmtId="0" fontId="19" fillId="12" borderId="1" xfId="0" applyFont="1" applyFill="1" applyBorder="1"/>
    <xf numFmtId="0" fontId="16" fillId="0" borderId="1" xfId="0" applyFont="1" applyBorder="1" applyAlignment="1">
      <alignment horizontal="right"/>
    </xf>
    <xf numFmtId="0" fontId="16" fillId="0" borderId="1" xfId="0" applyFont="1" applyBorder="1"/>
    <xf numFmtId="0" fontId="20" fillId="0" borderId="1" xfId="0" applyFont="1" applyBorder="1" applyAlignment="1">
      <alignment horizontal="left" vertical="top"/>
    </xf>
    <xf numFmtId="0" fontId="21" fillId="0" borderId="1" xfId="0" applyFont="1" applyBorder="1" applyAlignment="1">
      <alignment horizontal="left" vertical="top"/>
    </xf>
    <xf numFmtId="0" fontId="21" fillId="0" borderId="1" xfId="0" applyFont="1" applyBorder="1" applyAlignment="1">
      <alignment horizontal="right"/>
    </xf>
    <xf numFmtId="0" fontId="21" fillId="0" borderId="1" xfId="0" applyFont="1" applyBorder="1"/>
    <xf numFmtId="0" fontId="16" fillId="0" borderId="1" xfId="0" applyFont="1" applyBorder="1" applyAlignment="1">
      <alignment horizontal="left" vertical="top" wrapText="1"/>
    </xf>
    <xf numFmtId="1" fontId="15" fillId="0" borderId="1" xfId="0" applyNumberFormat="1" applyFont="1" applyBorder="1"/>
    <xf numFmtId="0" fontId="16" fillId="0" borderId="1" xfId="0" applyFont="1" applyBorder="1" applyAlignment="1">
      <alignment horizontal="right" vertical="top" wrapText="1"/>
    </xf>
    <xf numFmtId="1" fontId="15" fillId="0" borderId="1" xfId="0" applyNumberFormat="1" applyFont="1" applyBorder="1" applyAlignment="1">
      <alignment horizontal="right"/>
    </xf>
    <xf numFmtId="0" fontId="16" fillId="11" borderId="1" xfId="0" applyFont="1" applyFill="1" applyBorder="1" applyAlignment="1">
      <alignment horizontal="left" vertical="top"/>
    </xf>
    <xf numFmtId="0" fontId="22" fillId="0" borderId="1" xfId="0" applyFont="1" applyBorder="1" applyAlignment="1">
      <alignment horizontal="left" vertical="top" wrapText="1"/>
    </xf>
    <xf numFmtId="0" fontId="15" fillId="0" borderId="1" xfId="0" applyFont="1" applyBorder="1" applyAlignment="1">
      <alignment horizontal="right"/>
    </xf>
    <xf numFmtId="0" fontId="16" fillId="0" borderId="1" xfId="0" applyFont="1" applyBorder="1" applyAlignment="1">
      <alignment vertical="top"/>
    </xf>
    <xf numFmtId="0" fontId="16" fillId="0" borderId="1" xfId="0" applyFont="1" applyBorder="1" applyAlignment="1">
      <alignment vertical="top" wrapText="1"/>
    </xf>
    <xf numFmtId="0" fontId="16" fillId="11" borderId="1" xfId="0" applyFont="1" applyFill="1" applyBorder="1" applyAlignment="1">
      <alignment vertical="top"/>
    </xf>
    <xf numFmtId="0" fontId="16" fillId="11" borderId="1" xfId="0" applyFont="1" applyFill="1" applyBorder="1" applyAlignment="1">
      <alignment vertical="top" wrapText="1"/>
    </xf>
    <xf numFmtId="0" fontId="16" fillId="11" borderId="1" xfId="0" applyFont="1" applyFill="1" applyBorder="1"/>
    <xf numFmtId="165" fontId="16" fillId="0" borderId="1" xfId="0" applyNumberFormat="1" applyFont="1" applyBorder="1" applyAlignment="1">
      <alignment vertical="top" wrapText="1"/>
    </xf>
    <xf numFmtId="0" fontId="16" fillId="4" borderId="1" xfId="0" applyFont="1" applyFill="1" applyBorder="1" applyAlignment="1">
      <alignment vertical="center"/>
    </xf>
    <xf numFmtId="0" fontId="16" fillId="4" borderId="1" xfId="0" applyFont="1" applyFill="1" applyBorder="1" applyAlignment="1">
      <alignment vertical="center" wrapText="1"/>
    </xf>
    <xf numFmtId="0" fontId="15" fillId="4" borderId="1" xfId="0" applyFont="1" applyFill="1" applyBorder="1" applyAlignment="1">
      <alignment vertical="center"/>
    </xf>
    <xf numFmtId="0" fontId="16" fillId="4" borderId="1" xfId="0" applyFont="1" applyFill="1" applyBorder="1" applyAlignment="1">
      <alignment vertical="top"/>
    </xf>
    <xf numFmtId="0" fontId="16" fillId="4" borderId="1" xfId="0" applyFont="1" applyFill="1" applyBorder="1" applyAlignment="1">
      <alignment vertical="top" wrapText="1"/>
    </xf>
    <xf numFmtId="0" fontId="16" fillId="4" borderId="1" xfId="0" applyFont="1" applyFill="1" applyBorder="1"/>
    <xf numFmtId="0" fontId="23" fillId="0" borderId="1" xfId="0" applyFont="1" applyBorder="1"/>
    <xf numFmtId="0" fontId="16" fillId="3" borderId="1" xfId="0" applyFont="1" applyFill="1" applyBorder="1" applyAlignment="1">
      <alignment horizontal="right"/>
    </xf>
    <xf numFmtId="1" fontId="16" fillId="0" borderId="1" xfId="0" applyNumberFormat="1" applyFont="1" applyBorder="1" applyAlignment="1">
      <alignment horizontal="right"/>
    </xf>
    <xf numFmtId="0" fontId="15" fillId="11" borderId="1" xfId="0" applyFont="1" applyFill="1" applyBorder="1"/>
    <xf numFmtId="1" fontId="16" fillId="11" borderId="1" xfId="0" applyNumberFormat="1" applyFont="1" applyFill="1" applyBorder="1"/>
    <xf numFmtId="1" fontId="20" fillId="0" borderId="1" xfId="0" applyNumberFormat="1" applyFont="1" applyBorder="1"/>
    <xf numFmtId="1" fontId="16" fillId="0" borderId="1" xfId="0" applyNumberFormat="1" applyFont="1" applyBorder="1"/>
    <xf numFmtId="1" fontId="16" fillId="4" borderId="1" xfId="0" applyNumberFormat="1" applyFont="1" applyFill="1" applyBorder="1" applyAlignment="1">
      <alignment vertical="center"/>
    </xf>
    <xf numFmtId="1" fontId="16" fillId="4" borderId="1" xfId="0" applyNumberFormat="1" applyFont="1" applyFill="1" applyBorder="1"/>
    <xf numFmtId="0" fontId="15" fillId="4" borderId="1" xfId="0" applyFont="1" applyFill="1" applyBorder="1"/>
    <xf numFmtId="1" fontId="23" fillId="0" borderId="1" xfId="0" applyNumberFormat="1" applyFont="1" applyBorder="1"/>
    <xf numFmtId="0" fontId="18" fillId="10" borderId="1" xfId="0" applyFont="1" applyFill="1" applyBorder="1" applyAlignment="1">
      <alignment wrapText="1"/>
    </xf>
    <xf numFmtId="1" fontId="15" fillId="11" borderId="1" xfId="0" applyNumberFormat="1" applyFont="1" applyFill="1" applyBorder="1"/>
    <xf numFmtId="1" fontId="15" fillId="7" borderId="1" xfId="0" applyNumberFormat="1" applyFont="1" applyFill="1" applyBorder="1"/>
    <xf numFmtId="1" fontId="15" fillId="4" borderId="1" xfId="0" applyNumberFormat="1" applyFont="1" applyFill="1" applyBorder="1" applyAlignment="1">
      <alignment vertical="center"/>
    </xf>
    <xf numFmtId="0" fontId="15" fillId="0" borderId="1" xfId="0" applyFont="1" applyBorder="1" applyAlignment="1">
      <alignment vertical="center"/>
    </xf>
    <xf numFmtId="1" fontId="15" fillId="4" borderId="1" xfId="0" applyNumberFormat="1" applyFont="1" applyFill="1" applyBorder="1"/>
    <xf numFmtId="165" fontId="16" fillId="4" borderId="1" xfId="0" applyNumberFormat="1" applyFont="1" applyFill="1" applyBorder="1" applyAlignment="1">
      <alignment vertical="top" wrapText="1"/>
    </xf>
    <xf numFmtId="0" fontId="19" fillId="4" borderId="1" xfId="0" applyFont="1" applyFill="1" applyBorder="1"/>
    <xf numFmtId="0" fontId="15" fillId="11" borderId="1" xfId="0" applyFont="1" applyFill="1" applyBorder="1" applyAlignment="1">
      <alignment vertical="center"/>
    </xf>
    <xf numFmtId="1" fontId="16" fillId="11" borderId="1" xfId="0" applyNumberFormat="1" applyFont="1" applyFill="1" applyBorder="1" applyAlignment="1">
      <alignment vertical="top" wrapText="1"/>
    </xf>
    <xf numFmtId="0" fontId="25" fillId="4" borderId="1" xfId="0" applyFont="1" applyFill="1" applyBorder="1" applyAlignment="1">
      <alignment wrapText="1"/>
    </xf>
    <xf numFmtId="0" fontId="19" fillId="4" borderId="1" xfId="0" applyFont="1" applyFill="1" applyBorder="1" applyAlignment="1">
      <alignment vertical="center"/>
    </xf>
    <xf numFmtId="0" fontId="19" fillId="0" borderId="1" xfId="0" applyFont="1" applyBorder="1" applyAlignment="1">
      <alignment wrapText="1"/>
    </xf>
    <xf numFmtId="0" fontId="19" fillId="0" borderId="0" xfId="0" applyFont="1" applyAlignment="1">
      <alignment wrapText="1"/>
    </xf>
    <xf numFmtId="0" fontId="19" fillId="0" borderId="0" xfId="0" applyFont="1"/>
    <xf numFmtId="0" fontId="19" fillId="0" borderId="7" xfId="0" applyFont="1" applyBorder="1"/>
    <xf numFmtId="0" fontId="15" fillId="0" borderId="0" xfId="0" applyFont="1"/>
    <xf numFmtId="0" fontId="19" fillId="12" borderId="0" xfId="0" applyFont="1" applyFill="1"/>
    <xf numFmtId="0" fontId="16" fillId="0" borderId="8" xfId="0" applyFont="1" applyBorder="1"/>
    <xf numFmtId="0" fontId="23" fillId="0" borderId="8" xfId="0" applyFont="1" applyBorder="1"/>
    <xf numFmtId="0" fontId="23" fillId="0" borderId="0" xfId="0" applyFont="1"/>
    <xf numFmtId="0" fontId="16" fillId="0" borderId="8" xfId="0" applyFont="1" applyBorder="1" applyAlignment="1">
      <alignment horizontal="right"/>
    </xf>
    <xf numFmtId="0" fontId="23" fillId="0" borderId="8" xfId="0" applyFont="1" applyBorder="1" applyAlignment="1">
      <alignment horizontal="right"/>
    </xf>
    <xf numFmtId="0" fontId="21" fillId="0" borderId="7" xfId="0" applyFont="1" applyBorder="1"/>
    <xf numFmtId="0" fontId="16" fillId="0" borderId="0" xfId="0" applyFont="1"/>
    <xf numFmtId="0" fontId="15" fillId="11" borderId="0" xfId="0" applyFont="1" applyFill="1"/>
    <xf numFmtId="0" fontId="15" fillId="7" borderId="0" xfId="0" applyFont="1" applyFill="1"/>
    <xf numFmtId="0" fontId="15" fillId="4" borderId="0" xfId="0" applyFont="1" applyFill="1" applyAlignment="1">
      <alignment vertical="center"/>
    </xf>
    <xf numFmtId="0" fontId="15" fillId="4" borderId="0" xfId="0" applyFont="1" applyFill="1"/>
    <xf numFmtId="0" fontId="15" fillId="11" borderId="7" xfId="0" applyFont="1" applyFill="1" applyBorder="1"/>
    <xf numFmtId="0" fontId="15" fillId="0" borderId="0" xfId="0" applyFont="1" applyAlignment="1">
      <alignment wrapText="1"/>
    </xf>
    <xf numFmtId="1" fontId="16" fillId="0" borderId="1" xfId="0" applyNumberFormat="1" applyFont="1" applyBorder="1" applyAlignment="1">
      <alignment horizontal="left"/>
    </xf>
    <xf numFmtId="0" fontId="16" fillId="11" borderId="1" xfId="0" applyFont="1" applyFill="1" applyBorder="1" applyAlignment="1">
      <alignment horizontal="left"/>
    </xf>
    <xf numFmtId="1" fontId="16" fillId="2" borderId="1" xfId="0" applyNumberFormat="1" applyFont="1" applyFill="1" applyBorder="1" applyAlignment="1">
      <alignment horizontal="left"/>
    </xf>
    <xf numFmtId="0" fontId="16" fillId="2" borderId="1" xfId="0" applyFont="1" applyFill="1" applyBorder="1" applyAlignment="1">
      <alignment horizontal="left"/>
    </xf>
    <xf numFmtId="1" fontId="16" fillId="0" borderId="1" xfId="0" applyNumberFormat="1" applyFont="1" applyBorder="1" applyAlignment="1">
      <alignment horizontal="left" vertical="top"/>
    </xf>
    <xf numFmtId="15" fontId="22" fillId="11" borderId="1" xfId="0" applyNumberFormat="1" applyFont="1" applyFill="1" applyBorder="1" applyAlignment="1">
      <alignment horizontal="left" vertical="top" wrapText="1"/>
    </xf>
    <xf numFmtId="15" fontId="22" fillId="0" borderId="1" xfId="0" applyNumberFormat="1" applyFont="1" applyBorder="1" applyAlignment="1">
      <alignment horizontal="left" vertical="top" wrapText="1"/>
    </xf>
    <xf numFmtId="0" fontId="16" fillId="10" borderId="1" xfId="0" applyFont="1" applyFill="1" applyBorder="1" applyAlignment="1">
      <alignment horizontal="center" vertical="top" wrapText="1"/>
    </xf>
    <xf numFmtId="0" fontId="16" fillId="10" borderId="1" xfId="0" applyFont="1" applyFill="1" applyBorder="1" applyAlignment="1">
      <alignment vertical="top"/>
    </xf>
    <xf numFmtId="0" fontId="16" fillId="10" borderId="1" xfId="0" applyFont="1" applyFill="1" applyBorder="1" applyAlignment="1">
      <alignment vertical="top" wrapText="1"/>
    </xf>
    <xf numFmtId="0" fontId="22" fillId="11" borderId="1" xfId="0" applyFont="1" applyFill="1" applyBorder="1" applyAlignment="1">
      <alignment vertical="top" wrapText="1"/>
    </xf>
    <xf numFmtId="0" fontId="22" fillId="11" borderId="1" xfId="0" applyFont="1" applyFill="1" applyBorder="1" applyAlignment="1">
      <alignment horizontal="right" vertical="top"/>
    </xf>
    <xf numFmtId="0" fontId="22" fillId="11" borderId="1" xfId="0" applyFont="1" applyFill="1" applyBorder="1" applyAlignment="1">
      <alignment horizontal="right" vertical="top" wrapText="1"/>
    </xf>
    <xf numFmtId="3" fontId="22" fillId="11" borderId="1" xfId="0" applyNumberFormat="1" applyFont="1" applyFill="1" applyBorder="1" applyAlignment="1">
      <alignment horizontal="right" vertical="top" wrapText="1"/>
    </xf>
    <xf numFmtId="0" fontId="16" fillId="10" borderId="1" xfId="0" applyFont="1" applyFill="1" applyBorder="1" applyAlignment="1">
      <alignment horizontal="left" vertical="top" wrapText="1"/>
    </xf>
    <xf numFmtId="0" fontId="16" fillId="11" borderId="1" xfId="0" applyFont="1" applyFill="1" applyBorder="1" applyAlignment="1">
      <alignment horizontal="left" vertical="top" wrapText="1"/>
    </xf>
    <xf numFmtId="0" fontId="26" fillId="10" borderId="9" xfId="0" applyFont="1" applyFill="1" applyBorder="1" applyAlignment="1">
      <alignment horizontal="left" vertical="center" wrapText="1"/>
    </xf>
    <xf numFmtId="0" fontId="16" fillId="13" borderId="1" xfId="0" applyFont="1" applyFill="1" applyBorder="1" applyAlignment="1">
      <alignment horizontal="left" vertical="top"/>
    </xf>
    <xf numFmtId="0" fontId="15" fillId="0" borderId="1" xfId="0" applyFont="1" applyBorder="1" applyAlignment="1">
      <alignment horizontal="left" vertical="center"/>
    </xf>
    <xf numFmtId="0" fontId="16" fillId="0" borderId="1" xfId="0" applyFont="1" applyBorder="1" applyAlignment="1">
      <alignment horizontal="left" vertical="center"/>
    </xf>
    <xf numFmtId="15" fontId="22" fillId="0" borderId="1" xfId="0" applyNumberFormat="1" applyFont="1" applyBorder="1" applyAlignment="1">
      <alignment horizontal="left" vertical="center" wrapText="1"/>
    </xf>
    <xf numFmtId="1" fontId="15" fillId="0" borderId="1" xfId="0" applyNumberFormat="1" applyFont="1" applyBorder="1" applyAlignment="1">
      <alignment horizontal="left" vertical="center"/>
    </xf>
    <xf numFmtId="0" fontId="22" fillId="0" borderId="1" xfId="0" applyFont="1" applyBorder="1" applyAlignment="1">
      <alignment horizontal="left" vertical="center" wrapText="1"/>
    </xf>
    <xf numFmtId="0" fontId="26" fillId="13" borderId="1" xfId="0" applyFont="1" applyFill="1" applyBorder="1" applyAlignment="1">
      <alignment horizontal="left" vertical="center" wrapText="1"/>
    </xf>
    <xf numFmtId="0" fontId="16" fillId="13" borderId="1" xfId="0" applyFont="1" applyFill="1" applyBorder="1" applyAlignment="1">
      <alignment horizontal="left" vertical="top" wrapText="1"/>
    </xf>
    <xf numFmtId="15" fontId="22" fillId="13" borderId="1" xfId="0" applyNumberFormat="1" applyFont="1" applyFill="1" applyBorder="1" applyAlignment="1">
      <alignment horizontal="left" vertical="top" wrapText="1"/>
    </xf>
    <xf numFmtId="0" fontId="26" fillId="10" borderId="1"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21" fillId="11" borderId="1" xfId="0" applyFont="1" applyFill="1" applyBorder="1" applyAlignment="1">
      <alignment horizontal="left" vertical="top"/>
    </xf>
    <xf numFmtId="0" fontId="21" fillId="11" borderId="1" xfId="0" applyFont="1" applyFill="1" applyBorder="1" applyAlignment="1">
      <alignment horizontal="left" vertical="top" wrapText="1"/>
    </xf>
    <xf numFmtId="15" fontId="15" fillId="11" borderId="1" xfId="0" applyNumberFormat="1" applyFont="1" applyFill="1" applyBorder="1" applyAlignment="1">
      <alignment horizontal="left" vertical="top" wrapText="1"/>
    </xf>
    <xf numFmtId="0" fontId="16" fillId="14" borderId="2" xfId="0" applyFont="1" applyFill="1" applyBorder="1" applyAlignment="1">
      <alignment horizontal="center" vertical="center" wrapText="1"/>
    </xf>
    <xf numFmtId="0" fontId="22" fillId="11" borderId="1" xfId="0" applyFont="1" applyFill="1" applyBorder="1" applyAlignment="1">
      <alignment horizontal="left" vertical="center" wrapText="1"/>
    </xf>
    <xf numFmtId="166" fontId="22" fillId="11" borderId="1" xfId="0" applyNumberFormat="1" applyFont="1" applyFill="1" applyBorder="1" applyAlignment="1">
      <alignment horizontal="left" vertical="center" wrapText="1"/>
    </xf>
    <xf numFmtId="0" fontId="15" fillId="11" borderId="1" xfId="0" applyFont="1" applyFill="1" applyBorder="1" applyAlignment="1">
      <alignment horizontal="left" vertical="center"/>
    </xf>
    <xf numFmtId="166" fontId="15" fillId="11" borderId="1" xfId="0" applyNumberFormat="1" applyFont="1" applyFill="1" applyBorder="1" applyAlignment="1">
      <alignment horizontal="center" vertical="center"/>
    </xf>
    <xf numFmtId="0" fontId="16" fillId="15" borderId="1" xfId="0" applyFont="1" applyFill="1" applyBorder="1" applyAlignment="1">
      <alignment horizontal="left" vertical="top"/>
    </xf>
    <xf numFmtId="0" fontId="16" fillId="15" borderId="1" xfId="0" applyFont="1" applyFill="1" applyBorder="1" applyAlignment="1">
      <alignment horizontal="left" vertical="top" wrapText="1"/>
    </xf>
    <xf numFmtId="15" fontId="22" fillId="15" borderId="1" xfId="0" applyNumberFormat="1" applyFont="1" applyFill="1" applyBorder="1" applyAlignment="1">
      <alignment horizontal="left" vertical="top" wrapText="1"/>
    </xf>
    <xf numFmtId="166" fontId="15" fillId="0" borderId="1" xfId="0" applyNumberFormat="1" applyFont="1" applyBorder="1" applyAlignment="1">
      <alignment horizontal="left" vertical="center"/>
    </xf>
    <xf numFmtId="166" fontId="15" fillId="0" borderId="1" xfId="0" applyNumberFormat="1" applyFont="1" applyBorder="1" applyAlignment="1">
      <alignment horizontal="center" vertical="center"/>
    </xf>
    <xf numFmtId="0" fontId="27" fillId="10" borderId="1" xfId="0" applyFont="1" applyFill="1" applyBorder="1" applyAlignment="1">
      <alignment horizontal="left" vertical="center" wrapText="1"/>
    </xf>
    <xf numFmtId="0" fontId="20" fillId="11" borderId="1" xfId="0" applyFont="1" applyFill="1" applyBorder="1" applyAlignment="1">
      <alignment horizontal="left" vertical="top"/>
    </xf>
    <xf numFmtId="0" fontId="20" fillId="11" borderId="1" xfId="0" applyFont="1" applyFill="1" applyBorder="1" applyAlignment="1">
      <alignment horizontal="left" vertical="top" wrapText="1"/>
    </xf>
    <xf numFmtId="15" fontId="28" fillId="11" borderId="1" xfId="0" applyNumberFormat="1" applyFont="1" applyFill="1" applyBorder="1" applyAlignment="1">
      <alignment horizontal="left" vertical="top" wrapText="1"/>
    </xf>
    <xf numFmtId="0" fontId="23" fillId="0" borderId="1" xfId="0" applyFont="1" applyBorder="1" applyAlignment="1">
      <alignment horizontal="left"/>
    </xf>
    <xf numFmtId="1" fontId="16" fillId="11" borderId="1" xfId="0" applyNumberFormat="1" applyFont="1" applyFill="1" applyBorder="1" applyAlignment="1">
      <alignment horizontal="left"/>
    </xf>
    <xf numFmtId="0" fontId="15" fillId="11" borderId="1" xfId="0" applyFont="1" applyFill="1" applyBorder="1" applyAlignment="1">
      <alignment horizontal="left"/>
    </xf>
    <xf numFmtId="0" fontId="23" fillId="0" borderId="1" xfId="0" applyFont="1" applyBorder="1" applyAlignment="1">
      <alignment horizontal="left" vertical="top"/>
    </xf>
    <xf numFmtId="0" fontId="15" fillId="0" borderId="1" xfId="0" applyFont="1" applyBorder="1" applyAlignment="1">
      <alignment horizontal="left" vertical="top"/>
    </xf>
    <xf numFmtId="1" fontId="16" fillId="11" borderId="1" xfId="0" applyNumberFormat="1" applyFont="1" applyFill="1" applyBorder="1" applyAlignment="1">
      <alignment horizontal="left" vertical="top"/>
    </xf>
    <xf numFmtId="0" fontId="20" fillId="11" borderId="1" xfId="0" applyFont="1" applyFill="1" applyBorder="1" applyAlignment="1">
      <alignment horizontal="left"/>
    </xf>
    <xf numFmtId="167" fontId="22" fillId="0" borderId="1" xfId="0" applyNumberFormat="1" applyFont="1" applyBorder="1" applyAlignment="1">
      <alignment horizontal="left" vertical="top" wrapText="1"/>
    </xf>
    <xf numFmtId="0" fontId="22" fillId="0" borderId="1" xfId="0" applyFont="1" applyBorder="1" applyAlignment="1">
      <alignment vertical="top" wrapText="1"/>
    </xf>
    <xf numFmtId="1" fontId="22" fillId="0" borderId="1" xfId="0" applyNumberFormat="1" applyFont="1" applyBorder="1" applyAlignment="1">
      <alignment horizontal="left" vertical="top" wrapText="1"/>
    </xf>
    <xf numFmtId="0" fontId="16" fillId="10" borderId="1" xfId="0" applyFont="1" applyFill="1" applyBorder="1" applyAlignment="1">
      <alignment horizontal="left" vertical="top"/>
    </xf>
    <xf numFmtId="0" fontId="16" fillId="10" borderId="1" xfId="0" applyFont="1" applyFill="1" applyBorder="1" applyAlignment="1">
      <alignment horizontal="right" vertical="top"/>
    </xf>
    <xf numFmtId="0" fontId="15" fillId="11" borderId="1" xfId="0" applyFont="1" applyFill="1" applyBorder="1" applyAlignment="1">
      <alignment horizontal="left" vertical="top" wrapText="1"/>
    </xf>
    <xf numFmtId="0" fontId="15" fillId="11" borderId="1" xfId="0" applyFont="1" applyFill="1" applyBorder="1" applyAlignment="1">
      <alignment horizontal="left" vertical="top"/>
    </xf>
    <xf numFmtId="1" fontId="16" fillId="11" borderId="1" xfId="0" applyNumberFormat="1" applyFont="1" applyFill="1" applyBorder="1" applyAlignment="1">
      <alignment horizontal="right" vertical="top"/>
    </xf>
    <xf numFmtId="0" fontId="22" fillId="11" borderId="1" xfId="0" applyFont="1" applyFill="1" applyBorder="1" applyAlignment="1">
      <alignment horizontal="left" vertical="top" wrapText="1"/>
    </xf>
    <xf numFmtId="167" fontId="22" fillId="11" borderId="1" xfId="0" applyNumberFormat="1" applyFont="1" applyFill="1" applyBorder="1" applyAlignment="1">
      <alignment horizontal="left" vertical="top" wrapText="1"/>
    </xf>
    <xf numFmtId="1" fontId="15" fillId="11" borderId="1" xfId="0" applyNumberFormat="1" applyFont="1" applyFill="1" applyBorder="1" applyAlignment="1">
      <alignment horizontal="left" vertical="top"/>
    </xf>
    <xf numFmtId="1" fontId="22" fillId="11" borderId="1" xfId="0" applyNumberFormat="1" applyFont="1" applyFill="1" applyBorder="1" applyAlignment="1">
      <alignment horizontal="left" vertical="top" wrapText="1"/>
    </xf>
    <xf numFmtId="166" fontId="16" fillId="0" borderId="1" xfId="0" applyNumberFormat="1" applyFont="1" applyBorder="1" applyAlignment="1">
      <alignment horizontal="left" vertical="top"/>
    </xf>
    <xf numFmtId="0" fontId="16" fillId="0" borderId="10" xfId="0" applyFont="1" applyBorder="1" applyAlignment="1">
      <alignment horizontal="left" vertical="top" wrapText="1"/>
    </xf>
    <xf numFmtId="0" fontId="27" fillId="0" borderId="1" xfId="0" applyFont="1" applyBorder="1" applyAlignment="1">
      <alignment horizontal="left" vertical="top"/>
    </xf>
    <xf numFmtId="166" fontId="16" fillId="11" borderId="1" xfId="0" applyNumberFormat="1" applyFont="1" applyFill="1" applyBorder="1" applyAlignment="1">
      <alignment horizontal="left" vertical="top"/>
    </xf>
    <xf numFmtId="1" fontId="16" fillId="11" borderId="2" xfId="0" applyNumberFormat="1" applyFont="1" applyFill="1" applyBorder="1" applyAlignment="1">
      <alignment horizontal="left" vertical="top" wrapText="1"/>
    </xf>
    <xf numFmtId="1" fontId="27" fillId="11" borderId="1" xfId="0" applyNumberFormat="1" applyFont="1" applyFill="1" applyBorder="1" applyAlignment="1">
      <alignment horizontal="left" vertical="top"/>
    </xf>
    <xf numFmtId="1" fontId="20" fillId="0" borderId="1" xfId="0" applyNumberFormat="1" applyFont="1" applyBorder="1" applyAlignment="1">
      <alignment horizontal="left" vertical="top"/>
    </xf>
    <xf numFmtId="1" fontId="16" fillId="0" borderId="5" xfId="0" applyNumberFormat="1" applyFont="1" applyBorder="1" applyAlignment="1">
      <alignment horizontal="right" vertical="top"/>
    </xf>
    <xf numFmtId="1" fontId="16" fillId="0" borderId="7" xfId="0" applyNumberFormat="1" applyFont="1" applyBorder="1" applyAlignment="1">
      <alignment horizontal="left" vertical="top"/>
    </xf>
    <xf numFmtId="1" fontId="16" fillId="11" borderId="11" xfId="0" applyNumberFormat="1" applyFont="1" applyFill="1" applyBorder="1" applyAlignment="1">
      <alignment horizontal="right" vertical="top"/>
    </xf>
    <xf numFmtId="0" fontId="14" fillId="11" borderId="1" xfId="0" applyFont="1" applyFill="1" applyBorder="1"/>
    <xf numFmtId="1" fontId="16" fillId="11" borderId="5" xfId="0" applyNumberFormat="1" applyFont="1" applyFill="1" applyBorder="1" applyAlignment="1">
      <alignment horizontal="right" vertical="top"/>
    </xf>
    <xf numFmtId="0" fontId="16" fillId="11" borderId="7" xfId="0" applyFont="1" applyFill="1" applyBorder="1" applyAlignment="1">
      <alignment horizontal="left" vertical="top"/>
    </xf>
    <xf numFmtId="0" fontId="26" fillId="11" borderId="7" xfId="0" applyFont="1" applyFill="1" applyBorder="1" applyAlignment="1">
      <alignment horizontal="left" vertical="top"/>
    </xf>
    <xf numFmtId="0" fontId="15" fillId="16" borderId="1" xfId="0" applyFont="1" applyFill="1" applyBorder="1" applyAlignment="1">
      <alignment horizontal="left" vertical="center"/>
    </xf>
    <xf numFmtId="0" fontId="16" fillId="0" borderId="1" xfId="0" applyFont="1" applyBorder="1" applyAlignment="1">
      <alignment horizontal="right" vertical="top"/>
    </xf>
    <xf numFmtId="0" fontId="16" fillId="0" borderId="7" xfId="0" applyFont="1" applyBorder="1" applyAlignment="1">
      <alignment horizontal="left" vertical="top"/>
    </xf>
    <xf numFmtId="0" fontId="16" fillId="0" borderId="6" xfId="0" applyFont="1" applyBorder="1" applyAlignment="1">
      <alignment horizontal="left" vertical="top"/>
    </xf>
    <xf numFmtId="166" fontId="16" fillId="13" borderId="1" xfId="0" applyNumberFormat="1" applyFont="1" applyFill="1" applyBorder="1" applyAlignment="1">
      <alignment horizontal="left" vertical="top"/>
    </xf>
    <xf numFmtId="0" fontId="16" fillId="13" borderId="1" xfId="0" applyFont="1" applyFill="1" applyBorder="1" applyAlignment="1">
      <alignment horizontal="right" vertical="top"/>
    </xf>
    <xf numFmtId="1" fontId="16" fillId="13" borderId="1" xfId="0" applyNumberFormat="1" applyFont="1" applyFill="1" applyBorder="1" applyAlignment="1">
      <alignment horizontal="right" vertical="top"/>
    </xf>
    <xf numFmtId="0" fontId="23" fillId="13" borderId="1" xfId="0" applyFont="1" applyFill="1" applyBorder="1" applyAlignment="1">
      <alignment horizontal="left" vertical="top"/>
    </xf>
    <xf numFmtId="1" fontId="16" fillId="13" borderId="1" xfId="0" applyNumberFormat="1" applyFont="1" applyFill="1" applyBorder="1" applyAlignment="1">
      <alignment horizontal="left" vertical="top" wrapText="1"/>
    </xf>
    <xf numFmtId="166" fontId="16" fillId="13" borderId="1" xfId="0" applyNumberFormat="1" applyFont="1" applyFill="1" applyBorder="1" applyAlignment="1">
      <alignment horizontal="right" wrapText="1"/>
    </xf>
    <xf numFmtId="1" fontId="16" fillId="13" borderId="1" xfId="0" applyNumberFormat="1" applyFont="1" applyFill="1" applyBorder="1" applyAlignment="1">
      <alignment horizontal="right" vertical="top" wrapText="1"/>
    </xf>
    <xf numFmtId="0" fontId="16" fillId="13" borderId="1" xfId="0" applyFont="1" applyFill="1" applyBorder="1" applyAlignment="1">
      <alignment horizontal="right" vertical="top" wrapText="1"/>
    </xf>
    <xf numFmtId="1" fontId="16" fillId="13" borderId="1" xfId="0" applyNumberFormat="1" applyFont="1" applyFill="1" applyBorder="1" applyAlignment="1">
      <alignment horizontal="left" vertical="top"/>
    </xf>
    <xf numFmtId="0" fontId="26" fillId="13" borderId="1" xfId="0" applyFont="1" applyFill="1" applyBorder="1" applyAlignment="1">
      <alignment horizontal="left" vertical="top"/>
    </xf>
    <xf numFmtId="0" fontId="15" fillId="13" borderId="1" xfId="0" applyFont="1" applyFill="1" applyBorder="1" applyAlignment="1">
      <alignment horizontal="right"/>
    </xf>
    <xf numFmtId="0" fontId="15" fillId="13" borderId="1" xfId="0" applyFont="1" applyFill="1" applyBorder="1" applyAlignment="1">
      <alignment horizontal="left" vertical="top" wrapText="1"/>
    </xf>
    <xf numFmtId="0" fontId="15" fillId="13" borderId="1" xfId="0" applyFont="1" applyFill="1" applyBorder="1" applyAlignment="1">
      <alignment horizontal="left" vertical="top"/>
    </xf>
    <xf numFmtId="1" fontId="16" fillId="0" borderId="1" xfId="0" applyNumberFormat="1" applyFont="1" applyBorder="1" applyAlignment="1">
      <alignment horizontal="right" vertical="top"/>
    </xf>
    <xf numFmtId="0" fontId="29" fillId="0" borderId="1" xfId="0" applyFont="1" applyBorder="1"/>
    <xf numFmtId="166" fontId="21" fillId="11" borderId="1" xfId="0" applyNumberFormat="1" applyFont="1" applyFill="1" applyBorder="1" applyAlignment="1">
      <alignment horizontal="left" vertical="top"/>
    </xf>
    <xf numFmtId="0" fontId="21" fillId="11" borderId="1" xfId="0" applyFont="1" applyFill="1" applyBorder="1" applyAlignment="1">
      <alignment horizontal="right" vertical="top"/>
    </xf>
    <xf numFmtId="1" fontId="21" fillId="11" borderId="1" xfId="0" applyNumberFormat="1" applyFont="1" applyFill="1" applyBorder="1" applyAlignment="1">
      <alignment horizontal="right" vertical="top" wrapText="1"/>
    </xf>
    <xf numFmtId="0" fontId="19" fillId="11" borderId="1" xfId="0" applyFont="1" applyFill="1" applyBorder="1" applyAlignment="1">
      <alignment horizontal="left" vertical="top" wrapText="1"/>
    </xf>
    <xf numFmtId="166" fontId="15" fillId="11" borderId="1" xfId="0" applyNumberFormat="1" applyFont="1" applyFill="1" applyBorder="1"/>
    <xf numFmtId="166" fontId="16" fillId="15" borderId="1" xfId="0" applyNumberFormat="1" applyFont="1" applyFill="1" applyBorder="1" applyAlignment="1">
      <alignment horizontal="left" vertical="top"/>
    </xf>
    <xf numFmtId="0" fontId="16" fillId="15" borderId="1" xfId="0" applyFont="1" applyFill="1" applyBorder="1" applyAlignment="1">
      <alignment horizontal="right" vertical="top" wrapText="1"/>
    </xf>
    <xf numFmtId="0" fontId="16" fillId="15" borderId="1" xfId="0" applyFont="1" applyFill="1" applyBorder="1" applyAlignment="1">
      <alignment horizontal="right" vertical="top"/>
    </xf>
    <xf numFmtId="1" fontId="16" fillId="15" borderId="1" xfId="0" applyNumberFormat="1" applyFont="1" applyFill="1" applyBorder="1" applyAlignment="1">
      <alignment horizontal="right" vertical="top"/>
    </xf>
    <xf numFmtId="1" fontId="21" fillId="0" borderId="1" xfId="0" applyNumberFormat="1" applyFont="1" applyBorder="1" applyAlignment="1">
      <alignment horizontal="right" vertical="top"/>
    </xf>
    <xf numFmtId="0" fontId="15" fillId="7" borderId="1" xfId="0" applyFont="1" applyFill="1" applyBorder="1" applyAlignment="1">
      <alignment horizontal="right" vertical="center" wrapText="1"/>
    </xf>
    <xf numFmtId="0" fontId="15" fillId="17" borderId="1" xfId="0" applyFont="1" applyFill="1" applyBorder="1" applyAlignment="1">
      <alignment horizontal="right" vertical="center" wrapText="1"/>
    </xf>
    <xf numFmtId="166" fontId="15" fillId="0" borderId="1" xfId="0" applyNumberFormat="1" applyFont="1" applyBorder="1"/>
    <xf numFmtId="166" fontId="15" fillId="0" borderId="1" xfId="0" applyNumberFormat="1" applyFont="1" applyBorder="1" applyAlignment="1">
      <alignment horizontal="left" vertical="top" wrapText="1"/>
    </xf>
    <xf numFmtId="1" fontId="21" fillId="11" borderId="1" xfId="0" applyNumberFormat="1" applyFont="1" applyFill="1" applyBorder="1" applyAlignment="1">
      <alignment horizontal="right" vertical="top"/>
    </xf>
    <xf numFmtId="166" fontId="20" fillId="11" borderId="1" xfId="0" applyNumberFormat="1" applyFont="1" applyFill="1" applyBorder="1" applyAlignment="1">
      <alignment horizontal="left" vertical="top"/>
    </xf>
    <xf numFmtId="0" fontId="28" fillId="11" borderId="1" xfId="0" applyFont="1" applyFill="1" applyBorder="1" applyAlignment="1">
      <alignment horizontal="right"/>
    </xf>
    <xf numFmtId="0" fontId="20" fillId="11" borderId="1" xfId="0" applyFont="1" applyFill="1" applyBorder="1" applyAlignment="1">
      <alignment horizontal="right" vertical="top"/>
    </xf>
    <xf numFmtId="1" fontId="20" fillId="11" borderId="1" xfId="0" applyNumberFormat="1" applyFont="1" applyFill="1" applyBorder="1" applyAlignment="1">
      <alignment horizontal="right" vertical="top"/>
    </xf>
    <xf numFmtId="165" fontId="15" fillId="0" borderId="1" xfId="0" applyNumberFormat="1" applyFont="1" applyBorder="1"/>
    <xf numFmtId="165" fontId="15" fillId="18" borderId="1" xfId="0" applyNumberFormat="1" applyFont="1" applyFill="1" applyBorder="1"/>
    <xf numFmtId="165" fontId="15" fillId="0" borderId="1" xfId="0" applyNumberFormat="1" applyFont="1" applyBorder="1" applyAlignment="1">
      <alignment horizontal="center"/>
    </xf>
    <xf numFmtId="165" fontId="15" fillId="11" borderId="1" xfId="0" applyNumberFormat="1" applyFont="1" applyFill="1" applyBorder="1"/>
    <xf numFmtId="1" fontId="15" fillId="0" borderId="1" xfId="0" applyNumberFormat="1" applyFont="1" applyBorder="1" applyAlignment="1">
      <alignment vertical="top"/>
    </xf>
    <xf numFmtId="165" fontId="15" fillId="0" borderId="1" xfId="0" applyNumberFormat="1" applyFont="1" applyBorder="1" applyAlignment="1">
      <alignment vertical="top"/>
    </xf>
    <xf numFmtId="165" fontId="15" fillId="0" borderId="1" xfId="0" applyNumberFormat="1" applyFont="1" applyBorder="1" applyAlignment="1">
      <alignment horizontal="center" vertical="top"/>
    </xf>
    <xf numFmtId="1" fontId="15" fillId="11" borderId="1" xfId="0" applyNumberFormat="1" applyFont="1" applyFill="1" applyBorder="1" applyAlignment="1">
      <alignment vertical="top"/>
    </xf>
    <xf numFmtId="165" fontId="15" fillId="11" borderId="1" xfId="0" applyNumberFormat="1" applyFont="1" applyFill="1" applyBorder="1" applyAlignment="1">
      <alignment vertical="top"/>
    </xf>
    <xf numFmtId="0" fontId="23" fillId="11" borderId="1" xfId="0" applyFont="1" applyFill="1" applyBorder="1" applyAlignment="1">
      <alignment horizontal="left" vertical="top"/>
    </xf>
    <xf numFmtId="168" fontId="22" fillId="0" borderId="1" xfId="0" applyNumberFormat="1" applyFont="1" applyBorder="1" applyAlignment="1">
      <alignment horizontal="right" vertical="top" wrapText="1"/>
    </xf>
    <xf numFmtId="0" fontId="30" fillId="0" borderId="1" xfId="0" applyFont="1" applyBorder="1" applyAlignment="1">
      <alignment vertical="top" wrapText="1"/>
    </xf>
    <xf numFmtId="0" fontId="31" fillId="0" borderId="1" xfId="0" applyFont="1" applyBorder="1" applyAlignment="1">
      <alignment vertical="top" wrapText="1"/>
    </xf>
    <xf numFmtId="9" fontId="31" fillId="0" borderId="1" xfId="0" applyNumberFormat="1" applyFont="1" applyBorder="1" applyAlignment="1">
      <alignment horizontal="left" vertical="top" wrapText="1"/>
    </xf>
    <xf numFmtId="0" fontId="15" fillId="10" borderId="1" xfId="0" applyFont="1" applyFill="1" applyBorder="1" applyAlignment="1">
      <alignment horizontal="left" vertical="top"/>
    </xf>
    <xf numFmtId="165" fontId="16" fillId="10" borderId="1" xfId="0" applyNumberFormat="1" applyFont="1" applyFill="1" applyBorder="1" applyAlignment="1">
      <alignment vertical="top" wrapText="1"/>
    </xf>
    <xf numFmtId="168" fontId="22" fillId="11" borderId="1" xfId="0" applyNumberFormat="1" applyFont="1" applyFill="1" applyBorder="1" applyAlignment="1">
      <alignment horizontal="right" vertical="top" wrapText="1"/>
    </xf>
    <xf numFmtId="0" fontId="30" fillId="11" borderId="1" xfId="0" applyFont="1" applyFill="1" applyBorder="1" applyAlignment="1">
      <alignment vertical="top" wrapText="1"/>
    </xf>
    <xf numFmtId="0" fontId="31" fillId="11" borderId="1" xfId="0" applyFont="1" applyFill="1" applyBorder="1" applyAlignment="1">
      <alignment vertical="top" wrapText="1"/>
    </xf>
    <xf numFmtId="9" fontId="31" fillId="11" borderId="1" xfId="0" applyNumberFormat="1" applyFont="1" applyFill="1" applyBorder="1" applyAlignment="1">
      <alignment horizontal="left" vertical="top" wrapText="1"/>
    </xf>
    <xf numFmtId="165" fontId="15" fillId="11" borderId="1" xfId="0" applyNumberFormat="1" applyFont="1" applyFill="1" applyBorder="1" applyAlignment="1">
      <alignment horizontal="left" vertical="top"/>
    </xf>
    <xf numFmtId="1" fontId="15" fillId="0" borderId="1" xfId="0" applyNumberFormat="1" applyFont="1" applyBorder="1" applyAlignment="1">
      <alignment horizontal="left" vertical="top"/>
    </xf>
    <xf numFmtId="165" fontId="15" fillId="0" borderId="1" xfId="0" applyNumberFormat="1" applyFont="1" applyBorder="1" applyAlignment="1">
      <alignment horizontal="left" vertical="top"/>
    </xf>
    <xf numFmtId="166" fontId="15" fillId="11" borderId="1" xfId="0" applyNumberFormat="1" applyFont="1" applyFill="1" applyBorder="1" applyAlignment="1">
      <alignment horizontal="left" vertical="top"/>
    </xf>
    <xf numFmtId="0" fontId="15" fillId="0" borderId="0" xfId="0" applyFont="1" applyAlignment="1">
      <alignment horizontal="left" vertical="center"/>
    </xf>
    <xf numFmtId="1" fontId="15" fillId="13" borderId="1" xfId="0" applyNumberFormat="1" applyFont="1" applyFill="1" applyBorder="1" applyAlignment="1">
      <alignment horizontal="left" vertical="top"/>
    </xf>
    <xf numFmtId="165" fontId="15" fillId="13" borderId="1" xfId="0" applyNumberFormat="1" applyFont="1" applyFill="1" applyBorder="1" applyAlignment="1">
      <alignment horizontal="left" vertical="top"/>
    </xf>
    <xf numFmtId="166" fontId="15" fillId="0" borderId="8" xfId="0" applyNumberFormat="1" applyFont="1" applyBorder="1" applyAlignment="1">
      <alignment horizontal="right" vertical="center"/>
    </xf>
    <xf numFmtId="1" fontId="16" fillId="15" borderId="1" xfId="0" applyNumberFormat="1" applyFont="1" applyFill="1" applyBorder="1" applyAlignment="1">
      <alignment horizontal="left" vertical="top"/>
    </xf>
    <xf numFmtId="0" fontId="15" fillId="15" borderId="1" xfId="0" applyFont="1" applyFill="1" applyBorder="1" applyAlignment="1">
      <alignment horizontal="left" vertical="top"/>
    </xf>
    <xf numFmtId="1" fontId="20" fillId="11" borderId="1" xfId="0" applyNumberFormat="1" applyFont="1" applyFill="1" applyBorder="1" applyAlignment="1">
      <alignment horizontal="left" vertical="top"/>
    </xf>
    <xf numFmtId="0" fontId="28" fillId="11" borderId="1" xfId="0" applyFont="1" applyFill="1" applyBorder="1" applyAlignment="1">
      <alignment horizontal="left" vertical="top"/>
    </xf>
    <xf numFmtId="1" fontId="28" fillId="11" borderId="1" xfId="0" applyNumberFormat="1" applyFont="1" applyFill="1" applyBorder="1" applyAlignment="1">
      <alignment horizontal="left" vertical="top"/>
    </xf>
    <xf numFmtId="165" fontId="28" fillId="11" borderId="1" xfId="0" applyNumberFormat="1" applyFont="1" applyFill="1" applyBorder="1" applyAlignment="1">
      <alignment horizontal="left" vertical="top"/>
    </xf>
    <xf numFmtId="9" fontId="31" fillId="0" borderId="1" xfId="0" applyNumberFormat="1" applyFont="1" applyBorder="1" applyAlignment="1">
      <alignment horizontal="center" vertical="top" wrapText="1"/>
    </xf>
    <xf numFmtId="10" fontId="31" fillId="0" borderId="1" xfId="0" applyNumberFormat="1" applyFont="1" applyBorder="1" applyAlignment="1">
      <alignment horizontal="center" vertical="top" wrapText="1"/>
    </xf>
    <xf numFmtId="0" fontId="31" fillId="0" borderId="1" xfId="0" applyFont="1" applyBorder="1" applyAlignment="1">
      <alignment horizontal="center" vertical="top" wrapText="1"/>
    </xf>
    <xf numFmtId="9" fontId="31" fillId="11" borderId="1" xfId="0" applyNumberFormat="1" applyFont="1" applyFill="1" applyBorder="1" applyAlignment="1">
      <alignment horizontal="center" vertical="top" wrapText="1"/>
    </xf>
    <xf numFmtId="10" fontId="31" fillId="11" borderId="1" xfId="0" applyNumberFormat="1" applyFont="1" applyFill="1" applyBorder="1" applyAlignment="1">
      <alignment horizontal="center" vertical="top" wrapText="1"/>
    </xf>
    <xf numFmtId="0" fontId="31" fillId="11" borderId="1" xfId="0" applyFont="1" applyFill="1" applyBorder="1" applyAlignment="1">
      <alignment horizontal="center" vertical="top" wrapText="1"/>
    </xf>
    <xf numFmtId="166" fontId="15" fillId="0" borderId="1" xfId="0" applyNumberFormat="1" applyFont="1" applyBorder="1" applyAlignment="1">
      <alignment horizontal="right"/>
    </xf>
    <xf numFmtId="165" fontId="16" fillId="0" borderId="1" xfId="0" applyNumberFormat="1" applyFont="1" applyBorder="1" applyAlignment="1">
      <alignment horizontal="left" vertical="top"/>
    </xf>
    <xf numFmtId="165" fontId="16" fillId="13" borderId="1" xfId="0" applyNumberFormat="1" applyFont="1" applyFill="1" applyBorder="1" applyAlignment="1">
      <alignment horizontal="left" vertical="top"/>
    </xf>
    <xf numFmtId="165" fontId="15" fillId="15" borderId="1" xfId="0" applyNumberFormat="1" applyFont="1" applyFill="1" applyBorder="1" applyAlignment="1">
      <alignment horizontal="left" vertical="top"/>
    </xf>
    <xf numFmtId="165" fontId="15" fillId="15" borderId="1" xfId="0" applyNumberFormat="1" applyFont="1" applyFill="1" applyBorder="1" applyAlignment="1">
      <alignment vertical="top"/>
    </xf>
    <xf numFmtId="166" fontId="15" fillId="0" borderId="1" xfId="0" applyNumberFormat="1" applyFont="1" applyBorder="1" applyAlignment="1">
      <alignment vertical="top"/>
    </xf>
    <xf numFmtId="165" fontId="28" fillId="11" borderId="1" xfId="0" applyNumberFormat="1" applyFont="1" applyFill="1" applyBorder="1" applyAlignment="1">
      <alignment vertical="top"/>
    </xf>
    <xf numFmtId="165" fontId="16" fillId="0" borderId="1" xfId="0" applyNumberFormat="1" applyFont="1" applyBorder="1" applyAlignment="1">
      <alignment vertical="top"/>
    </xf>
    <xf numFmtId="165" fontId="16" fillId="11" borderId="1" xfId="0" applyNumberFormat="1" applyFont="1" applyFill="1" applyBorder="1" applyAlignment="1">
      <alignment vertical="top"/>
    </xf>
    <xf numFmtId="0" fontId="15" fillId="19" borderId="1" xfId="0" applyFont="1" applyFill="1" applyBorder="1" applyAlignment="1">
      <alignment vertical="top"/>
    </xf>
    <xf numFmtId="165" fontId="15" fillId="19" borderId="1" xfId="0" applyNumberFormat="1" applyFont="1" applyFill="1" applyBorder="1" applyAlignment="1">
      <alignment vertical="top"/>
    </xf>
    <xf numFmtId="165" fontId="16" fillId="11" borderId="1" xfId="0" applyNumberFormat="1" applyFont="1" applyFill="1" applyBorder="1" applyAlignment="1">
      <alignment horizontal="left" vertical="top" wrapText="1"/>
    </xf>
    <xf numFmtId="0" fontId="15" fillId="0" borderId="7" xfId="0" applyFont="1" applyBorder="1"/>
    <xf numFmtId="165" fontId="15" fillId="0" borderId="7" xfId="0" applyNumberFormat="1" applyFont="1" applyBorder="1"/>
    <xf numFmtId="165" fontId="15" fillId="11" borderId="7" xfId="0" applyNumberFormat="1" applyFont="1" applyFill="1" applyBorder="1"/>
    <xf numFmtId="165" fontId="15" fillId="11" borderId="7" xfId="0" applyNumberFormat="1" applyFont="1" applyFill="1" applyBorder="1" applyAlignment="1">
      <alignment vertical="top"/>
    </xf>
    <xf numFmtId="0" fontId="15" fillId="11" borderId="0" xfId="0" applyFont="1" applyFill="1" applyAlignment="1">
      <alignment vertical="top"/>
    </xf>
    <xf numFmtId="165" fontId="16" fillId="11" borderId="2" xfId="0" applyNumberFormat="1" applyFont="1" applyFill="1" applyBorder="1" applyAlignment="1">
      <alignment vertical="top"/>
    </xf>
    <xf numFmtId="0" fontId="15" fillId="11" borderId="1" xfId="0" applyFont="1" applyFill="1" applyBorder="1" applyAlignment="1">
      <alignment vertical="top"/>
    </xf>
    <xf numFmtId="0" fontId="15" fillId="0" borderId="1" xfId="0" applyFont="1" applyBorder="1" applyAlignment="1">
      <alignment vertical="top"/>
    </xf>
    <xf numFmtId="0" fontId="31" fillId="0" borderId="7" xfId="0" applyFont="1" applyBorder="1" applyAlignment="1">
      <alignment vertical="top" wrapText="1"/>
    </xf>
    <xf numFmtId="165" fontId="16" fillId="11" borderId="1" xfId="0" applyNumberFormat="1" applyFont="1" applyFill="1" applyBorder="1" applyAlignment="1">
      <alignment horizontal="left" vertical="top"/>
    </xf>
    <xf numFmtId="165" fontId="21" fillId="11" borderId="1" xfId="0" applyNumberFormat="1" applyFont="1" applyFill="1" applyBorder="1" applyAlignment="1">
      <alignment horizontal="left" vertical="top"/>
    </xf>
    <xf numFmtId="165" fontId="16" fillId="15" borderId="1" xfId="0" applyNumberFormat="1" applyFont="1" applyFill="1" applyBorder="1" applyAlignment="1">
      <alignment horizontal="left" vertical="top"/>
    </xf>
    <xf numFmtId="165" fontId="20" fillId="11" borderId="1" xfId="0" applyNumberFormat="1" applyFont="1" applyFill="1" applyBorder="1" applyAlignment="1">
      <alignment horizontal="left" vertical="top"/>
    </xf>
    <xf numFmtId="165" fontId="28" fillId="11" borderId="0" xfId="0" applyNumberFormat="1" applyFont="1" applyFill="1" applyAlignment="1">
      <alignment horizontal="left" vertical="top"/>
    </xf>
    <xf numFmtId="0" fontId="28" fillId="11" borderId="0" xfId="0" applyFont="1" applyFill="1" applyAlignment="1">
      <alignment horizontal="left" vertical="top"/>
    </xf>
    <xf numFmtId="0" fontId="15" fillId="9" borderId="1" xfId="0" applyFont="1" applyFill="1" applyBorder="1"/>
    <xf numFmtId="0" fontId="28" fillId="0" borderId="0" xfId="0" applyFont="1"/>
    <xf numFmtId="0" fontId="25" fillId="4" borderId="1" xfId="0" applyFont="1" applyFill="1" applyBorder="1"/>
    <xf numFmtId="169" fontId="19" fillId="0" borderId="1" xfId="0" applyNumberFormat="1" applyFont="1" applyBorder="1"/>
    <xf numFmtId="0" fontId="19" fillId="0" borderId="3" xfId="0" applyFont="1" applyBorder="1"/>
    <xf numFmtId="169" fontId="19" fillId="0" borderId="3" xfId="0" applyNumberFormat="1" applyFont="1" applyBorder="1"/>
    <xf numFmtId="169" fontId="15" fillId="0" borderId="1" xfId="0" applyNumberFormat="1" applyFont="1" applyBorder="1"/>
    <xf numFmtId="0" fontId="25" fillId="0" borderId="1" xfId="0" applyFont="1" applyBorder="1"/>
    <xf numFmtId="0" fontId="25" fillId="0" borderId="0" xfId="0" applyFont="1"/>
    <xf numFmtId="0" fontId="32" fillId="6" borderId="1" xfId="0" applyFont="1" applyFill="1" applyBorder="1" applyAlignment="1">
      <alignment horizontal="center"/>
    </xf>
    <xf numFmtId="0" fontId="25" fillId="6" borderId="1" xfId="0" applyFont="1" applyFill="1" applyBorder="1" applyAlignment="1">
      <alignment horizontal="center"/>
    </xf>
    <xf numFmtId="0" fontId="19" fillId="0" borderId="1" xfId="0" applyFont="1" applyBorder="1" applyAlignment="1">
      <alignment horizontal="left"/>
    </xf>
    <xf numFmtId="0" fontId="21" fillId="8" borderId="1" xfId="0" applyFont="1" applyFill="1" applyBorder="1" applyAlignment="1">
      <alignment horizontal="left" vertical="center"/>
    </xf>
    <xf numFmtId="170" fontId="19" fillId="0" borderId="1" xfId="0" applyNumberFormat="1" applyFont="1" applyBorder="1" applyAlignment="1">
      <alignment horizontal="left"/>
    </xf>
    <xf numFmtId="0" fontId="25" fillId="0" borderId="0" xfId="0" applyFont="1" applyAlignment="1">
      <alignment horizontal="center"/>
    </xf>
    <xf numFmtId="0" fontId="14" fillId="20" borderId="1" xfId="0" applyFont="1" applyFill="1" applyBorder="1"/>
    <xf numFmtId="0" fontId="14" fillId="0" borderId="0" xfId="0" applyFont="1"/>
    <xf numFmtId="17" fontId="15" fillId="0" borderId="1" xfId="0" applyNumberFormat="1" applyFont="1" applyBorder="1"/>
    <xf numFmtId="0" fontId="14" fillId="0" borderId="1" xfId="0" applyFont="1" applyBorder="1"/>
    <xf numFmtId="0" fontId="25" fillId="4" borderId="1" xfId="0" applyFont="1" applyFill="1" applyBorder="1" applyAlignment="1">
      <alignment horizontal="left" vertical="top"/>
    </xf>
    <xf numFmtId="0" fontId="19" fillId="21" borderId="1" xfId="0" applyFont="1" applyFill="1" applyBorder="1" applyAlignment="1">
      <alignment horizontal="left" vertical="top"/>
    </xf>
    <xf numFmtId="9" fontId="19" fillId="0" borderId="1" xfId="0" applyNumberFormat="1" applyFont="1" applyBorder="1" applyAlignment="1">
      <alignment horizontal="left" vertical="top"/>
    </xf>
    <xf numFmtId="0" fontId="33" fillId="22" borderId="1" xfId="0" applyFont="1" applyFill="1" applyBorder="1" applyAlignment="1">
      <alignment horizontal="left" vertical="top"/>
    </xf>
    <xf numFmtId="0" fontId="33" fillId="0" borderId="1" xfId="0" applyFont="1" applyBorder="1" applyAlignment="1">
      <alignment horizontal="left" vertical="top"/>
    </xf>
    <xf numFmtId="0" fontId="34" fillId="0" borderId="1" xfId="0" applyFont="1" applyBorder="1" applyAlignment="1">
      <alignment horizontal="left" vertical="top"/>
    </xf>
    <xf numFmtId="9" fontId="33" fillId="0" borderId="1" xfId="0" applyNumberFormat="1" applyFont="1" applyBorder="1" applyAlignment="1">
      <alignment horizontal="left" vertical="top"/>
    </xf>
    <xf numFmtId="0" fontId="19" fillId="22" borderId="1" xfId="0" applyFont="1" applyFill="1" applyBorder="1" applyAlignment="1">
      <alignment horizontal="left" vertical="top"/>
    </xf>
    <xf numFmtId="0" fontId="35" fillId="0" borderId="1" xfId="0" applyFont="1" applyBorder="1" applyAlignment="1">
      <alignment horizontal="left" vertical="top"/>
    </xf>
    <xf numFmtId="0" fontId="19" fillId="23" borderId="1" xfId="0" applyFont="1" applyFill="1" applyBorder="1" applyAlignment="1">
      <alignment horizontal="left" vertical="top"/>
    </xf>
    <xf numFmtId="0" fontId="19" fillId="24" borderId="1" xfId="0" applyFont="1" applyFill="1" applyBorder="1" applyAlignment="1">
      <alignment horizontal="left" vertical="top"/>
    </xf>
    <xf numFmtId="0" fontId="19" fillId="25" borderId="1" xfId="0" applyFont="1" applyFill="1" applyBorder="1" applyAlignment="1">
      <alignment horizontal="left" vertical="top"/>
    </xf>
    <xf numFmtId="0" fontId="25" fillId="26" borderId="1" xfId="0" applyFont="1" applyFill="1" applyBorder="1" applyAlignment="1">
      <alignment horizontal="left" vertical="top"/>
    </xf>
    <xf numFmtId="0" fontId="35" fillId="22" borderId="1" xfId="0" applyFont="1" applyFill="1" applyBorder="1" applyAlignment="1">
      <alignment horizontal="left" vertical="top"/>
    </xf>
    <xf numFmtId="0" fontId="35" fillId="23" borderId="1" xfId="0" applyFont="1" applyFill="1" applyBorder="1" applyAlignment="1">
      <alignment horizontal="left" vertical="top"/>
    </xf>
    <xf numFmtId="0" fontId="35" fillId="25" borderId="1" xfId="0" applyFont="1" applyFill="1" applyBorder="1" applyAlignment="1">
      <alignment horizontal="left" vertical="top"/>
    </xf>
    <xf numFmtId="0" fontId="35" fillId="26" borderId="1" xfId="0" applyFont="1" applyFill="1" applyBorder="1" applyAlignment="1">
      <alignment horizontal="left" vertical="top"/>
    </xf>
    <xf numFmtId="0" fontId="35" fillId="0" borderId="12" xfId="0" applyFont="1" applyBorder="1" applyAlignment="1">
      <alignment wrapText="1"/>
    </xf>
    <xf numFmtId="0" fontId="36" fillId="16" borderId="13" xfId="0" applyFont="1" applyFill="1" applyBorder="1" applyAlignment="1">
      <alignment horizontal="center" vertical="center" wrapText="1"/>
    </xf>
    <xf numFmtId="0" fontId="36" fillId="16" borderId="14" xfId="0" applyFont="1" applyFill="1" applyBorder="1" applyAlignment="1">
      <alignment horizontal="center" vertical="center" wrapText="1"/>
    </xf>
    <xf numFmtId="0" fontId="36" fillId="16" borderId="15" xfId="0" applyFont="1" applyFill="1" applyBorder="1" applyAlignment="1">
      <alignment horizontal="center" vertical="center"/>
    </xf>
    <xf numFmtId="0" fontId="36" fillId="16" borderId="0" xfId="0" applyFont="1" applyFill="1"/>
    <xf numFmtId="0" fontId="15" fillId="0" borderId="16" xfId="0" applyFont="1" applyBorder="1" applyAlignment="1">
      <alignment vertical="center"/>
    </xf>
    <xf numFmtId="0" fontId="15" fillId="0" borderId="17" xfId="0" applyFont="1" applyBorder="1" applyAlignment="1">
      <alignment vertical="center"/>
    </xf>
    <xf numFmtId="0" fontId="15" fillId="0" borderId="18" xfId="0" applyFont="1" applyBorder="1" applyAlignment="1">
      <alignment wrapText="1"/>
    </xf>
    <xf numFmtId="0" fontId="15" fillId="0" borderId="19" xfId="0" applyFont="1" applyBorder="1" applyAlignment="1">
      <alignment vertical="center"/>
    </xf>
    <xf numFmtId="0" fontId="15" fillId="0" borderId="6" xfId="0" applyFont="1" applyBorder="1" applyAlignment="1">
      <alignment vertical="center"/>
    </xf>
    <xf numFmtId="0" fontId="15" fillId="0" borderId="20" xfId="0" applyFont="1" applyBorder="1" applyAlignment="1">
      <alignment wrapText="1"/>
    </xf>
    <xf numFmtId="0" fontId="15" fillId="0" borderId="21" xfId="0" applyFont="1" applyBorder="1" applyAlignment="1">
      <alignment vertical="center"/>
    </xf>
    <xf numFmtId="0" fontId="15" fillId="0" borderId="0" xfId="0" applyFont="1" applyAlignment="1">
      <alignment vertical="center"/>
    </xf>
    <xf numFmtId="0" fontId="15" fillId="0" borderId="20" xfId="0" applyFont="1" applyBorder="1" applyAlignment="1">
      <alignment vertical="center" wrapText="1"/>
    </xf>
    <xf numFmtId="0" fontId="15" fillId="0" borderId="22" xfId="0" applyFont="1" applyBorder="1" applyAlignment="1">
      <alignment vertical="center" wrapText="1"/>
    </xf>
    <xf numFmtId="0" fontId="15" fillId="0" borderId="23" xfId="0" applyFont="1" applyBorder="1" applyAlignment="1">
      <alignment vertical="center" wrapText="1"/>
    </xf>
    <xf numFmtId="0" fontId="15" fillId="0" borderId="24" xfId="0" applyFont="1" applyBorder="1" applyAlignment="1">
      <alignment vertical="center" wrapText="1"/>
    </xf>
    <xf numFmtId="0" fontId="15" fillId="0" borderId="0" xfId="0" applyFont="1" applyAlignment="1">
      <alignment vertical="center" wrapText="1"/>
    </xf>
    <xf numFmtId="0" fontId="15" fillId="0" borderId="9" xfId="0" applyFont="1" applyBorder="1"/>
    <xf numFmtId="0" fontId="15" fillId="0" borderId="25" xfId="0" applyFont="1" applyBorder="1"/>
    <xf numFmtId="0" fontId="15" fillId="0" borderId="26" xfId="0" applyFont="1" applyBorder="1" applyAlignment="1">
      <alignment wrapText="1"/>
    </xf>
    <xf numFmtId="0" fontId="19" fillId="8" borderId="1" xfId="0" applyFont="1" applyFill="1" applyBorder="1" applyAlignment="1">
      <alignment horizontal="left" vertical="top"/>
    </xf>
    <xf numFmtId="0" fontId="35" fillId="0" borderId="1" xfId="0" applyFont="1" applyBorder="1" applyAlignment="1">
      <alignment horizontal="left" vertical="top" wrapText="1"/>
    </xf>
    <xf numFmtId="0" fontId="25" fillId="4" borderId="1" xfId="0" applyFont="1" applyFill="1" applyBorder="1" applyAlignment="1">
      <alignment horizontal="center" vertical="center" wrapText="1"/>
    </xf>
    <xf numFmtId="0" fontId="19" fillId="21" borderId="1" xfId="0" applyFont="1" applyFill="1" applyBorder="1" applyAlignment="1">
      <alignment horizontal="left" vertical="center"/>
    </xf>
    <xf numFmtId="0" fontId="19" fillId="0" borderId="1" xfId="0" applyFont="1" applyBorder="1" applyAlignment="1">
      <alignment horizontal="left" vertical="center"/>
    </xf>
    <xf numFmtId="9" fontId="19" fillId="0" borderId="1" xfId="0" applyNumberFormat="1" applyFont="1" applyBorder="1" applyAlignment="1">
      <alignment horizontal="left" vertical="center"/>
    </xf>
    <xf numFmtId="0" fontId="19" fillId="6" borderId="1" xfId="0" applyFont="1" applyFill="1" applyBorder="1" applyAlignment="1">
      <alignment horizontal="left" vertical="center"/>
    </xf>
    <xf numFmtId="9" fontId="19" fillId="6" borderId="1" xfId="0" applyNumberFormat="1" applyFont="1" applyFill="1" applyBorder="1" applyAlignment="1">
      <alignment horizontal="left" vertical="center"/>
    </xf>
    <xf numFmtId="0" fontId="19" fillId="24" borderId="1" xfId="0" applyFont="1" applyFill="1" applyBorder="1" applyAlignment="1">
      <alignment horizontal="left" vertical="center"/>
    </xf>
    <xf numFmtId="0" fontId="19" fillId="25" borderId="1" xfId="0" applyFont="1" applyFill="1" applyBorder="1" applyAlignment="1">
      <alignment horizontal="left" vertical="center"/>
    </xf>
    <xf numFmtId="0" fontId="15" fillId="0" borderId="0" xfId="0" applyFont="1" applyAlignment="1">
      <alignment horizontal="left" vertical="center" wrapText="1"/>
    </xf>
    <xf numFmtId="0" fontId="25" fillId="26" borderId="1" xfId="0" applyFont="1" applyFill="1" applyBorder="1" applyAlignment="1">
      <alignment horizontal="left" vertical="center"/>
    </xf>
    <xf numFmtId="0" fontId="35" fillId="22" borderId="5" xfId="0" applyFont="1" applyFill="1" applyBorder="1" applyAlignment="1">
      <alignment horizontal="left" vertical="top"/>
    </xf>
    <xf numFmtId="0" fontId="35" fillId="0" borderId="0" xfId="0" applyFont="1" applyAlignment="1">
      <alignment horizontal="left" vertical="top"/>
    </xf>
    <xf numFmtId="0" fontId="35" fillId="23" borderId="5" xfId="0" applyFont="1" applyFill="1" applyBorder="1" applyAlignment="1">
      <alignment horizontal="left" vertical="top"/>
    </xf>
    <xf numFmtId="0" fontId="35" fillId="25" borderId="5" xfId="0" applyFont="1" applyFill="1" applyBorder="1" applyAlignment="1">
      <alignment horizontal="left" vertical="top"/>
    </xf>
    <xf numFmtId="0" fontId="35" fillId="26" borderId="5" xfId="0" applyFont="1" applyFill="1" applyBorder="1" applyAlignment="1">
      <alignment horizontal="left" vertical="top"/>
    </xf>
    <xf numFmtId="0" fontId="36" fillId="16" borderId="27" xfId="0" applyFont="1" applyFill="1" applyBorder="1" applyAlignment="1">
      <alignment horizontal="center" vertical="center" wrapText="1"/>
    </xf>
    <xf numFmtId="0" fontId="36" fillId="16" borderId="28" xfId="0" applyFont="1" applyFill="1" applyBorder="1" applyAlignment="1">
      <alignment horizontal="center" vertical="center"/>
    </xf>
    <xf numFmtId="0" fontId="36" fillId="16" borderId="29" xfId="0" applyFont="1" applyFill="1" applyBorder="1"/>
    <xf numFmtId="0" fontId="15" fillId="0" borderId="30" xfId="0" applyFont="1" applyBorder="1" applyAlignment="1">
      <alignment vertical="center"/>
    </xf>
    <xf numFmtId="0" fontId="15" fillId="0" borderId="1" xfId="0" applyFont="1" applyBorder="1" applyAlignment="1">
      <alignment wrapText="1"/>
    </xf>
    <xf numFmtId="0" fontId="15" fillId="0" borderId="2" xfId="0" applyFont="1" applyBorder="1"/>
    <xf numFmtId="0" fontId="15" fillId="0" borderId="31"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0" borderId="3" xfId="0" applyFont="1" applyBorder="1" applyAlignment="1">
      <alignment vertical="center" wrapText="1"/>
    </xf>
    <xf numFmtId="0" fontId="15" fillId="0" borderId="0" xfId="0" applyFont="1" applyAlignment="1">
      <alignment horizontal="center" vertical="center" wrapText="1"/>
    </xf>
    <xf numFmtId="0" fontId="35" fillId="0" borderId="1" xfId="0" applyFont="1" applyBorder="1" applyAlignment="1">
      <alignment horizontal="left" vertical="center" wrapText="1"/>
    </xf>
    <xf numFmtId="0" fontId="19" fillId="8" borderId="1" xfId="0" applyFont="1" applyFill="1" applyBorder="1" applyAlignment="1">
      <alignment horizontal="left" vertical="center"/>
    </xf>
    <xf numFmtId="0" fontId="35" fillId="6" borderId="1" xfId="0" applyFont="1" applyFill="1" applyBorder="1" applyAlignment="1">
      <alignment horizontal="left" vertical="center" wrapText="1"/>
    </xf>
    <xf numFmtId="0" fontId="15" fillId="6" borderId="1" xfId="0" applyFont="1" applyFill="1" applyBorder="1" applyAlignment="1">
      <alignment vertical="center" wrapText="1"/>
    </xf>
    <xf numFmtId="1" fontId="19" fillId="8" borderId="1" xfId="0" applyNumberFormat="1" applyFont="1" applyFill="1" applyBorder="1" applyAlignment="1">
      <alignment horizontal="left" vertical="center"/>
    </xf>
    <xf numFmtId="0" fontId="15" fillId="0" borderId="1" xfId="0" applyFont="1" applyBorder="1" applyAlignment="1">
      <alignment horizontal="left" vertical="center" wrapText="1"/>
    </xf>
    <xf numFmtId="0" fontId="25" fillId="4" borderId="1" xfId="0" applyFont="1" applyFill="1" applyBorder="1" applyAlignment="1">
      <alignment horizontal="center" vertical="center"/>
    </xf>
    <xf numFmtId="0" fontId="37" fillId="7" borderId="1" xfId="0" applyFont="1" applyFill="1" applyBorder="1" applyAlignment="1">
      <alignment horizontal="left" vertical="center"/>
    </xf>
    <xf numFmtId="0" fontId="37" fillId="0" borderId="1" xfId="0" applyFont="1" applyBorder="1" applyAlignment="1">
      <alignment horizontal="left" vertical="center" wrapText="1"/>
    </xf>
    <xf numFmtId="9" fontId="37" fillId="0" borderId="1" xfId="0" applyNumberFormat="1" applyFont="1" applyBorder="1" applyAlignment="1">
      <alignment horizontal="left" vertical="center" wrapText="1"/>
    </xf>
    <xf numFmtId="10" fontId="35" fillId="0" borderId="1" xfId="0" applyNumberFormat="1" applyFont="1" applyBorder="1" applyAlignment="1">
      <alignment horizontal="left" vertical="center" wrapText="1"/>
    </xf>
    <xf numFmtId="0" fontId="37" fillId="7" borderId="1" xfId="0" applyFont="1" applyFill="1" applyBorder="1" applyAlignment="1">
      <alignment horizontal="left" vertical="center" wrapText="1"/>
    </xf>
    <xf numFmtId="9" fontId="35" fillId="0" borderId="1" xfId="0" applyNumberFormat="1" applyFont="1" applyBorder="1" applyAlignment="1">
      <alignment horizontal="left" vertical="center" wrapText="1"/>
    </xf>
    <xf numFmtId="9" fontId="37" fillId="7" borderId="1" xfId="0" applyNumberFormat="1" applyFont="1" applyFill="1" applyBorder="1" applyAlignment="1">
      <alignment horizontal="left" vertical="center" wrapText="1"/>
    </xf>
    <xf numFmtId="0" fontId="38" fillId="13" borderId="1" xfId="0" applyFont="1" applyFill="1" applyBorder="1" applyAlignment="1">
      <alignment horizontal="left" vertical="center"/>
    </xf>
    <xf numFmtId="0" fontId="39" fillId="13" borderId="1" xfId="0" applyFont="1" applyFill="1" applyBorder="1" applyAlignment="1">
      <alignment horizontal="left" vertical="center" wrapText="1"/>
    </xf>
    <xf numFmtId="0" fontId="40" fillId="13" borderId="1" xfId="0" applyFont="1" applyFill="1" applyBorder="1" applyAlignment="1">
      <alignment horizontal="left" vertical="center" wrapText="1"/>
    </xf>
    <xf numFmtId="9" fontId="39" fillId="13" borderId="1" xfId="0" applyNumberFormat="1" applyFont="1" applyFill="1" applyBorder="1" applyAlignment="1">
      <alignment horizontal="left" vertical="center" wrapText="1"/>
    </xf>
    <xf numFmtId="0" fontId="41" fillId="19" borderId="1" xfId="0" applyFont="1" applyFill="1" applyBorder="1" applyAlignment="1">
      <alignment horizontal="left" vertical="center"/>
    </xf>
    <xf numFmtId="0" fontId="35" fillId="19" borderId="1" xfId="0" applyFont="1" applyFill="1" applyBorder="1" applyAlignment="1">
      <alignment horizontal="left" vertical="center" wrapText="1"/>
    </xf>
    <xf numFmtId="0" fontId="37" fillId="19" borderId="1" xfId="0" applyFont="1" applyFill="1" applyBorder="1" applyAlignment="1">
      <alignment horizontal="left" vertical="center" wrapText="1"/>
    </xf>
    <xf numFmtId="9" fontId="37" fillId="19" borderId="1" xfId="0" applyNumberFormat="1" applyFont="1" applyFill="1" applyBorder="1" applyAlignment="1">
      <alignment horizontal="left" vertical="center" wrapText="1"/>
    </xf>
    <xf numFmtId="0" fontId="42" fillId="19" borderId="1" xfId="0" applyFont="1" applyFill="1" applyBorder="1" applyAlignment="1">
      <alignment horizontal="left" vertical="center"/>
    </xf>
    <xf numFmtId="0" fontId="41" fillId="7" borderId="1" xfId="0" applyFont="1" applyFill="1" applyBorder="1" applyAlignment="1">
      <alignment horizontal="left" vertical="center"/>
    </xf>
    <xf numFmtId="0" fontId="43" fillId="16" borderId="27" xfId="0" applyFont="1" applyFill="1" applyBorder="1" applyAlignment="1">
      <alignment horizontal="center" vertical="center"/>
    </xf>
    <xf numFmtId="0" fontId="43" fillId="16" borderId="29" xfId="0" applyFont="1" applyFill="1" applyBorder="1" applyAlignment="1">
      <alignment horizontal="center" vertical="center"/>
    </xf>
    <xf numFmtId="0" fontId="15" fillId="0" borderId="32" xfId="0" applyFont="1" applyBorder="1" applyAlignment="1">
      <alignment horizontal="left" vertical="center"/>
    </xf>
    <xf numFmtId="0" fontId="15" fillId="0" borderId="32" xfId="0" applyFont="1" applyBorder="1" applyAlignment="1">
      <alignment horizontal="center" vertical="center" wrapText="1"/>
    </xf>
    <xf numFmtId="0" fontId="15" fillId="0" borderId="33" xfId="0" applyFont="1" applyBorder="1" applyAlignment="1">
      <alignment horizontal="center"/>
    </xf>
    <xf numFmtId="0" fontId="15" fillId="0" borderId="34" xfId="0" applyFont="1" applyBorder="1" applyAlignment="1">
      <alignment horizontal="left" vertical="center"/>
    </xf>
    <xf numFmtId="0" fontId="15" fillId="0" borderId="34" xfId="0" applyFont="1" applyBorder="1" applyAlignment="1">
      <alignment horizontal="center" vertical="center" wrapText="1"/>
    </xf>
    <xf numFmtId="0" fontId="15" fillId="0" borderId="34" xfId="0" applyFont="1" applyBorder="1" applyAlignment="1">
      <alignment horizontal="center" wrapText="1"/>
    </xf>
    <xf numFmtId="0" fontId="15" fillId="0" borderId="34" xfId="0" applyFont="1" applyBorder="1" applyAlignment="1">
      <alignment horizontal="center" vertical="center"/>
    </xf>
    <xf numFmtId="0" fontId="15" fillId="0" borderId="35" xfId="0" applyFont="1" applyBorder="1" applyAlignment="1">
      <alignment horizontal="left"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xf>
    <xf numFmtId="0" fontId="15" fillId="0" borderId="37" xfId="0" applyFont="1" applyBorder="1" applyAlignment="1">
      <alignment horizontal="left" vertical="center"/>
    </xf>
    <xf numFmtId="0" fontId="15" fillId="0" borderId="37" xfId="0" applyFont="1" applyBorder="1" applyAlignment="1">
      <alignment horizontal="center" vertical="center" wrapText="1"/>
    </xf>
    <xf numFmtId="0" fontId="15" fillId="0" borderId="0" xfId="0" applyFont="1" applyAlignment="1">
      <alignment horizontal="center"/>
    </xf>
    <xf numFmtId="0" fontId="35" fillId="0" borderId="0" xfId="0" applyFont="1"/>
    <xf numFmtId="0" fontId="35" fillId="13" borderId="1" xfId="0" applyFont="1" applyFill="1" applyBorder="1" applyAlignment="1">
      <alignment horizontal="left" vertical="center" wrapText="1"/>
    </xf>
    <xf numFmtId="3" fontId="37" fillId="7" borderId="1" xfId="0" applyNumberFormat="1" applyFont="1" applyFill="1" applyBorder="1" applyAlignment="1">
      <alignment horizontal="left" vertical="center" wrapText="1"/>
    </xf>
    <xf numFmtId="3" fontId="40" fillId="13" borderId="1" xfId="0" applyNumberFormat="1" applyFont="1" applyFill="1" applyBorder="1" applyAlignment="1">
      <alignment horizontal="left" vertical="center" wrapText="1"/>
    </xf>
    <xf numFmtId="0" fontId="39" fillId="0" borderId="1" xfId="0" applyFont="1" applyBorder="1" applyAlignment="1">
      <alignment horizontal="left" vertical="center" wrapText="1"/>
    </xf>
    <xf numFmtId="0" fontId="39" fillId="0" borderId="0" xfId="0" applyFont="1"/>
    <xf numFmtId="9" fontId="35" fillId="19" borderId="1" xfId="0" applyNumberFormat="1" applyFont="1" applyFill="1" applyBorder="1" applyAlignment="1">
      <alignment horizontal="left" vertical="center" wrapText="1"/>
    </xf>
    <xf numFmtId="0" fontId="41" fillId="7" borderId="1" xfId="0" applyFont="1" applyFill="1" applyBorder="1" applyAlignment="1">
      <alignment horizontal="left" vertical="center" wrapText="1"/>
    </xf>
    <xf numFmtId="0" fontId="15" fillId="0" borderId="0" xfId="0" applyFont="1" applyAlignment="1">
      <alignment horizontal="left" wrapText="1"/>
    </xf>
    <xf numFmtId="0" fontId="19" fillId="2" borderId="1" xfId="0" applyFont="1" applyFill="1" applyBorder="1" applyAlignment="1">
      <alignment horizontal="left" vertical="center"/>
    </xf>
    <xf numFmtId="9" fontId="15" fillId="2" borderId="1" xfId="0" applyNumberFormat="1" applyFont="1" applyFill="1" applyBorder="1" applyAlignment="1">
      <alignment horizontal="center" vertical="center" wrapText="1"/>
    </xf>
    <xf numFmtId="10" fontId="15" fillId="2" borderId="1" xfId="0" applyNumberFormat="1" applyFont="1" applyFill="1" applyBorder="1" applyAlignment="1">
      <alignment horizontal="left" vertical="center"/>
    </xf>
    <xf numFmtId="9" fontId="15" fillId="2" borderId="1" xfId="0" applyNumberFormat="1" applyFont="1" applyFill="1" applyBorder="1" applyAlignment="1">
      <alignment horizontal="left" vertical="center"/>
    </xf>
    <xf numFmtId="0" fontId="19" fillId="7" borderId="1" xfId="0" applyFont="1" applyFill="1" applyBorder="1" applyAlignment="1">
      <alignment horizontal="left" vertical="center"/>
    </xf>
    <xf numFmtId="9" fontId="15" fillId="0" borderId="1" xfId="0" applyNumberFormat="1" applyFont="1" applyBorder="1" applyAlignment="1">
      <alignment horizontal="center" vertical="center" wrapText="1"/>
    </xf>
    <xf numFmtId="10" fontId="15" fillId="0" borderId="1" xfId="0" applyNumberFormat="1" applyFont="1" applyBorder="1" applyAlignment="1">
      <alignment horizontal="left" vertical="center"/>
    </xf>
    <xf numFmtId="9" fontId="19" fillId="7" borderId="1" xfId="0" applyNumberFormat="1" applyFont="1" applyFill="1" applyBorder="1" applyAlignment="1">
      <alignment horizontal="left" vertical="center"/>
    </xf>
    <xf numFmtId="9" fontId="15" fillId="0" borderId="1" xfId="0" applyNumberFormat="1" applyFont="1" applyBorder="1" applyAlignment="1">
      <alignment horizontal="left" vertical="center"/>
    </xf>
    <xf numFmtId="0" fontId="25" fillId="19" borderId="1" xfId="0" applyFont="1" applyFill="1" applyBorder="1" applyAlignment="1">
      <alignment horizontal="left" vertical="center"/>
    </xf>
    <xf numFmtId="0" fontId="35" fillId="19" borderId="1" xfId="0" applyFont="1" applyFill="1" applyBorder="1" applyAlignment="1">
      <alignment horizontal="left" vertical="center"/>
    </xf>
    <xf numFmtId="0" fontId="15" fillId="19" borderId="1" xfId="0" applyFont="1" applyFill="1" applyBorder="1" applyAlignment="1">
      <alignment horizontal="left" vertical="center"/>
    </xf>
    <xf numFmtId="0" fontId="19" fillId="19" borderId="1" xfId="0" applyFont="1" applyFill="1" applyBorder="1" applyAlignment="1">
      <alignment horizontal="left" vertical="center"/>
    </xf>
    <xf numFmtId="9" fontId="19" fillId="19" borderId="1" xfId="0" applyNumberFormat="1" applyFont="1" applyFill="1" applyBorder="1" applyAlignment="1">
      <alignment horizontal="left" vertical="center"/>
    </xf>
    <xf numFmtId="0" fontId="25" fillId="7" borderId="1" xfId="0" applyFont="1" applyFill="1" applyBorder="1" applyAlignment="1">
      <alignment horizontal="left" vertical="center"/>
    </xf>
    <xf numFmtId="0" fontId="19" fillId="0" borderId="0" xfId="0" applyFont="1" applyAlignment="1">
      <alignment horizontal="left" vertical="top"/>
    </xf>
    <xf numFmtId="0" fontId="15" fillId="0" borderId="0" xfId="0" applyFont="1" applyAlignment="1">
      <alignment horizontal="left" vertical="top"/>
    </xf>
    <xf numFmtId="0" fontId="15" fillId="0" borderId="33" xfId="0" applyFont="1" applyBorder="1" applyAlignment="1">
      <alignment horizontal="center" vertical="center"/>
    </xf>
    <xf numFmtId="0" fontId="15" fillId="0" borderId="0" xfId="0" applyFont="1" applyAlignment="1">
      <alignment horizontal="center" wrapText="1"/>
    </xf>
    <xf numFmtId="0" fontId="15" fillId="2" borderId="1" xfId="0" applyFont="1" applyFill="1" applyBorder="1" applyAlignment="1">
      <alignment horizontal="left" vertical="center"/>
    </xf>
    <xf numFmtId="3" fontId="19" fillId="7" borderId="1" xfId="0" applyNumberFormat="1" applyFont="1" applyFill="1" applyBorder="1" applyAlignment="1">
      <alignment horizontal="left" vertical="center"/>
    </xf>
    <xf numFmtId="0" fontId="15" fillId="13" borderId="1" xfId="0" applyFont="1" applyFill="1" applyBorder="1" applyAlignment="1">
      <alignment horizontal="left" vertical="center"/>
    </xf>
    <xf numFmtId="0" fontId="15" fillId="7" borderId="1" xfId="0" applyFont="1" applyFill="1" applyBorder="1" applyAlignment="1">
      <alignment horizontal="left" vertical="center"/>
    </xf>
    <xf numFmtId="9" fontId="15" fillId="19" borderId="1" xfId="0" applyNumberFormat="1" applyFont="1" applyFill="1" applyBorder="1" applyAlignment="1">
      <alignment horizontal="left" vertical="center"/>
    </xf>
    <xf numFmtId="0" fontId="19" fillId="27" borderId="1" xfId="0" applyFont="1" applyFill="1" applyBorder="1" applyAlignment="1">
      <alignment horizontal="left" vertical="center"/>
    </xf>
    <xf numFmtId="9" fontId="15" fillId="27" borderId="1" xfId="0" applyNumberFormat="1" applyFont="1" applyFill="1" applyBorder="1" applyAlignment="1">
      <alignment horizontal="center" vertical="center" wrapText="1"/>
    </xf>
    <xf numFmtId="10" fontId="15" fillId="27" borderId="1" xfId="0" applyNumberFormat="1" applyFont="1" applyFill="1" applyBorder="1" applyAlignment="1">
      <alignment horizontal="left" vertical="center"/>
    </xf>
    <xf numFmtId="9" fontId="19" fillId="27" borderId="1" xfId="0" applyNumberFormat="1" applyFont="1" applyFill="1" applyBorder="1" applyAlignment="1">
      <alignment horizontal="left" vertical="center"/>
    </xf>
    <xf numFmtId="9" fontId="15" fillId="27" borderId="1" xfId="0" applyNumberFormat="1" applyFont="1" applyFill="1" applyBorder="1" applyAlignment="1">
      <alignment horizontal="left" vertical="center"/>
    </xf>
    <xf numFmtId="0" fontId="25" fillId="27" borderId="1" xfId="0" applyFont="1" applyFill="1" applyBorder="1" applyAlignment="1">
      <alignment horizontal="left" vertical="center"/>
    </xf>
    <xf numFmtId="0" fontId="35" fillId="27" borderId="1" xfId="0" applyFont="1" applyFill="1" applyBorder="1" applyAlignment="1">
      <alignment horizontal="left" vertical="center"/>
    </xf>
    <xf numFmtId="0" fontId="15" fillId="27" borderId="1" xfId="0" applyFont="1" applyFill="1" applyBorder="1" applyAlignment="1">
      <alignment horizontal="left" vertical="center"/>
    </xf>
    <xf numFmtId="0" fontId="42" fillId="27" borderId="1" xfId="0" applyFont="1" applyFill="1" applyBorder="1" applyAlignment="1">
      <alignment horizontal="left" vertical="center"/>
    </xf>
    <xf numFmtId="0" fontId="14" fillId="10" borderId="1" xfId="0" applyFont="1" applyFill="1" applyBorder="1" applyAlignment="1">
      <alignment horizontal="left" vertical="center"/>
    </xf>
    <xf numFmtId="0" fontId="15" fillId="10" borderId="0" xfId="0" applyFont="1" applyFill="1" applyAlignment="1">
      <alignment horizontal="left" vertical="top"/>
    </xf>
    <xf numFmtId="0" fontId="14" fillId="4" borderId="1" xfId="0" applyFont="1" applyFill="1" applyBorder="1" applyAlignment="1">
      <alignment horizontal="left" vertical="top"/>
    </xf>
    <xf numFmtId="0" fontId="25" fillId="6" borderId="1" xfId="0" applyFont="1" applyFill="1" applyBorder="1" applyAlignment="1">
      <alignment horizontal="left" vertical="top"/>
    </xf>
    <xf numFmtId="9" fontId="15" fillId="0" borderId="1" xfId="0" applyNumberFormat="1" applyFont="1" applyBorder="1" applyAlignment="1">
      <alignment horizontal="left" vertical="top"/>
    </xf>
    <xf numFmtId="0" fontId="15" fillId="27" borderId="1" xfId="0" applyFont="1" applyFill="1" applyBorder="1" applyAlignment="1">
      <alignment horizontal="left" vertical="center" wrapText="1"/>
    </xf>
    <xf numFmtId="0" fontId="19" fillId="13" borderId="1" xfId="0" applyFont="1" applyFill="1" applyBorder="1" applyAlignment="1">
      <alignment horizontal="left" vertical="center" wrapText="1"/>
    </xf>
    <xf numFmtId="9" fontId="15" fillId="13" borderId="1" xfId="0" applyNumberFormat="1" applyFont="1" applyFill="1" applyBorder="1" applyAlignment="1">
      <alignment horizontal="center" vertical="center" wrapText="1"/>
    </xf>
    <xf numFmtId="10" fontId="15" fillId="13" borderId="1" xfId="0" applyNumberFormat="1" applyFont="1" applyFill="1" applyBorder="1" applyAlignment="1">
      <alignment horizontal="left" vertical="center" wrapText="1"/>
    </xf>
    <xf numFmtId="9" fontId="19" fillId="13" borderId="1" xfId="0" applyNumberFormat="1" applyFont="1" applyFill="1" applyBorder="1" applyAlignment="1">
      <alignment horizontal="left" vertical="center" wrapText="1"/>
    </xf>
    <xf numFmtId="0" fontId="19" fillId="7" borderId="1" xfId="0" applyFont="1" applyFill="1" applyBorder="1" applyAlignment="1">
      <alignment horizontal="left" vertical="center" wrapText="1"/>
    </xf>
    <xf numFmtId="0" fontId="19" fillId="0" borderId="1" xfId="0" applyFont="1" applyBorder="1" applyAlignment="1">
      <alignment horizontal="left" vertical="center" wrapText="1"/>
    </xf>
    <xf numFmtId="10" fontId="15" fillId="0" borderId="1" xfId="0" applyNumberFormat="1" applyFont="1" applyBorder="1" applyAlignment="1">
      <alignment horizontal="left" vertical="center" wrapText="1"/>
    </xf>
    <xf numFmtId="9" fontId="19" fillId="7" borderId="1" xfId="0" applyNumberFormat="1" applyFont="1" applyFill="1" applyBorder="1" applyAlignment="1">
      <alignment horizontal="left" vertical="center" wrapText="1"/>
    </xf>
    <xf numFmtId="0" fontId="19" fillId="27" borderId="1" xfId="0" applyFont="1" applyFill="1" applyBorder="1" applyAlignment="1">
      <alignment horizontal="left" vertical="center" wrapText="1"/>
    </xf>
    <xf numFmtId="10" fontId="15" fillId="27" borderId="1" xfId="0" applyNumberFormat="1" applyFont="1" applyFill="1" applyBorder="1" applyAlignment="1">
      <alignment horizontal="left" vertical="center" wrapText="1"/>
    </xf>
    <xf numFmtId="9" fontId="19" fillId="27" borderId="1" xfId="0" applyNumberFormat="1" applyFont="1" applyFill="1" applyBorder="1" applyAlignment="1">
      <alignment horizontal="left" vertical="center" wrapText="1"/>
    </xf>
    <xf numFmtId="9" fontId="15" fillId="27" borderId="1" xfId="0" applyNumberFormat="1" applyFont="1" applyFill="1" applyBorder="1" applyAlignment="1">
      <alignment horizontal="left" vertical="center" wrapText="1"/>
    </xf>
    <xf numFmtId="0" fontId="25" fillId="27" borderId="1" xfId="0" applyFont="1" applyFill="1" applyBorder="1" applyAlignment="1">
      <alignment horizontal="left" vertical="center" wrapText="1"/>
    </xf>
    <xf numFmtId="0" fontId="35" fillId="27" borderId="1" xfId="0" applyFont="1" applyFill="1" applyBorder="1" applyAlignment="1">
      <alignment horizontal="left" vertical="center" wrapText="1"/>
    </xf>
    <xf numFmtId="0" fontId="42" fillId="27" borderId="1" xfId="0" applyFont="1" applyFill="1" applyBorder="1" applyAlignment="1">
      <alignment horizontal="left" vertical="center" wrapText="1"/>
    </xf>
    <xf numFmtId="0" fontId="25" fillId="7" borderId="1" xfId="0" applyFont="1" applyFill="1" applyBorder="1" applyAlignment="1">
      <alignment horizontal="left" vertical="center" wrapText="1"/>
    </xf>
    <xf numFmtId="0" fontId="14" fillId="4" borderId="1" xfId="0" applyFont="1" applyFill="1" applyBorder="1" applyAlignment="1">
      <alignment horizontal="left" vertical="top" wrapText="1"/>
    </xf>
    <xf numFmtId="0" fontId="15" fillId="0" borderId="0" xfId="0" applyFont="1" applyAlignment="1">
      <alignment horizontal="left" vertical="top" wrapText="1"/>
    </xf>
    <xf numFmtId="0" fontId="25" fillId="13" borderId="1" xfId="0" applyFont="1" applyFill="1" applyBorder="1" applyAlignment="1">
      <alignment horizontal="left" vertical="top"/>
    </xf>
    <xf numFmtId="9" fontId="15" fillId="13" borderId="1" xfId="0" applyNumberFormat="1" applyFont="1" applyFill="1" applyBorder="1" applyAlignment="1">
      <alignment horizontal="left" vertical="top"/>
    </xf>
    <xf numFmtId="9" fontId="15" fillId="13" borderId="1" xfId="0" applyNumberFormat="1" applyFont="1" applyFill="1" applyBorder="1" applyAlignment="1">
      <alignment horizontal="left" vertical="center" wrapText="1"/>
    </xf>
    <xf numFmtId="0" fontId="15" fillId="13" borderId="1" xfId="0" applyFont="1" applyFill="1" applyBorder="1" applyAlignment="1">
      <alignment horizontal="left" vertical="center" wrapText="1"/>
    </xf>
    <xf numFmtId="3" fontId="19" fillId="13" borderId="1" xfId="0" applyNumberFormat="1" applyFont="1" applyFill="1" applyBorder="1" applyAlignment="1">
      <alignment horizontal="left" vertical="center" wrapText="1"/>
    </xf>
    <xf numFmtId="9" fontId="15" fillId="0" borderId="1" xfId="0" applyNumberFormat="1" applyFont="1" applyBorder="1" applyAlignment="1">
      <alignment horizontal="left" vertical="center" wrapText="1"/>
    </xf>
    <xf numFmtId="3" fontId="19" fillId="7" borderId="1" xfId="0" applyNumberFormat="1" applyFont="1" applyFill="1" applyBorder="1" applyAlignment="1">
      <alignment horizontal="left" vertical="center" wrapText="1"/>
    </xf>
    <xf numFmtId="0" fontId="26" fillId="10" borderId="39"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26" fillId="4" borderId="40" xfId="0" applyFont="1" applyFill="1" applyBorder="1" applyAlignment="1">
      <alignment horizontal="center" vertical="center" wrapText="1"/>
    </xf>
    <xf numFmtId="0" fontId="26" fillId="4" borderId="0" xfId="0" applyFont="1" applyFill="1" applyAlignment="1">
      <alignment horizontal="center" vertical="center" wrapText="1"/>
    </xf>
    <xf numFmtId="0" fontId="15" fillId="0" borderId="1" xfId="0" applyFont="1" applyBorder="1" applyAlignment="1">
      <alignment horizontal="center"/>
    </xf>
    <xf numFmtId="3" fontId="15" fillId="0" borderId="1" xfId="0" applyNumberFormat="1" applyFont="1" applyBorder="1"/>
    <xf numFmtId="0" fontId="15" fillId="0" borderId="1" xfId="0" applyFont="1" applyBorder="1" applyAlignment="1">
      <alignment horizontal="center" vertical="center"/>
    </xf>
    <xf numFmtId="3" fontId="15" fillId="0" borderId="1" xfId="0" applyNumberFormat="1" applyFont="1" applyBorder="1" applyAlignment="1">
      <alignment vertical="center"/>
    </xf>
    <xf numFmtId="0" fontId="15" fillId="0" borderId="1" xfId="0" applyFont="1" applyBorder="1" applyAlignment="1">
      <alignment horizontal="right" vertical="center"/>
    </xf>
    <xf numFmtId="0" fontId="44" fillId="0" borderId="0" xfId="0" applyFont="1"/>
    <xf numFmtId="0" fontId="15" fillId="16" borderId="1" xfId="0" applyFont="1" applyFill="1" applyBorder="1"/>
    <xf numFmtId="165" fontId="15" fillId="0" borderId="0" xfId="0" applyNumberFormat="1" applyFont="1"/>
    <xf numFmtId="165" fontId="14" fillId="0" borderId="3" xfId="0" applyNumberFormat="1" applyFont="1" applyBorder="1"/>
    <xf numFmtId="165" fontId="15" fillId="0" borderId="5" xfId="0" applyNumberFormat="1" applyFont="1" applyBorder="1"/>
    <xf numFmtId="165" fontId="14" fillId="0" borderId="28" xfId="0" applyNumberFormat="1" applyFont="1" applyBorder="1"/>
    <xf numFmtId="0" fontId="14" fillId="0" borderId="38" xfId="0" applyFont="1" applyBorder="1"/>
    <xf numFmtId="0" fontId="15" fillId="0" borderId="23" xfId="0" applyFont="1" applyBorder="1"/>
    <xf numFmtId="0" fontId="45" fillId="0" borderId="0" xfId="0" applyFont="1"/>
    <xf numFmtId="165" fontId="28" fillId="0" borderId="1" xfId="0" applyNumberFormat="1" applyFont="1" applyBorder="1"/>
    <xf numFmtId="165" fontId="43" fillId="0" borderId="1" xfId="0" applyNumberFormat="1" applyFont="1" applyBorder="1"/>
    <xf numFmtId="165" fontId="46" fillId="0" borderId="1" xfId="0" applyNumberFormat="1" applyFont="1" applyBorder="1"/>
    <xf numFmtId="165" fontId="43" fillId="0" borderId="0" xfId="0" applyNumberFormat="1" applyFont="1"/>
    <xf numFmtId="165" fontId="46" fillId="0" borderId="0" xfId="0" applyNumberFormat="1" applyFont="1"/>
    <xf numFmtId="165" fontId="14" fillId="0" borderId="0" xfId="0" applyNumberFormat="1" applyFont="1" applyAlignment="1">
      <alignment horizontal="center" vertical="center"/>
    </xf>
    <xf numFmtId="0" fontId="44" fillId="0" borderId="1" xfId="0" applyFont="1" applyBorder="1" applyAlignment="1">
      <alignment horizontal="left"/>
    </xf>
    <xf numFmtId="0" fontId="15" fillId="28" borderId="1" xfId="0" applyFont="1" applyFill="1" applyBorder="1"/>
    <xf numFmtId="166" fontId="15" fillId="6" borderId="1" xfId="0" applyNumberFormat="1" applyFont="1" applyFill="1" applyBorder="1"/>
    <xf numFmtId="0" fontId="15" fillId="6" borderId="0" xfId="0" applyFont="1" applyFill="1"/>
    <xf numFmtId="166" fontId="15" fillId="28" borderId="1" xfId="0" applyNumberFormat="1" applyFont="1" applyFill="1" applyBorder="1"/>
    <xf numFmtId="0" fontId="14" fillId="16" borderId="0" xfId="0" applyFont="1" applyFill="1"/>
    <xf numFmtId="0" fontId="15" fillId="16" borderId="0" xfId="0" applyFont="1" applyFill="1"/>
    <xf numFmtId="0" fontId="14" fillId="0" borderId="1" xfId="0" applyFont="1" applyBorder="1" applyAlignment="1">
      <alignment horizontal="left"/>
    </xf>
    <xf numFmtId="0" fontId="14" fillId="16" borderId="1" xfId="0" applyFont="1" applyFill="1" applyBorder="1"/>
    <xf numFmtId="165" fontId="14" fillId="0" borderId="1" xfId="0" applyNumberFormat="1" applyFont="1" applyBorder="1"/>
    <xf numFmtId="0" fontId="14" fillId="0" borderId="0" xfId="0" applyFont="1" applyAlignment="1">
      <alignment horizontal="left"/>
    </xf>
    <xf numFmtId="166" fontId="15" fillId="0" borderId="0" xfId="0" applyNumberFormat="1" applyFont="1"/>
    <xf numFmtId="166" fontId="14" fillId="0" borderId="1" xfId="0" applyNumberFormat="1" applyFont="1" applyBorder="1"/>
    <xf numFmtId="0" fontId="14" fillId="16" borderId="1" xfId="0" applyFont="1" applyFill="1" applyBorder="1" applyAlignment="1">
      <alignment horizontal="left"/>
    </xf>
    <xf numFmtId="0" fontId="14" fillId="7" borderId="1" xfId="0" applyFont="1" applyFill="1" applyBorder="1" applyAlignment="1">
      <alignment horizontal="left"/>
    </xf>
    <xf numFmtId="166" fontId="15" fillId="7" borderId="1" xfId="0" applyNumberFormat="1" applyFont="1" applyFill="1" applyBorder="1"/>
    <xf numFmtId="166" fontId="15" fillId="7" borderId="0" xfId="0" applyNumberFormat="1" applyFont="1" applyFill="1"/>
    <xf numFmtId="0" fontId="47" fillId="0" borderId="1" xfId="0" applyFont="1" applyBorder="1" applyAlignment="1">
      <alignment horizontal="left"/>
    </xf>
    <xf numFmtId="166" fontId="15" fillId="0" borderId="1" xfId="0" applyNumberFormat="1" applyFont="1" applyBorder="1" applyAlignment="1">
      <alignment horizontal="left"/>
    </xf>
    <xf numFmtId="166" fontId="15" fillId="0" borderId="0" xfId="0" applyNumberFormat="1" applyFont="1" applyAlignment="1">
      <alignment horizontal="left"/>
    </xf>
    <xf numFmtId="166" fontId="14" fillId="16" borderId="1" xfId="0" applyNumberFormat="1" applyFont="1" applyFill="1" applyBorder="1" applyAlignment="1">
      <alignment horizontal="left"/>
    </xf>
    <xf numFmtId="166" fontId="14" fillId="16" borderId="1" xfId="0" applyNumberFormat="1" applyFont="1" applyFill="1" applyBorder="1"/>
    <xf numFmtId="0" fontId="15" fillId="0" borderId="41" xfId="0" applyFont="1" applyBorder="1"/>
    <xf numFmtId="0" fontId="15" fillId="29" borderId="1" xfId="0" applyFont="1" applyFill="1" applyBorder="1" applyAlignment="1">
      <alignment wrapText="1"/>
    </xf>
    <xf numFmtId="166" fontId="15" fillId="29" borderId="1" xfId="0" applyNumberFormat="1" applyFont="1" applyFill="1" applyBorder="1" applyAlignment="1">
      <alignment horizontal="center" vertical="center"/>
    </xf>
    <xf numFmtId="0" fontId="44" fillId="0" borderId="23" xfId="0" applyFont="1" applyBorder="1"/>
    <xf numFmtId="166" fontId="15" fillId="0" borderId="1" xfId="0" applyNumberFormat="1" applyFont="1" applyBorder="1" applyAlignment="1">
      <alignment horizontal="right" vertical="center"/>
    </xf>
    <xf numFmtId="0" fontId="15" fillId="0" borderId="39" xfId="0" applyFont="1" applyBorder="1"/>
    <xf numFmtId="0" fontId="14" fillId="16" borderId="0" xfId="0" applyFont="1" applyFill="1" applyAlignment="1">
      <alignment horizontal="center"/>
    </xf>
    <xf numFmtId="0" fontId="15" fillId="0" borderId="42" xfId="0" applyFont="1" applyBorder="1"/>
    <xf numFmtId="0" fontId="14" fillId="29" borderId="1" xfId="0" applyFont="1" applyFill="1" applyBorder="1" applyAlignment="1">
      <alignment horizontal="left"/>
    </xf>
    <xf numFmtId="0" fontId="15" fillId="12" borderId="1" xfId="0" applyFont="1" applyFill="1" applyBorder="1"/>
    <xf numFmtId="1" fontId="15" fillId="2" borderId="1" xfId="0" applyNumberFormat="1" applyFont="1" applyFill="1" applyBorder="1" applyAlignment="1">
      <alignment horizontal="left"/>
    </xf>
    <xf numFmtId="0" fontId="15" fillId="0" borderId="11" xfId="0" applyFont="1" applyBorder="1"/>
    <xf numFmtId="0" fontId="15" fillId="0" borderId="43" xfId="0" applyFont="1" applyBorder="1"/>
    <xf numFmtId="0" fontId="15" fillId="0" borderId="44" xfId="0" applyFont="1" applyBorder="1"/>
    <xf numFmtId="0" fontId="15" fillId="0" borderId="4" xfId="0" applyFont="1" applyBorder="1"/>
    <xf numFmtId="0" fontId="44" fillId="0" borderId="0" xfId="0" applyFont="1" applyAlignment="1">
      <alignment horizontal="left"/>
    </xf>
    <xf numFmtId="0" fontId="15" fillId="2" borderId="1" xfId="0" applyFont="1" applyFill="1" applyBorder="1" applyAlignment="1">
      <alignment horizontal="right"/>
    </xf>
    <xf numFmtId="0" fontId="15" fillId="0" borderId="0" xfId="0" applyFont="1" applyAlignment="1">
      <alignment horizontal="right"/>
    </xf>
    <xf numFmtId="0" fontId="15" fillId="0" borderId="45" xfId="0" applyFont="1" applyBorder="1"/>
    <xf numFmtId="0" fontId="15" fillId="0" borderId="8" xfId="0" applyFont="1" applyBorder="1"/>
    <xf numFmtId="0" fontId="15" fillId="2" borderId="1" xfId="0" applyFont="1" applyFill="1" applyBorder="1" applyAlignment="1">
      <alignment horizontal="left"/>
    </xf>
    <xf numFmtId="0" fontId="15" fillId="12" borderId="3" xfId="0" applyFont="1" applyFill="1" applyBorder="1"/>
    <xf numFmtId="1" fontId="15" fillId="2" borderId="3" xfId="0" applyNumberFormat="1" applyFont="1" applyFill="1" applyBorder="1" applyAlignment="1">
      <alignment horizontal="left"/>
    </xf>
    <xf numFmtId="0" fontId="15" fillId="20" borderId="1" xfId="0" applyFont="1" applyFill="1" applyBorder="1"/>
    <xf numFmtId="0" fontId="14" fillId="3" borderId="0" xfId="0" applyFont="1" applyFill="1"/>
    <xf numFmtId="166" fontId="14" fillId="3" borderId="0" xfId="0" applyNumberFormat="1" applyFont="1" applyFill="1"/>
    <xf numFmtId="1" fontId="15" fillId="5" borderId="1" xfId="0" applyNumberFormat="1" applyFont="1" applyFill="1" applyBorder="1"/>
    <xf numFmtId="0" fontId="15" fillId="5" borderId="1" xfId="0" applyFont="1" applyFill="1" applyBorder="1"/>
    <xf numFmtId="166" fontId="14" fillId="16" borderId="0" xfId="0" applyNumberFormat="1" applyFont="1" applyFill="1"/>
    <xf numFmtId="1" fontId="14" fillId="16" borderId="1" xfId="0" applyNumberFormat="1" applyFont="1" applyFill="1" applyBorder="1"/>
    <xf numFmtId="166" fontId="15" fillId="4" borderId="1" xfId="0" applyNumberFormat="1" applyFont="1" applyFill="1" applyBorder="1"/>
    <xf numFmtId="166" fontId="15" fillId="11" borderId="1" xfId="0" applyNumberFormat="1" applyFont="1" applyFill="1" applyBorder="1" applyAlignment="1">
      <alignment horizontal="left"/>
    </xf>
    <xf numFmtId="1" fontId="15" fillId="10" borderId="1" xfId="0" applyNumberFormat="1" applyFont="1" applyFill="1" applyBorder="1" applyAlignment="1">
      <alignment horizontal="right" vertical="top"/>
    </xf>
    <xf numFmtId="1" fontId="14" fillId="16" borderId="0" xfId="0" applyNumberFormat="1" applyFont="1" applyFill="1"/>
    <xf numFmtId="166" fontId="15" fillId="0" borderId="3" xfId="0" applyNumberFormat="1" applyFont="1" applyBorder="1" applyAlignment="1">
      <alignment horizontal="right"/>
    </xf>
    <xf numFmtId="0" fontId="25" fillId="4" borderId="1" xfId="0" applyFont="1" applyFill="1" applyBorder="1" applyAlignment="1">
      <alignment horizontal="left" vertical="center" wrapText="1"/>
    </xf>
    <xf numFmtId="0" fontId="15" fillId="0" borderId="10" xfId="0" applyFont="1" applyBorder="1" applyAlignment="1">
      <alignment horizontal="left" vertical="center"/>
    </xf>
    <xf numFmtId="0" fontId="15" fillId="0" borderId="3" xfId="0" applyFont="1" applyBorder="1" applyAlignment="1">
      <alignment horizontal="left" vertical="center"/>
    </xf>
    <xf numFmtId="166" fontId="15" fillId="0" borderId="3" xfId="0" applyNumberFormat="1" applyFont="1" applyBorder="1" applyAlignment="1">
      <alignment horizontal="left" vertical="center"/>
    </xf>
    <xf numFmtId="166" fontId="15" fillId="5" borderId="3" xfId="0" applyNumberFormat="1" applyFont="1" applyFill="1" applyBorder="1" applyAlignment="1">
      <alignment horizontal="left" vertical="center"/>
    </xf>
    <xf numFmtId="166" fontId="22" fillId="0" borderId="1" xfId="0" applyNumberFormat="1" applyFont="1" applyBorder="1" applyAlignment="1">
      <alignment horizontal="left" vertical="center" wrapText="1"/>
    </xf>
    <xf numFmtId="166" fontId="22" fillId="0" borderId="2" xfId="0" applyNumberFormat="1" applyFont="1" applyBorder="1" applyAlignment="1">
      <alignment horizontal="left" vertical="center" wrapText="1"/>
    </xf>
    <xf numFmtId="166" fontId="15" fillId="16" borderId="2" xfId="0" applyNumberFormat="1" applyFont="1" applyFill="1" applyBorder="1" applyAlignment="1">
      <alignment horizontal="left" vertical="center"/>
    </xf>
    <xf numFmtId="15" fontId="22" fillId="0" borderId="2" xfId="0" applyNumberFormat="1" applyFont="1" applyBorder="1" applyAlignment="1">
      <alignment horizontal="left" vertical="top" wrapText="1"/>
    </xf>
    <xf numFmtId="166" fontId="15" fillId="5" borderId="1" xfId="0" applyNumberFormat="1" applyFont="1" applyFill="1" applyBorder="1" applyAlignment="1">
      <alignment horizontal="left" vertical="center"/>
    </xf>
    <xf numFmtId="166" fontId="15" fillId="16" borderId="1" xfId="0" applyNumberFormat="1" applyFont="1" applyFill="1" applyBorder="1" applyAlignment="1">
      <alignment horizontal="left" vertical="center"/>
    </xf>
    <xf numFmtId="0" fontId="15" fillId="0" borderId="10" xfId="0" applyFont="1" applyBorder="1" applyAlignment="1">
      <alignment horizontal="left" vertical="center" wrapText="1"/>
    </xf>
    <xf numFmtId="0" fontId="14" fillId="4" borderId="2" xfId="0" applyFont="1" applyFill="1" applyBorder="1" applyAlignment="1">
      <alignment horizontal="left" vertical="center"/>
    </xf>
    <xf numFmtId="166" fontId="14" fillId="4" borderId="2" xfId="0" applyNumberFormat="1" applyFont="1" applyFill="1" applyBorder="1" applyAlignment="1">
      <alignment horizontal="left" vertical="center"/>
    </xf>
    <xf numFmtId="0" fontId="15" fillId="16" borderId="0" xfId="0" applyFont="1" applyFill="1" applyAlignment="1">
      <alignment horizontal="left"/>
    </xf>
    <xf numFmtId="166" fontId="15" fillId="0" borderId="2" xfId="0" applyNumberFormat="1" applyFont="1" applyBorder="1" applyAlignment="1">
      <alignment horizontal="left" vertical="center"/>
    </xf>
    <xf numFmtId="17" fontId="14" fillId="2" borderId="0" xfId="0" applyNumberFormat="1" applyFont="1" applyFill="1" applyAlignment="1">
      <alignment horizontal="left" vertical="center"/>
    </xf>
    <xf numFmtId="0" fontId="15" fillId="0" borderId="2" xfId="0" applyFont="1" applyBorder="1" applyAlignment="1">
      <alignment horizontal="left" vertical="center"/>
    </xf>
    <xf numFmtId="166" fontId="15" fillId="0" borderId="2" xfId="0" applyNumberFormat="1" applyFont="1" applyBorder="1" applyAlignment="1">
      <alignment horizontal="left" vertical="center" wrapText="1"/>
    </xf>
    <xf numFmtId="0" fontId="15" fillId="0" borderId="2" xfId="0" applyFont="1" applyBorder="1" applyAlignment="1">
      <alignment horizontal="left" vertical="center" wrapText="1"/>
    </xf>
    <xf numFmtId="166" fontId="15" fillId="11" borderId="1" xfId="0" applyNumberFormat="1" applyFont="1" applyFill="1" applyBorder="1" applyAlignment="1">
      <alignment horizontal="left" vertical="center"/>
    </xf>
    <xf numFmtId="166" fontId="15" fillId="11" borderId="2" xfId="0" applyNumberFormat="1" applyFont="1" applyFill="1" applyBorder="1" applyAlignment="1">
      <alignment horizontal="left" vertical="center"/>
    </xf>
    <xf numFmtId="166" fontId="15" fillId="0" borderId="2" xfId="0" applyNumberFormat="1" applyFont="1" applyBorder="1" applyAlignment="1">
      <alignment horizontal="right" vertical="center"/>
    </xf>
    <xf numFmtId="166" fontId="14" fillId="4" borderId="2" xfId="0" applyNumberFormat="1" applyFont="1" applyFill="1" applyBorder="1" applyAlignment="1">
      <alignment horizontal="right" vertical="center"/>
    </xf>
    <xf numFmtId="0" fontId="14" fillId="4" borderId="1" xfId="0" applyFont="1" applyFill="1" applyBorder="1"/>
    <xf numFmtId="0" fontId="14" fillId="4" borderId="1" xfId="0" applyFont="1" applyFill="1" applyBorder="1" applyAlignment="1">
      <alignment horizontal="center" vertical="center" wrapText="1"/>
    </xf>
    <xf numFmtId="0" fontId="14" fillId="10" borderId="1" xfId="0" applyFont="1" applyFill="1" applyBorder="1" applyAlignment="1">
      <alignment horizontal="left" vertical="top"/>
    </xf>
    <xf numFmtId="0" fontId="14" fillId="4" borderId="1" xfId="0" applyFont="1" applyFill="1" applyBorder="1" applyAlignment="1">
      <alignment horizontal="center" vertical="center"/>
    </xf>
    <xf numFmtId="0" fontId="36" fillId="16" borderId="1" xfId="0" applyFont="1" applyFill="1" applyBorder="1" applyAlignment="1">
      <alignment horizontal="center" vertical="center" wrapText="1"/>
    </xf>
    <xf numFmtId="0" fontId="36" fillId="16" borderId="1" xfId="0" applyFont="1" applyFill="1" applyBorder="1" applyAlignment="1">
      <alignment horizontal="center" vertical="center"/>
    </xf>
    <xf numFmtId="0" fontId="36" fillId="16" borderId="3" xfId="0" applyFont="1" applyFill="1" applyBorder="1" applyAlignment="1">
      <alignment horizontal="center" vertical="center" wrapText="1"/>
    </xf>
    <xf numFmtId="0" fontId="28" fillId="0" borderId="1" xfId="0" applyFont="1" applyBorder="1" applyAlignment="1">
      <alignment horizontal="center" vertical="center"/>
    </xf>
    <xf numFmtId="166" fontId="20" fillId="0" borderId="1" xfId="0" applyNumberFormat="1" applyFont="1" applyBorder="1" applyAlignment="1">
      <alignment horizontal="left" vertical="top"/>
    </xf>
    <xf numFmtId="166" fontId="28" fillId="0" borderId="5" xfId="0" applyNumberFormat="1" applyFont="1" applyBorder="1" applyAlignment="1">
      <alignment horizontal="left" vertical="center" wrapText="1"/>
    </xf>
    <xf numFmtId="17" fontId="28" fillId="0" borderId="1" xfId="0" applyNumberFormat="1" applyFont="1" applyBorder="1" applyAlignment="1">
      <alignment horizontal="right" vertical="center"/>
    </xf>
    <xf numFmtId="166" fontId="22" fillId="0" borderId="5" xfId="0" applyNumberFormat="1" applyFont="1" applyBorder="1" applyAlignment="1">
      <alignment horizontal="left" vertical="center" wrapText="1"/>
    </xf>
    <xf numFmtId="166" fontId="16" fillId="0" borderId="1" xfId="0" applyNumberFormat="1" applyFont="1" applyBorder="1" applyAlignment="1">
      <alignment horizontal="left" vertical="top" wrapText="1"/>
    </xf>
    <xf numFmtId="17" fontId="15" fillId="0" borderId="1" xfId="0" applyNumberFormat="1" applyFont="1" applyBorder="1" applyAlignment="1">
      <alignment horizontal="right" vertical="center"/>
    </xf>
    <xf numFmtId="0" fontId="28" fillId="0" borderId="1" xfId="0" applyFont="1" applyBorder="1" applyAlignment="1">
      <alignment horizontal="left" vertical="center" wrapText="1"/>
    </xf>
    <xf numFmtId="166" fontId="28" fillId="0" borderId="1" xfId="0" applyNumberFormat="1" applyFont="1" applyBorder="1" applyAlignment="1">
      <alignment horizontal="left" vertical="center" wrapText="1"/>
    </xf>
    <xf numFmtId="3" fontId="15" fillId="0" borderId="1" xfId="0" applyNumberFormat="1" applyFont="1" applyBorder="1" applyAlignment="1">
      <alignment horizontal="right" vertical="center"/>
    </xf>
    <xf numFmtId="3" fontId="28" fillId="0" borderId="1" xfId="0" applyNumberFormat="1" applyFont="1" applyBorder="1" applyAlignment="1">
      <alignment horizontal="right" vertical="center"/>
    </xf>
    <xf numFmtId="166" fontId="22" fillId="0" borderId="0" xfId="0" applyNumberFormat="1" applyFont="1" applyAlignment="1">
      <alignment horizontal="left" vertical="center" wrapText="1"/>
    </xf>
    <xf numFmtId="0" fontId="28" fillId="0" borderId="1" xfId="0" applyFont="1" applyBorder="1" applyAlignment="1">
      <alignment horizontal="right" vertical="center"/>
    </xf>
    <xf numFmtId="14" fontId="15" fillId="0" borderId="1" xfId="0" applyNumberFormat="1" applyFont="1" applyBorder="1" applyAlignment="1">
      <alignment horizontal="right" vertical="center"/>
    </xf>
    <xf numFmtId="166" fontId="15" fillId="0" borderId="5" xfId="0" applyNumberFormat="1" applyFont="1" applyBorder="1" applyAlignment="1">
      <alignment horizontal="right" vertical="center"/>
    </xf>
    <xf numFmtId="0" fontId="43" fillId="12" borderId="1" xfId="0" applyFont="1" applyFill="1" applyBorder="1" applyAlignment="1">
      <alignment horizontal="center" vertical="center"/>
    </xf>
    <xf numFmtId="0" fontId="43" fillId="12" borderId="1" xfId="0" applyFont="1" applyFill="1" applyBorder="1" applyAlignment="1">
      <alignment horizontal="left" vertical="center"/>
    </xf>
    <xf numFmtId="166" fontId="43" fillId="12" borderId="1" xfId="0" applyNumberFormat="1" applyFont="1" applyFill="1" applyBorder="1" applyAlignment="1">
      <alignment horizontal="left" vertical="center"/>
    </xf>
    <xf numFmtId="166" fontId="43" fillId="12" borderId="5" xfId="0" applyNumberFormat="1" applyFont="1" applyFill="1" applyBorder="1" applyAlignment="1">
      <alignment horizontal="left" vertical="center"/>
    </xf>
    <xf numFmtId="0" fontId="15" fillId="0" borderId="0" xfId="0" applyFont="1" applyAlignment="1">
      <alignment horizontal="center" vertical="center"/>
    </xf>
    <xf numFmtId="0" fontId="15" fillId="0" borderId="0" xfId="0" applyFont="1" applyAlignment="1">
      <alignment horizontal="right" vertical="center"/>
    </xf>
    <xf numFmtId="0" fontId="36" fillId="0" borderId="0" xfId="0" applyFont="1" applyAlignment="1">
      <alignment horizontal="center"/>
    </xf>
    <xf numFmtId="0" fontId="28" fillId="5" borderId="1" xfId="0" applyFont="1" applyFill="1" applyBorder="1" applyAlignment="1">
      <alignment horizontal="left"/>
    </xf>
    <xf numFmtId="0" fontId="28" fillId="0" borderId="0" xfId="0" applyFont="1" applyAlignment="1">
      <alignment horizontal="left"/>
    </xf>
    <xf numFmtId="166" fontId="15" fillId="0" borderId="0" xfId="0" applyNumberFormat="1" applyFont="1" applyAlignment="1">
      <alignment horizontal="left" vertical="center"/>
    </xf>
    <xf numFmtId="0" fontId="15" fillId="4" borderId="3" xfId="0" applyFont="1" applyFill="1" applyBorder="1"/>
    <xf numFmtId="0" fontId="15" fillId="4" borderId="3" xfId="0" applyFont="1" applyFill="1" applyBorder="1" applyAlignment="1">
      <alignment horizontal="left"/>
    </xf>
    <xf numFmtId="3" fontId="15" fillId="0" borderId="0" xfId="0" applyNumberFormat="1" applyFont="1"/>
    <xf numFmtId="15" fontId="15" fillId="0" borderId="0" xfId="0" applyNumberFormat="1" applyFont="1"/>
    <xf numFmtId="165" fontId="19" fillId="11" borderId="1" xfId="0" applyNumberFormat="1" applyFont="1" applyFill="1" applyBorder="1"/>
    <xf numFmtId="0" fontId="15" fillId="10" borderId="1" xfId="0" applyFont="1" applyFill="1" applyBorder="1"/>
    <xf numFmtId="0" fontId="15" fillId="10" borderId="1" xfId="0" applyFont="1" applyFill="1" applyBorder="1" applyAlignment="1">
      <alignment horizontal="left"/>
    </xf>
    <xf numFmtId="0" fontId="15" fillId="0" borderId="5" xfId="0" applyFont="1" applyBorder="1"/>
    <xf numFmtId="3" fontId="15" fillId="0" borderId="1" xfId="0" applyNumberFormat="1" applyFont="1" applyBorder="1" applyAlignment="1">
      <alignment horizontal="right"/>
    </xf>
    <xf numFmtId="0" fontId="28" fillId="11" borderId="1" xfId="0" applyFont="1" applyFill="1" applyBorder="1" applyAlignment="1">
      <alignment horizontal="center"/>
    </xf>
    <xf numFmtId="0" fontId="49" fillId="31" borderId="0" xfId="0" applyFont="1" applyFill="1"/>
    <xf numFmtId="165" fontId="15" fillId="20" borderId="1" xfId="0" applyNumberFormat="1" applyFont="1" applyFill="1" applyBorder="1"/>
    <xf numFmtId="0" fontId="15" fillId="10" borderId="0" xfId="0" applyFont="1" applyFill="1"/>
    <xf numFmtId="0" fontId="15" fillId="20" borderId="0" xfId="0" applyFont="1" applyFill="1"/>
    <xf numFmtId="0" fontId="50" fillId="0" borderId="0" xfId="0" applyFont="1"/>
    <xf numFmtId="0" fontId="22" fillId="0" borderId="0" xfId="0" applyFont="1"/>
    <xf numFmtId="0" fontId="51" fillId="0" borderId="0" xfId="0" applyFont="1"/>
    <xf numFmtId="0" fontId="52" fillId="4" borderId="1" xfId="0" applyFont="1" applyFill="1" applyBorder="1" applyAlignment="1">
      <alignment horizontal="center" vertical="center" wrapText="1"/>
    </xf>
    <xf numFmtId="0" fontId="51" fillId="0" borderId="1" xfId="0" applyFont="1" applyBorder="1"/>
    <xf numFmtId="0" fontId="51" fillId="0" borderId="1" xfId="0" applyFont="1" applyBorder="1" applyAlignment="1">
      <alignment horizontal="right"/>
    </xf>
    <xf numFmtId="0" fontId="50" fillId="12" borderId="0" xfId="0" applyFont="1" applyFill="1"/>
    <xf numFmtId="0" fontId="14" fillId="12" borderId="0" xfId="0" applyFont="1" applyFill="1"/>
    <xf numFmtId="0" fontId="51" fillId="12" borderId="0" xfId="0" applyFont="1" applyFill="1"/>
    <xf numFmtId="0" fontId="52" fillId="0" borderId="0" xfId="0" applyFont="1" applyAlignment="1">
      <alignment horizontal="center" vertical="center"/>
    </xf>
    <xf numFmtId="0" fontId="53" fillId="0" borderId="0" xfId="0" applyFont="1"/>
    <xf numFmtId="0" fontId="0" fillId="0" borderId="0" xfId="0" applyAlignment="1">
      <alignment horizontal="left"/>
    </xf>
    <xf numFmtId="0" fontId="55" fillId="33" borderId="47" xfId="0" applyFont="1" applyFill="1" applyBorder="1" applyAlignment="1">
      <alignment horizontal="left" wrapText="1"/>
    </xf>
    <xf numFmtId="17" fontId="0" fillId="0" borderId="47" xfId="0" applyNumberFormat="1" applyBorder="1" applyAlignment="1">
      <alignment horizontal="left"/>
    </xf>
    <xf numFmtId="0" fontId="0" fillId="0" borderId="47" xfId="0" applyBorder="1" applyAlignment="1">
      <alignment horizontal="left"/>
    </xf>
    <xf numFmtId="0" fontId="0" fillId="0" borderId="47" xfId="0" applyBorder="1" applyAlignment="1">
      <alignment horizontal="right"/>
    </xf>
    <xf numFmtId="0" fontId="55" fillId="34" borderId="48" xfId="0" applyFont="1" applyFill="1" applyBorder="1" applyAlignment="1">
      <alignment horizontal="left"/>
    </xf>
    <xf numFmtId="0" fontId="55" fillId="34" borderId="49" xfId="0" applyFont="1" applyFill="1" applyBorder="1" applyAlignment="1">
      <alignment horizontal="right"/>
    </xf>
    <xf numFmtId="0" fontId="0" fillId="35" borderId="50" xfId="0" applyFill="1" applyBorder="1" applyAlignment="1">
      <alignment horizontal="left"/>
    </xf>
    <xf numFmtId="0" fontId="0" fillId="35" borderId="51" xfId="0" applyFill="1" applyBorder="1" applyAlignment="1">
      <alignment horizontal="center"/>
    </xf>
    <xf numFmtId="0" fontId="0" fillId="35" borderId="52" xfId="0" applyFill="1" applyBorder="1" applyAlignment="1">
      <alignment horizontal="left"/>
    </xf>
    <xf numFmtId="0" fontId="0" fillId="35" borderId="53" xfId="0" applyFill="1" applyBorder="1" applyAlignment="1">
      <alignment horizontal="right"/>
    </xf>
    <xf numFmtId="0" fontId="0" fillId="0" borderId="47" xfId="0" applyBorder="1"/>
    <xf numFmtId="0" fontId="14" fillId="14" borderId="1" xfId="0" applyFont="1" applyFill="1" applyBorder="1" applyAlignment="1">
      <alignment horizontal="center" vertical="center"/>
    </xf>
    <xf numFmtId="0" fontId="14" fillId="12" borderId="44" xfId="0" applyFont="1" applyFill="1" applyBorder="1" applyAlignment="1">
      <alignment horizontal="center" vertical="center"/>
    </xf>
    <xf numFmtId="0" fontId="14" fillId="12" borderId="3" xfId="0" applyFont="1" applyFill="1" applyBorder="1" applyAlignment="1">
      <alignment horizontal="center" vertical="center"/>
    </xf>
    <xf numFmtId="0" fontId="14" fillId="12" borderId="3" xfId="0" applyFont="1" applyFill="1" applyBorder="1" applyAlignment="1">
      <alignment horizontal="center" vertical="center" wrapText="1"/>
    </xf>
    <xf numFmtId="0" fontId="14" fillId="18" borderId="3" xfId="0" applyFont="1" applyFill="1" applyBorder="1" applyAlignment="1">
      <alignment horizontal="center" vertical="center" wrapText="1"/>
    </xf>
    <xf numFmtId="17" fontId="14" fillId="2" borderId="3" xfId="0" applyNumberFormat="1" applyFont="1" applyFill="1" applyBorder="1" applyAlignment="1">
      <alignment horizontal="center" vertical="center"/>
    </xf>
    <xf numFmtId="166" fontId="15" fillId="0" borderId="3" xfId="0" applyNumberFormat="1" applyFont="1" applyBorder="1" applyAlignment="1">
      <alignment horizontal="center" vertical="center"/>
    </xf>
    <xf numFmtId="166" fontId="15" fillId="5" borderId="1" xfId="0" applyNumberFormat="1" applyFont="1" applyFill="1" applyBorder="1" applyAlignment="1">
      <alignment horizontal="center" vertical="center"/>
    </xf>
    <xf numFmtId="166" fontId="15" fillId="0" borderId="2" xfId="0" applyNumberFormat="1" applyFont="1" applyBorder="1" applyAlignment="1">
      <alignment horizontal="center" vertical="center"/>
    </xf>
    <xf numFmtId="0" fontId="16" fillId="14" borderId="47" xfId="0" applyFont="1" applyFill="1" applyBorder="1" applyAlignment="1">
      <alignment horizontal="center" vertical="center" wrapText="1"/>
    </xf>
    <xf numFmtId="0" fontId="22" fillId="0" borderId="47" xfId="0" applyFont="1" applyBorder="1" applyAlignment="1">
      <alignment horizontal="left" vertical="center" wrapText="1"/>
    </xf>
    <xf numFmtId="166" fontId="15" fillId="0" borderId="47" xfId="0" applyNumberFormat="1" applyFont="1" applyBorder="1" applyAlignment="1">
      <alignment horizontal="left" vertical="center"/>
    </xf>
    <xf numFmtId="166" fontId="22" fillId="0" borderId="47" xfId="0" applyNumberFormat="1" applyFont="1" applyBorder="1" applyAlignment="1">
      <alignment horizontal="left" vertical="center" wrapText="1"/>
    </xf>
    <xf numFmtId="0" fontId="15" fillId="0" borderId="47" xfId="0" applyFont="1" applyBorder="1" applyAlignment="1">
      <alignment horizontal="left" vertical="center"/>
    </xf>
    <xf numFmtId="166" fontId="15" fillId="5" borderId="47" xfId="0" applyNumberFormat="1" applyFont="1" applyFill="1" applyBorder="1" applyAlignment="1">
      <alignment horizontal="center" vertical="center"/>
    </xf>
    <xf numFmtId="15" fontId="22" fillId="0" borderId="47" xfId="0" applyNumberFormat="1" applyFont="1" applyBorder="1" applyAlignment="1">
      <alignment horizontal="left" vertical="center" wrapText="1"/>
    </xf>
    <xf numFmtId="166" fontId="15" fillId="36" borderId="47" xfId="0" applyNumberFormat="1" applyFont="1" applyFill="1" applyBorder="1" applyAlignment="1">
      <alignment horizontal="center" vertical="center"/>
    </xf>
    <xf numFmtId="0" fontId="15" fillId="14" borderId="2" xfId="0" applyFont="1" applyFill="1" applyBorder="1"/>
    <xf numFmtId="0" fontId="14" fillId="4" borderId="8" xfId="0" applyFont="1" applyFill="1" applyBorder="1" applyAlignment="1">
      <alignment horizontal="left" vertical="center"/>
    </xf>
    <xf numFmtId="166" fontId="14" fillId="4" borderId="2" xfId="0" applyNumberFormat="1" applyFont="1" applyFill="1" applyBorder="1" applyAlignment="1">
      <alignment horizontal="center" vertical="center"/>
    </xf>
    <xf numFmtId="17" fontId="14" fillId="2" borderId="39" xfId="0" applyNumberFormat="1" applyFont="1" applyFill="1" applyBorder="1" applyAlignment="1">
      <alignment horizontal="center" vertical="center"/>
    </xf>
    <xf numFmtId="171" fontId="15" fillId="0" borderId="1" xfId="0" applyNumberFormat="1" applyFont="1" applyBorder="1"/>
    <xf numFmtId="166" fontId="15" fillId="0" borderId="3" xfId="0" applyNumberFormat="1" applyFont="1" applyBorder="1"/>
    <xf numFmtId="166" fontId="15" fillId="0" borderId="47" xfId="0" applyNumberFormat="1" applyFont="1" applyBorder="1"/>
    <xf numFmtId="3" fontId="15" fillId="0" borderId="47" xfId="0" applyNumberFormat="1" applyFont="1" applyBorder="1"/>
    <xf numFmtId="165" fontId="15" fillId="0" borderId="47" xfId="0" applyNumberFormat="1" applyFont="1" applyBorder="1"/>
    <xf numFmtId="166" fontId="15" fillId="36" borderId="47" xfId="0" applyNumberFormat="1" applyFont="1" applyFill="1" applyBorder="1"/>
    <xf numFmtId="17" fontId="14" fillId="2"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15" fillId="0" borderId="3" xfId="0" applyFont="1" applyBorder="1"/>
    <xf numFmtId="0" fontId="15" fillId="0" borderId="47" xfId="0" applyFont="1" applyBorder="1"/>
    <xf numFmtId="166" fontId="15" fillId="0" borderId="47" xfId="0" applyNumberFormat="1" applyFont="1" applyBorder="1" applyAlignment="1">
      <alignment horizontal="right" vertical="center"/>
    </xf>
    <xf numFmtId="0" fontId="26" fillId="10"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56" fillId="4" borderId="1" xfId="0" applyFont="1" applyFill="1" applyBorder="1" applyAlignment="1">
      <alignment horizontal="center" vertical="center" wrapText="1"/>
    </xf>
    <xf numFmtId="15" fontId="22" fillId="11" borderId="1" xfId="0" applyNumberFormat="1" applyFont="1" applyFill="1" applyBorder="1" applyAlignment="1">
      <alignment horizontal="left" vertical="center" wrapText="1"/>
    </xf>
    <xf numFmtId="0" fontId="16" fillId="6" borderId="1" xfId="0" applyFont="1" applyFill="1" applyBorder="1" applyAlignment="1">
      <alignment horizontal="left" vertical="top" wrapText="1"/>
    </xf>
    <xf numFmtId="0" fontId="16" fillId="6" borderId="1" xfId="0" applyFont="1" applyFill="1" applyBorder="1" applyAlignment="1">
      <alignment horizontal="left" vertical="top"/>
    </xf>
    <xf numFmtId="0" fontId="21" fillId="0" borderId="1" xfId="0" applyFont="1" applyBorder="1" applyAlignment="1">
      <alignment horizontal="left" vertical="top" wrapText="1"/>
    </xf>
    <xf numFmtId="15" fontId="15" fillId="0" borderId="1" xfId="0" applyNumberFormat="1" applyFont="1" applyBorder="1" applyAlignment="1">
      <alignment horizontal="left" vertical="top" wrapText="1"/>
    </xf>
    <xf numFmtId="165" fontId="26" fillId="4" borderId="1" xfId="0" applyNumberFormat="1" applyFont="1" applyFill="1" applyBorder="1" applyAlignment="1">
      <alignment horizontal="center" vertical="center" wrapText="1"/>
    </xf>
    <xf numFmtId="0" fontId="16" fillId="11" borderId="1" xfId="0" applyFont="1" applyFill="1" applyBorder="1" applyAlignment="1">
      <alignment horizontal="right" vertical="top" wrapText="1"/>
    </xf>
    <xf numFmtId="0" fontId="16" fillId="11" borderId="1" xfId="0" applyFont="1" applyFill="1" applyBorder="1" applyAlignment="1">
      <alignment horizontal="right" vertical="top"/>
    </xf>
    <xf numFmtId="0" fontId="15" fillId="11" borderId="1" xfId="0" applyFont="1" applyFill="1" applyBorder="1" applyAlignment="1">
      <alignment horizontal="right"/>
    </xf>
    <xf numFmtId="1" fontId="16" fillId="11" borderId="1" xfId="0" applyNumberFormat="1" applyFont="1" applyFill="1" applyBorder="1" applyAlignment="1">
      <alignment horizontal="right" vertical="top" wrapText="1"/>
    </xf>
    <xf numFmtId="1" fontId="16" fillId="0" borderId="1" xfId="0" applyNumberFormat="1" applyFont="1" applyBorder="1" applyAlignment="1">
      <alignment horizontal="left" vertical="top" wrapText="1"/>
    </xf>
    <xf numFmtId="0" fontId="15" fillId="6" borderId="1" xfId="0" applyFont="1" applyFill="1" applyBorder="1" applyAlignment="1">
      <alignment horizontal="left" vertical="top"/>
    </xf>
    <xf numFmtId="0" fontId="15" fillId="6" borderId="1" xfId="0" applyFont="1" applyFill="1" applyBorder="1" applyAlignment="1">
      <alignment horizontal="left" vertical="top" wrapText="1"/>
    </xf>
    <xf numFmtId="165" fontId="15" fillId="6" borderId="1" xfId="0" applyNumberFormat="1" applyFont="1" applyFill="1" applyBorder="1" applyAlignment="1">
      <alignment horizontal="left" vertical="top"/>
    </xf>
    <xf numFmtId="0" fontId="15" fillId="0" borderId="1" xfId="0" applyFont="1" applyBorder="1" applyAlignment="1">
      <alignment horizontal="left" vertical="top" wrapText="1"/>
    </xf>
    <xf numFmtId="165" fontId="15" fillId="0" borderId="0" xfId="0" applyNumberFormat="1" applyFont="1" applyAlignment="1">
      <alignment horizontal="left" vertical="top"/>
    </xf>
    <xf numFmtId="166" fontId="16" fillId="0" borderId="1" xfId="0" applyNumberFormat="1" applyFont="1" applyBorder="1"/>
    <xf numFmtId="165" fontId="21" fillId="0" borderId="1" xfId="0" applyNumberFormat="1" applyFont="1" applyBorder="1" applyAlignment="1">
      <alignment horizontal="left" vertical="top" wrapText="1"/>
    </xf>
    <xf numFmtId="165" fontId="16" fillId="6" borderId="1" xfId="0" applyNumberFormat="1" applyFont="1" applyFill="1" applyBorder="1" applyAlignment="1">
      <alignment horizontal="left" vertical="top"/>
    </xf>
    <xf numFmtId="0" fontId="56" fillId="4" borderId="3" xfId="0" applyFont="1" applyFill="1" applyBorder="1" applyAlignment="1">
      <alignment horizontal="center" vertical="center" wrapText="1"/>
    </xf>
    <xf numFmtId="0" fontId="15" fillId="20" borderId="1" xfId="0" applyFont="1" applyFill="1" applyBorder="1" applyAlignment="1">
      <alignment horizontal="left" vertical="top"/>
    </xf>
    <xf numFmtId="167" fontId="22" fillId="20" borderId="1" xfId="0" applyNumberFormat="1" applyFont="1" applyFill="1" applyBorder="1" applyAlignment="1">
      <alignment horizontal="left" vertical="top" wrapText="1"/>
    </xf>
    <xf numFmtId="0" fontId="16" fillId="5" borderId="1" xfId="0" applyFont="1" applyFill="1" applyBorder="1" applyAlignment="1">
      <alignment horizontal="left" vertical="top"/>
    </xf>
    <xf numFmtId="0" fontId="16" fillId="5" borderId="1" xfId="0" applyFont="1" applyFill="1" applyBorder="1" applyAlignment="1">
      <alignment horizontal="left" vertical="top" wrapText="1"/>
    </xf>
    <xf numFmtId="0" fontId="15" fillId="19" borderId="1" xfId="0" applyFont="1" applyFill="1" applyBorder="1" applyAlignment="1">
      <alignment horizontal="left" vertical="top"/>
    </xf>
    <xf numFmtId="15" fontId="22" fillId="19" borderId="1" xfId="0" applyNumberFormat="1" applyFont="1" applyFill="1" applyBorder="1" applyAlignment="1">
      <alignment horizontal="left" vertical="top" wrapText="1"/>
    </xf>
    <xf numFmtId="0" fontId="16" fillId="10" borderId="2" xfId="0" applyFont="1" applyFill="1" applyBorder="1" applyAlignment="1">
      <alignment horizontal="center" vertical="top" wrapText="1"/>
    </xf>
    <xf numFmtId="0" fontId="29" fillId="0" borderId="2" xfId="0" applyFont="1" applyBorder="1" applyAlignment="1">
      <alignment horizontal="center" vertical="top"/>
    </xf>
    <xf numFmtId="0" fontId="15" fillId="0" borderId="2" xfId="0" applyFont="1" applyBorder="1" applyAlignment="1">
      <alignment horizontal="center" vertical="top"/>
    </xf>
    <xf numFmtId="165" fontId="14" fillId="0" borderId="2" xfId="0" applyNumberFormat="1" applyFont="1" applyBorder="1" applyAlignment="1">
      <alignment horizontal="center" vertical="top"/>
    </xf>
    <xf numFmtId="0" fontId="15" fillId="20" borderId="3" xfId="0" applyFont="1" applyFill="1" applyBorder="1" applyAlignment="1">
      <alignment horizontal="left" vertical="top"/>
    </xf>
    <xf numFmtId="0" fontId="15" fillId="0" borderId="3" xfId="0" applyFont="1" applyBorder="1" applyAlignment="1">
      <alignment horizontal="left" vertical="top" wrapText="1"/>
    </xf>
    <xf numFmtId="0" fontId="16" fillId="10" borderId="5" xfId="0" applyFont="1" applyFill="1" applyBorder="1" applyAlignment="1">
      <alignment horizontal="left" vertical="top" wrapText="1"/>
    </xf>
    <xf numFmtId="0" fontId="15" fillId="6" borderId="3" xfId="0" applyFont="1" applyFill="1" applyBorder="1" applyAlignment="1">
      <alignment horizontal="left" vertical="top"/>
    </xf>
    <xf numFmtId="0" fontId="15" fillId="0" borderId="3" xfId="0" applyFont="1" applyBorder="1" applyAlignment="1">
      <alignment horizontal="left" vertical="top"/>
    </xf>
    <xf numFmtId="0" fontId="15" fillId="5" borderId="1" xfId="0" applyFont="1" applyFill="1" applyBorder="1" applyAlignment="1">
      <alignment horizontal="left" vertical="top"/>
    </xf>
    <xf numFmtId="1" fontId="15" fillId="20" borderId="1" xfId="0" applyNumberFormat="1" applyFont="1" applyFill="1" applyBorder="1" applyAlignment="1">
      <alignment horizontal="left" vertical="top"/>
    </xf>
    <xf numFmtId="1" fontId="15" fillId="11" borderId="1" xfId="0" applyNumberFormat="1" applyFont="1" applyFill="1" applyBorder="1" applyAlignment="1">
      <alignment horizontal="left" vertical="top" wrapText="1"/>
    </xf>
    <xf numFmtId="1" fontId="15" fillId="10" borderId="1" xfId="0" applyNumberFormat="1" applyFont="1" applyFill="1" applyBorder="1" applyAlignment="1">
      <alignment horizontal="left" vertical="top"/>
    </xf>
    <xf numFmtId="0" fontId="26" fillId="10" borderId="40" xfId="0" applyFont="1" applyFill="1" applyBorder="1" applyAlignment="1">
      <alignment horizontal="center" vertical="center" wrapText="1"/>
    </xf>
    <xf numFmtId="165" fontId="26" fillId="10" borderId="40" xfId="0" applyNumberFormat="1" applyFont="1" applyFill="1" applyBorder="1" applyAlignment="1">
      <alignment horizontal="center" vertical="center" wrapText="1"/>
    </xf>
    <xf numFmtId="165" fontId="26" fillId="4" borderId="40" xfId="0" applyNumberFormat="1" applyFont="1" applyFill="1" applyBorder="1" applyAlignment="1">
      <alignment horizontal="center" vertical="center" wrapText="1"/>
    </xf>
    <xf numFmtId="166" fontId="15" fillId="0" borderId="1" xfId="0" applyNumberFormat="1" applyFont="1" applyBorder="1" applyAlignment="1">
      <alignment horizontal="left" vertical="top"/>
    </xf>
    <xf numFmtId="166" fontId="15" fillId="20" borderId="1" xfId="0" applyNumberFormat="1" applyFont="1" applyFill="1" applyBorder="1" applyAlignment="1">
      <alignment horizontal="left" vertical="top"/>
    </xf>
    <xf numFmtId="165" fontId="15" fillId="20" borderId="1" xfId="0" applyNumberFormat="1" applyFont="1" applyFill="1" applyBorder="1" applyAlignment="1">
      <alignment horizontal="left" vertical="top"/>
    </xf>
    <xf numFmtId="166" fontId="15" fillId="6" borderId="1" xfId="0" applyNumberFormat="1" applyFont="1" applyFill="1" applyBorder="1" applyAlignment="1">
      <alignment horizontal="left" vertical="top"/>
    </xf>
    <xf numFmtId="0" fontId="15" fillId="5" borderId="1" xfId="0" applyFont="1" applyFill="1" applyBorder="1" applyAlignment="1">
      <alignment horizontal="left" vertical="top" wrapText="1"/>
    </xf>
    <xf numFmtId="166" fontId="15" fillId="5" borderId="1" xfId="0" applyNumberFormat="1" applyFont="1" applyFill="1" applyBorder="1" applyAlignment="1">
      <alignment horizontal="left" vertical="top"/>
    </xf>
    <xf numFmtId="165" fontId="15" fillId="5" borderId="1" xfId="0" applyNumberFormat="1" applyFont="1" applyFill="1" applyBorder="1" applyAlignment="1">
      <alignment horizontal="left" vertical="top"/>
    </xf>
    <xf numFmtId="166" fontId="15" fillId="19" borderId="1" xfId="0" applyNumberFormat="1" applyFont="1" applyFill="1" applyBorder="1" applyAlignment="1">
      <alignment horizontal="left" vertical="top"/>
    </xf>
    <xf numFmtId="166" fontId="15" fillId="11" borderId="1" xfId="0" applyNumberFormat="1" applyFont="1" applyFill="1" applyBorder="1" applyAlignment="1">
      <alignment vertical="top"/>
    </xf>
    <xf numFmtId="3" fontId="15" fillId="0" borderId="1" xfId="0" applyNumberFormat="1" applyFont="1" applyBorder="1" applyAlignment="1">
      <alignment horizontal="left" vertical="top"/>
    </xf>
    <xf numFmtId="165" fontId="16" fillId="5" borderId="1" xfId="0" applyNumberFormat="1" applyFont="1" applyFill="1" applyBorder="1" applyAlignment="1">
      <alignment horizontal="left" vertical="top"/>
    </xf>
    <xf numFmtId="0" fontId="15" fillId="7" borderId="0" xfId="0" applyFont="1" applyFill="1" applyAlignment="1">
      <alignment horizontal="left" vertical="top"/>
    </xf>
    <xf numFmtId="0" fontId="26" fillId="10" borderId="1" xfId="0" applyFont="1" applyFill="1" applyBorder="1" applyAlignment="1">
      <alignment horizontal="center" vertical="top" wrapText="1"/>
    </xf>
    <xf numFmtId="0" fontId="26" fillId="4" borderId="1" xfId="0" applyFont="1" applyFill="1" applyBorder="1" applyAlignment="1">
      <alignment horizontal="center" vertical="top" wrapText="1"/>
    </xf>
    <xf numFmtId="0" fontId="26" fillId="4" borderId="1" xfId="0" applyFont="1" applyFill="1" applyBorder="1" applyAlignment="1">
      <alignment horizontal="left" vertical="top" wrapText="1"/>
    </xf>
    <xf numFmtId="0" fontId="26" fillId="4" borderId="1" xfId="0" applyFont="1" applyFill="1" applyBorder="1" applyAlignment="1">
      <alignment vertical="top" wrapText="1"/>
    </xf>
    <xf numFmtId="0" fontId="16" fillId="0" borderId="3" xfId="0" applyFont="1" applyBorder="1" applyAlignment="1">
      <alignment vertical="top" wrapText="1"/>
    </xf>
    <xf numFmtId="0" fontId="16" fillId="0" borderId="3" xfId="0" applyFont="1" applyBorder="1"/>
    <xf numFmtId="166" fontId="16" fillId="0" borderId="3" xfId="0" applyNumberFormat="1" applyFont="1" applyBorder="1"/>
    <xf numFmtId="0" fontId="16" fillId="0" borderId="5" xfId="0" applyFont="1" applyBorder="1" applyAlignment="1">
      <alignment vertical="top" wrapText="1"/>
    </xf>
    <xf numFmtId="0" fontId="16" fillId="11" borderId="2" xfId="0" applyFont="1" applyFill="1" applyBorder="1" applyAlignment="1">
      <alignment vertical="top" wrapText="1"/>
    </xf>
    <xf numFmtId="0" fontId="16" fillId="11" borderId="2" xfId="0" applyFont="1" applyFill="1" applyBorder="1"/>
    <xf numFmtId="166" fontId="16" fillId="11" borderId="2" xfId="0" applyNumberFormat="1" applyFont="1" applyFill="1" applyBorder="1"/>
    <xf numFmtId="166" fontId="16" fillId="11" borderId="1" xfId="0" applyNumberFormat="1" applyFont="1" applyFill="1" applyBorder="1"/>
    <xf numFmtId="0" fontId="16" fillId="11" borderId="5" xfId="0" applyFont="1" applyFill="1" applyBorder="1" applyAlignment="1">
      <alignment vertical="top" wrapText="1"/>
    </xf>
    <xf numFmtId="0" fontId="16" fillId="11" borderId="7" xfId="0" applyFont="1" applyFill="1" applyBorder="1"/>
    <xf numFmtId="166" fontId="16" fillId="11" borderId="7" xfId="0" applyNumberFormat="1" applyFont="1" applyFill="1" applyBorder="1"/>
    <xf numFmtId="0" fontId="16" fillId="37" borderId="1" xfId="0" applyFont="1" applyFill="1" applyBorder="1" applyAlignment="1">
      <alignment vertical="top"/>
    </xf>
    <xf numFmtId="0" fontId="16" fillId="37" borderId="1" xfId="0" applyFont="1" applyFill="1" applyBorder="1" applyAlignment="1">
      <alignment vertical="top" wrapText="1"/>
    </xf>
    <xf numFmtId="0" fontId="16" fillId="37" borderId="1" xfId="0" applyFont="1" applyFill="1" applyBorder="1"/>
    <xf numFmtId="166" fontId="16" fillId="37" borderId="1" xfId="0" applyNumberFormat="1" applyFont="1" applyFill="1" applyBorder="1"/>
    <xf numFmtId="0" fontId="16" fillId="7" borderId="1" xfId="0" applyFont="1" applyFill="1" applyBorder="1" applyAlignment="1">
      <alignment vertical="top" wrapText="1"/>
    </xf>
    <xf numFmtId="0" fontId="16" fillId="0" borderId="7" xfId="0" applyFont="1" applyBorder="1"/>
    <xf numFmtId="166" fontId="16" fillId="0" borderId="7" xfId="0" applyNumberFormat="1" applyFont="1" applyBorder="1"/>
    <xf numFmtId="0" fontId="16" fillId="10" borderId="1" xfId="0" applyFont="1" applyFill="1" applyBorder="1" applyAlignment="1">
      <alignment vertical="center"/>
    </xf>
    <xf numFmtId="0" fontId="16" fillId="10" borderId="1" xfId="0" applyFont="1" applyFill="1" applyBorder="1" applyAlignment="1">
      <alignment vertical="center" wrapText="1"/>
    </xf>
    <xf numFmtId="166" fontId="16" fillId="10" borderId="1" xfId="0" applyNumberFormat="1" applyFont="1" applyFill="1" applyBorder="1" applyAlignment="1">
      <alignment vertical="center"/>
    </xf>
    <xf numFmtId="0" fontId="16" fillId="19" borderId="1" xfId="0" applyFont="1" applyFill="1" applyBorder="1" applyAlignment="1">
      <alignment vertical="top"/>
    </xf>
    <xf numFmtId="0" fontId="22" fillId="19" borderId="1" xfId="0" applyFont="1" applyFill="1" applyBorder="1" applyAlignment="1">
      <alignment horizontal="right" vertical="top" wrapText="1"/>
    </xf>
    <xf numFmtId="0" fontId="16" fillId="19" borderId="1" xfId="0" applyFont="1" applyFill="1" applyBorder="1"/>
    <xf numFmtId="166" fontId="16" fillId="19" borderId="1" xfId="0" applyNumberFormat="1" applyFont="1" applyFill="1" applyBorder="1"/>
    <xf numFmtId="0" fontId="22" fillId="11" borderId="1" xfId="0" applyFont="1" applyFill="1" applyBorder="1" applyAlignment="1">
      <alignment wrapText="1"/>
    </xf>
    <xf numFmtId="0" fontId="23" fillId="11" borderId="1" xfId="0" applyFont="1" applyFill="1" applyBorder="1"/>
    <xf numFmtId="166" fontId="23" fillId="11" borderId="1" xfId="0" applyNumberFormat="1" applyFont="1" applyFill="1" applyBorder="1"/>
    <xf numFmtId="0" fontId="22" fillId="11" borderId="1" xfId="0" applyFont="1" applyFill="1" applyBorder="1" applyAlignment="1">
      <alignment vertical="center" wrapText="1"/>
    </xf>
    <xf numFmtId="0" fontId="16" fillId="0" borderId="3" xfId="0" applyFont="1" applyBorder="1" applyAlignment="1">
      <alignment vertical="top"/>
    </xf>
    <xf numFmtId="0" fontId="16" fillId="11" borderId="3" xfId="0" applyFont="1" applyFill="1" applyBorder="1" applyAlignment="1">
      <alignment vertical="top"/>
    </xf>
    <xf numFmtId="0" fontId="16" fillId="7" borderId="3" xfId="0" applyFont="1" applyFill="1" applyBorder="1" applyAlignment="1">
      <alignment vertical="top"/>
    </xf>
    <xf numFmtId="0" fontId="16" fillId="7" borderId="3" xfId="0" applyFont="1" applyFill="1" applyBorder="1" applyAlignment="1">
      <alignment vertical="top" wrapText="1"/>
    </xf>
    <xf numFmtId="0" fontId="16" fillId="0" borderId="39" xfId="0" applyFont="1" applyBorder="1" applyAlignment="1">
      <alignment vertical="top" wrapText="1"/>
    </xf>
    <xf numFmtId="0" fontId="16" fillId="7" borderId="44" xfId="0" applyFont="1" applyFill="1" applyBorder="1"/>
    <xf numFmtId="166" fontId="16" fillId="7" borderId="44" xfId="0" applyNumberFormat="1" applyFont="1" applyFill="1" applyBorder="1"/>
    <xf numFmtId="0" fontId="16" fillId="11" borderId="0" xfId="0" applyFont="1" applyFill="1" applyAlignment="1">
      <alignment vertical="top"/>
    </xf>
    <xf numFmtId="0" fontId="16" fillId="11" borderId="3" xfId="0" applyFont="1" applyFill="1" applyBorder="1" applyAlignment="1">
      <alignment vertical="top" wrapText="1"/>
    </xf>
    <xf numFmtId="0" fontId="16" fillId="11" borderId="0" xfId="0" applyFont="1" applyFill="1" applyAlignment="1">
      <alignment vertical="top" wrapText="1"/>
    </xf>
    <xf numFmtId="0" fontId="16" fillId="11" borderId="0" xfId="0" applyFont="1" applyFill="1"/>
    <xf numFmtId="166" fontId="16" fillId="11" borderId="0" xfId="0" applyNumberFormat="1" applyFont="1" applyFill="1"/>
    <xf numFmtId="0" fontId="22" fillId="11" borderId="5" xfId="0" applyFont="1" applyFill="1" applyBorder="1" applyAlignment="1">
      <alignment vertical="top" wrapText="1"/>
    </xf>
    <xf numFmtId="0" fontId="16" fillId="11" borderId="39" xfId="0" applyFont="1" applyFill="1" applyBorder="1" applyAlignment="1">
      <alignment vertical="top" wrapText="1"/>
    </xf>
    <xf numFmtId="0" fontId="16" fillId="11" borderId="44" xfId="0" applyFont="1" applyFill="1" applyBorder="1"/>
    <xf numFmtId="166" fontId="16" fillId="11" borderId="44" xfId="0" applyNumberFormat="1" applyFont="1" applyFill="1" applyBorder="1"/>
    <xf numFmtId="0" fontId="14" fillId="0" borderId="54" xfId="0" applyFont="1" applyBorder="1"/>
    <xf numFmtId="0" fontId="29" fillId="0" borderId="55" xfId="0" applyFont="1" applyBorder="1" applyAlignment="1">
      <alignment vertical="center"/>
    </xf>
    <xf numFmtId="0" fontId="15" fillId="0" borderId="56" xfId="0" applyFont="1" applyBorder="1"/>
    <xf numFmtId="165" fontId="14" fillId="0" borderId="56" xfId="0" applyNumberFormat="1" applyFont="1" applyBorder="1"/>
    <xf numFmtId="0" fontId="26" fillId="4" borderId="1" xfId="0" applyFont="1" applyFill="1" applyBorder="1" applyAlignment="1">
      <alignment vertical="top"/>
    </xf>
    <xf numFmtId="166" fontId="16" fillId="7" borderId="3" xfId="0" applyNumberFormat="1" applyFont="1" applyFill="1" applyBorder="1" applyAlignment="1">
      <alignment horizontal="left"/>
    </xf>
    <xf numFmtId="166" fontId="15" fillId="7" borderId="1" xfId="0" applyNumberFormat="1" applyFont="1" applyFill="1" applyBorder="1" applyAlignment="1">
      <alignment horizontal="left"/>
    </xf>
    <xf numFmtId="166" fontId="15" fillId="7" borderId="3" xfId="0" applyNumberFormat="1" applyFont="1" applyFill="1" applyBorder="1" applyAlignment="1">
      <alignment horizontal="left"/>
    </xf>
    <xf numFmtId="166" fontId="15" fillId="11" borderId="2" xfId="0" applyNumberFormat="1" applyFont="1" applyFill="1" applyBorder="1" applyAlignment="1">
      <alignment horizontal="left"/>
    </xf>
    <xf numFmtId="166" fontId="15" fillId="37" borderId="1" xfId="0" applyNumberFormat="1" applyFont="1" applyFill="1" applyBorder="1" applyAlignment="1">
      <alignment horizontal="left"/>
    </xf>
    <xf numFmtId="166" fontId="15" fillId="10" borderId="1" xfId="0" applyNumberFormat="1" applyFont="1" applyFill="1" applyBorder="1" applyAlignment="1">
      <alignment horizontal="left" vertical="center"/>
    </xf>
    <xf numFmtId="166" fontId="28" fillId="11" borderId="1" xfId="0" applyNumberFormat="1" applyFont="1" applyFill="1" applyBorder="1" applyAlignment="1">
      <alignment horizontal="left"/>
    </xf>
    <xf numFmtId="166" fontId="16" fillId="11" borderId="1" xfId="0" applyNumberFormat="1" applyFont="1" applyFill="1" applyBorder="1" applyAlignment="1">
      <alignment horizontal="left"/>
    </xf>
    <xf numFmtId="166" fontId="15" fillId="19" borderId="1" xfId="0" applyNumberFormat="1" applyFont="1" applyFill="1" applyBorder="1" applyAlignment="1">
      <alignment horizontal="left"/>
    </xf>
    <xf numFmtId="166" fontId="15" fillId="11" borderId="3" xfId="0" applyNumberFormat="1" applyFont="1" applyFill="1" applyBorder="1" applyAlignment="1">
      <alignment horizontal="left"/>
    </xf>
    <xf numFmtId="166" fontId="15" fillId="11" borderId="0" xfId="0" applyNumberFormat="1" applyFont="1" applyFill="1" applyAlignment="1">
      <alignment horizontal="left"/>
    </xf>
    <xf numFmtId="0" fontId="29" fillId="10" borderId="1" xfId="0" applyFont="1" applyFill="1" applyBorder="1" applyAlignment="1">
      <alignment horizontal="center" vertical="top" wrapText="1"/>
    </xf>
    <xf numFmtId="165" fontId="26" fillId="10" borderId="1" xfId="0" applyNumberFormat="1" applyFont="1" applyFill="1" applyBorder="1" applyAlignment="1">
      <alignment horizontal="left" vertical="top" wrapText="1"/>
    </xf>
    <xf numFmtId="0" fontId="29" fillId="4" borderId="1" xfId="0" applyFont="1" applyFill="1" applyBorder="1" applyAlignment="1">
      <alignment horizontal="center" vertical="top" wrapText="1"/>
    </xf>
    <xf numFmtId="166" fontId="16" fillId="0" borderId="1" xfId="0" applyNumberFormat="1" applyFont="1" applyBorder="1" applyAlignment="1">
      <alignment vertical="top" wrapText="1"/>
    </xf>
    <xf numFmtId="166" fontId="19" fillId="0" borderId="1" xfId="0" applyNumberFormat="1" applyFont="1" applyBorder="1"/>
    <xf numFmtId="166" fontId="15" fillId="0" borderId="7" xfId="0" applyNumberFormat="1" applyFont="1" applyBorder="1" applyAlignment="1">
      <alignment horizontal="left"/>
    </xf>
    <xf numFmtId="166" fontId="15" fillId="7" borderId="10" xfId="0" applyNumberFormat="1" applyFont="1" applyFill="1" applyBorder="1" applyAlignment="1">
      <alignment horizontal="left"/>
    </xf>
    <xf numFmtId="166" fontId="15" fillId="0" borderId="3" xfId="0" applyNumberFormat="1" applyFont="1" applyBorder="1" applyAlignment="1">
      <alignment horizontal="left"/>
    </xf>
    <xf numFmtId="166" fontId="15" fillId="0" borderId="6" xfId="0" applyNumberFormat="1" applyFont="1" applyBorder="1"/>
    <xf numFmtId="0" fontId="19" fillId="0" borderId="6" xfId="0" applyFont="1" applyBorder="1"/>
    <xf numFmtId="166" fontId="15" fillId="11" borderId="2" xfId="0" applyNumberFormat="1" applyFont="1" applyFill="1" applyBorder="1"/>
    <xf numFmtId="166" fontId="16" fillId="11" borderId="1" xfId="0" applyNumberFormat="1" applyFont="1" applyFill="1" applyBorder="1" applyAlignment="1">
      <alignment vertical="top" wrapText="1"/>
    </xf>
    <xf numFmtId="166" fontId="15" fillId="11" borderId="1" xfId="0" applyNumberFormat="1" applyFont="1" applyFill="1" applyBorder="1" applyAlignment="1">
      <alignment vertical="center"/>
    </xf>
    <xf numFmtId="166" fontId="15" fillId="37" borderId="1" xfId="0" applyNumberFormat="1" applyFont="1" applyFill="1" applyBorder="1"/>
    <xf numFmtId="166" fontId="16" fillId="37" borderId="1" xfId="0" applyNumberFormat="1" applyFont="1" applyFill="1" applyBorder="1" applyAlignment="1">
      <alignment vertical="top" wrapText="1"/>
    </xf>
    <xf numFmtId="0" fontId="15" fillId="37" borderId="1" xfId="0" applyFont="1" applyFill="1" applyBorder="1"/>
    <xf numFmtId="0" fontId="19" fillId="37" borderId="1" xfId="0" applyFont="1" applyFill="1" applyBorder="1"/>
    <xf numFmtId="166" fontId="22" fillId="11" borderId="1" xfId="0" applyNumberFormat="1" applyFont="1" applyFill="1" applyBorder="1" applyAlignment="1">
      <alignment vertical="top" wrapText="1"/>
    </xf>
    <xf numFmtId="166" fontId="19" fillId="11" borderId="1" xfId="0" applyNumberFormat="1" applyFont="1" applyFill="1" applyBorder="1"/>
    <xf numFmtId="0" fontId="19" fillId="7" borderId="1" xfId="0" applyFont="1" applyFill="1" applyBorder="1"/>
    <xf numFmtId="166" fontId="15" fillId="10" borderId="1" xfId="0" applyNumberFormat="1" applyFont="1" applyFill="1" applyBorder="1" applyAlignment="1">
      <alignment vertical="center"/>
    </xf>
    <xf numFmtId="166" fontId="16" fillId="10" borderId="1" xfId="0" applyNumberFormat="1" applyFont="1" applyFill="1" applyBorder="1" applyAlignment="1">
      <alignment vertical="center" wrapText="1"/>
    </xf>
    <xf numFmtId="0" fontId="15" fillId="10" borderId="1" xfId="0" applyFont="1" applyFill="1" applyBorder="1" applyAlignment="1">
      <alignment vertical="center"/>
    </xf>
    <xf numFmtId="166" fontId="15" fillId="19" borderId="1" xfId="0" applyNumberFormat="1" applyFont="1" applyFill="1" applyBorder="1"/>
    <xf numFmtId="166" fontId="22" fillId="19" borderId="1" xfId="0" applyNumberFormat="1" applyFont="1" applyFill="1" applyBorder="1" applyAlignment="1">
      <alignment horizontal="right" vertical="top" wrapText="1"/>
    </xf>
    <xf numFmtId="0" fontId="15" fillId="19" borderId="1" xfId="0" applyFont="1" applyFill="1" applyBorder="1"/>
    <xf numFmtId="0" fontId="19" fillId="19" borderId="1" xfId="0" applyFont="1" applyFill="1" applyBorder="1"/>
    <xf numFmtId="1" fontId="15" fillId="19" borderId="1" xfId="0" applyNumberFormat="1" applyFont="1" applyFill="1" applyBorder="1"/>
    <xf numFmtId="166" fontId="16" fillId="0" borderId="0" xfId="0" applyNumberFormat="1" applyFont="1" applyAlignment="1">
      <alignment vertical="top" wrapText="1"/>
    </xf>
    <xf numFmtId="166" fontId="22" fillId="0" borderId="1" xfId="0" applyNumberFormat="1" applyFont="1" applyBorder="1" applyAlignment="1">
      <alignment vertical="top" wrapText="1"/>
    </xf>
    <xf numFmtId="166" fontId="15" fillId="4" borderId="0" xfId="0" applyNumberFormat="1" applyFont="1" applyFill="1" applyAlignment="1">
      <alignment horizontal="left"/>
    </xf>
    <xf numFmtId="166" fontId="16" fillId="0" borderId="3" xfId="0" applyNumberFormat="1" applyFont="1" applyBorder="1" applyAlignment="1">
      <alignment vertical="top" wrapText="1"/>
    </xf>
    <xf numFmtId="166" fontId="15" fillId="11" borderId="3" xfId="0" applyNumberFormat="1" applyFont="1" applyFill="1" applyBorder="1"/>
    <xf numFmtId="166" fontId="16" fillId="11" borderId="3" xfId="0" applyNumberFormat="1" applyFont="1" applyFill="1" applyBorder="1" applyAlignment="1">
      <alignment vertical="top" wrapText="1"/>
    </xf>
    <xf numFmtId="166" fontId="15" fillId="7" borderId="3" xfId="0" applyNumberFormat="1" applyFont="1" applyFill="1" applyBorder="1"/>
    <xf numFmtId="0" fontId="19" fillId="7" borderId="3" xfId="0" applyFont="1" applyFill="1" applyBorder="1"/>
    <xf numFmtId="0" fontId="15" fillId="7" borderId="3" xfId="0" applyFont="1" applyFill="1" applyBorder="1"/>
    <xf numFmtId="166" fontId="15" fillId="11" borderId="0" xfId="0" applyNumberFormat="1" applyFont="1" applyFill="1"/>
    <xf numFmtId="0" fontId="19" fillId="11" borderId="0" xfId="0" applyFont="1" applyFill="1"/>
    <xf numFmtId="0" fontId="15" fillId="11" borderId="3" xfId="0" applyFont="1" applyFill="1" applyBorder="1"/>
    <xf numFmtId="1" fontId="14" fillId="0" borderId="56" xfId="0" applyNumberFormat="1" applyFont="1" applyBorder="1"/>
    <xf numFmtId="0" fontId="15" fillId="0" borderId="6" xfId="0" applyFont="1" applyBorder="1"/>
    <xf numFmtId="1" fontId="15" fillId="37" borderId="1" xfId="0" applyNumberFormat="1" applyFont="1" applyFill="1" applyBorder="1"/>
    <xf numFmtId="1" fontId="15" fillId="7" borderId="3" xfId="0" applyNumberFormat="1" applyFont="1" applyFill="1" applyBorder="1"/>
    <xf numFmtId="1" fontId="15" fillId="11" borderId="0" xfId="0" applyNumberFormat="1" applyFont="1" applyFill="1"/>
    <xf numFmtId="0" fontId="29" fillId="4" borderId="5" xfId="0" applyFont="1" applyFill="1" applyBorder="1" applyAlignment="1">
      <alignment horizontal="center" vertical="top" wrapText="1"/>
    </xf>
    <xf numFmtId="0" fontId="29" fillId="4" borderId="6" xfId="0" applyFont="1" applyFill="1" applyBorder="1" applyAlignment="1">
      <alignment horizontal="center" vertical="top" wrapText="1"/>
    </xf>
    <xf numFmtId="0" fontId="15" fillId="4" borderId="1" xfId="0" applyFont="1" applyFill="1" applyBorder="1" applyAlignment="1">
      <alignment vertical="top" wrapText="1"/>
    </xf>
    <xf numFmtId="166" fontId="15" fillId="17" borderId="1" xfId="0" applyNumberFormat="1" applyFont="1" applyFill="1" applyBorder="1"/>
    <xf numFmtId="1" fontId="15" fillId="0" borderId="0" xfId="0" applyNumberFormat="1" applyFont="1"/>
    <xf numFmtId="1" fontId="15" fillId="17" borderId="1" xfId="0" applyNumberFormat="1" applyFont="1" applyFill="1" applyBorder="1"/>
    <xf numFmtId="1" fontId="15" fillId="0" borderId="7" xfId="0" applyNumberFormat="1" applyFont="1" applyBorder="1"/>
    <xf numFmtId="0" fontId="15" fillId="37" borderId="0" xfId="0" applyFont="1" applyFill="1"/>
    <xf numFmtId="0" fontId="15" fillId="10" borderId="0" xfId="0" applyFont="1" applyFill="1" applyAlignment="1">
      <alignment vertical="center"/>
    </xf>
    <xf numFmtId="0" fontId="15" fillId="19" borderId="0" xfId="0" applyFont="1" applyFill="1"/>
    <xf numFmtId="166" fontId="15" fillId="17" borderId="3" xfId="0" applyNumberFormat="1" applyFont="1" applyFill="1" applyBorder="1"/>
    <xf numFmtId="165" fontId="14" fillId="0" borderId="10" xfId="0" applyNumberFormat="1" applyFont="1" applyBorder="1"/>
    <xf numFmtId="0" fontId="15" fillId="0" borderId="0" xfId="0" applyFont="1" applyAlignment="1">
      <alignment vertical="top"/>
    </xf>
    <xf numFmtId="165" fontId="15" fillId="0" borderId="2" xfId="0" applyNumberFormat="1" applyFont="1" applyBorder="1"/>
    <xf numFmtId="165" fontId="16" fillId="0" borderId="1" xfId="0" applyNumberFormat="1" applyFont="1" applyBorder="1" applyAlignment="1">
      <alignment horizontal="left" vertical="top" wrapText="1"/>
    </xf>
    <xf numFmtId="2" fontId="57" fillId="7" borderId="1" xfId="0" applyNumberFormat="1" applyFont="1" applyFill="1" applyBorder="1" applyAlignment="1">
      <alignment vertical="center" wrapText="1"/>
    </xf>
    <xf numFmtId="2" fontId="15" fillId="0" borderId="1" xfId="0" applyNumberFormat="1" applyFont="1" applyBorder="1"/>
    <xf numFmtId="2" fontId="57" fillId="0" borderId="1" xfId="0" applyNumberFormat="1" applyFont="1" applyBorder="1" applyAlignment="1">
      <alignment vertical="center" wrapText="1"/>
    </xf>
    <xf numFmtId="0" fontId="26" fillId="10" borderId="1" xfId="0" applyFont="1" applyFill="1" applyBorder="1" applyAlignment="1">
      <alignment horizontal="center" wrapText="1"/>
    </xf>
    <xf numFmtId="0" fontId="26" fillId="4" borderId="7" xfId="0" applyFont="1" applyFill="1" applyBorder="1" applyAlignment="1">
      <alignment horizontal="center" wrapText="1"/>
    </xf>
    <xf numFmtId="0" fontId="26" fillId="4" borderId="7" xfId="0" applyFont="1" applyFill="1" applyBorder="1" applyAlignment="1">
      <alignment horizontal="left" wrapText="1"/>
    </xf>
    <xf numFmtId="0" fontId="26" fillId="4" borderId="7" xfId="0" applyFont="1" applyFill="1" applyBorder="1" applyAlignment="1">
      <alignment wrapText="1"/>
    </xf>
    <xf numFmtId="0" fontId="23" fillId="10" borderId="2" xfId="0" applyFont="1" applyFill="1" applyBorder="1" applyAlignment="1">
      <alignment horizontal="right"/>
    </xf>
    <xf numFmtId="0" fontId="16" fillId="17" borderId="8" xfId="0" applyFont="1" applyFill="1" applyBorder="1" applyAlignment="1">
      <alignment horizontal="left" vertical="top"/>
    </xf>
    <xf numFmtId="0" fontId="16" fillId="0" borderId="8" xfId="0" applyFont="1" applyBorder="1" applyAlignment="1">
      <alignment horizontal="left" vertical="top"/>
    </xf>
    <xf numFmtId="0" fontId="16" fillId="0" borderId="8" xfId="0" applyFont="1" applyBorder="1" applyAlignment="1">
      <alignment horizontal="left"/>
    </xf>
    <xf numFmtId="0" fontId="16" fillId="0" borderId="4" xfId="0" applyFont="1" applyBorder="1" applyAlignment="1">
      <alignment horizontal="left"/>
    </xf>
    <xf numFmtId="0" fontId="16" fillId="4" borderId="8" xfId="0" applyFont="1" applyFill="1" applyBorder="1" applyAlignment="1">
      <alignment horizontal="left" vertical="top"/>
    </xf>
    <xf numFmtId="0" fontId="16" fillId="0" borderId="7" xfId="0" applyFont="1" applyBorder="1" applyAlignment="1">
      <alignment horizontal="left"/>
    </xf>
    <xf numFmtId="0" fontId="31" fillId="0" borderId="8" xfId="0" applyFont="1" applyBorder="1" applyAlignment="1">
      <alignment horizontal="right"/>
    </xf>
    <xf numFmtId="0" fontId="16" fillId="0" borderId="4" xfId="0" applyFont="1" applyBorder="1" applyAlignment="1">
      <alignment horizontal="left" vertical="top"/>
    </xf>
    <xf numFmtId="0" fontId="16" fillId="4" borderId="0" xfId="0" applyFont="1" applyFill="1" applyAlignment="1">
      <alignment horizontal="left" vertical="top"/>
    </xf>
    <xf numFmtId="0" fontId="16" fillId="0" borderId="2" xfId="0" applyFont="1" applyBorder="1" applyAlignment="1">
      <alignment horizontal="left"/>
    </xf>
    <xf numFmtId="0" fontId="16" fillId="0" borderId="44" xfId="0" applyFont="1" applyBorder="1" applyAlignment="1">
      <alignment horizontal="left"/>
    </xf>
    <xf numFmtId="0" fontId="16" fillId="0" borderId="8" xfId="0" applyFont="1" applyBorder="1" applyAlignment="1">
      <alignment horizontal="left" vertical="top" wrapText="1"/>
    </xf>
    <xf numFmtId="0" fontId="29" fillId="0" borderId="45" xfId="0" applyFont="1" applyBorder="1"/>
    <xf numFmtId="0" fontId="29" fillId="0" borderId="2" xfId="0" applyFont="1" applyBorder="1"/>
    <xf numFmtId="0" fontId="29" fillId="0" borderId="8" xfId="0" applyFont="1" applyBorder="1" applyAlignment="1">
      <alignment horizontal="left"/>
    </xf>
    <xf numFmtId="0" fontId="29" fillId="0" borderId="8" xfId="0" applyFont="1" applyBorder="1"/>
    <xf numFmtId="0" fontId="29" fillId="0" borderId="8" xfId="0" applyFont="1" applyBorder="1" applyAlignment="1">
      <alignment horizontal="right"/>
    </xf>
    <xf numFmtId="0" fontId="29" fillId="0" borderId="10" xfId="0" applyFont="1" applyBorder="1"/>
    <xf numFmtId="0" fontId="23" fillId="0" borderId="0" xfId="0" applyFont="1" applyAlignment="1">
      <alignment horizontal="left"/>
    </xf>
    <xf numFmtId="1" fontId="23" fillId="3" borderId="8" xfId="0" applyNumberFormat="1" applyFont="1" applyFill="1" applyBorder="1" applyAlignment="1">
      <alignment horizontal="right"/>
    </xf>
    <xf numFmtId="1" fontId="23" fillId="20" borderId="8" xfId="0" applyNumberFormat="1" applyFont="1" applyFill="1" applyBorder="1"/>
    <xf numFmtId="1" fontId="23" fillId="0" borderId="8" xfId="0" applyNumberFormat="1" applyFont="1" applyBorder="1" applyAlignment="1">
      <alignment horizontal="right"/>
    </xf>
    <xf numFmtId="0" fontId="16" fillId="4" borderId="8" xfId="0" applyFont="1" applyFill="1" applyBorder="1" applyAlignment="1">
      <alignment horizontal="right"/>
    </xf>
    <xf numFmtId="1" fontId="23" fillId="4" borderId="8" xfId="0" applyNumberFormat="1" applyFont="1" applyFill="1" applyBorder="1" applyAlignment="1">
      <alignment horizontal="right"/>
    </xf>
    <xf numFmtId="0" fontId="16" fillId="0" borderId="2" xfId="0" applyFont="1" applyBorder="1" applyAlignment="1">
      <alignment horizontal="right"/>
    </xf>
    <xf numFmtId="0" fontId="16" fillId="0" borderId="7" xfId="0" applyFont="1" applyBorder="1" applyAlignment="1">
      <alignment horizontal="right"/>
    </xf>
    <xf numFmtId="1" fontId="16" fillId="7" borderId="8" xfId="0" applyNumberFormat="1" applyFont="1" applyFill="1" applyBorder="1" applyAlignment="1">
      <alignment horizontal="right"/>
    </xf>
    <xf numFmtId="0" fontId="16" fillId="0" borderId="0" xfId="0" applyFont="1" applyAlignment="1">
      <alignment horizontal="right"/>
    </xf>
    <xf numFmtId="1" fontId="16" fillId="3" borderId="8" xfId="0" applyNumberFormat="1" applyFont="1" applyFill="1" applyBorder="1" applyAlignment="1">
      <alignment horizontal="right"/>
    </xf>
    <xf numFmtId="0" fontId="22" fillId="0" borderId="8" xfId="0" applyFont="1" applyBorder="1" applyAlignment="1">
      <alignment horizontal="right"/>
    </xf>
    <xf numFmtId="1" fontId="29" fillId="0" borderId="8" xfId="0" applyNumberFormat="1" applyFont="1" applyBorder="1" applyAlignment="1">
      <alignment horizontal="right"/>
    </xf>
    <xf numFmtId="0" fontId="29" fillId="10" borderId="7" xfId="0" applyFont="1" applyFill="1" applyBorder="1" applyAlignment="1">
      <alignment horizontal="center" wrapText="1"/>
    </xf>
    <xf numFmtId="0" fontId="26" fillId="10" borderId="7" xfId="0" applyFont="1" applyFill="1" applyBorder="1" applyAlignment="1">
      <alignment horizontal="center" wrapText="1"/>
    </xf>
    <xf numFmtId="1" fontId="16" fillId="0" borderId="8" xfId="0" applyNumberFormat="1" applyFont="1" applyBorder="1" applyAlignment="1">
      <alignment horizontal="right"/>
    </xf>
    <xf numFmtId="1" fontId="16" fillId="0" borderId="8" xfId="0" applyNumberFormat="1" applyFont="1" applyBorder="1"/>
    <xf numFmtId="0" fontId="16" fillId="0" borderId="8" xfId="0" applyFont="1" applyBorder="1" applyAlignment="1">
      <alignment horizontal="center"/>
    </xf>
    <xf numFmtId="0" fontId="16" fillId="4" borderId="8" xfId="0" applyFont="1" applyFill="1" applyBorder="1"/>
    <xf numFmtId="1" fontId="16" fillId="4" borderId="8" xfId="0" applyNumberFormat="1" applyFont="1" applyFill="1" applyBorder="1"/>
    <xf numFmtId="1" fontId="23" fillId="0" borderId="8" xfId="0" applyNumberFormat="1" applyFont="1" applyBorder="1"/>
    <xf numFmtId="1" fontId="16" fillId="0" borderId="45" xfId="0" applyNumberFormat="1" applyFont="1" applyBorder="1" applyAlignment="1">
      <alignment horizontal="right"/>
    </xf>
    <xf numFmtId="0" fontId="16" fillId="0" borderId="11" xfId="0" applyFont="1" applyBorder="1" applyAlignment="1">
      <alignment horizontal="right"/>
    </xf>
    <xf numFmtId="1" fontId="16" fillId="0" borderId="2" xfId="0" applyNumberFormat="1" applyFont="1" applyBorder="1" applyAlignment="1">
      <alignment horizontal="center"/>
    </xf>
    <xf numFmtId="0" fontId="16" fillId="0" borderId="45" xfId="0" applyFont="1" applyBorder="1" applyAlignment="1">
      <alignment horizontal="right"/>
    </xf>
    <xf numFmtId="0" fontId="16" fillId="0" borderId="2" xfId="0" applyFont="1" applyBorder="1"/>
    <xf numFmtId="0" fontId="23" fillId="0" borderId="0" xfId="0" applyFont="1" applyAlignment="1">
      <alignment horizontal="right"/>
    </xf>
    <xf numFmtId="0" fontId="23" fillId="0" borderId="2" xfId="0" applyFont="1" applyBorder="1"/>
    <xf numFmtId="0" fontId="29" fillId="4" borderId="7" xfId="0" applyFont="1" applyFill="1" applyBorder="1" applyAlignment="1">
      <alignment horizontal="center" wrapText="1"/>
    </xf>
    <xf numFmtId="1" fontId="16" fillId="0" borderId="0" xfId="0" applyNumberFormat="1" applyFont="1"/>
    <xf numFmtId="1" fontId="23" fillId="0" borderId="0" xfId="0" applyNumberFormat="1" applyFont="1"/>
    <xf numFmtId="0" fontId="18" fillId="10" borderId="1" xfId="0" applyFont="1" applyFill="1" applyBorder="1"/>
    <xf numFmtId="0" fontId="18" fillId="4" borderId="1" xfId="0" applyFont="1" applyFill="1" applyBorder="1"/>
    <xf numFmtId="0" fontId="18" fillId="4" borderId="1" xfId="0" applyFont="1" applyFill="1" applyBorder="1" applyAlignment="1">
      <alignment horizontal="right"/>
    </xf>
    <xf numFmtId="0" fontId="19" fillId="10" borderId="1" xfId="0" applyFont="1" applyFill="1" applyBorder="1"/>
    <xf numFmtId="0" fontId="19" fillId="38" borderId="1" xfId="0" applyFont="1" applyFill="1" applyBorder="1" applyAlignment="1">
      <alignment horizontal="right"/>
    </xf>
    <xf numFmtId="0" fontId="19" fillId="4" borderId="1" xfId="0" applyFont="1" applyFill="1" applyBorder="1" applyAlignment="1">
      <alignment horizontal="left" vertical="top"/>
    </xf>
    <xf numFmtId="0" fontId="19" fillId="8" borderId="1" xfId="0" applyFont="1" applyFill="1" applyBorder="1"/>
    <xf numFmtId="0" fontId="19" fillId="0" borderId="3" xfId="0" applyFont="1" applyBorder="1" applyAlignment="1">
      <alignment horizontal="left" vertical="top"/>
    </xf>
    <xf numFmtId="0" fontId="19" fillId="0" borderId="3" xfId="0" applyFont="1" applyBorder="1" applyAlignment="1">
      <alignment horizontal="right"/>
    </xf>
    <xf numFmtId="0" fontId="19" fillId="0" borderId="3" xfId="0" applyFont="1" applyBorder="1" applyAlignment="1">
      <alignment horizontal="right" vertical="top"/>
    </xf>
    <xf numFmtId="0" fontId="25" fillId="0" borderId="3" xfId="0" applyFont="1" applyBorder="1"/>
    <xf numFmtId="0" fontId="25" fillId="0" borderId="3" xfId="0" applyFont="1" applyBorder="1" applyAlignment="1">
      <alignment horizontal="right"/>
    </xf>
    <xf numFmtId="0" fontId="25" fillId="0" borderId="0" xfId="0" applyFont="1" applyAlignment="1">
      <alignment horizontal="right"/>
    </xf>
    <xf numFmtId="0" fontId="19" fillId="0" borderId="0" xfId="0" applyFont="1" applyAlignment="1">
      <alignment horizontal="right"/>
    </xf>
    <xf numFmtId="0" fontId="19" fillId="39" borderId="0" xfId="0" applyFont="1" applyFill="1"/>
    <xf numFmtId="0" fontId="25" fillId="0" borderId="2" xfId="0" applyFont="1" applyBorder="1" applyAlignment="1">
      <alignment horizontal="left"/>
    </xf>
    <xf numFmtId="0" fontId="19" fillId="13" borderId="0" xfId="0" applyFont="1" applyFill="1"/>
    <xf numFmtId="0" fontId="19" fillId="0" borderId="2" xfId="0" applyFont="1" applyBorder="1"/>
    <xf numFmtId="0" fontId="19" fillId="38" borderId="1" xfId="0" applyFont="1" applyFill="1" applyBorder="1"/>
    <xf numFmtId="0" fontId="41" fillId="4" borderId="1" xfId="0" applyFont="1" applyFill="1" applyBorder="1" applyAlignment="1">
      <alignment wrapText="1"/>
    </xf>
    <xf numFmtId="0" fontId="58" fillId="4" borderId="1" xfId="0" applyFont="1" applyFill="1" applyBorder="1" applyAlignment="1">
      <alignment wrapText="1"/>
    </xf>
    <xf numFmtId="0" fontId="19" fillId="13" borderId="1" xfId="0" applyFont="1" applyFill="1" applyBorder="1"/>
    <xf numFmtId="0" fontId="18" fillId="0" borderId="1" xfId="0" applyFont="1" applyBorder="1"/>
    <xf numFmtId="0" fontId="18" fillId="4" borderId="10" xfId="0" applyFont="1" applyFill="1" applyBorder="1"/>
    <xf numFmtId="0" fontId="19" fillId="39" borderId="1" xfId="0" applyFont="1" applyFill="1" applyBorder="1"/>
    <xf numFmtId="1" fontId="14" fillId="0" borderId="0" xfId="0" applyNumberFormat="1" applyFont="1"/>
    <xf numFmtId="0" fontId="21" fillId="0" borderId="1" xfId="0" applyFont="1" applyBorder="1" applyAlignment="1">
      <alignment horizontal="right" vertical="top" wrapText="1"/>
    </xf>
    <xf numFmtId="1" fontId="16" fillId="0" borderId="1" xfId="0" applyNumberFormat="1" applyFont="1" applyBorder="1" applyAlignment="1">
      <alignment horizontal="right" vertical="top" wrapText="1"/>
    </xf>
    <xf numFmtId="1" fontId="19" fillId="11" borderId="1" xfId="0" applyNumberFormat="1" applyFont="1" applyFill="1" applyBorder="1" applyAlignment="1">
      <alignment horizontal="right" vertical="top" wrapText="1"/>
    </xf>
    <xf numFmtId="1" fontId="21" fillId="0" borderId="1" xfId="0" applyNumberFormat="1" applyFont="1" applyBorder="1" applyAlignment="1">
      <alignment horizontal="right" vertical="top" wrapText="1"/>
    </xf>
    <xf numFmtId="1" fontId="14" fillId="0" borderId="1" xfId="0" applyNumberFormat="1" applyFont="1" applyBorder="1" applyAlignment="1">
      <alignment horizontal="right" vertical="top" wrapText="1"/>
    </xf>
    <xf numFmtId="166" fontId="15" fillId="0" borderId="2" xfId="0" applyNumberFormat="1" applyFont="1" applyBorder="1"/>
    <xf numFmtId="166" fontId="15" fillId="0" borderId="47" xfId="0" applyNumberFormat="1" applyFont="1" applyBorder="1" applyAlignment="1">
      <alignment wrapText="1"/>
    </xf>
    <xf numFmtId="0" fontId="16" fillId="41" borderId="2" xfId="0" applyFont="1" applyFill="1" applyBorder="1" applyAlignment="1">
      <alignment horizontal="center" vertical="center" wrapText="1"/>
    </xf>
    <xf numFmtId="0" fontId="22" fillId="42" borderId="3" xfId="0" applyFont="1" applyFill="1" applyBorder="1" applyAlignment="1">
      <alignment horizontal="left" vertical="center" wrapText="1"/>
    </xf>
    <xf numFmtId="166" fontId="22" fillId="42" borderId="3" xfId="0" applyNumberFormat="1" applyFont="1" applyFill="1" applyBorder="1" applyAlignment="1">
      <alignment horizontal="left" vertical="center" wrapText="1"/>
    </xf>
    <xf numFmtId="0" fontId="15" fillId="42" borderId="3" xfId="0" applyFont="1" applyFill="1" applyBorder="1" applyAlignment="1">
      <alignment horizontal="left" vertical="center" wrapText="1"/>
    </xf>
    <xf numFmtId="166" fontId="15" fillId="42" borderId="3" xfId="0" applyNumberFormat="1" applyFont="1" applyFill="1" applyBorder="1" applyAlignment="1">
      <alignment horizontal="center" vertical="center"/>
    </xf>
    <xf numFmtId="166" fontId="15" fillId="42" borderId="3" xfId="0" applyNumberFormat="1" applyFont="1" applyFill="1" applyBorder="1"/>
    <xf numFmtId="3" fontId="15" fillId="42" borderId="3" xfId="0" applyNumberFormat="1" applyFont="1" applyFill="1" applyBorder="1"/>
    <xf numFmtId="166" fontId="15" fillId="42" borderId="4" xfId="0" applyNumberFormat="1" applyFont="1" applyFill="1" applyBorder="1" applyAlignment="1">
      <alignment horizontal="right" vertical="center"/>
    </xf>
    <xf numFmtId="0" fontId="0" fillId="42" borderId="0" xfId="0" applyFill="1"/>
    <xf numFmtId="0" fontId="16" fillId="41" borderId="47" xfId="0" applyFont="1" applyFill="1" applyBorder="1" applyAlignment="1">
      <alignment horizontal="center" vertical="center" wrapText="1"/>
    </xf>
    <xf numFmtId="0" fontId="15" fillId="42" borderId="47" xfId="0" applyFont="1" applyFill="1" applyBorder="1" applyAlignment="1">
      <alignment horizontal="left" vertical="center"/>
    </xf>
    <xf numFmtId="166" fontId="15" fillId="42" borderId="47" xfId="0" applyNumberFormat="1" applyFont="1" applyFill="1" applyBorder="1" applyAlignment="1">
      <alignment horizontal="left" vertical="center"/>
    </xf>
    <xf numFmtId="166" fontId="15" fillId="43" borderId="47" xfId="0" applyNumberFormat="1" applyFont="1" applyFill="1" applyBorder="1" applyAlignment="1">
      <alignment horizontal="center" vertical="center"/>
    </xf>
    <xf numFmtId="166" fontId="15" fillId="42" borderId="47" xfId="0" applyNumberFormat="1" applyFont="1" applyFill="1" applyBorder="1"/>
    <xf numFmtId="3" fontId="15" fillId="42" borderId="47" xfId="0" applyNumberFormat="1" applyFont="1" applyFill="1" applyBorder="1"/>
    <xf numFmtId="0" fontId="15" fillId="42" borderId="47" xfId="0" applyFont="1" applyFill="1" applyBorder="1"/>
    <xf numFmtId="166" fontId="15" fillId="42" borderId="47" xfId="0" applyNumberFormat="1" applyFont="1" applyFill="1" applyBorder="1" applyAlignment="1">
      <alignment horizontal="right" vertical="center"/>
    </xf>
    <xf numFmtId="0" fontId="0" fillId="42" borderId="47" xfId="0" applyFill="1" applyBorder="1"/>
    <xf numFmtId="165" fontId="15" fillId="42" borderId="47" xfId="0" applyNumberFormat="1" applyFont="1" applyFill="1" applyBorder="1"/>
    <xf numFmtId="165" fontId="26" fillId="4" borderId="1" xfId="0" applyNumberFormat="1" applyFont="1" applyFill="1" applyBorder="1" applyAlignment="1">
      <alignment horizontal="right" vertical="center" wrapText="1"/>
    </xf>
    <xf numFmtId="1" fontId="16" fillId="11" borderId="1" xfId="0" applyNumberFormat="1" applyFont="1" applyFill="1" applyBorder="1" applyAlignment="1">
      <alignment horizontal="left" vertical="top" wrapText="1"/>
    </xf>
    <xf numFmtId="0" fontId="63" fillId="11" borderId="1" xfId="0" applyFont="1" applyFill="1" applyBorder="1" applyAlignment="1">
      <alignment horizontal="left" vertical="top" wrapText="1"/>
    </xf>
    <xf numFmtId="0" fontId="64" fillId="10" borderId="1" xfId="0" applyFont="1" applyFill="1" applyBorder="1" applyAlignment="1">
      <alignment horizontal="left" vertical="center" wrapText="1"/>
    </xf>
    <xf numFmtId="15" fontId="24" fillId="11" borderId="1" xfId="0" applyNumberFormat="1" applyFont="1" applyFill="1" applyBorder="1" applyAlignment="1">
      <alignment horizontal="left" vertical="top" wrapText="1"/>
    </xf>
    <xf numFmtId="1" fontId="63" fillId="11" borderId="1" xfId="0" applyNumberFormat="1" applyFont="1" applyFill="1" applyBorder="1" applyAlignment="1">
      <alignment horizontal="right" vertical="top" wrapText="1"/>
    </xf>
    <xf numFmtId="0" fontId="24" fillId="11" borderId="1" xfId="0" applyFont="1" applyFill="1" applyBorder="1" applyAlignment="1">
      <alignment horizontal="left" vertical="top" wrapText="1"/>
    </xf>
    <xf numFmtId="165" fontId="15" fillId="42" borderId="3" xfId="0" applyNumberFormat="1" applyFont="1" applyFill="1" applyBorder="1"/>
    <xf numFmtId="172" fontId="16" fillId="11" borderId="1" xfId="0" applyNumberFormat="1" applyFont="1" applyFill="1" applyBorder="1" applyAlignment="1">
      <alignment horizontal="left" vertical="top" wrapText="1"/>
    </xf>
    <xf numFmtId="165" fontId="14" fillId="0" borderId="1" xfId="0" applyNumberFormat="1" applyFont="1" applyBorder="1" applyAlignment="1">
      <alignment horizontal="center" vertical="top" wrapText="1"/>
    </xf>
    <xf numFmtId="0" fontId="0" fillId="0" borderId="0" xfId="0" applyAlignment="1">
      <alignment wrapText="1"/>
    </xf>
    <xf numFmtId="0" fontId="26" fillId="0" borderId="1" xfId="0" applyFont="1" applyBorder="1" applyAlignment="1">
      <alignment horizontal="left" vertical="center" wrapText="1"/>
    </xf>
    <xf numFmtId="1" fontId="21" fillId="0" borderId="1" xfId="0" applyNumberFormat="1" applyFont="1" applyBorder="1" applyAlignment="1">
      <alignment horizontal="left" vertical="top" wrapText="1"/>
    </xf>
    <xf numFmtId="1" fontId="15" fillId="0" borderId="0" xfId="0" applyNumberFormat="1" applyFont="1" applyAlignment="1">
      <alignment horizontal="left" vertical="top"/>
    </xf>
    <xf numFmtId="3" fontId="0" fillId="0" borderId="0" xfId="0" applyNumberFormat="1"/>
    <xf numFmtId="0" fontId="28" fillId="19" borderId="1" xfId="0" applyFont="1" applyFill="1" applyBorder="1" applyAlignment="1">
      <alignment horizontal="left" vertical="top"/>
    </xf>
    <xf numFmtId="0" fontId="28" fillId="0" borderId="1" xfId="0" applyFont="1" applyBorder="1" applyAlignment="1">
      <alignment horizontal="right" vertical="top"/>
    </xf>
    <xf numFmtId="0" fontId="28" fillId="0" borderId="1" xfId="0" applyFont="1" applyBorder="1" applyAlignment="1">
      <alignment horizontal="right"/>
    </xf>
    <xf numFmtId="0" fontId="20" fillId="0" borderId="1" xfId="0" applyFont="1" applyBorder="1" applyAlignment="1">
      <alignment horizontal="right" vertical="top"/>
    </xf>
    <xf numFmtId="1" fontId="20" fillId="0" borderId="1" xfId="0" applyNumberFormat="1" applyFont="1" applyBorder="1" applyAlignment="1">
      <alignment horizontal="right" vertical="top"/>
    </xf>
    <xf numFmtId="166" fontId="28" fillId="5" borderId="47" xfId="0" applyNumberFormat="1" applyFont="1" applyFill="1" applyBorder="1" applyAlignment="1">
      <alignment horizontal="center" vertical="center"/>
    </xf>
    <xf numFmtId="166" fontId="28" fillId="0" borderId="47" xfId="0" applyNumberFormat="1" applyFont="1" applyBorder="1"/>
    <xf numFmtId="165" fontId="28" fillId="0" borderId="47" xfId="0" applyNumberFormat="1" applyFont="1" applyBorder="1"/>
    <xf numFmtId="0" fontId="15" fillId="42" borderId="4" xfId="0" applyFont="1" applyFill="1" applyBorder="1"/>
    <xf numFmtId="165" fontId="15" fillId="0" borderId="1" xfId="0" applyNumberFormat="1" applyFont="1" applyBorder="1" applyAlignment="1">
      <alignment horizontal="left" vertical="top" wrapText="1"/>
    </xf>
    <xf numFmtId="166" fontId="15" fillId="0" borderId="1" xfId="0" applyNumberFormat="1" applyFont="1" applyBorder="1" applyAlignment="1">
      <alignment wrapText="1"/>
    </xf>
    <xf numFmtId="165" fontId="15" fillId="0" borderId="1" xfId="0" applyNumberFormat="1" applyFont="1" applyBorder="1" applyAlignment="1">
      <alignment vertical="top" wrapText="1"/>
    </xf>
    <xf numFmtId="166" fontId="16" fillId="11" borderId="1" xfId="0" applyNumberFormat="1" applyFont="1" applyFill="1" applyBorder="1" applyAlignment="1">
      <alignment horizontal="left" vertical="top" wrapText="1"/>
    </xf>
    <xf numFmtId="165" fontId="15" fillId="11" borderId="1" xfId="0" applyNumberFormat="1" applyFont="1" applyFill="1" applyBorder="1" applyAlignment="1">
      <alignment horizontal="left" vertical="top" wrapText="1"/>
    </xf>
    <xf numFmtId="165" fontId="15" fillId="11" borderId="1" xfId="0" applyNumberFormat="1" applyFont="1" applyFill="1" applyBorder="1" applyAlignment="1">
      <alignment vertical="top" wrapText="1"/>
    </xf>
    <xf numFmtId="1" fontId="15" fillId="0" borderId="1" xfId="0" applyNumberFormat="1" applyFont="1" applyBorder="1" applyAlignment="1">
      <alignment horizontal="right" vertical="top" wrapText="1"/>
    </xf>
    <xf numFmtId="166" fontId="16" fillId="0" borderId="1" xfId="0" applyNumberFormat="1" applyFont="1" applyBorder="1" applyAlignment="1">
      <alignment horizontal="right" vertical="top" wrapText="1"/>
    </xf>
    <xf numFmtId="166" fontId="16" fillId="0" borderId="1" xfId="0" applyNumberFormat="1" applyFont="1" applyBorder="1" applyAlignment="1">
      <alignment wrapText="1"/>
    </xf>
    <xf numFmtId="166" fontId="15" fillId="0" borderId="1" xfId="0" applyNumberFormat="1" applyFont="1" applyBorder="1" applyAlignment="1">
      <alignment vertical="top" wrapText="1"/>
    </xf>
    <xf numFmtId="0" fontId="15" fillId="0" borderId="1" xfId="0" applyFont="1" applyBorder="1" applyAlignment="1">
      <alignment horizontal="right" wrapText="1"/>
    </xf>
    <xf numFmtId="0" fontId="18" fillId="11" borderId="1" xfId="0" applyFont="1" applyFill="1" applyBorder="1" applyAlignment="1">
      <alignment horizontal="right" vertical="top" wrapText="1"/>
    </xf>
    <xf numFmtId="166" fontId="16" fillId="11" borderId="1" xfId="0" applyNumberFormat="1" applyFont="1" applyFill="1" applyBorder="1" applyAlignment="1">
      <alignment horizontal="right" vertical="top" wrapText="1"/>
    </xf>
    <xf numFmtId="1" fontId="15" fillId="11" borderId="1" xfId="0" applyNumberFormat="1" applyFont="1" applyFill="1" applyBorder="1" applyAlignment="1">
      <alignment horizontal="right" wrapText="1"/>
    </xf>
    <xf numFmtId="166" fontId="21" fillId="11" borderId="1" xfId="0" applyNumberFormat="1" applyFont="1" applyFill="1" applyBorder="1" applyAlignment="1">
      <alignment horizontal="left" vertical="top" wrapText="1"/>
    </xf>
    <xf numFmtId="0" fontId="21" fillId="11" borderId="1" xfId="0" applyFont="1" applyFill="1" applyBorder="1" applyAlignment="1">
      <alignment horizontal="right" vertical="top" wrapText="1"/>
    </xf>
    <xf numFmtId="166" fontId="21" fillId="0" borderId="1" xfId="0" applyNumberFormat="1" applyFont="1" applyBorder="1" applyAlignment="1">
      <alignment horizontal="left" vertical="top" wrapText="1"/>
    </xf>
    <xf numFmtId="166" fontId="16" fillId="6" borderId="1" xfId="0" applyNumberFormat="1" applyFont="1" applyFill="1" applyBorder="1" applyAlignment="1">
      <alignment horizontal="left" vertical="top" wrapText="1"/>
    </xf>
    <xf numFmtId="0" fontId="16" fillId="6" borderId="1" xfId="0" applyFont="1" applyFill="1" applyBorder="1" applyAlignment="1">
      <alignment horizontal="right" vertical="top" wrapText="1"/>
    </xf>
    <xf numFmtId="165" fontId="15" fillId="6" borderId="1" xfId="0" applyNumberFormat="1" applyFont="1" applyFill="1" applyBorder="1" applyAlignment="1">
      <alignment horizontal="left" vertical="top" wrapText="1"/>
    </xf>
    <xf numFmtId="165" fontId="15" fillId="6" borderId="1" xfId="0" applyNumberFormat="1" applyFont="1" applyFill="1" applyBorder="1" applyAlignment="1">
      <alignment vertical="top" wrapText="1"/>
    </xf>
    <xf numFmtId="0" fontId="15" fillId="11" borderId="1" xfId="0" applyFont="1" applyFill="1" applyBorder="1" applyAlignment="1">
      <alignment horizontal="right" wrapText="1"/>
    </xf>
    <xf numFmtId="0" fontId="0" fillId="40" borderId="0" xfId="0" applyFill="1" applyAlignment="1">
      <alignment wrapText="1"/>
    </xf>
    <xf numFmtId="166" fontId="63" fillId="11" borderId="1" xfId="0" applyNumberFormat="1" applyFont="1" applyFill="1" applyBorder="1" applyAlignment="1">
      <alignment horizontal="left" vertical="top" wrapText="1"/>
    </xf>
    <xf numFmtId="0" fontId="63" fillId="11" borderId="1" xfId="0" applyFont="1" applyFill="1" applyBorder="1" applyAlignment="1">
      <alignment horizontal="right" vertical="top" wrapText="1"/>
    </xf>
    <xf numFmtId="165" fontId="24" fillId="11" borderId="1" xfId="0" applyNumberFormat="1" applyFont="1" applyFill="1" applyBorder="1" applyAlignment="1">
      <alignment horizontal="left" vertical="top" wrapText="1"/>
    </xf>
    <xf numFmtId="165" fontId="28" fillId="11" borderId="1" xfId="0" applyNumberFormat="1" applyFont="1" applyFill="1" applyBorder="1" applyAlignment="1">
      <alignment horizontal="left" vertical="top" wrapText="1"/>
    </xf>
    <xf numFmtId="165" fontId="28" fillId="11" borderId="1" xfId="0" applyNumberFormat="1" applyFont="1" applyFill="1" applyBorder="1" applyAlignment="1">
      <alignment vertical="top" wrapText="1"/>
    </xf>
    <xf numFmtId="165" fontId="24" fillId="11" borderId="1" xfId="0" applyNumberFormat="1" applyFont="1" applyFill="1" applyBorder="1" applyAlignment="1">
      <alignment vertical="top" wrapText="1"/>
    </xf>
    <xf numFmtId="166" fontId="21" fillId="0" borderId="1" xfId="0" applyNumberFormat="1" applyFont="1" applyBorder="1" applyAlignment="1">
      <alignment wrapText="1"/>
    </xf>
    <xf numFmtId="0" fontId="15" fillId="0" borderId="1" xfId="0" applyFont="1" applyBorder="1" applyAlignment="1">
      <alignment horizontal="center" vertical="top" wrapText="1"/>
    </xf>
    <xf numFmtId="165" fontId="14" fillId="0" borderId="1" xfId="0" applyNumberFormat="1" applyFont="1" applyBorder="1" applyAlignment="1">
      <alignment horizontal="right" vertical="top" wrapText="1"/>
    </xf>
    <xf numFmtId="166" fontId="14" fillId="0" borderId="1" xfId="0" applyNumberFormat="1" applyFont="1" applyBorder="1" applyAlignment="1">
      <alignment vertical="top" wrapText="1"/>
    </xf>
    <xf numFmtId="165" fontId="14" fillId="0" borderId="1" xfId="0" applyNumberFormat="1" applyFont="1" applyBorder="1" applyAlignment="1">
      <alignment vertical="top" wrapText="1"/>
    </xf>
    <xf numFmtId="0" fontId="15" fillId="0" borderId="0" xfId="0" applyFont="1" applyAlignment="1">
      <alignment horizontal="right" vertical="top" wrapText="1"/>
    </xf>
    <xf numFmtId="165" fontId="15" fillId="0" borderId="0" xfId="0" applyNumberFormat="1" applyFont="1" applyAlignment="1">
      <alignment horizontal="left" vertical="top" wrapText="1"/>
    </xf>
    <xf numFmtId="166" fontId="15" fillId="0" borderId="0" xfId="0" applyNumberFormat="1" applyFont="1" applyAlignment="1">
      <alignment wrapText="1"/>
    </xf>
    <xf numFmtId="165" fontId="15" fillId="0" borderId="0" xfId="0" applyNumberFormat="1" applyFont="1" applyAlignment="1">
      <alignment vertical="top" wrapText="1"/>
    </xf>
    <xf numFmtId="0" fontId="0" fillId="0" borderId="0" xfId="0" applyAlignment="1">
      <alignment horizontal="right" wrapText="1"/>
    </xf>
    <xf numFmtId="0" fontId="15" fillId="0" borderId="0" xfId="0" applyFont="1" applyAlignment="1">
      <alignment horizontal="right" wrapText="1"/>
    </xf>
    <xf numFmtId="166" fontId="15" fillId="0" borderId="47" xfId="0" applyNumberFormat="1" applyFont="1" applyBorder="1" applyAlignment="1">
      <alignment horizontal="center" vertical="center"/>
    </xf>
    <xf numFmtId="16" fontId="15" fillId="0" borderId="0" xfId="0" applyNumberFormat="1" applyFont="1" applyAlignment="1">
      <alignment horizontal="left"/>
    </xf>
    <xf numFmtId="1" fontId="24" fillId="11" borderId="1" xfId="0" applyNumberFormat="1" applyFont="1" applyFill="1" applyBorder="1" applyAlignment="1">
      <alignment horizontal="left" vertical="top" wrapText="1"/>
    </xf>
    <xf numFmtId="0" fontId="15" fillId="0" borderId="47" xfId="0" applyFont="1" applyBorder="1" applyAlignment="1">
      <alignment wrapText="1"/>
    </xf>
    <xf numFmtId="166" fontId="15" fillId="42" borderId="47" xfId="0" applyNumberFormat="1" applyFont="1" applyFill="1" applyBorder="1" applyAlignment="1">
      <alignment wrapText="1"/>
    </xf>
    <xf numFmtId="1" fontId="21" fillId="11" borderId="1" xfId="0" applyNumberFormat="1" applyFont="1" applyFill="1" applyBorder="1" applyAlignment="1">
      <alignment horizontal="left" vertical="top" wrapText="1"/>
    </xf>
    <xf numFmtId="0" fontId="16" fillId="0" borderId="47" xfId="0" applyFont="1" applyBorder="1" applyAlignment="1">
      <alignment horizontal="center" vertical="center" wrapText="1"/>
    </xf>
    <xf numFmtId="1" fontId="63" fillId="11" borderId="1" xfId="0" applyNumberFormat="1" applyFont="1" applyFill="1" applyBorder="1" applyAlignment="1">
      <alignment horizontal="left" vertical="top" wrapText="1"/>
    </xf>
    <xf numFmtId="0" fontId="59" fillId="0" borderId="57" xfId="0" applyFont="1" applyBorder="1" applyAlignment="1">
      <alignment horizontal="left" vertical="center"/>
    </xf>
    <xf numFmtId="166" fontId="59" fillId="0" borderId="57" xfId="0" applyNumberFormat="1" applyFont="1" applyBorder="1" applyAlignment="1">
      <alignment horizontal="left" vertical="center"/>
    </xf>
    <xf numFmtId="0" fontId="59" fillId="0" borderId="57" xfId="0" applyFont="1" applyBorder="1" applyAlignment="1">
      <alignment horizontal="left" vertical="center" wrapText="1"/>
    </xf>
    <xf numFmtId="166" fontId="59" fillId="0" borderId="57" xfId="0" applyNumberFormat="1" applyFont="1" applyBorder="1"/>
    <xf numFmtId="0" fontId="59" fillId="0" borderId="57" xfId="0" applyFont="1" applyBorder="1" applyAlignment="1">
      <alignment wrapText="1"/>
    </xf>
    <xf numFmtId="166" fontId="59" fillId="0" borderId="57" xfId="0" applyNumberFormat="1" applyFont="1" applyBorder="1" applyAlignment="1">
      <alignment horizontal="right" vertical="center"/>
    </xf>
    <xf numFmtId="0" fontId="67" fillId="0" borderId="0" xfId="0" applyFont="1"/>
    <xf numFmtId="0" fontId="67" fillId="0" borderId="47" xfId="0" applyFont="1" applyBorder="1"/>
    <xf numFmtId="0" fontId="67" fillId="0" borderId="57" xfId="0" applyFont="1" applyBorder="1"/>
    <xf numFmtId="166" fontId="0" fillId="0" borderId="0" xfId="0" applyNumberFormat="1"/>
    <xf numFmtId="0" fontId="0" fillId="0" borderId="47" xfId="0" applyBorder="1" applyAlignment="1">
      <alignment wrapText="1"/>
    </xf>
    <xf numFmtId="17" fontId="0" fillId="0" borderId="47" xfId="0" applyNumberFormat="1" applyBorder="1"/>
    <xf numFmtId="15" fontId="0" fillId="0" borderId="47" xfId="0" applyNumberFormat="1" applyBorder="1"/>
    <xf numFmtId="1" fontId="0" fillId="0" borderId="47" xfId="0" applyNumberFormat="1" applyBorder="1"/>
    <xf numFmtId="3" fontId="0" fillId="0" borderId="47" xfId="0" applyNumberFormat="1" applyBorder="1"/>
    <xf numFmtId="15" fontId="0" fillId="0" borderId="47" xfId="0" applyNumberFormat="1" applyBorder="1" applyAlignment="1">
      <alignment wrapText="1"/>
    </xf>
    <xf numFmtId="3" fontId="0" fillId="0" borderId="47" xfId="0" applyNumberFormat="1" applyBorder="1" applyAlignment="1">
      <alignment wrapText="1"/>
    </xf>
    <xf numFmtId="0" fontId="63" fillId="44" borderId="1" xfId="0" applyFont="1" applyFill="1" applyBorder="1" applyAlignment="1">
      <alignment horizontal="right" vertical="top" wrapText="1"/>
    </xf>
    <xf numFmtId="14" fontId="0" fillId="0" borderId="47" xfId="0" applyNumberFormat="1" applyBorder="1"/>
    <xf numFmtId="0" fontId="12" fillId="0" borderId="47" xfId="0" applyFont="1" applyBorder="1"/>
    <xf numFmtId="0" fontId="15" fillId="0" borderId="10" xfId="0" applyFont="1" applyBorder="1" applyAlignment="1">
      <alignment horizontal="center" vertical="center"/>
    </xf>
    <xf numFmtId="0" fontId="15" fillId="42" borderId="47" xfId="0" applyFont="1" applyFill="1" applyBorder="1" applyAlignment="1">
      <alignment horizontal="left" vertical="center" wrapText="1"/>
    </xf>
    <xf numFmtId="0" fontId="15" fillId="42" borderId="47" xfId="0" applyFont="1" applyFill="1" applyBorder="1" applyAlignment="1">
      <alignment wrapText="1"/>
    </xf>
    <xf numFmtId="1" fontId="15" fillId="0" borderId="0" xfId="0" applyNumberFormat="1" applyFont="1" applyAlignment="1">
      <alignment horizontal="right" vertical="top" wrapText="1"/>
    </xf>
    <xf numFmtId="166" fontId="15" fillId="0" borderId="45" xfId="0" applyNumberFormat="1" applyFont="1" applyBorder="1" applyAlignment="1">
      <alignment horizontal="right" vertical="center"/>
    </xf>
    <xf numFmtId="166" fontId="14" fillId="4" borderId="11" xfId="0" applyNumberFormat="1" applyFont="1" applyFill="1" applyBorder="1" applyAlignment="1">
      <alignment horizontal="right" vertical="center"/>
    </xf>
    <xf numFmtId="0" fontId="14" fillId="2" borderId="3" xfId="0" applyFont="1" applyFill="1" applyBorder="1" applyAlignment="1">
      <alignment horizontal="center" vertical="center" wrapText="1"/>
    </xf>
    <xf numFmtId="166" fontId="15" fillId="0" borderId="39" xfId="0" applyNumberFormat="1" applyFont="1" applyBorder="1" applyAlignment="1">
      <alignment horizontal="center" vertical="center"/>
    </xf>
    <xf numFmtId="166" fontId="15" fillId="0" borderId="7" xfId="0" applyNumberFormat="1" applyFont="1" applyBorder="1" applyAlignment="1">
      <alignment horizontal="left" vertical="center"/>
    </xf>
    <xf numFmtId="166" fontId="15" fillId="0" borderId="47" xfId="0" applyNumberFormat="1" applyFont="1" applyBorder="1" applyAlignment="1">
      <alignment horizontal="center"/>
    </xf>
    <xf numFmtId="0" fontId="15" fillId="0" borderId="47" xfId="0" applyFont="1" applyBorder="1" applyAlignment="1">
      <alignment horizontal="left" vertical="center" wrapText="1"/>
    </xf>
    <xf numFmtId="0" fontId="15" fillId="42" borderId="47" xfId="0" applyFont="1" applyFill="1" applyBorder="1" applyAlignment="1">
      <alignment horizontal="center" vertical="center" wrapText="1"/>
    </xf>
    <xf numFmtId="165" fontId="15" fillId="0" borderId="2" xfId="0" applyNumberFormat="1" applyFont="1" applyBorder="1" applyAlignment="1">
      <alignment horizontal="center"/>
    </xf>
    <xf numFmtId="165" fontId="15" fillId="0" borderId="8" xfId="0" applyNumberFormat="1" applyFont="1" applyBorder="1" applyAlignment="1">
      <alignment horizontal="center"/>
    </xf>
    <xf numFmtId="166" fontId="15" fillId="0" borderId="8" xfId="0" applyNumberFormat="1" applyFont="1" applyBorder="1" applyAlignment="1">
      <alignment horizontal="center" vertical="center"/>
    </xf>
    <xf numFmtId="166" fontId="15" fillId="0" borderId="10" xfId="0" applyNumberFormat="1" applyFont="1" applyBorder="1" applyAlignment="1">
      <alignment horizontal="center" vertical="center"/>
    </xf>
    <xf numFmtId="166" fontId="15" fillId="0" borderId="11" xfId="0" applyNumberFormat="1" applyFont="1" applyBorder="1" applyAlignment="1">
      <alignment horizontal="center"/>
    </xf>
    <xf numFmtId="166" fontId="15" fillId="0" borderId="42" xfId="0" applyNumberFormat="1" applyFont="1" applyBorder="1" applyAlignment="1">
      <alignment horizontal="center"/>
    </xf>
    <xf numFmtId="166" fontId="15" fillId="42" borderId="3" xfId="0" applyNumberFormat="1" applyFont="1" applyFill="1" applyBorder="1" applyAlignment="1">
      <alignment horizontal="center"/>
    </xf>
    <xf numFmtId="166" fontId="15" fillId="42" borderId="4" xfId="0" applyNumberFormat="1" applyFont="1" applyFill="1" applyBorder="1" applyAlignment="1">
      <alignment horizontal="center"/>
    </xf>
    <xf numFmtId="165" fontId="15" fillId="0" borderId="47" xfId="0" applyNumberFormat="1" applyFont="1" applyBorder="1" applyAlignment="1">
      <alignment horizontal="center"/>
    </xf>
    <xf numFmtId="166" fontId="15" fillId="42" borderId="47" xfId="0" applyNumberFormat="1" applyFont="1" applyFill="1" applyBorder="1" applyAlignment="1">
      <alignment horizontal="center"/>
    </xf>
    <xf numFmtId="0" fontId="0" fillId="0" borderId="0" xfId="0" applyAlignment="1">
      <alignment horizontal="center"/>
    </xf>
    <xf numFmtId="0" fontId="15" fillId="45" borderId="47" xfId="0" applyFont="1" applyFill="1" applyBorder="1" applyAlignment="1">
      <alignment horizontal="left" vertical="center" wrapText="1"/>
    </xf>
    <xf numFmtId="0" fontId="16" fillId="42" borderId="1" xfId="0" applyFont="1" applyFill="1" applyBorder="1" applyAlignment="1">
      <alignment horizontal="left" vertical="top" wrapText="1"/>
    </xf>
    <xf numFmtId="165" fontId="16" fillId="42" borderId="1" xfId="0" applyNumberFormat="1" applyFont="1" applyFill="1" applyBorder="1" applyAlignment="1">
      <alignment horizontal="left" vertical="top" wrapText="1"/>
    </xf>
    <xf numFmtId="165" fontId="15" fillId="42" borderId="1" xfId="0" applyNumberFormat="1" applyFont="1" applyFill="1" applyBorder="1" applyAlignment="1">
      <alignment horizontal="left" vertical="top" wrapText="1"/>
    </xf>
    <xf numFmtId="0" fontId="15" fillId="42" borderId="1" xfId="0" applyFont="1" applyFill="1" applyBorder="1" applyAlignment="1">
      <alignment horizontal="left" vertical="top" wrapText="1"/>
    </xf>
    <xf numFmtId="0" fontId="63" fillId="0" borderId="1" xfId="0" applyFont="1" applyBorder="1" applyAlignment="1">
      <alignment horizontal="left" vertical="top" wrapText="1"/>
    </xf>
    <xf numFmtId="171" fontId="16" fillId="0" borderId="47" xfId="0" applyNumberFormat="1" applyFont="1" applyBorder="1" applyAlignment="1">
      <alignment vertical="center"/>
    </xf>
    <xf numFmtId="0" fontId="11" fillId="0" borderId="47" xfId="0" applyFont="1" applyBorder="1" applyAlignment="1">
      <alignment wrapText="1"/>
    </xf>
    <xf numFmtId="14" fontId="12" fillId="0" borderId="47" xfId="0" applyNumberFormat="1" applyFont="1" applyBorder="1"/>
    <xf numFmtId="0" fontId="15" fillId="11" borderId="7" xfId="0" applyFont="1" applyFill="1" applyBorder="1" applyAlignment="1">
      <alignment horizontal="left" vertical="top" wrapText="1"/>
    </xf>
    <xf numFmtId="0" fontId="26" fillId="0" borderId="0" xfId="0" applyFont="1" applyAlignment="1">
      <alignment horizontal="left" vertical="center" wrapText="1"/>
    </xf>
    <xf numFmtId="0" fontId="16" fillId="0" borderId="0" xfId="0" applyFont="1" applyAlignment="1">
      <alignment horizontal="left" vertical="top" wrapText="1"/>
    </xf>
    <xf numFmtId="15" fontId="22" fillId="0" borderId="0" xfId="0" applyNumberFormat="1" applyFont="1" applyAlignment="1">
      <alignment horizontal="left" vertical="top" wrapText="1"/>
    </xf>
    <xf numFmtId="1" fontId="16" fillId="0" borderId="0" xfId="0" applyNumberFormat="1" applyFont="1" applyAlignment="1">
      <alignment horizontal="left" vertical="top" wrapText="1"/>
    </xf>
    <xf numFmtId="0" fontId="15" fillId="0" borderId="47" xfId="0" applyFont="1" applyBorder="1" applyAlignment="1">
      <alignment horizontal="center" vertical="center" wrapText="1"/>
    </xf>
    <xf numFmtId="0" fontId="10" fillId="0" borderId="47" xfId="0" applyFont="1" applyBorder="1"/>
    <xf numFmtId="166" fontId="15" fillId="0" borderId="0" xfId="0" applyNumberFormat="1" applyFont="1" applyAlignment="1">
      <alignment horizontal="right" vertical="top" wrapText="1"/>
    </xf>
    <xf numFmtId="14" fontId="16" fillId="11" borderId="1" xfId="0" applyNumberFormat="1" applyFont="1" applyFill="1" applyBorder="1" applyAlignment="1">
      <alignment horizontal="left" vertical="top" wrapText="1"/>
    </xf>
    <xf numFmtId="0" fontId="9" fillId="0" borderId="0" xfId="0" applyFont="1" applyAlignment="1">
      <alignment wrapText="1"/>
    </xf>
    <xf numFmtId="0" fontId="16" fillId="10" borderId="1" xfId="0" applyFont="1" applyFill="1" applyBorder="1" applyAlignment="1">
      <alignment horizontal="left" vertical="center" wrapText="1"/>
    </xf>
    <xf numFmtId="0" fontId="9" fillId="0" borderId="47" xfId="0" applyFont="1" applyBorder="1"/>
    <xf numFmtId="0" fontId="0" fillId="0" borderId="1" xfId="0" applyBorder="1" applyAlignment="1">
      <alignment wrapText="1"/>
    </xf>
    <xf numFmtId="165" fontId="15" fillId="11" borderId="0" xfId="0" applyNumberFormat="1" applyFont="1" applyFill="1" applyAlignment="1">
      <alignment horizontal="left" vertical="top" wrapText="1"/>
    </xf>
    <xf numFmtId="0" fontId="8" fillId="0" borderId="47" xfId="0" applyFont="1" applyBorder="1"/>
    <xf numFmtId="17" fontId="8" fillId="0" borderId="47" xfId="0" applyNumberFormat="1" applyFont="1" applyBorder="1"/>
    <xf numFmtId="15" fontId="8" fillId="0" borderId="47" xfId="0" applyNumberFormat="1" applyFont="1" applyBorder="1"/>
    <xf numFmtId="0" fontId="8" fillId="0" borderId="47" xfId="0" applyFont="1" applyBorder="1" applyAlignment="1">
      <alignment wrapText="1"/>
    </xf>
    <xf numFmtId="3" fontId="13" fillId="0" borderId="47" xfId="0" applyNumberFormat="1" applyFont="1" applyBorder="1" applyAlignment="1">
      <alignment wrapText="1"/>
    </xf>
    <xf numFmtId="15" fontId="8" fillId="0" borderId="47" xfId="0" applyNumberFormat="1" applyFont="1" applyBorder="1" applyAlignment="1">
      <alignment wrapText="1"/>
    </xf>
    <xf numFmtId="0" fontId="8" fillId="0" borderId="0" xfId="0" applyFont="1" applyAlignment="1">
      <alignment wrapText="1"/>
    </xf>
    <xf numFmtId="164" fontId="15" fillId="11" borderId="1" xfId="0" applyNumberFormat="1" applyFont="1" applyFill="1" applyBorder="1" applyAlignment="1">
      <alignment horizontal="left" vertical="top"/>
    </xf>
    <xf numFmtId="164" fontId="15" fillId="0" borderId="1" xfId="0" applyNumberFormat="1" applyFont="1" applyBorder="1" applyAlignment="1">
      <alignment horizontal="left" vertical="top"/>
    </xf>
    <xf numFmtId="164" fontId="14" fillId="0" borderId="2" xfId="0" applyNumberFormat="1" applyFont="1" applyBorder="1" applyAlignment="1">
      <alignment horizontal="center" vertical="top"/>
    </xf>
    <xf numFmtId="1" fontId="15" fillId="0" borderId="1" xfId="0" applyNumberFormat="1" applyFont="1" applyBorder="1" applyAlignment="1">
      <alignment horizontal="left" vertical="top" wrapText="1"/>
    </xf>
    <xf numFmtId="171" fontId="15" fillId="0" borderId="47" xfId="1" applyNumberFormat="1" applyFont="1" applyBorder="1" applyAlignment="1">
      <alignment horizontal="right"/>
    </xf>
    <xf numFmtId="0" fontId="7" fillId="0" borderId="47" xfId="0" applyFont="1" applyBorder="1"/>
    <xf numFmtId="0" fontId="6" fillId="0" borderId="47" xfId="0" applyFont="1" applyBorder="1"/>
    <xf numFmtId="0" fontId="0" fillId="0" borderId="0" xfId="0" applyAlignment="1">
      <alignment vertical="center"/>
    </xf>
    <xf numFmtId="0" fontId="69" fillId="46" borderId="47" xfId="0" applyFont="1" applyFill="1" applyBorder="1" applyAlignment="1">
      <alignment horizontal="center" vertical="center"/>
    </xf>
    <xf numFmtId="0" fontId="6" fillId="0" borderId="47" xfId="0" applyFont="1" applyBorder="1" applyAlignment="1">
      <alignment wrapText="1"/>
    </xf>
    <xf numFmtId="0" fontId="5" fillId="0" borderId="47" xfId="0" applyFont="1" applyBorder="1"/>
    <xf numFmtId="169" fontId="70" fillId="8" borderId="47" xfId="0" applyNumberFormat="1" applyFont="1" applyFill="1" applyBorder="1" applyAlignment="1">
      <alignment vertical="center" wrapText="1"/>
    </xf>
    <xf numFmtId="0" fontId="4" fillId="0" borderId="47" xfId="0" applyFont="1" applyBorder="1"/>
    <xf numFmtId="14" fontId="59" fillId="0" borderId="47" xfId="0" applyNumberFormat="1" applyFont="1" applyBorder="1"/>
    <xf numFmtId="0" fontId="3" fillId="0" borderId="47" xfId="0" applyFont="1" applyBorder="1"/>
    <xf numFmtId="1" fontId="0" fillId="0" borderId="0" xfId="0" applyNumberFormat="1"/>
    <xf numFmtId="15" fontId="3" fillId="0" borderId="47" xfId="0" applyNumberFormat="1" applyFont="1" applyBorder="1"/>
    <xf numFmtId="0" fontId="0" fillId="0" borderId="61" xfId="0" applyBorder="1"/>
    <xf numFmtId="0" fontId="3" fillId="0" borderId="61" xfId="0" applyFont="1" applyBorder="1"/>
    <xf numFmtId="0" fontId="0" fillId="0" borderId="60" xfId="0" applyBorder="1"/>
    <xf numFmtId="0" fontId="3" fillId="0" borderId="0" xfId="0" applyFont="1"/>
    <xf numFmtId="166" fontId="15" fillId="0" borderId="0" xfId="0" applyNumberFormat="1" applyFont="1" applyAlignment="1">
      <alignment horizontal="center" vertical="center"/>
    </xf>
    <xf numFmtId="166" fontId="15" fillId="42" borderId="0" xfId="0" applyNumberFormat="1" applyFont="1" applyFill="1" applyAlignment="1">
      <alignment horizontal="center"/>
    </xf>
    <xf numFmtId="0" fontId="2" fillId="0" borderId="0" xfId="0" applyFont="1"/>
    <xf numFmtId="0" fontId="15" fillId="42" borderId="61" xfId="0" applyFont="1" applyFill="1" applyBorder="1" applyAlignment="1">
      <alignment horizontal="center" vertical="center"/>
    </xf>
    <xf numFmtId="166" fontId="28" fillId="0" borderId="47" xfId="0" applyNumberFormat="1" applyFont="1" applyBorder="1" applyAlignment="1">
      <alignment horizontal="center"/>
    </xf>
    <xf numFmtId="0" fontId="1" fillId="0" borderId="0" xfId="0" applyFont="1"/>
    <xf numFmtId="0" fontId="15" fillId="0" borderId="62" xfId="0" applyFont="1" applyBorder="1" applyAlignment="1">
      <alignment horizontal="left" vertical="center"/>
    </xf>
    <xf numFmtId="0" fontId="15" fillId="42" borderId="63" xfId="0" applyFont="1" applyFill="1" applyBorder="1" applyAlignment="1">
      <alignment horizontal="center" vertical="center"/>
    </xf>
    <xf numFmtId="0" fontId="15" fillId="42" borderId="58" xfId="0" applyFont="1" applyFill="1" applyBorder="1" applyAlignment="1">
      <alignment horizontal="center" vertical="center"/>
    </xf>
    <xf numFmtId="0" fontId="15" fillId="42" borderId="59" xfId="0" applyFont="1" applyFill="1" applyBorder="1" applyAlignment="1">
      <alignment horizontal="center" vertical="center"/>
    </xf>
    <xf numFmtId="0" fontId="15" fillId="42" borderId="60" xfId="0" applyFont="1" applyFill="1" applyBorder="1" applyAlignment="1">
      <alignment horizontal="center" vertical="center"/>
    </xf>
    <xf numFmtId="0" fontId="15" fillId="42" borderId="61" xfId="0" applyFont="1" applyFill="1"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5" fillId="0" borderId="58" xfId="0" applyFont="1" applyBorder="1" applyAlignment="1">
      <alignment horizontal="center" vertical="center"/>
    </xf>
    <xf numFmtId="0" fontId="15" fillId="0" borderId="59" xfId="0" applyFont="1" applyBorder="1" applyAlignment="1">
      <alignment horizontal="center" vertical="center"/>
    </xf>
    <xf numFmtId="0" fontId="15" fillId="0" borderId="60" xfId="0" applyFont="1" applyBorder="1" applyAlignment="1">
      <alignment horizontal="center" vertical="center"/>
    </xf>
    <xf numFmtId="0" fontId="15" fillId="0" borderId="61" xfId="0" applyFont="1" applyBorder="1" applyAlignment="1">
      <alignment horizontal="center" vertical="center"/>
    </xf>
    <xf numFmtId="0" fontId="48" fillId="4" borderId="45" xfId="0" applyFont="1" applyFill="1" applyBorder="1" applyAlignment="1">
      <alignment horizontal="center"/>
    </xf>
    <xf numFmtId="0" fontId="24" fillId="0" borderId="45" xfId="0" applyFont="1" applyBorder="1"/>
    <xf numFmtId="0" fontId="15" fillId="30" borderId="5" xfId="0" applyFont="1" applyFill="1" applyBorder="1" applyAlignment="1">
      <alignment horizontal="center"/>
    </xf>
    <xf numFmtId="0" fontId="24" fillId="0" borderId="6" xfId="0" applyFont="1" applyBorder="1"/>
    <xf numFmtId="0" fontId="24" fillId="0" borderId="7" xfId="0" applyFont="1" applyBorder="1"/>
    <xf numFmtId="0" fontId="19" fillId="12" borderId="5" xfId="0" applyFont="1" applyFill="1" applyBorder="1" applyAlignment="1">
      <alignment horizontal="center"/>
    </xf>
    <xf numFmtId="0" fontId="54" fillId="32" borderId="46" xfId="0" applyFont="1" applyFill="1" applyBorder="1" applyAlignment="1">
      <alignment horizontal="center"/>
    </xf>
    <xf numFmtId="0" fontId="43" fillId="14" borderId="0" xfId="0" applyFont="1" applyFill="1" applyAlignment="1">
      <alignment horizontal="center"/>
    </xf>
    <xf numFmtId="0" fontId="24" fillId="0" borderId="0" xfId="0" applyFont="1"/>
    <xf numFmtId="166" fontId="14" fillId="0" borderId="5" xfId="0" applyNumberFormat="1" applyFont="1" applyBorder="1" applyAlignment="1">
      <alignment horizontal="center"/>
    </xf>
    <xf numFmtId="0" fontId="14" fillId="0" borderId="5" xfId="0" applyFont="1" applyBorder="1" applyAlignment="1">
      <alignment horizontal="center"/>
    </xf>
    <xf numFmtId="0" fontId="14" fillId="16" borderId="0" xfId="0" applyFont="1" applyFill="1" applyAlignment="1">
      <alignment horizontal="left"/>
    </xf>
    <xf numFmtId="0" fontId="15" fillId="0" borderId="36" xfId="0" applyFont="1" applyBorder="1" applyAlignment="1">
      <alignment horizontal="center" vertical="center" wrapText="1"/>
    </xf>
    <xf numFmtId="0" fontId="24" fillId="0" borderId="35" xfId="0" applyFont="1" applyBorder="1"/>
    <xf numFmtId="0" fontId="24" fillId="0" borderId="38" xfId="0" applyFont="1" applyBorder="1"/>
    <xf numFmtId="43" fontId="15" fillId="0" borderId="0" xfId="0" applyNumberFormat="1" applyFont="1" applyAlignment="1">
      <alignment horizontal="left"/>
    </xf>
  </cellXfs>
  <cellStyles count="2">
    <cellStyle name="Comma" xfId="1" builtinId="3"/>
    <cellStyle name="Normal" xfId="0" builtinId="0"/>
  </cellStyles>
  <dxfs count="50">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
      <fill>
        <patternFill patternType="none"/>
      </fill>
    </dxf>
    <dxf>
      <fill>
        <patternFill patternType="solid">
          <fgColor rgb="FF7030A0"/>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Bonus%20and%20deductions%20File%20Updated%202023%2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nus%20and%20deductions%20File%20Updated%202024%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QRAT/Downloads/Bonus%20and%20deductions%20File%20Updated%202023%20(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My%20Drive\I\I%20Accounts\Payroll%20and%20attendance\Payroll%20Sheet\Payroll%20%20Sheet%20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Iqra%20Technology/Downloads/bonus%20and%20deductions%20File%2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9"/>
      <sheetName val="2020"/>
      <sheetName val="2021"/>
      <sheetName val="2022"/>
      <sheetName val="2023"/>
      <sheetName val="Client facing Bonus 2023"/>
      <sheetName val="June Target"/>
      <sheetName val="1 time bonus "/>
      <sheetName val="Target Bonus"/>
      <sheetName val="Sql Bonus"/>
      <sheetName val="To beDeleted"/>
      <sheetName val="On hold bonus"/>
      <sheetName val="Hold bonus paid sheet"/>
      <sheetName val="Client facing Bonus 2022"/>
      <sheetName val="Sheet1"/>
      <sheetName val="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9"/>
      <sheetName val="2020"/>
      <sheetName val="2021"/>
      <sheetName val="2022"/>
      <sheetName val="2023"/>
      <sheetName val="2024"/>
      <sheetName val="Client Facing Bonus 2024"/>
      <sheetName val="On hold bonus"/>
      <sheetName val="To beDeleted"/>
      <sheetName val="Marketing Bouns sheet"/>
      <sheetName val="Sales Bonus Rule"/>
      <sheetName val="Deposited-Hold Bonus"/>
      <sheetName val="Shahed Summary Sheet"/>
      <sheetName val="March Target"/>
      <sheetName val="Feb Target"/>
      <sheetName val="Marketing Bonus Rule"/>
      <sheetName val="Client facing Bonus 2023"/>
      <sheetName val="Dec Target"/>
      <sheetName val="Jan Target"/>
      <sheetName val="Calculation"/>
      <sheetName val="One Time Bonus"/>
      <sheetName val="Nov Target"/>
      <sheetName val="Oct Target"/>
      <sheetName val="Sep Target"/>
      <sheetName val="Aug Target"/>
      <sheetName val="July Target"/>
      <sheetName val="June Target"/>
      <sheetName val="1 time bonus "/>
      <sheetName val="Target Bonus"/>
      <sheetName val="Sql Bonus"/>
      <sheetName val="Hold bonus paid sheet"/>
      <sheetName val="Client facing Bonus 2022"/>
    </sheetNames>
    <sheetDataSet>
      <sheetData sheetId="0"/>
      <sheetData sheetId="1"/>
      <sheetData sheetId="2"/>
      <sheetData sheetId="3"/>
      <sheetData sheetId="4">
        <row r="9">
          <cell r="T9">
            <v>1760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9"/>
      <sheetName val="2020"/>
      <sheetName val="2021"/>
      <sheetName val="2022"/>
      <sheetName val="2023"/>
      <sheetName val="Client facing Bonus 2023"/>
      <sheetName val="June Target"/>
      <sheetName val="1 time bonus "/>
      <sheetName val="Target Bonus"/>
      <sheetName val="Sql Bonus"/>
      <sheetName val="To beDeleted"/>
      <sheetName val="On hold bonus"/>
      <sheetName val="Hold bonus paid sheet"/>
      <sheetName val="Client facing Bonus 2022"/>
      <sheetName val="Sheet1"/>
      <sheetName val="Calculation"/>
    </sheetNames>
    <sheetDataSet>
      <sheetData sheetId="0" refreshError="1"/>
      <sheetData sheetId="1" refreshError="1"/>
      <sheetData sheetId="2" refreshError="1"/>
      <sheetData sheetId="3" refreshError="1">
        <row r="2">
          <cell r="U2">
            <v>20000</v>
          </cell>
        </row>
        <row r="4">
          <cell r="U4">
            <v>0</v>
          </cell>
        </row>
        <row r="6">
          <cell r="U6">
            <v>10619.0476190476</v>
          </cell>
        </row>
        <row r="7">
          <cell r="U7">
            <v>14130.4347826087</v>
          </cell>
        </row>
        <row r="10">
          <cell r="U10">
            <v>29090.909090909099</v>
          </cell>
        </row>
        <row r="19">
          <cell r="U19">
            <v>15428.5714285714</v>
          </cell>
        </row>
        <row r="20">
          <cell r="U20">
            <v>20727.272727272699</v>
          </cell>
        </row>
        <row r="28">
          <cell r="U28">
            <v>16000</v>
          </cell>
        </row>
        <row r="30">
          <cell r="U30">
            <v>9000</v>
          </cell>
        </row>
        <row r="36">
          <cell r="U36">
            <v>24782.608695652201</v>
          </cell>
        </row>
        <row r="38">
          <cell r="U38">
            <v>37928.571428571398</v>
          </cell>
        </row>
        <row r="39">
          <cell r="U39">
            <v>36000</v>
          </cell>
        </row>
        <row r="43">
          <cell r="U43">
            <v>70761.904761904807</v>
          </cell>
        </row>
        <row r="49">
          <cell r="U49">
            <v>44919.2546583851</v>
          </cell>
        </row>
        <row r="56">
          <cell r="U56">
            <v>12500</v>
          </cell>
        </row>
        <row r="59">
          <cell r="U59">
            <v>10000</v>
          </cell>
        </row>
        <row r="63">
          <cell r="U63">
            <v>50000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90000</v>
          </cell>
        </row>
        <row r="51">
          <cell r="B51">
            <v>24000</v>
          </cell>
        </row>
      </sheetData>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2021"/>
      <sheetName val="Feb 2021"/>
      <sheetName val="March 2021"/>
      <sheetName val="April 2021"/>
      <sheetName val="May 2021"/>
      <sheetName val="June 2021"/>
      <sheetName val="July 2021"/>
      <sheetName val="August 2021"/>
      <sheetName val="Sep 21"/>
      <sheetName val="Oct 2021"/>
      <sheetName val="Nov 2021"/>
      <sheetName val="Dec 2021"/>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9"/>
      <sheetName val="2020"/>
      <sheetName val="2021"/>
      <sheetName val="Target Bonus"/>
      <sheetName val="Sql Bonus"/>
      <sheetName val="To beDeleted"/>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000"/>
  <sheetViews>
    <sheetView workbookViewId="0">
      <selection activeCell="M9" sqref="M9:O9"/>
    </sheetView>
  </sheetViews>
  <sheetFormatPr defaultColWidth="12.59765625" defaultRowHeight="15" customHeight="1"/>
  <cols>
    <col min="1" max="1" width="5.5" customWidth="1"/>
    <col min="2" max="2" width="22.09765625" customWidth="1"/>
    <col min="3" max="3" width="7.59765625" customWidth="1"/>
    <col min="4" max="4" width="13.19921875" customWidth="1"/>
    <col min="5" max="5" width="17" customWidth="1"/>
    <col min="6" max="16" width="7.59765625" customWidth="1"/>
    <col min="17" max="17" width="11.69921875" customWidth="1"/>
  </cols>
  <sheetData>
    <row r="1" spans="1:18" ht="15.6">
      <c r="A1" s="938" t="s">
        <v>0</v>
      </c>
      <c r="B1" s="939" t="s">
        <v>1</v>
      </c>
      <c r="C1" s="939" t="s">
        <v>2</v>
      </c>
      <c r="D1" s="939" t="s">
        <v>3</v>
      </c>
      <c r="E1" s="939" t="s">
        <v>4</v>
      </c>
      <c r="F1" s="939" t="s">
        <v>5</v>
      </c>
      <c r="G1" s="939" t="s">
        <v>6</v>
      </c>
      <c r="H1" s="939" t="s">
        <v>7</v>
      </c>
      <c r="I1" s="939" t="s">
        <v>8</v>
      </c>
      <c r="J1" s="939" t="s">
        <v>9</v>
      </c>
      <c r="K1" s="939" t="s">
        <v>10</v>
      </c>
      <c r="L1" s="939" t="s">
        <v>11</v>
      </c>
      <c r="M1" s="939" t="s">
        <v>12</v>
      </c>
      <c r="N1" s="939" t="s">
        <v>13</v>
      </c>
      <c r="O1" s="939" t="s">
        <v>14</v>
      </c>
      <c r="P1" s="938" t="s">
        <v>15</v>
      </c>
      <c r="Q1" s="939" t="s">
        <v>16</v>
      </c>
      <c r="R1" s="961" t="s">
        <v>17</v>
      </c>
    </row>
    <row r="2" spans="1:18" ht="14.4" hidden="1">
      <c r="A2" s="941">
        <v>1</v>
      </c>
      <c r="B2" s="36" t="s">
        <v>18</v>
      </c>
      <c r="C2" s="36">
        <v>15000</v>
      </c>
      <c r="D2" s="36">
        <v>5000</v>
      </c>
      <c r="E2" s="36" t="s">
        <v>19</v>
      </c>
      <c r="F2" s="36">
        <v>5000</v>
      </c>
      <c r="G2" s="36">
        <v>5000</v>
      </c>
      <c r="H2" s="36">
        <v>5000</v>
      </c>
      <c r="I2" s="36">
        <v>5000</v>
      </c>
      <c r="J2" s="36">
        <v>4000</v>
      </c>
      <c r="K2" s="36">
        <v>2000</v>
      </c>
      <c r="L2" s="36">
        <v>4000</v>
      </c>
      <c r="M2" s="36">
        <v>2500</v>
      </c>
      <c r="N2" s="36">
        <v>5000</v>
      </c>
      <c r="O2" s="36">
        <v>5000</v>
      </c>
      <c r="P2" s="36">
        <f t="shared" ref="P2:P10" si="0">SUM(F2:O2)</f>
        <v>42500</v>
      </c>
      <c r="Q2" s="36"/>
      <c r="R2" s="98">
        <f t="shared" ref="R2:R10" si="1">SUM(F2:O2)</f>
        <v>42500</v>
      </c>
    </row>
    <row r="3" spans="1:18" ht="14.4" hidden="1">
      <c r="A3" s="941">
        <v>2</v>
      </c>
      <c r="B3" s="89" t="s">
        <v>20</v>
      </c>
      <c r="C3" s="36">
        <v>17000</v>
      </c>
      <c r="D3" s="36">
        <v>5000</v>
      </c>
      <c r="E3" s="36" t="s">
        <v>21</v>
      </c>
      <c r="F3" s="36">
        <v>5000</v>
      </c>
      <c r="G3" s="36">
        <v>5000</v>
      </c>
      <c r="H3" s="36">
        <v>5000</v>
      </c>
      <c r="I3" s="36">
        <v>5000</v>
      </c>
      <c r="J3" s="36">
        <v>5000</v>
      </c>
      <c r="K3" s="36">
        <v>4500</v>
      </c>
      <c r="L3" s="36">
        <v>5000</v>
      </c>
      <c r="M3" s="36">
        <v>5000</v>
      </c>
      <c r="N3" s="36">
        <v>5000</v>
      </c>
      <c r="O3" s="36">
        <v>5000</v>
      </c>
      <c r="P3" s="36">
        <f t="shared" si="0"/>
        <v>49500</v>
      </c>
      <c r="Q3" s="36"/>
      <c r="R3" s="98">
        <f t="shared" si="1"/>
        <v>49500</v>
      </c>
    </row>
    <row r="4" spans="1:18" ht="14.4" hidden="1">
      <c r="A4" s="941">
        <v>3</v>
      </c>
      <c r="B4" s="36" t="s">
        <v>22</v>
      </c>
      <c r="C4" s="36">
        <v>25000</v>
      </c>
      <c r="D4" s="36">
        <v>5000</v>
      </c>
      <c r="E4" s="36" t="s">
        <v>23</v>
      </c>
      <c r="F4" s="36">
        <v>5000</v>
      </c>
      <c r="G4" s="36">
        <v>5000</v>
      </c>
      <c r="H4" s="36">
        <v>5000</v>
      </c>
      <c r="I4" s="36">
        <v>5000</v>
      </c>
      <c r="J4" s="36">
        <v>5000</v>
      </c>
      <c r="K4" s="36">
        <v>5000</v>
      </c>
      <c r="L4" s="36">
        <v>5000</v>
      </c>
      <c r="M4" s="36">
        <v>5000</v>
      </c>
      <c r="N4" s="36">
        <v>5000</v>
      </c>
      <c r="O4" s="36">
        <v>5000</v>
      </c>
      <c r="P4" s="36">
        <f t="shared" si="0"/>
        <v>50000</v>
      </c>
      <c r="Q4" s="36"/>
      <c r="R4" s="98">
        <f t="shared" si="1"/>
        <v>50000</v>
      </c>
    </row>
    <row r="5" spans="1:18" ht="15" hidden="1" customHeight="1">
      <c r="A5" s="941">
        <v>4</v>
      </c>
      <c r="B5" s="36" t="s">
        <v>24</v>
      </c>
      <c r="C5" s="36">
        <v>10000</v>
      </c>
      <c r="D5" s="36">
        <v>5000</v>
      </c>
      <c r="E5" s="36" t="s">
        <v>19</v>
      </c>
      <c r="F5" s="36">
        <v>4000</v>
      </c>
      <c r="G5" s="36">
        <v>4000</v>
      </c>
      <c r="H5" s="36">
        <v>4000</v>
      </c>
      <c r="I5" s="36">
        <v>5000</v>
      </c>
      <c r="J5" s="36">
        <v>4000</v>
      </c>
      <c r="K5" s="36">
        <v>3000</v>
      </c>
      <c r="L5" s="36">
        <v>3000</v>
      </c>
      <c r="M5" s="36">
        <v>3200</v>
      </c>
      <c r="N5" s="36">
        <v>2500</v>
      </c>
      <c r="O5" s="36">
        <v>3500</v>
      </c>
      <c r="P5" s="36">
        <f t="shared" si="0"/>
        <v>36200</v>
      </c>
      <c r="Q5" s="36"/>
      <c r="R5" s="98">
        <f t="shared" si="1"/>
        <v>36200</v>
      </c>
    </row>
    <row r="6" spans="1:18" ht="14.4" hidden="1">
      <c r="A6" s="941">
        <v>5</v>
      </c>
      <c r="B6" s="36" t="s">
        <v>25</v>
      </c>
      <c r="C6" s="36">
        <v>6000</v>
      </c>
      <c r="D6" s="36">
        <v>4000</v>
      </c>
      <c r="E6" s="36" t="s">
        <v>19</v>
      </c>
      <c r="F6" s="36">
        <v>0</v>
      </c>
      <c r="G6" s="36">
        <v>0</v>
      </c>
      <c r="H6" s="36">
        <v>0</v>
      </c>
      <c r="I6" s="96">
        <v>0</v>
      </c>
      <c r="J6" s="96">
        <v>3200</v>
      </c>
      <c r="K6" s="96">
        <v>3000</v>
      </c>
      <c r="L6" s="36">
        <v>0</v>
      </c>
      <c r="M6" s="36">
        <v>3500</v>
      </c>
      <c r="N6" s="36">
        <v>3500</v>
      </c>
      <c r="O6" s="36">
        <v>3000</v>
      </c>
      <c r="P6" s="36">
        <f t="shared" si="0"/>
        <v>16200</v>
      </c>
      <c r="Q6" s="36"/>
      <c r="R6" s="98">
        <f t="shared" si="1"/>
        <v>16200</v>
      </c>
    </row>
    <row r="7" spans="1:18" ht="14.4" hidden="1">
      <c r="A7" s="941">
        <v>6</v>
      </c>
      <c r="B7" s="36" t="s">
        <v>26</v>
      </c>
      <c r="C7" s="36">
        <v>25000</v>
      </c>
      <c r="D7" s="36">
        <v>5000</v>
      </c>
      <c r="E7" s="36" t="s">
        <v>21</v>
      </c>
      <c r="F7" s="36">
        <v>4000</v>
      </c>
      <c r="G7" s="36">
        <v>4000</v>
      </c>
      <c r="H7" s="36">
        <v>4000</v>
      </c>
      <c r="I7" s="36">
        <v>5000</v>
      </c>
      <c r="J7" s="36">
        <v>5000</v>
      </c>
      <c r="K7" s="36">
        <v>5000</v>
      </c>
      <c r="L7" s="36">
        <v>5000</v>
      </c>
      <c r="M7" s="36">
        <v>5000</v>
      </c>
      <c r="N7" s="36">
        <v>5000</v>
      </c>
      <c r="O7" s="36">
        <v>5000</v>
      </c>
      <c r="P7" s="36">
        <f t="shared" si="0"/>
        <v>47000</v>
      </c>
      <c r="Q7" s="36"/>
      <c r="R7" s="98">
        <f t="shared" si="1"/>
        <v>47000</v>
      </c>
    </row>
    <row r="8" spans="1:18" ht="14.4" hidden="1">
      <c r="A8" s="941">
        <v>7</v>
      </c>
      <c r="B8" s="89" t="s">
        <v>27</v>
      </c>
      <c r="C8" s="36">
        <v>25000</v>
      </c>
      <c r="D8" s="36">
        <v>4000</v>
      </c>
      <c r="E8" s="36" t="s">
        <v>21</v>
      </c>
      <c r="F8" s="36">
        <v>4000</v>
      </c>
      <c r="G8" s="36">
        <v>4000</v>
      </c>
      <c r="H8" s="36">
        <v>4000</v>
      </c>
      <c r="I8" s="36">
        <v>4000</v>
      </c>
      <c r="J8" s="36">
        <v>4500</v>
      </c>
      <c r="K8" s="36">
        <v>5000</v>
      </c>
      <c r="L8" s="36">
        <v>5000</v>
      </c>
      <c r="M8" s="36">
        <v>5000</v>
      </c>
      <c r="N8" s="36">
        <v>5000</v>
      </c>
      <c r="O8" s="36">
        <v>5000</v>
      </c>
      <c r="P8" s="36">
        <f t="shared" si="0"/>
        <v>45500</v>
      </c>
      <c r="Q8" s="36"/>
      <c r="R8" s="98">
        <f t="shared" si="1"/>
        <v>45500</v>
      </c>
    </row>
    <row r="9" spans="1:18" ht="14.4">
      <c r="A9" s="941">
        <v>8</v>
      </c>
      <c r="B9" s="89" t="s">
        <v>28</v>
      </c>
      <c r="C9" s="36">
        <v>15000</v>
      </c>
      <c r="D9" s="36">
        <v>5000</v>
      </c>
      <c r="E9" s="36" t="s">
        <v>19</v>
      </c>
      <c r="F9" s="36">
        <v>4000</v>
      </c>
      <c r="G9" s="36">
        <v>4000</v>
      </c>
      <c r="H9" s="36">
        <v>4000</v>
      </c>
      <c r="I9" s="36">
        <v>4000</v>
      </c>
      <c r="J9" s="36">
        <v>3500</v>
      </c>
      <c r="K9" s="36">
        <v>3000</v>
      </c>
      <c r="L9" s="36">
        <v>4000</v>
      </c>
      <c r="M9" s="36">
        <v>5000</v>
      </c>
      <c r="N9" s="36">
        <v>4000</v>
      </c>
      <c r="O9" s="36">
        <v>5000</v>
      </c>
      <c r="P9" s="36">
        <f t="shared" si="0"/>
        <v>40500</v>
      </c>
      <c r="Q9" s="36"/>
      <c r="R9" s="98">
        <f t="shared" si="1"/>
        <v>40500</v>
      </c>
    </row>
    <row r="10" spans="1:18" ht="14.4" hidden="1">
      <c r="A10" s="941">
        <v>9</v>
      </c>
      <c r="B10" s="959" t="s">
        <v>29</v>
      </c>
      <c r="C10" s="36">
        <v>10000</v>
      </c>
      <c r="D10" s="36">
        <v>5000</v>
      </c>
      <c r="E10" s="36" t="s">
        <v>19</v>
      </c>
      <c r="F10" s="36">
        <v>5000</v>
      </c>
      <c r="G10" s="36">
        <v>5000</v>
      </c>
      <c r="H10" s="36">
        <v>5000</v>
      </c>
      <c r="I10" s="36">
        <v>5000</v>
      </c>
      <c r="J10" s="36">
        <v>4000</v>
      </c>
      <c r="K10" s="36">
        <v>3000</v>
      </c>
      <c r="L10" s="36">
        <v>3000</v>
      </c>
      <c r="M10" s="36">
        <v>2500</v>
      </c>
      <c r="N10" s="36">
        <v>3500</v>
      </c>
      <c r="O10" s="36" t="s">
        <v>30</v>
      </c>
      <c r="P10" s="36">
        <f t="shared" si="0"/>
        <v>36000</v>
      </c>
      <c r="Q10" s="36" t="s">
        <v>31</v>
      </c>
      <c r="R10" s="98">
        <f t="shared" si="1"/>
        <v>36000</v>
      </c>
    </row>
    <row r="11" spans="1:18" ht="14.4" hidden="1">
      <c r="A11" s="941">
        <v>10</v>
      </c>
      <c r="B11" s="36" t="s">
        <v>32</v>
      </c>
      <c r="C11" s="36">
        <v>10000</v>
      </c>
      <c r="D11" s="36">
        <v>5000</v>
      </c>
      <c r="E11" s="36" t="s">
        <v>19</v>
      </c>
      <c r="F11" s="36">
        <v>5000</v>
      </c>
      <c r="G11" s="36">
        <v>5000</v>
      </c>
      <c r="H11" s="36">
        <v>5000</v>
      </c>
      <c r="I11" s="36">
        <v>5000</v>
      </c>
      <c r="J11" s="36">
        <v>4000</v>
      </c>
      <c r="K11" s="36">
        <v>3000</v>
      </c>
      <c r="L11" s="36">
        <v>4000</v>
      </c>
      <c r="M11" s="36">
        <v>0</v>
      </c>
      <c r="N11" s="36">
        <v>3500</v>
      </c>
      <c r="O11" s="36">
        <v>5000</v>
      </c>
      <c r="P11" s="36">
        <f>SUM(F11:O11)-Q11</f>
        <v>14500</v>
      </c>
      <c r="Q11" s="962">
        <v>25000</v>
      </c>
      <c r="R11" s="98">
        <f>SUM(F11:O11)-Q11</f>
        <v>14500</v>
      </c>
    </row>
    <row r="12" spans="1:18" ht="14.4" hidden="1">
      <c r="A12" s="941">
        <v>11</v>
      </c>
      <c r="B12" s="36" t="s">
        <v>33</v>
      </c>
      <c r="C12" s="36">
        <v>10000</v>
      </c>
      <c r="D12" s="36">
        <v>4000</v>
      </c>
      <c r="E12" s="36" t="s">
        <v>21</v>
      </c>
      <c r="F12" s="36" t="s">
        <v>30</v>
      </c>
      <c r="G12" s="36" t="s">
        <v>30</v>
      </c>
      <c r="H12" s="36" t="s">
        <v>30</v>
      </c>
      <c r="I12" s="36" t="s">
        <v>30</v>
      </c>
      <c r="J12" s="36">
        <v>4000</v>
      </c>
      <c r="K12" s="36">
        <v>4000</v>
      </c>
      <c r="L12" s="36">
        <v>2600</v>
      </c>
      <c r="M12" s="36">
        <v>3000</v>
      </c>
      <c r="N12" s="36">
        <v>0</v>
      </c>
      <c r="O12" s="36">
        <v>0</v>
      </c>
      <c r="P12" s="36">
        <f>SUM(F12:O12)</f>
        <v>13600</v>
      </c>
      <c r="Q12" s="36"/>
      <c r="R12" s="98">
        <f>SUM(F12:O12)</f>
        <v>13600</v>
      </c>
    </row>
    <row r="13" spans="1:18" ht="14.4" hidden="1">
      <c r="A13" s="941">
        <v>12</v>
      </c>
      <c r="B13" s="89" t="s">
        <v>34</v>
      </c>
      <c r="C13" s="840">
        <v>16000</v>
      </c>
      <c r="D13" s="840">
        <v>4000</v>
      </c>
      <c r="E13" s="36" t="s">
        <v>19</v>
      </c>
      <c r="F13" s="40">
        <v>4000</v>
      </c>
      <c r="G13" s="40">
        <v>4000</v>
      </c>
      <c r="H13" s="40">
        <v>4000</v>
      </c>
      <c r="I13" s="40">
        <v>4000</v>
      </c>
      <c r="J13" s="36">
        <v>3200</v>
      </c>
      <c r="K13" s="36">
        <v>3000</v>
      </c>
      <c r="L13" s="36">
        <v>2000</v>
      </c>
      <c r="M13" s="36">
        <v>5000</v>
      </c>
      <c r="N13" s="36">
        <v>5000</v>
      </c>
      <c r="O13" s="36">
        <v>5000</v>
      </c>
      <c r="P13" s="36">
        <f>SUM(F13:O13)-Q13</f>
        <v>23200</v>
      </c>
      <c r="Q13" s="859">
        <v>16000</v>
      </c>
      <c r="R13" s="98">
        <f t="shared" ref="R13:R14" si="2">SUM(F13:O13)-Q13</f>
        <v>23200</v>
      </c>
    </row>
    <row r="14" spans="1:18" ht="14.4" hidden="1">
      <c r="A14" s="941">
        <v>13</v>
      </c>
      <c r="B14" s="959" t="s">
        <v>35</v>
      </c>
      <c r="C14" s="840">
        <v>16000</v>
      </c>
      <c r="D14" s="840">
        <v>4000</v>
      </c>
      <c r="E14" s="36" t="s">
        <v>19</v>
      </c>
      <c r="F14" s="40">
        <v>4000</v>
      </c>
      <c r="G14" s="40">
        <v>4000</v>
      </c>
      <c r="H14" s="40">
        <v>4000</v>
      </c>
      <c r="I14" s="40">
        <v>4000</v>
      </c>
      <c r="J14" s="36">
        <v>3500</v>
      </c>
      <c r="K14" s="36">
        <v>3500</v>
      </c>
      <c r="L14" s="36">
        <v>3500</v>
      </c>
      <c r="M14" s="36">
        <v>0</v>
      </c>
      <c r="N14" s="36"/>
      <c r="O14" s="36"/>
      <c r="P14" s="956">
        <f t="shared" ref="P14:P17" si="3">SUM(F14:O14)</f>
        <v>26500</v>
      </c>
      <c r="Q14" s="959">
        <f>P14</f>
        <v>26500</v>
      </c>
      <c r="R14" s="98">
        <f t="shared" si="2"/>
        <v>0</v>
      </c>
    </row>
    <row r="15" spans="1:18" ht="19.5" hidden="1" customHeight="1">
      <c r="A15" s="941">
        <v>14</v>
      </c>
      <c r="B15" s="89" t="s">
        <v>36</v>
      </c>
      <c r="C15" s="840">
        <v>16000</v>
      </c>
      <c r="D15" s="840">
        <v>4000</v>
      </c>
      <c r="E15" s="36" t="s">
        <v>21</v>
      </c>
      <c r="F15" s="36" t="s">
        <v>30</v>
      </c>
      <c r="G15" s="36" t="s">
        <v>30</v>
      </c>
      <c r="H15" s="36" t="s">
        <v>30</v>
      </c>
      <c r="I15" s="36" t="s">
        <v>30</v>
      </c>
      <c r="J15" s="36">
        <v>4000</v>
      </c>
      <c r="K15" s="36">
        <v>4000</v>
      </c>
      <c r="L15" s="36">
        <v>4000</v>
      </c>
      <c r="M15" s="36">
        <v>4000</v>
      </c>
      <c r="N15" s="36">
        <v>4000</v>
      </c>
      <c r="O15" s="36">
        <v>4000</v>
      </c>
      <c r="P15" s="36">
        <f t="shared" si="3"/>
        <v>24000</v>
      </c>
      <c r="Q15" s="36"/>
      <c r="R15" s="98">
        <f>SUM(F15:O15)</f>
        <v>24000</v>
      </c>
    </row>
    <row r="16" spans="1:18" ht="14.4" hidden="1">
      <c r="A16" s="941">
        <v>15</v>
      </c>
      <c r="B16" s="959" t="s">
        <v>37</v>
      </c>
      <c r="C16" s="840">
        <v>12000</v>
      </c>
      <c r="D16" s="840">
        <v>4000</v>
      </c>
      <c r="E16" s="36" t="s">
        <v>21</v>
      </c>
      <c r="F16" s="36" t="s">
        <v>30</v>
      </c>
      <c r="G16" s="36" t="s">
        <v>30</v>
      </c>
      <c r="H16" s="36" t="s">
        <v>30</v>
      </c>
      <c r="I16" s="36" t="s">
        <v>30</v>
      </c>
      <c r="J16" s="36">
        <v>4000</v>
      </c>
      <c r="K16" s="36">
        <v>3000</v>
      </c>
      <c r="L16" s="36">
        <v>2800</v>
      </c>
      <c r="M16" s="36">
        <v>0</v>
      </c>
      <c r="N16" s="36"/>
      <c r="O16" s="36"/>
      <c r="P16" s="956">
        <f t="shared" si="3"/>
        <v>9800</v>
      </c>
      <c r="Q16" s="959">
        <f>P16</f>
        <v>9800</v>
      </c>
      <c r="R16" s="98">
        <f>SUM(F16:O16)-Q16</f>
        <v>0</v>
      </c>
    </row>
    <row r="17" spans="1:18" ht="14.4" hidden="1">
      <c r="A17" s="941">
        <v>16</v>
      </c>
      <c r="B17" s="840" t="s">
        <v>38</v>
      </c>
      <c r="C17" s="840">
        <v>10000</v>
      </c>
      <c r="D17" s="840">
        <v>4000</v>
      </c>
      <c r="E17" s="36" t="s">
        <v>19</v>
      </c>
      <c r="F17" s="36" t="s">
        <v>30</v>
      </c>
      <c r="G17" s="36" t="s">
        <v>30</v>
      </c>
      <c r="H17" s="36" t="s">
        <v>30</v>
      </c>
      <c r="I17" s="36">
        <v>4000</v>
      </c>
      <c r="J17" s="36">
        <v>4000</v>
      </c>
      <c r="K17" s="36">
        <v>3000</v>
      </c>
      <c r="L17" s="36">
        <v>3500</v>
      </c>
      <c r="M17" s="36">
        <v>3500</v>
      </c>
      <c r="N17" s="36">
        <v>3000</v>
      </c>
      <c r="O17" s="36">
        <v>4000</v>
      </c>
      <c r="P17" s="36">
        <f t="shared" si="3"/>
        <v>25000</v>
      </c>
      <c r="Q17" s="36"/>
      <c r="R17" s="98">
        <f>SUM(F17:O17)</f>
        <v>25000</v>
      </c>
    </row>
    <row r="18" spans="1:18" ht="14.4" hidden="1">
      <c r="A18" s="941">
        <v>17</v>
      </c>
      <c r="B18" s="840" t="s">
        <v>39</v>
      </c>
      <c r="C18" s="840">
        <v>6000</v>
      </c>
      <c r="D18" s="840">
        <v>6000</v>
      </c>
      <c r="E18" s="36" t="s">
        <v>21</v>
      </c>
      <c r="F18" s="36" t="s">
        <v>30</v>
      </c>
      <c r="G18" s="36" t="s">
        <v>30</v>
      </c>
      <c r="H18" s="36" t="s">
        <v>30</v>
      </c>
      <c r="I18" s="40">
        <v>6000</v>
      </c>
      <c r="J18" s="40">
        <v>6000</v>
      </c>
      <c r="K18" s="40">
        <v>6000</v>
      </c>
      <c r="L18" s="40">
        <v>6000</v>
      </c>
      <c r="M18" s="40">
        <v>6000</v>
      </c>
      <c r="N18" s="40">
        <v>6000</v>
      </c>
      <c r="O18" s="40">
        <v>6000</v>
      </c>
      <c r="P18" s="840">
        <f>SUM(F18:O18)-Q18</f>
        <v>0</v>
      </c>
      <c r="Q18" s="40">
        <f>SUM(I18:O18)</f>
        <v>42000</v>
      </c>
      <c r="R18" s="98">
        <f>SUM(F18:O18)-Q18</f>
        <v>0</v>
      </c>
    </row>
    <row r="19" spans="1:18" ht="14.4" hidden="1">
      <c r="A19" s="941">
        <v>18</v>
      </c>
      <c r="B19" s="89" t="s">
        <v>40</v>
      </c>
      <c r="C19" s="840">
        <v>6000</v>
      </c>
      <c r="D19" s="840">
        <v>3000</v>
      </c>
      <c r="E19" s="36" t="s">
        <v>21</v>
      </c>
      <c r="F19" s="36" t="s">
        <v>30</v>
      </c>
      <c r="G19" s="36" t="s">
        <v>30</v>
      </c>
      <c r="H19" s="36" t="s">
        <v>30</v>
      </c>
      <c r="I19" s="36" t="s">
        <v>30</v>
      </c>
      <c r="J19" s="36" t="s">
        <v>30</v>
      </c>
      <c r="K19" s="36" t="s">
        <v>30</v>
      </c>
      <c r="L19" s="36" t="s">
        <v>30</v>
      </c>
      <c r="M19" s="36" t="s">
        <v>30</v>
      </c>
      <c r="N19" s="36">
        <v>2000</v>
      </c>
      <c r="O19" s="36">
        <v>2000</v>
      </c>
      <c r="P19" s="36">
        <f t="shared" ref="P19:P21" si="4">SUM(F19:O19)</f>
        <v>4000</v>
      </c>
      <c r="Q19" s="36"/>
      <c r="R19" s="98">
        <f t="shared" ref="R19:R21" si="5">SUM(F19:O19)</f>
        <v>4000</v>
      </c>
    </row>
    <row r="20" spans="1:18" ht="14.4" hidden="1">
      <c r="A20" s="941">
        <v>19</v>
      </c>
      <c r="B20" s="89" t="s">
        <v>41</v>
      </c>
      <c r="C20" s="840">
        <v>6000</v>
      </c>
      <c r="D20" s="840">
        <v>5000</v>
      </c>
      <c r="E20" s="36" t="s">
        <v>21</v>
      </c>
      <c r="F20" s="36"/>
      <c r="G20" s="36"/>
      <c r="H20" s="36"/>
      <c r="I20" s="36"/>
      <c r="J20" s="36"/>
      <c r="K20" s="36"/>
      <c r="L20" s="840">
        <v>2000</v>
      </c>
      <c r="M20" s="36">
        <v>2500</v>
      </c>
      <c r="N20" s="36">
        <v>3000</v>
      </c>
      <c r="O20" s="36">
        <v>3000</v>
      </c>
      <c r="P20" s="36">
        <f t="shared" si="4"/>
        <v>10500</v>
      </c>
      <c r="Q20" s="36"/>
      <c r="R20" s="98">
        <f t="shared" si="5"/>
        <v>10500</v>
      </c>
    </row>
    <row r="21" spans="1:18" ht="15.75" hidden="1" customHeight="1">
      <c r="A21" s="941">
        <v>20</v>
      </c>
      <c r="B21" s="840" t="s">
        <v>42</v>
      </c>
      <c r="C21" s="840">
        <v>6000</v>
      </c>
      <c r="D21" s="840">
        <v>4000</v>
      </c>
      <c r="E21" s="36" t="s">
        <v>21</v>
      </c>
      <c r="F21" s="36"/>
      <c r="G21" s="36"/>
      <c r="H21" s="36"/>
      <c r="I21" s="36"/>
      <c r="J21" s="36"/>
      <c r="K21" s="36"/>
      <c r="L21" s="36"/>
      <c r="M21" s="36">
        <v>3000</v>
      </c>
      <c r="N21" s="36">
        <v>2500</v>
      </c>
      <c r="O21" s="36">
        <v>0</v>
      </c>
      <c r="P21" s="36">
        <f t="shared" si="4"/>
        <v>5500</v>
      </c>
      <c r="Q21" s="36"/>
      <c r="R21" s="98">
        <f t="shared" si="5"/>
        <v>5500</v>
      </c>
    </row>
    <row r="22" spans="1:18" ht="15.75" customHeight="1">
      <c r="A22" s="941"/>
      <c r="B22" s="840"/>
      <c r="C22" s="840"/>
      <c r="D22" s="840"/>
      <c r="E22" s="36"/>
      <c r="F22" s="36"/>
      <c r="G22" s="36"/>
      <c r="H22" s="36"/>
      <c r="I22" s="36"/>
      <c r="J22" s="36"/>
      <c r="K22" s="36"/>
      <c r="L22" s="36"/>
      <c r="M22" s="36"/>
      <c r="N22" s="36"/>
      <c r="O22" s="36"/>
      <c r="P22" s="36"/>
      <c r="Q22" s="36"/>
    </row>
    <row r="23" spans="1:18" ht="15.75" customHeight="1">
      <c r="A23" s="36"/>
      <c r="B23" s="36" t="s">
        <v>43</v>
      </c>
      <c r="C23" s="36" t="s">
        <v>43</v>
      </c>
      <c r="D23" s="36"/>
      <c r="E23" s="36"/>
      <c r="F23" s="36"/>
      <c r="G23" s="36"/>
      <c r="H23" s="36"/>
      <c r="I23" s="36"/>
      <c r="J23" s="36">
        <f>P13-Q13</f>
        <v>7200</v>
      </c>
      <c r="K23" s="36"/>
      <c r="L23" s="36"/>
      <c r="M23" s="36"/>
      <c r="N23" s="960" t="s">
        <v>15</v>
      </c>
      <c r="O23" s="960"/>
      <c r="P23" s="960">
        <f>SUM(P2:P21)</f>
        <v>520000</v>
      </c>
      <c r="Q23" s="36"/>
    </row>
    <row r="24" spans="1:18" ht="15.75" customHeight="1"/>
    <row r="25" spans="1:18" ht="15.75" customHeight="1">
      <c r="B25" s="859"/>
      <c r="C25" s="304" t="s">
        <v>44</v>
      </c>
    </row>
    <row r="26" spans="1:18" ht="15.75" customHeight="1">
      <c r="B26" s="952"/>
      <c r="C26" s="304" t="s">
        <v>45</v>
      </c>
    </row>
    <row r="27" spans="1:18" ht="15.75" customHeight="1">
      <c r="B27" s="954"/>
      <c r="C27" s="304" t="s">
        <v>46</v>
      </c>
    </row>
    <row r="28" spans="1:18" ht="15.75" customHeight="1">
      <c r="B28" s="304" t="s">
        <v>47</v>
      </c>
      <c r="C28" s="304" t="s">
        <v>30</v>
      </c>
    </row>
    <row r="29" spans="1:18" ht="15.75" customHeight="1"/>
    <row r="30" spans="1:18" ht="15.75" customHeight="1"/>
    <row r="31" spans="1:18" ht="15.75" customHeight="1"/>
    <row r="32" spans="1: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21" xr:uid="{00000000-0009-0000-0000-000000000000}">
    <filterColumn colId="1">
      <filters>
        <filter val="Rehanuddin Mohd"/>
      </filters>
    </filterColumn>
  </autoFilter>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I1000"/>
  <sheetViews>
    <sheetView workbookViewId="0">
      <pane xSplit="5" ySplit="1" topLeftCell="F14" activePane="bottomRight" state="frozen"/>
      <selection pane="topRight"/>
      <selection pane="bottomLeft"/>
      <selection pane="bottomRight" activeCell="G43" sqref="G43"/>
    </sheetView>
  </sheetViews>
  <sheetFormatPr defaultColWidth="12.59765625" defaultRowHeight="15" customHeight="1"/>
  <cols>
    <col min="1" max="1" width="5.5" customWidth="1"/>
    <col min="2" max="2" width="20.69921875" customWidth="1"/>
    <col min="3" max="3" width="17.69921875" customWidth="1"/>
    <col min="4" max="4" width="8" customWidth="1"/>
    <col min="5" max="5" width="13.19921875" customWidth="1"/>
    <col min="6" max="6" width="10.19921875" customWidth="1"/>
    <col min="7" max="18" width="9" customWidth="1"/>
    <col min="19" max="19" width="8.59765625" customWidth="1"/>
    <col min="20" max="24" width="9.69921875" customWidth="1"/>
    <col min="25" max="25" width="10.69921875" customWidth="1"/>
    <col min="26" max="34" width="9.69921875" customWidth="1"/>
    <col min="35" max="35" width="7.59765625" customWidth="1"/>
  </cols>
  <sheetData>
    <row r="1" spans="1:34" ht="57.75" customHeight="1">
      <c r="A1" s="938" t="s">
        <v>0</v>
      </c>
      <c r="B1" s="939" t="s">
        <v>43</v>
      </c>
      <c r="C1" s="939" t="s">
        <v>48</v>
      </c>
      <c r="D1" s="940" t="s">
        <v>2</v>
      </c>
      <c r="E1" s="939" t="s">
        <v>3</v>
      </c>
      <c r="F1" s="939" t="s">
        <v>4</v>
      </c>
      <c r="G1" s="940" t="s">
        <v>49</v>
      </c>
      <c r="H1" s="940" t="s">
        <v>50</v>
      </c>
      <c r="I1" s="940" t="s">
        <v>51</v>
      </c>
      <c r="J1" s="940" t="s">
        <v>52</v>
      </c>
      <c r="K1" s="940" t="s">
        <v>53</v>
      </c>
      <c r="L1" s="940" t="s">
        <v>54</v>
      </c>
      <c r="M1" s="940" t="s">
        <v>55</v>
      </c>
      <c r="N1" s="940" t="s">
        <v>56</v>
      </c>
      <c r="O1" s="940" t="s">
        <v>57</v>
      </c>
      <c r="P1" s="940" t="s">
        <v>12</v>
      </c>
      <c r="Q1" s="940" t="s">
        <v>13</v>
      </c>
      <c r="R1" s="940" t="s">
        <v>14</v>
      </c>
      <c r="S1" s="82" t="s">
        <v>58</v>
      </c>
      <c r="T1" s="82" t="s">
        <v>59</v>
      </c>
      <c r="U1" s="938" t="s">
        <v>15</v>
      </c>
      <c r="V1" s="82" t="s">
        <v>60</v>
      </c>
      <c r="W1" s="82" t="s">
        <v>61</v>
      </c>
      <c r="X1" s="31" t="s">
        <v>16</v>
      </c>
      <c r="Y1" s="92" t="s">
        <v>62</v>
      </c>
      <c r="Z1" s="92" t="s">
        <v>63</v>
      </c>
      <c r="AA1" s="92" t="s">
        <v>64</v>
      </c>
      <c r="AB1" s="92" t="s">
        <v>65</v>
      </c>
      <c r="AC1" s="92" t="s">
        <v>66</v>
      </c>
      <c r="AD1" s="92" t="s">
        <v>67</v>
      </c>
      <c r="AE1" s="92" t="s">
        <v>68</v>
      </c>
      <c r="AF1" s="92" t="s">
        <v>69</v>
      </c>
      <c r="AG1" s="957" t="s">
        <v>70</v>
      </c>
      <c r="AH1" s="958" t="s">
        <v>71</v>
      </c>
    </row>
    <row r="2" spans="1:34" ht="14.4" hidden="1">
      <c r="A2" s="941">
        <v>1</v>
      </c>
      <c r="B2" s="36" t="s">
        <v>18</v>
      </c>
      <c r="C2" s="36" t="s">
        <v>72</v>
      </c>
      <c r="D2" s="37">
        <v>20000</v>
      </c>
      <c r="E2" s="36">
        <v>10000</v>
      </c>
      <c r="F2" s="36" t="s">
        <v>19</v>
      </c>
      <c r="G2" s="942">
        <v>5000</v>
      </c>
      <c r="H2" s="942">
        <v>5000</v>
      </c>
      <c r="I2" s="942">
        <v>4500</v>
      </c>
      <c r="J2" s="942">
        <v>4000</v>
      </c>
      <c r="K2" s="41">
        <v>3000</v>
      </c>
      <c r="L2" s="41">
        <v>0</v>
      </c>
      <c r="M2" s="41">
        <v>3000</v>
      </c>
      <c r="N2" s="942">
        <v>3500</v>
      </c>
      <c r="O2" s="37">
        <v>0</v>
      </c>
      <c r="P2" s="37">
        <v>7000</v>
      </c>
      <c r="Q2" s="37">
        <v>7000</v>
      </c>
      <c r="R2" s="37">
        <v>7000</v>
      </c>
      <c r="S2" s="36">
        <f t="shared" ref="S2:S18" si="0">SUM(G2:R2)</f>
        <v>49000</v>
      </c>
      <c r="T2" s="36">
        <f>'2019'!P2</f>
        <v>42500</v>
      </c>
      <c r="U2" s="36">
        <f t="shared" ref="U2:U31" si="1">S2+T2</f>
        <v>91500</v>
      </c>
      <c r="V2" s="36">
        <f t="shared" ref="V2:V31" si="2">D2*2</f>
        <v>40000</v>
      </c>
      <c r="W2" s="36">
        <f t="shared" ref="W2:W31" si="3">U2-V2</f>
        <v>51500</v>
      </c>
      <c r="X2" s="36"/>
      <c r="Y2" s="37">
        <v>3000</v>
      </c>
      <c r="Z2" s="36">
        <v>0</v>
      </c>
      <c r="AA2" s="36">
        <v>3000</v>
      </c>
      <c r="AB2" s="36">
        <f t="shared" ref="AB2:AF2" si="4">N2</f>
        <v>3500</v>
      </c>
      <c r="AC2" s="36">
        <f t="shared" si="4"/>
        <v>0</v>
      </c>
      <c r="AD2" s="36">
        <f t="shared" si="4"/>
        <v>7000</v>
      </c>
      <c r="AE2" s="36">
        <f t="shared" si="4"/>
        <v>7000</v>
      </c>
      <c r="AF2" s="36">
        <f t="shared" si="4"/>
        <v>7000</v>
      </c>
      <c r="AG2" s="36">
        <f t="shared" ref="AG2:AG31" si="5">SUM(Y2:AF2)</f>
        <v>30500</v>
      </c>
      <c r="AH2" s="36">
        <f t="shared" ref="AH2:AH4" si="6">W2-AG2</f>
        <v>21000</v>
      </c>
    </row>
    <row r="3" spans="1:34" ht="15.75" hidden="1" customHeight="1">
      <c r="A3" s="941">
        <v>2</v>
      </c>
      <c r="B3" s="36" t="s">
        <v>22</v>
      </c>
      <c r="C3" s="36" t="s">
        <v>72</v>
      </c>
      <c r="D3" s="37">
        <v>30000</v>
      </c>
      <c r="E3" s="36">
        <v>5000</v>
      </c>
      <c r="F3" s="36" t="s">
        <v>21</v>
      </c>
      <c r="G3" s="942">
        <v>5000</v>
      </c>
      <c r="H3" s="942">
        <v>5000</v>
      </c>
      <c r="I3" s="942">
        <v>5000</v>
      </c>
      <c r="J3" s="942">
        <v>5000</v>
      </c>
      <c r="K3" s="41">
        <v>5000</v>
      </c>
      <c r="L3" s="41">
        <v>5000</v>
      </c>
      <c r="M3" s="41">
        <v>5000</v>
      </c>
      <c r="N3" s="942">
        <v>5000</v>
      </c>
      <c r="O3" s="37">
        <v>2500</v>
      </c>
      <c r="P3" s="37">
        <v>5000</v>
      </c>
      <c r="Q3" s="37">
        <v>5000</v>
      </c>
      <c r="R3" s="37">
        <v>5000</v>
      </c>
      <c r="S3" s="36">
        <f t="shared" si="0"/>
        <v>57500</v>
      </c>
      <c r="T3" s="36">
        <f>'2019'!P4</f>
        <v>50000</v>
      </c>
      <c r="U3" s="36">
        <f t="shared" si="1"/>
        <v>107500</v>
      </c>
      <c r="V3" s="36">
        <f t="shared" si="2"/>
        <v>60000</v>
      </c>
      <c r="W3" s="36">
        <f t="shared" si="3"/>
        <v>47500</v>
      </c>
      <c r="X3" s="36"/>
      <c r="Y3" s="37">
        <v>5000</v>
      </c>
      <c r="Z3" s="36">
        <v>5000</v>
      </c>
      <c r="AA3" s="36">
        <v>5000</v>
      </c>
      <c r="AB3" s="36">
        <f t="shared" ref="AB3:AF3" si="7">N3</f>
        <v>5000</v>
      </c>
      <c r="AC3" s="36">
        <f t="shared" si="7"/>
        <v>2500</v>
      </c>
      <c r="AD3" s="36">
        <f t="shared" si="7"/>
        <v>5000</v>
      </c>
      <c r="AE3" s="36">
        <f t="shared" si="7"/>
        <v>5000</v>
      </c>
      <c r="AF3" s="36">
        <f t="shared" si="7"/>
        <v>5000</v>
      </c>
      <c r="AG3" s="36">
        <f t="shared" si="5"/>
        <v>37500</v>
      </c>
      <c r="AH3" s="36">
        <f t="shared" si="6"/>
        <v>10000</v>
      </c>
    </row>
    <row r="4" spans="1:34" ht="14.4" hidden="1">
      <c r="A4" s="941">
        <v>3</v>
      </c>
      <c r="B4" s="36" t="s">
        <v>73</v>
      </c>
      <c r="C4" s="36" t="s">
        <v>74</v>
      </c>
      <c r="D4" s="37">
        <v>20000</v>
      </c>
      <c r="E4" s="36">
        <v>10000</v>
      </c>
      <c r="F4" s="36" t="s">
        <v>21</v>
      </c>
      <c r="G4" s="942" t="s">
        <v>30</v>
      </c>
      <c r="H4" s="942" t="s">
        <v>30</v>
      </c>
      <c r="I4" s="942">
        <v>4000</v>
      </c>
      <c r="J4" s="942">
        <v>4000</v>
      </c>
      <c r="K4" s="942">
        <v>4000</v>
      </c>
      <c r="L4" s="942">
        <v>4000</v>
      </c>
      <c r="M4" s="942">
        <v>4000</v>
      </c>
      <c r="N4" s="942">
        <v>4000</v>
      </c>
      <c r="O4" s="37">
        <v>4000</v>
      </c>
      <c r="P4" s="37">
        <v>4000</v>
      </c>
      <c r="Q4" s="37">
        <v>10000</v>
      </c>
      <c r="R4" s="37">
        <v>10000</v>
      </c>
      <c r="S4" s="36">
        <f t="shared" si="0"/>
        <v>52000</v>
      </c>
      <c r="T4" s="36">
        <v>0</v>
      </c>
      <c r="U4" s="36">
        <f t="shared" si="1"/>
        <v>52000</v>
      </c>
      <c r="V4" s="36">
        <f t="shared" si="2"/>
        <v>40000</v>
      </c>
      <c r="W4" s="36">
        <f t="shared" si="3"/>
        <v>12000</v>
      </c>
      <c r="X4" s="36"/>
      <c r="Y4" s="37" t="s">
        <v>30</v>
      </c>
      <c r="Z4" s="36">
        <v>0</v>
      </c>
      <c r="AA4" s="36">
        <v>0</v>
      </c>
      <c r="AB4" s="36">
        <v>0</v>
      </c>
      <c r="AC4" s="36">
        <v>0</v>
      </c>
      <c r="AD4" s="36"/>
      <c r="AE4" s="36"/>
      <c r="AF4" s="36">
        <f>R4</f>
        <v>10000</v>
      </c>
      <c r="AG4" s="36">
        <f t="shared" si="5"/>
        <v>10000</v>
      </c>
      <c r="AH4" s="36">
        <f t="shared" si="6"/>
        <v>2000</v>
      </c>
    </row>
    <row r="5" spans="1:34" ht="14.4" hidden="1">
      <c r="A5" s="941">
        <v>4</v>
      </c>
      <c r="B5" s="89" t="s">
        <v>75</v>
      </c>
      <c r="C5" s="36" t="s">
        <v>76</v>
      </c>
      <c r="D5" s="37">
        <v>10000</v>
      </c>
      <c r="E5" s="36">
        <v>2000</v>
      </c>
      <c r="F5" s="36" t="s">
        <v>21</v>
      </c>
      <c r="G5" s="942" t="s">
        <v>30</v>
      </c>
      <c r="H5" s="942">
        <v>0</v>
      </c>
      <c r="I5" s="942">
        <v>0</v>
      </c>
      <c r="J5" s="942">
        <v>0</v>
      </c>
      <c r="K5" s="942"/>
      <c r="L5" s="942">
        <v>2000</v>
      </c>
      <c r="M5" s="942">
        <v>2000</v>
      </c>
      <c r="N5" s="942">
        <v>2000</v>
      </c>
      <c r="O5" s="37">
        <v>0</v>
      </c>
      <c r="P5" s="37">
        <v>2000</v>
      </c>
      <c r="Q5" s="37">
        <v>2000</v>
      </c>
      <c r="R5" s="37">
        <v>2000</v>
      </c>
      <c r="S5" s="36">
        <f t="shared" si="0"/>
        <v>12000</v>
      </c>
      <c r="T5" s="36">
        <v>0</v>
      </c>
      <c r="U5" s="36">
        <f t="shared" si="1"/>
        <v>12000</v>
      </c>
      <c r="V5" s="36">
        <f t="shared" si="2"/>
        <v>20000</v>
      </c>
      <c r="W5" s="36">
        <f t="shared" si="3"/>
        <v>-8000</v>
      </c>
      <c r="X5" s="36"/>
      <c r="Y5" s="37" t="s">
        <v>30</v>
      </c>
      <c r="Z5" s="36">
        <v>0</v>
      </c>
      <c r="AA5" s="36">
        <v>0</v>
      </c>
      <c r="AB5" s="36">
        <v>0</v>
      </c>
      <c r="AC5" s="36">
        <f>O5</f>
        <v>0</v>
      </c>
      <c r="AD5" s="36"/>
      <c r="AE5" s="36"/>
      <c r="AF5" s="36"/>
      <c r="AG5" s="36">
        <f t="shared" si="5"/>
        <v>0</v>
      </c>
      <c r="AH5" s="36">
        <f>S5</f>
        <v>12000</v>
      </c>
    </row>
    <row r="6" spans="1:34" ht="14.4" hidden="1">
      <c r="A6" s="941">
        <v>5</v>
      </c>
      <c r="B6" s="36" t="s">
        <v>39</v>
      </c>
      <c r="C6" s="36" t="s">
        <v>77</v>
      </c>
      <c r="D6" s="37">
        <v>15000</v>
      </c>
      <c r="E6" s="36">
        <v>10000</v>
      </c>
      <c r="F6" s="36" t="s">
        <v>21</v>
      </c>
      <c r="G6" s="41">
        <v>6000</v>
      </c>
      <c r="H6" s="41">
        <v>6000</v>
      </c>
      <c r="I6" s="41">
        <v>6000</v>
      </c>
      <c r="J6" s="41">
        <v>3000</v>
      </c>
      <c r="K6" s="41">
        <v>3000</v>
      </c>
      <c r="L6" s="942">
        <v>3000</v>
      </c>
      <c r="M6" s="942">
        <v>5000</v>
      </c>
      <c r="N6" s="41">
        <v>5000</v>
      </c>
      <c r="O6" s="41">
        <v>5000</v>
      </c>
      <c r="P6" s="41">
        <v>5000</v>
      </c>
      <c r="Q6" s="41">
        <v>8000</v>
      </c>
      <c r="R6" s="41">
        <v>8000</v>
      </c>
      <c r="S6" s="36">
        <f t="shared" si="0"/>
        <v>63000</v>
      </c>
      <c r="T6" s="36">
        <v>0</v>
      </c>
      <c r="U6" s="36">
        <f t="shared" si="1"/>
        <v>63000</v>
      </c>
      <c r="V6" s="36">
        <f t="shared" si="2"/>
        <v>30000</v>
      </c>
      <c r="W6" s="36">
        <f t="shared" si="3"/>
        <v>33000</v>
      </c>
      <c r="X6" s="40">
        <f>SUM(G6:H6)+J6+K6</f>
        <v>18000</v>
      </c>
      <c r="Y6" s="41">
        <v>3000</v>
      </c>
      <c r="Z6" s="36">
        <v>0</v>
      </c>
      <c r="AA6" s="36">
        <v>0</v>
      </c>
      <c r="AB6" s="36">
        <f t="shared" ref="AB6:AF6" si="8">N6</f>
        <v>5000</v>
      </c>
      <c r="AC6" s="36">
        <f t="shared" si="8"/>
        <v>5000</v>
      </c>
      <c r="AD6" s="36">
        <f t="shared" si="8"/>
        <v>5000</v>
      </c>
      <c r="AE6" s="36">
        <f t="shared" si="8"/>
        <v>8000</v>
      </c>
      <c r="AF6" s="36">
        <f t="shared" si="8"/>
        <v>8000</v>
      </c>
      <c r="AG6" s="36">
        <f t="shared" si="5"/>
        <v>34000</v>
      </c>
      <c r="AH6" s="36">
        <f t="shared" ref="AH6:AH16" si="9">W6-AG6</f>
        <v>-1000</v>
      </c>
    </row>
    <row r="7" spans="1:34" ht="14.4" hidden="1">
      <c r="A7" s="941">
        <v>6</v>
      </c>
      <c r="B7" s="36" t="s">
        <v>78</v>
      </c>
      <c r="C7" s="36" t="s">
        <v>79</v>
      </c>
      <c r="D7" s="37">
        <v>10000</v>
      </c>
      <c r="E7" s="36">
        <v>10000</v>
      </c>
      <c r="F7" s="36" t="s">
        <v>21</v>
      </c>
      <c r="G7" s="942" t="s">
        <v>30</v>
      </c>
      <c r="H7" s="942">
        <v>4000</v>
      </c>
      <c r="I7" s="942">
        <v>4000</v>
      </c>
      <c r="J7" s="942">
        <v>2000</v>
      </c>
      <c r="K7" s="942">
        <v>4000</v>
      </c>
      <c r="L7" s="942">
        <v>4000</v>
      </c>
      <c r="M7" s="942">
        <v>4000</v>
      </c>
      <c r="N7" s="942">
        <v>4000</v>
      </c>
      <c r="O7" s="37">
        <v>2000</v>
      </c>
      <c r="P7" s="37">
        <v>3000</v>
      </c>
      <c r="Q7" s="37">
        <v>10000</v>
      </c>
      <c r="R7" s="37">
        <v>10000</v>
      </c>
      <c r="S7" s="36">
        <f t="shared" si="0"/>
        <v>51000</v>
      </c>
      <c r="T7" s="36">
        <v>0</v>
      </c>
      <c r="U7" s="36">
        <f t="shared" si="1"/>
        <v>51000</v>
      </c>
      <c r="V7" s="36">
        <f t="shared" si="2"/>
        <v>20000</v>
      </c>
      <c r="W7" s="36">
        <f t="shared" si="3"/>
        <v>31000</v>
      </c>
      <c r="X7" s="36"/>
      <c r="Y7" s="37" t="s">
        <v>30</v>
      </c>
      <c r="Z7" s="36">
        <v>0</v>
      </c>
      <c r="AA7" s="36">
        <v>0</v>
      </c>
      <c r="AB7" s="36">
        <f t="shared" ref="AB7:AF7" si="10">N7</f>
        <v>4000</v>
      </c>
      <c r="AC7" s="36">
        <f t="shared" si="10"/>
        <v>2000</v>
      </c>
      <c r="AD7" s="36">
        <f t="shared" si="10"/>
        <v>3000</v>
      </c>
      <c r="AE7" s="36">
        <f t="shared" si="10"/>
        <v>10000</v>
      </c>
      <c r="AF7" s="36">
        <f t="shared" si="10"/>
        <v>10000</v>
      </c>
      <c r="AG7" s="36">
        <f t="shared" si="5"/>
        <v>29000</v>
      </c>
      <c r="AH7" s="36">
        <f t="shared" si="9"/>
        <v>2000</v>
      </c>
    </row>
    <row r="8" spans="1:34" ht="14.4" hidden="1">
      <c r="A8" s="941">
        <v>7</v>
      </c>
      <c r="B8" s="89" t="s">
        <v>80</v>
      </c>
      <c r="C8" s="36" t="s">
        <v>79</v>
      </c>
      <c r="D8" s="37">
        <v>10000</v>
      </c>
      <c r="E8" s="36">
        <v>10000</v>
      </c>
      <c r="F8" s="36" t="s">
        <v>21</v>
      </c>
      <c r="G8" s="942" t="s">
        <v>30</v>
      </c>
      <c r="H8" s="942">
        <v>4000</v>
      </c>
      <c r="I8" s="942">
        <v>4000</v>
      </c>
      <c r="J8" s="942">
        <v>2000</v>
      </c>
      <c r="K8" s="942">
        <v>4000</v>
      </c>
      <c r="L8" s="942">
        <v>4000</v>
      </c>
      <c r="M8" s="942">
        <v>4000</v>
      </c>
      <c r="N8" s="942">
        <v>4000</v>
      </c>
      <c r="O8" s="37">
        <v>4000</v>
      </c>
      <c r="P8" s="37">
        <v>4000</v>
      </c>
      <c r="Q8" s="37">
        <v>10000</v>
      </c>
      <c r="R8" s="37">
        <v>5000</v>
      </c>
      <c r="S8" s="36">
        <f t="shared" si="0"/>
        <v>49000</v>
      </c>
      <c r="T8" s="36">
        <v>0</v>
      </c>
      <c r="U8" s="36">
        <f t="shared" si="1"/>
        <v>49000</v>
      </c>
      <c r="V8" s="36">
        <f t="shared" si="2"/>
        <v>20000</v>
      </c>
      <c r="W8" s="36">
        <f t="shared" si="3"/>
        <v>29000</v>
      </c>
      <c r="X8" s="36"/>
      <c r="Y8" s="37" t="s">
        <v>30</v>
      </c>
      <c r="Z8" s="36">
        <v>0</v>
      </c>
      <c r="AA8" s="36">
        <v>0</v>
      </c>
      <c r="AB8" s="36">
        <v>0</v>
      </c>
      <c r="AC8" s="89">
        <f t="shared" ref="AC8:AF8" si="11">O8</f>
        <v>4000</v>
      </c>
      <c r="AD8" s="89">
        <f t="shared" si="11"/>
        <v>4000</v>
      </c>
      <c r="AE8" s="89">
        <f t="shared" si="11"/>
        <v>10000</v>
      </c>
      <c r="AF8" s="89">
        <f t="shared" si="11"/>
        <v>5000</v>
      </c>
      <c r="AG8" s="36">
        <f t="shared" si="5"/>
        <v>23000</v>
      </c>
      <c r="AH8" s="36">
        <f t="shared" si="9"/>
        <v>6000</v>
      </c>
    </row>
    <row r="9" spans="1:34" ht="14.4" hidden="1">
      <c r="A9" s="941">
        <v>8</v>
      </c>
      <c r="B9" s="36" t="s">
        <v>25</v>
      </c>
      <c r="C9" s="36" t="s">
        <v>72</v>
      </c>
      <c r="D9" s="37">
        <v>15000</v>
      </c>
      <c r="E9" s="36">
        <v>10000</v>
      </c>
      <c r="F9" s="36" t="s">
        <v>19</v>
      </c>
      <c r="G9" s="942">
        <v>4000</v>
      </c>
      <c r="H9" s="942">
        <v>3000</v>
      </c>
      <c r="I9" s="942">
        <v>3000</v>
      </c>
      <c r="J9" s="942">
        <v>4000</v>
      </c>
      <c r="K9" s="41">
        <v>3000</v>
      </c>
      <c r="L9" s="41">
        <v>3000</v>
      </c>
      <c r="M9" s="41">
        <v>3000</v>
      </c>
      <c r="N9" s="942">
        <v>2000</v>
      </c>
      <c r="O9" s="37">
        <v>7500</v>
      </c>
      <c r="P9" s="37">
        <v>6000</v>
      </c>
      <c r="Q9" s="37">
        <v>7000</v>
      </c>
      <c r="R9" s="37">
        <v>7000</v>
      </c>
      <c r="S9" s="36">
        <f t="shared" si="0"/>
        <v>52500</v>
      </c>
      <c r="T9" s="36">
        <f>'2019'!P6</f>
        <v>16200</v>
      </c>
      <c r="U9" s="36">
        <f t="shared" si="1"/>
        <v>68700</v>
      </c>
      <c r="V9" s="36">
        <f t="shared" si="2"/>
        <v>30000</v>
      </c>
      <c r="W9" s="36">
        <f t="shared" si="3"/>
        <v>38700</v>
      </c>
      <c r="X9" s="956"/>
      <c r="Y9" s="37">
        <v>3000</v>
      </c>
      <c r="Z9" s="36">
        <v>3000</v>
      </c>
      <c r="AA9" s="36">
        <v>3000</v>
      </c>
      <c r="AB9" s="36">
        <f t="shared" ref="AB9:AF9" si="12">N9</f>
        <v>2000</v>
      </c>
      <c r="AC9" s="36">
        <f t="shared" si="12"/>
        <v>7500</v>
      </c>
      <c r="AD9" s="36">
        <f t="shared" si="12"/>
        <v>6000</v>
      </c>
      <c r="AE9" s="36">
        <f t="shared" si="12"/>
        <v>7000</v>
      </c>
      <c r="AF9" s="36">
        <f t="shared" si="12"/>
        <v>7000</v>
      </c>
      <c r="AG9" s="36">
        <f t="shared" si="5"/>
        <v>38500</v>
      </c>
      <c r="AH9" s="36">
        <f t="shared" si="9"/>
        <v>200</v>
      </c>
    </row>
    <row r="10" spans="1:34" ht="14.4" hidden="1">
      <c r="A10" s="941">
        <v>9</v>
      </c>
      <c r="B10" s="36" t="s">
        <v>81</v>
      </c>
      <c r="C10" s="36" t="s">
        <v>82</v>
      </c>
      <c r="D10" s="37">
        <v>16000</v>
      </c>
      <c r="E10" s="36">
        <v>5000</v>
      </c>
      <c r="F10" s="36" t="s">
        <v>21</v>
      </c>
      <c r="G10" s="942">
        <v>4000</v>
      </c>
      <c r="H10" s="942">
        <v>0</v>
      </c>
      <c r="I10" s="942">
        <v>0</v>
      </c>
      <c r="J10" s="942">
        <v>3000</v>
      </c>
      <c r="K10" s="942">
        <v>3000</v>
      </c>
      <c r="L10" s="942">
        <v>4000</v>
      </c>
      <c r="M10" s="942">
        <v>3000</v>
      </c>
      <c r="N10" s="942">
        <f>4000+5000</f>
        <v>9000</v>
      </c>
      <c r="O10" s="37">
        <v>4000</v>
      </c>
      <c r="P10" s="37">
        <v>5000</v>
      </c>
      <c r="Q10" s="37">
        <v>5000</v>
      </c>
      <c r="R10" s="37">
        <v>5000</v>
      </c>
      <c r="S10" s="36">
        <f t="shared" si="0"/>
        <v>45000</v>
      </c>
      <c r="T10" s="36">
        <f>'2019'!P19</f>
        <v>4000</v>
      </c>
      <c r="U10" s="36">
        <f t="shared" si="1"/>
        <v>49000</v>
      </c>
      <c r="V10" s="36">
        <f t="shared" si="2"/>
        <v>32000</v>
      </c>
      <c r="W10" s="36">
        <f t="shared" si="3"/>
        <v>17000</v>
      </c>
      <c r="X10" s="956"/>
      <c r="Y10" s="37" t="s">
        <v>30</v>
      </c>
      <c r="Z10" s="36">
        <v>0</v>
      </c>
      <c r="AA10" s="36">
        <v>0</v>
      </c>
      <c r="AB10" s="36">
        <v>4000</v>
      </c>
      <c r="AC10" s="36">
        <f t="shared" ref="AC10:AF10" si="13">O10</f>
        <v>4000</v>
      </c>
      <c r="AD10" s="36">
        <f t="shared" si="13"/>
        <v>5000</v>
      </c>
      <c r="AE10" s="36">
        <f t="shared" si="13"/>
        <v>5000</v>
      </c>
      <c r="AF10" s="36">
        <f t="shared" si="13"/>
        <v>5000</v>
      </c>
      <c r="AG10" s="36">
        <f t="shared" si="5"/>
        <v>23000</v>
      </c>
      <c r="AH10" s="36">
        <f t="shared" si="9"/>
        <v>-6000</v>
      </c>
    </row>
    <row r="11" spans="1:34" ht="14.4" hidden="1">
      <c r="A11" s="941">
        <v>10</v>
      </c>
      <c r="B11" s="36" t="s">
        <v>83</v>
      </c>
      <c r="C11" s="36" t="s">
        <v>77</v>
      </c>
      <c r="D11" s="37">
        <v>25000</v>
      </c>
      <c r="E11" s="36">
        <v>10000</v>
      </c>
      <c r="F11" s="36" t="s">
        <v>21</v>
      </c>
      <c r="G11" s="942">
        <v>5000</v>
      </c>
      <c r="H11" s="942">
        <v>2000</v>
      </c>
      <c r="I11" s="942">
        <v>2000</v>
      </c>
      <c r="J11" s="942">
        <v>5000</v>
      </c>
      <c r="K11" s="942">
        <v>5000</v>
      </c>
      <c r="L11" s="942">
        <v>5000</v>
      </c>
      <c r="M11" s="942">
        <v>5000</v>
      </c>
      <c r="N11" s="942">
        <v>5000</v>
      </c>
      <c r="O11" s="37">
        <v>5000</v>
      </c>
      <c r="P11" s="37">
        <v>5000</v>
      </c>
      <c r="Q11" s="37">
        <v>4000</v>
      </c>
      <c r="R11" s="37">
        <v>0</v>
      </c>
      <c r="S11" s="36">
        <f t="shared" si="0"/>
        <v>48000</v>
      </c>
      <c r="T11" s="36">
        <f>'2019'!P7</f>
        <v>47000</v>
      </c>
      <c r="U11" s="36">
        <f t="shared" si="1"/>
        <v>95000</v>
      </c>
      <c r="V11" s="36">
        <f t="shared" si="2"/>
        <v>50000</v>
      </c>
      <c r="W11" s="36">
        <f t="shared" si="3"/>
        <v>45000</v>
      </c>
      <c r="X11" s="956"/>
      <c r="Y11" s="37">
        <v>5000</v>
      </c>
      <c r="Z11" s="36">
        <v>5000</v>
      </c>
      <c r="AA11" s="36">
        <v>5000</v>
      </c>
      <c r="AB11" s="36">
        <f t="shared" ref="AB11:AE11" si="14">N11</f>
        <v>5000</v>
      </c>
      <c r="AC11" s="36">
        <f t="shared" si="14"/>
        <v>5000</v>
      </c>
      <c r="AD11" s="36">
        <f t="shared" si="14"/>
        <v>5000</v>
      </c>
      <c r="AE11" s="36">
        <f t="shared" si="14"/>
        <v>4000</v>
      </c>
      <c r="AF11" s="36"/>
      <c r="AG11" s="36">
        <f t="shared" si="5"/>
        <v>34000</v>
      </c>
      <c r="AH11" s="36">
        <f t="shared" si="9"/>
        <v>11000</v>
      </c>
    </row>
    <row r="12" spans="1:34" ht="14.4" hidden="1">
      <c r="A12" s="941">
        <v>11</v>
      </c>
      <c r="B12" s="89" t="s">
        <v>84</v>
      </c>
      <c r="C12" s="36" t="s">
        <v>72</v>
      </c>
      <c r="D12" s="37">
        <v>25000</v>
      </c>
      <c r="E12" s="36">
        <v>10000</v>
      </c>
      <c r="F12" s="36" t="s">
        <v>19</v>
      </c>
      <c r="G12" s="942">
        <v>5000</v>
      </c>
      <c r="H12" s="942">
        <v>5000</v>
      </c>
      <c r="I12" s="942">
        <v>4500</v>
      </c>
      <c r="J12" s="942">
        <v>5000</v>
      </c>
      <c r="K12" s="41">
        <v>5000</v>
      </c>
      <c r="L12" s="41">
        <v>1000</v>
      </c>
      <c r="M12" s="41">
        <v>4000</v>
      </c>
      <c r="N12" s="942">
        <v>5000</v>
      </c>
      <c r="O12" s="37">
        <v>8500</v>
      </c>
      <c r="P12" s="37">
        <v>9000</v>
      </c>
      <c r="Q12" s="37">
        <v>10000</v>
      </c>
      <c r="R12" s="37">
        <v>10000</v>
      </c>
      <c r="S12" s="36">
        <f t="shared" si="0"/>
        <v>72000</v>
      </c>
      <c r="T12" s="36">
        <f>'2019'!P13</f>
        <v>23200</v>
      </c>
      <c r="U12" s="36">
        <f t="shared" si="1"/>
        <v>95200</v>
      </c>
      <c r="V12" s="36">
        <f t="shared" si="2"/>
        <v>50000</v>
      </c>
      <c r="W12" s="36">
        <f t="shared" si="3"/>
        <v>45200</v>
      </c>
      <c r="X12" s="40">
        <v>16000</v>
      </c>
      <c r="Y12" s="37">
        <v>5000</v>
      </c>
      <c r="Z12" s="36">
        <v>1000</v>
      </c>
      <c r="AA12" s="36">
        <v>4000</v>
      </c>
      <c r="AB12" s="36">
        <f t="shared" ref="AB12:AF12" si="15">N12</f>
        <v>5000</v>
      </c>
      <c r="AC12" s="36">
        <f t="shared" si="15"/>
        <v>8500</v>
      </c>
      <c r="AD12" s="36">
        <f t="shared" si="15"/>
        <v>9000</v>
      </c>
      <c r="AE12" s="36">
        <f t="shared" si="15"/>
        <v>10000</v>
      </c>
      <c r="AF12" s="36">
        <f t="shared" si="15"/>
        <v>10000</v>
      </c>
      <c r="AG12" s="36">
        <f t="shared" si="5"/>
        <v>52500</v>
      </c>
      <c r="AH12" s="36">
        <f t="shared" si="9"/>
        <v>-7300</v>
      </c>
    </row>
    <row r="13" spans="1:34" ht="14.4" hidden="1">
      <c r="A13" s="941">
        <v>12</v>
      </c>
      <c r="B13" s="36" t="s">
        <v>85</v>
      </c>
      <c r="C13" s="36" t="s">
        <v>86</v>
      </c>
      <c r="D13" s="37">
        <v>25000</v>
      </c>
      <c r="E13" s="36">
        <v>10000</v>
      </c>
      <c r="F13" s="36" t="s">
        <v>21</v>
      </c>
      <c r="G13" s="942">
        <v>3000</v>
      </c>
      <c r="H13" s="942">
        <v>0</v>
      </c>
      <c r="I13" s="942">
        <v>0</v>
      </c>
      <c r="J13" s="942">
        <v>3000</v>
      </c>
      <c r="K13" s="41">
        <v>5000</v>
      </c>
      <c r="L13" s="41">
        <v>5000</v>
      </c>
      <c r="M13" s="41">
        <v>5000</v>
      </c>
      <c r="N13" s="942">
        <v>5000</v>
      </c>
      <c r="O13" s="37">
        <v>5000</v>
      </c>
      <c r="P13" s="37">
        <v>5000</v>
      </c>
      <c r="Q13" s="37">
        <v>10000</v>
      </c>
      <c r="R13" s="37">
        <v>10000</v>
      </c>
      <c r="S13" s="36">
        <f t="shared" si="0"/>
        <v>56000</v>
      </c>
      <c r="T13" s="36">
        <f>'2019'!P8</f>
        <v>45500</v>
      </c>
      <c r="U13" s="36">
        <f t="shared" si="1"/>
        <v>101500</v>
      </c>
      <c r="V13" s="36">
        <f t="shared" si="2"/>
        <v>50000</v>
      </c>
      <c r="W13" s="36">
        <f t="shared" si="3"/>
        <v>51500</v>
      </c>
      <c r="X13" s="36"/>
      <c r="Y13" s="37">
        <v>5000</v>
      </c>
      <c r="Z13" s="36">
        <v>5000</v>
      </c>
      <c r="AA13" s="36">
        <v>5000</v>
      </c>
      <c r="AB13" s="36">
        <f t="shared" ref="AB13:AF13" si="16">N13</f>
        <v>5000</v>
      </c>
      <c r="AC13" s="36">
        <f t="shared" si="16"/>
        <v>5000</v>
      </c>
      <c r="AD13" s="36">
        <f t="shared" si="16"/>
        <v>5000</v>
      </c>
      <c r="AE13" s="36">
        <f t="shared" si="16"/>
        <v>10000</v>
      </c>
      <c r="AF13" s="36">
        <f t="shared" si="16"/>
        <v>10000</v>
      </c>
      <c r="AG13" s="36">
        <f t="shared" si="5"/>
        <v>50000</v>
      </c>
      <c r="AH13" s="36">
        <f t="shared" si="9"/>
        <v>1500</v>
      </c>
    </row>
    <row r="14" spans="1:34" ht="14.4">
      <c r="A14" s="941">
        <v>13</v>
      </c>
      <c r="B14" s="89" t="s">
        <v>87</v>
      </c>
      <c r="C14" s="36" t="s">
        <v>72</v>
      </c>
      <c r="D14" s="37">
        <v>25000</v>
      </c>
      <c r="E14" s="36">
        <v>10000</v>
      </c>
      <c r="F14" s="36" t="s">
        <v>19</v>
      </c>
      <c r="G14" s="942">
        <v>5000</v>
      </c>
      <c r="H14" s="942">
        <v>5000</v>
      </c>
      <c r="I14" s="942">
        <v>4500</v>
      </c>
      <c r="J14" s="942">
        <v>5000</v>
      </c>
      <c r="K14" s="41">
        <v>5000</v>
      </c>
      <c r="L14" s="41">
        <v>4000</v>
      </c>
      <c r="M14" s="41">
        <v>5000</v>
      </c>
      <c r="N14" s="942">
        <v>5000</v>
      </c>
      <c r="O14" s="37">
        <v>5000</v>
      </c>
      <c r="P14" s="37">
        <v>9000</v>
      </c>
      <c r="Q14" s="37">
        <v>8000</v>
      </c>
      <c r="R14" s="37">
        <v>9000</v>
      </c>
      <c r="S14" s="36">
        <f t="shared" si="0"/>
        <v>69500</v>
      </c>
      <c r="T14" s="36">
        <f>'2019'!P9</f>
        <v>40500</v>
      </c>
      <c r="U14" s="36">
        <f t="shared" si="1"/>
        <v>110000</v>
      </c>
      <c r="V14" s="36">
        <f t="shared" si="2"/>
        <v>50000</v>
      </c>
      <c r="W14" s="36">
        <f t="shared" si="3"/>
        <v>60000</v>
      </c>
      <c r="X14" s="36"/>
      <c r="Y14" s="37">
        <v>5000</v>
      </c>
      <c r="Z14" s="36">
        <v>4000</v>
      </c>
      <c r="AA14" s="36">
        <v>5000</v>
      </c>
      <c r="AB14" s="36">
        <f t="shared" ref="AB14:AF14" si="17">N14</f>
        <v>5000</v>
      </c>
      <c r="AC14" s="36">
        <f t="shared" si="17"/>
        <v>5000</v>
      </c>
      <c r="AD14" s="36">
        <f t="shared" si="17"/>
        <v>9000</v>
      </c>
      <c r="AE14" s="36">
        <f t="shared" si="17"/>
        <v>8000</v>
      </c>
      <c r="AF14" s="36">
        <f t="shared" si="17"/>
        <v>9000</v>
      </c>
      <c r="AG14" s="36">
        <f t="shared" si="5"/>
        <v>50000</v>
      </c>
      <c r="AH14" s="36">
        <f t="shared" si="9"/>
        <v>10000</v>
      </c>
    </row>
    <row r="15" spans="1:34" ht="14.4" hidden="1">
      <c r="A15" s="941">
        <v>14</v>
      </c>
      <c r="B15" s="89" t="s">
        <v>41</v>
      </c>
      <c r="C15" s="36" t="s">
        <v>88</v>
      </c>
      <c r="D15" s="37">
        <v>15000</v>
      </c>
      <c r="E15" s="36">
        <v>5000</v>
      </c>
      <c r="F15" s="36" t="s">
        <v>21</v>
      </c>
      <c r="G15" s="37">
        <v>3000</v>
      </c>
      <c r="H15" s="37">
        <v>3000</v>
      </c>
      <c r="I15" s="37">
        <v>3000</v>
      </c>
      <c r="J15" s="37">
        <v>3000</v>
      </c>
      <c r="K15" s="41">
        <v>3000</v>
      </c>
      <c r="L15" s="41">
        <v>5000</v>
      </c>
      <c r="M15" s="41">
        <f>5000+0</f>
        <v>5000</v>
      </c>
      <c r="N15" s="37">
        <v>2000</v>
      </c>
      <c r="O15" s="37">
        <v>2000</v>
      </c>
      <c r="P15" s="37">
        <v>5000</v>
      </c>
      <c r="Q15" s="37">
        <v>5000</v>
      </c>
      <c r="R15" s="37">
        <v>5000</v>
      </c>
      <c r="S15" s="36">
        <f t="shared" si="0"/>
        <v>44000</v>
      </c>
      <c r="T15" s="36">
        <f>'2019'!P20</f>
        <v>10500</v>
      </c>
      <c r="U15" s="36">
        <f t="shared" si="1"/>
        <v>54500</v>
      </c>
      <c r="V15" s="36">
        <f t="shared" si="2"/>
        <v>30000</v>
      </c>
      <c r="W15" s="36">
        <f t="shared" si="3"/>
        <v>24500</v>
      </c>
      <c r="X15" s="36"/>
      <c r="Y15" s="37">
        <v>3000</v>
      </c>
      <c r="Z15" s="36">
        <v>5000</v>
      </c>
      <c r="AA15" s="89">
        <f t="shared" ref="AA15:AF15" si="18">M15</f>
        <v>5000</v>
      </c>
      <c r="AB15" s="89">
        <f t="shared" si="18"/>
        <v>2000</v>
      </c>
      <c r="AC15" s="36">
        <f t="shared" si="18"/>
        <v>2000</v>
      </c>
      <c r="AD15" s="36">
        <f t="shared" si="18"/>
        <v>5000</v>
      </c>
      <c r="AE15" s="36">
        <f t="shared" si="18"/>
        <v>5000</v>
      </c>
      <c r="AF15" s="36">
        <f t="shared" si="18"/>
        <v>5000</v>
      </c>
      <c r="AG15" s="36">
        <f t="shared" si="5"/>
        <v>32000</v>
      </c>
      <c r="AH15" s="36">
        <f t="shared" si="9"/>
        <v>-7500</v>
      </c>
    </row>
    <row r="16" spans="1:34" ht="14.4" hidden="1">
      <c r="A16" s="941">
        <v>15</v>
      </c>
      <c r="B16" s="36" t="s">
        <v>89</v>
      </c>
      <c r="C16" s="36" t="s">
        <v>86</v>
      </c>
      <c r="D16" s="37">
        <v>6000</v>
      </c>
      <c r="E16" s="36">
        <v>10000</v>
      </c>
      <c r="F16" s="36" t="s">
        <v>21</v>
      </c>
      <c r="G16" s="37">
        <v>0</v>
      </c>
      <c r="H16" s="37">
        <v>0</v>
      </c>
      <c r="I16" s="37">
        <v>0</v>
      </c>
      <c r="J16" s="37">
        <v>0</v>
      </c>
      <c r="K16" s="37">
        <v>0</v>
      </c>
      <c r="L16" s="41">
        <v>4000</v>
      </c>
      <c r="M16" s="37">
        <v>10000</v>
      </c>
      <c r="N16" s="37">
        <v>10000</v>
      </c>
      <c r="O16" s="37">
        <v>10000</v>
      </c>
      <c r="P16" s="37">
        <v>10000</v>
      </c>
      <c r="Q16" s="37">
        <v>10000</v>
      </c>
      <c r="R16" s="37">
        <v>10000</v>
      </c>
      <c r="S16" s="36">
        <f t="shared" si="0"/>
        <v>64000</v>
      </c>
      <c r="T16" s="36">
        <v>0</v>
      </c>
      <c r="U16" s="36">
        <f t="shared" si="1"/>
        <v>64000</v>
      </c>
      <c r="V16" s="36">
        <f t="shared" si="2"/>
        <v>12000</v>
      </c>
      <c r="W16" s="36">
        <f t="shared" si="3"/>
        <v>52000</v>
      </c>
      <c r="X16" s="36"/>
      <c r="Y16" s="37" t="s">
        <v>30</v>
      </c>
      <c r="Z16" s="36">
        <v>0</v>
      </c>
      <c r="AA16" s="36">
        <f t="shared" ref="AA16:AF16" si="19">M16</f>
        <v>10000</v>
      </c>
      <c r="AB16" s="36">
        <f t="shared" si="19"/>
        <v>10000</v>
      </c>
      <c r="AC16" s="36">
        <f t="shared" si="19"/>
        <v>10000</v>
      </c>
      <c r="AD16" s="36">
        <f t="shared" si="19"/>
        <v>10000</v>
      </c>
      <c r="AE16" s="36">
        <f t="shared" si="19"/>
        <v>10000</v>
      </c>
      <c r="AF16" s="36">
        <f t="shared" si="19"/>
        <v>10000</v>
      </c>
      <c r="AG16" s="36">
        <f t="shared" si="5"/>
        <v>60000</v>
      </c>
      <c r="AH16" s="36">
        <f t="shared" si="9"/>
        <v>-8000</v>
      </c>
    </row>
    <row r="17" spans="1:35" ht="14.4" hidden="1">
      <c r="A17" s="941">
        <v>16</v>
      </c>
      <c r="B17" s="89" t="s">
        <v>90</v>
      </c>
      <c r="C17" s="36" t="s">
        <v>86</v>
      </c>
      <c r="D17" s="37">
        <v>10000</v>
      </c>
      <c r="E17" s="36">
        <v>4000</v>
      </c>
      <c r="F17" s="36" t="s">
        <v>21</v>
      </c>
      <c r="G17" s="37" t="s">
        <v>30</v>
      </c>
      <c r="H17" s="37" t="s">
        <v>30</v>
      </c>
      <c r="I17" s="41">
        <v>4000</v>
      </c>
      <c r="J17" s="41">
        <v>4000</v>
      </c>
      <c r="K17" s="37">
        <v>0</v>
      </c>
      <c r="L17" s="41">
        <v>4000</v>
      </c>
      <c r="M17" s="41">
        <v>4000</v>
      </c>
      <c r="N17" s="37">
        <v>2000</v>
      </c>
      <c r="O17" s="41">
        <v>4000</v>
      </c>
      <c r="P17" s="37">
        <v>2000</v>
      </c>
      <c r="Q17" s="37">
        <v>2000</v>
      </c>
      <c r="R17" s="37">
        <v>4000</v>
      </c>
      <c r="S17" s="36">
        <f t="shared" si="0"/>
        <v>30000</v>
      </c>
      <c r="T17" s="36">
        <v>0</v>
      </c>
      <c r="U17" s="36">
        <f t="shared" si="1"/>
        <v>30000</v>
      </c>
      <c r="V17" s="36">
        <f t="shared" si="2"/>
        <v>20000</v>
      </c>
      <c r="W17" s="36">
        <f t="shared" si="3"/>
        <v>10000</v>
      </c>
      <c r="X17" s="36"/>
      <c r="Y17" s="37"/>
      <c r="Z17" s="36">
        <v>4000</v>
      </c>
      <c r="AA17" s="36">
        <v>20000</v>
      </c>
      <c r="AB17" s="36">
        <v>0</v>
      </c>
      <c r="AC17" s="36">
        <v>0</v>
      </c>
      <c r="AD17" s="36"/>
      <c r="AE17" s="36"/>
      <c r="AF17" s="36">
        <f>R17</f>
        <v>4000</v>
      </c>
      <c r="AG17" s="36">
        <f t="shared" si="5"/>
        <v>28000</v>
      </c>
      <c r="AH17" s="36">
        <f>N17+P17+Q17</f>
        <v>6000</v>
      </c>
    </row>
    <row r="18" spans="1:35" ht="17.25" hidden="1" customHeight="1">
      <c r="A18" s="941">
        <v>17</v>
      </c>
      <c r="B18" s="36" t="s">
        <v>91</v>
      </c>
      <c r="C18" s="36" t="s">
        <v>77</v>
      </c>
      <c r="D18" s="37">
        <v>6000</v>
      </c>
      <c r="E18" s="36">
        <v>6000</v>
      </c>
      <c r="F18" s="36" t="s">
        <v>21</v>
      </c>
      <c r="G18" s="37" t="s">
        <v>30</v>
      </c>
      <c r="H18" s="37" t="s">
        <v>30</v>
      </c>
      <c r="I18" s="37" t="s">
        <v>30</v>
      </c>
      <c r="J18" s="37" t="s">
        <v>30</v>
      </c>
      <c r="K18" s="37" t="s">
        <v>30</v>
      </c>
      <c r="L18" s="37" t="s">
        <v>30</v>
      </c>
      <c r="M18" s="37">
        <v>6000</v>
      </c>
      <c r="N18" s="37">
        <v>6000</v>
      </c>
      <c r="O18" s="37">
        <v>5000</v>
      </c>
      <c r="P18" s="37">
        <v>6000</v>
      </c>
      <c r="Q18" s="37">
        <v>6000</v>
      </c>
      <c r="R18" s="37">
        <v>6000</v>
      </c>
      <c r="S18" s="36">
        <f t="shared" si="0"/>
        <v>35000</v>
      </c>
      <c r="T18" s="36">
        <v>0</v>
      </c>
      <c r="U18" s="36">
        <f t="shared" si="1"/>
        <v>35000</v>
      </c>
      <c r="V18" s="36">
        <f t="shared" si="2"/>
        <v>12000</v>
      </c>
      <c r="W18" s="36">
        <f t="shared" si="3"/>
        <v>23000</v>
      </c>
      <c r="X18" s="36"/>
      <c r="Y18" s="37"/>
      <c r="Z18" s="36">
        <v>0</v>
      </c>
      <c r="AA18" s="36">
        <v>0</v>
      </c>
      <c r="AB18" s="36">
        <v>0</v>
      </c>
      <c r="AC18" s="36">
        <f t="shared" ref="AC18:AF18" si="20">O18</f>
        <v>5000</v>
      </c>
      <c r="AD18" s="36">
        <f t="shared" si="20"/>
        <v>6000</v>
      </c>
      <c r="AE18" s="36">
        <f t="shared" si="20"/>
        <v>6000</v>
      </c>
      <c r="AF18" s="36">
        <f t="shared" si="20"/>
        <v>6000</v>
      </c>
      <c r="AG18" s="36">
        <f t="shared" si="5"/>
        <v>23000</v>
      </c>
      <c r="AH18" s="36">
        <f t="shared" ref="AH18:AH19" si="21">W18-AG18</f>
        <v>0</v>
      </c>
      <c r="AI18" s="96"/>
    </row>
    <row r="19" spans="1:35" ht="14.4" hidden="1">
      <c r="A19" s="941">
        <v>18</v>
      </c>
      <c r="B19" s="943" t="s">
        <v>20</v>
      </c>
      <c r="C19" s="34" t="s">
        <v>79</v>
      </c>
      <c r="D19" s="35">
        <v>17000</v>
      </c>
      <c r="E19" s="36">
        <v>10000</v>
      </c>
      <c r="F19" s="36" t="s">
        <v>21</v>
      </c>
      <c r="G19" s="37" t="s">
        <v>30</v>
      </c>
      <c r="H19" s="37" t="s">
        <v>30</v>
      </c>
      <c r="I19" s="37" t="s">
        <v>30</v>
      </c>
      <c r="J19" s="37" t="s">
        <v>30</v>
      </c>
      <c r="K19" s="37" t="s">
        <v>30</v>
      </c>
      <c r="L19" s="37" t="s">
        <v>30</v>
      </c>
      <c r="M19" s="37">
        <v>5000</v>
      </c>
      <c r="N19" s="37">
        <v>5000</v>
      </c>
      <c r="O19" s="37">
        <v>5000</v>
      </c>
      <c r="P19" s="37">
        <v>5000</v>
      </c>
      <c r="Q19" s="37">
        <v>10000</v>
      </c>
      <c r="R19" s="37">
        <v>10000</v>
      </c>
      <c r="S19" s="36">
        <f>SUM(M19:R19)</f>
        <v>40000</v>
      </c>
      <c r="T19" s="36">
        <f>'2019'!P3</f>
        <v>49500</v>
      </c>
      <c r="U19" s="36">
        <f t="shared" si="1"/>
        <v>89500</v>
      </c>
      <c r="V19" s="36">
        <f t="shared" si="2"/>
        <v>34000</v>
      </c>
      <c r="W19" s="36">
        <f t="shared" si="3"/>
        <v>55500</v>
      </c>
      <c r="X19" s="36"/>
      <c r="Y19" s="37"/>
      <c r="Z19" s="36">
        <v>0</v>
      </c>
      <c r="AA19" s="36">
        <v>0</v>
      </c>
      <c r="AB19" s="36">
        <v>0</v>
      </c>
      <c r="AC19" s="36">
        <f t="shared" ref="AC19:AC21" si="22">O19</f>
        <v>5000</v>
      </c>
      <c r="AD19" s="36"/>
      <c r="AE19" s="36"/>
      <c r="AF19" s="36"/>
      <c r="AG19" s="36">
        <f t="shared" si="5"/>
        <v>5000</v>
      </c>
      <c r="AH19" s="36">
        <f t="shared" si="21"/>
        <v>50500</v>
      </c>
      <c r="AI19" s="96"/>
    </row>
    <row r="20" spans="1:35" ht="14.4" hidden="1">
      <c r="A20" s="941">
        <v>19</v>
      </c>
      <c r="B20" s="943" t="s">
        <v>92</v>
      </c>
      <c r="C20" s="34" t="s">
        <v>93</v>
      </c>
      <c r="D20" s="35">
        <v>6000</v>
      </c>
      <c r="E20" s="36">
        <v>6000</v>
      </c>
      <c r="F20" s="36" t="s">
        <v>21</v>
      </c>
      <c r="G20" s="37" t="s">
        <v>30</v>
      </c>
      <c r="H20" s="37" t="s">
        <v>30</v>
      </c>
      <c r="I20" s="37" t="s">
        <v>30</v>
      </c>
      <c r="J20" s="37" t="s">
        <v>30</v>
      </c>
      <c r="K20" s="37" t="s">
        <v>30</v>
      </c>
      <c r="L20" s="37" t="s">
        <v>30</v>
      </c>
      <c r="M20" s="37">
        <f>3000+1650</f>
        <v>4650</v>
      </c>
      <c r="N20" s="37">
        <f t="shared" ref="N20:N21" si="23">3000+3000</f>
        <v>6000</v>
      </c>
      <c r="O20" s="37">
        <f t="shared" ref="O20:O21" si="24">6000+3000</f>
        <v>9000</v>
      </c>
      <c r="P20" s="37">
        <f t="shared" ref="P20:P21" si="25">3000+3000</f>
        <v>6000</v>
      </c>
      <c r="Q20" s="37">
        <v>6000</v>
      </c>
      <c r="R20" s="37">
        <v>6000</v>
      </c>
      <c r="S20" s="36">
        <f t="shared" ref="S20:S31" si="26">SUM(G20:R20)</f>
        <v>37650</v>
      </c>
      <c r="T20" s="36">
        <v>0</v>
      </c>
      <c r="U20" s="36">
        <f t="shared" si="1"/>
        <v>37650</v>
      </c>
      <c r="V20" s="36">
        <f t="shared" si="2"/>
        <v>12000</v>
      </c>
      <c r="W20" s="36">
        <f t="shared" si="3"/>
        <v>25650</v>
      </c>
      <c r="X20" s="36"/>
      <c r="Y20" s="37"/>
      <c r="Z20" s="36">
        <v>0</v>
      </c>
      <c r="AA20" s="36">
        <v>0</v>
      </c>
      <c r="AB20" s="36">
        <v>0</v>
      </c>
      <c r="AC20" s="36">
        <f t="shared" si="22"/>
        <v>9000</v>
      </c>
      <c r="AD20" s="36">
        <v>3000</v>
      </c>
      <c r="AE20" s="36">
        <f t="shared" ref="AE20:AF20" si="27">Q20</f>
        <v>6000</v>
      </c>
      <c r="AF20" s="36">
        <f t="shared" si="27"/>
        <v>6000</v>
      </c>
      <c r="AG20" s="36">
        <f t="shared" si="5"/>
        <v>24000</v>
      </c>
      <c r="AH20" s="36">
        <f t="shared" ref="AH20:AH21" si="28">S20-AG20</f>
        <v>13650</v>
      </c>
      <c r="AI20" s="96">
        <f>V20+AH20</f>
        <v>25650</v>
      </c>
    </row>
    <row r="21" spans="1:35" ht="15.75" hidden="1" customHeight="1">
      <c r="A21" s="941">
        <v>20</v>
      </c>
      <c r="B21" s="943" t="s">
        <v>94</v>
      </c>
      <c r="C21" s="34" t="s">
        <v>93</v>
      </c>
      <c r="D21" s="35">
        <v>6000</v>
      </c>
      <c r="E21" s="36">
        <v>6000</v>
      </c>
      <c r="F21" s="36" t="s">
        <v>21</v>
      </c>
      <c r="G21" s="37" t="s">
        <v>30</v>
      </c>
      <c r="H21" s="37" t="s">
        <v>30</v>
      </c>
      <c r="I21" s="37" t="s">
        <v>30</v>
      </c>
      <c r="J21" s="37" t="s">
        <v>30</v>
      </c>
      <c r="K21" s="37" t="s">
        <v>30</v>
      </c>
      <c r="L21" s="37" t="s">
        <v>30</v>
      </c>
      <c r="M21" s="37">
        <f>3000+1800</f>
        <v>4800</v>
      </c>
      <c r="N21" s="37">
        <f t="shared" si="23"/>
        <v>6000</v>
      </c>
      <c r="O21" s="37">
        <f t="shared" si="24"/>
        <v>9000</v>
      </c>
      <c r="P21" s="37">
        <f t="shared" si="25"/>
        <v>6000</v>
      </c>
      <c r="Q21" s="37">
        <v>6000</v>
      </c>
      <c r="R21" s="37">
        <v>6000</v>
      </c>
      <c r="S21" s="36">
        <f t="shared" si="26"/>
        <v>37800</v>
      </c>
      <c r="T21" s="36">
        <v>0</v>
      </c>
      <c r="U21" s="36">
        <f t="shared" si="1"/>
        <v>37800</v>
      </c>
      <c r="V21" s="36">
        <f t="shared" si="2"/>
        <v>12000</v>
      </c>
      <c r="W21" s="36">
        <f t="shared" si="3"/>
        <v>25800</v>
      </c>
      <c r="X21" s="36"/>
      <c r="Y21" s="37"/>
      <c r="Z21" s="36">
        <v>0</v>
      </c>
      <c r="AA21" s="36">
        <v>0</v>
      </c>
      <c r="AB21" s="36"/>
      <c r="AC21" s="36">
        <f t="shared" si="22"/>
        <v>9000</v>
      </c>
      <c r="AD21" s="36">
        <v>3000</v>
      </c>
      <c r="AE21" s="36">
        <f>E21</f>
        <v>6000</v>
      </c>
      <c r="AF21" s="36">
        <f>R21</f>
        <v>6000</v>
      </c>
      <c r="AG21" s="36">
        <f t="shared" si="5"/>
        <v>24000</v>
      </c>
      <c r="AH21" s="36">
        <f t="shared" si="28"/>
        <v>13800</v>
      </c>
      <c r="AI21" s="96">
        <f>V21-AH21</f>
        <v>-1800</v>
      </c>
    </row>
    <row r="22" spans="1:35" ht="15.75" hidden="1" customHeight="1">
      <c r="A22" s="941">
        <v>21</v>
      </c>
      <c r="B22" s="943" t="s">
        <v>95</v>
      </c>
      <c r="C22" s="34" t="s">
        <v>72</v>
      </c>
      <c r="D22" s="35">
        <v>20000</v>
      </c>
      <c r="E22" s="36">
        <v>5000</v>
      </c>
      <c r="F22" s="36" t="s">
        <v>21</v>
      </c>
      <c r="G22" s="37" t="s">
        <v>30</v>
      </c>
      <c r="H22" s="37" t="s">
        <v>30</v>
      </c>
      <c r="I22" s="37" t="s">
        <v>30</v>
      </c>
      <c r="J22" s="37" t="s">
        <v>30</v>
      </c>
      <c r="K22" s="37" t="s">
        <v>30</v>
      </c>
      <c r="L22" s="37" t="s">
        <v>30</v>
      </c>
      <c r="M22" s="37" t="s">
        <v>30</v>
      </c>
      <c r="N22" s="41">
        <v>3000</v>
      </c>
      <c r="O22" s="37">
        <v>4000</v>
      </c>
      <c r="P22" s="37">
        <v>5000</v>
      </c>
      <c r="Q22" s="37">
        <v>5000</v>
      </c>
      <c r="R22" s="37">
        <v>5000</v>
      </c>
      <c r="S22" s="36">
        <f t="shared" si="26"/>
        <v>22000</v>
      </c>
      <c r="T22" s="36">
        <f>'2019'!P15</f>
        <v>24000</v>
      </c>
      <c r="U22" s="36">
        <f t="shared" si="1"/>
        <v>46000</v>
      </c>
      <c r="V22" s="36">
        <f t="shared" si="2"/>
        <v>40000</v>
      </c>
      <c r="W22" s="36">
        <f t="shared" si="3"/>
        <v>6000</v>
      </c>
      <c r="X22" s="36"/>
      <c r="Y22" s="37"/>
      <c r="Z22" s="36">
        <v>0</v>
      </c>
      <c r="AA22" s="36">
        <v>0</v>
      </c>
      <c r="AB22" s="36">
        <v>0</v>
      </c>
      <c r="AC22" s="36">
        <v>0</v>
      </c>
      <c r="AD22" s="36"/>
      <c r="AE22" s="36"/>
      <c r="AF22" s="36"/>
      <c r="AG22" s="36">
        <f t="shared" si="5"/>
        <v>0</v>
      </c>
      <c r="AH22" s="36">
        <f t="shared" ref="AH22:AH23" si="29">W22-AG22</f>
        <v>6000</v>
      </c>
      <c r="AI22" s="96"/>
    </row>
    <row r="23" spans="1:35" ht="15.75" hidden="1" customHeight="1">
      <c r="A23" s="941">
        <v>22</v>
      </c>
      <c r="B23" s="89" t="s">
        <v>96</v>
      </c>
      <c r="C23" s="307" t="s">
        <v>72</v>
      </c>
      <c r="D23" s="944">
        <v>12000</v>
      </c>
      <c r="E23" s="36">
        <v>4000</v>
      </c>
      <c r="F23" s="36" t="s">
        <v>21</v>
      </c>
      <c r="G23" s="37" t="s">
        <v>30</v>
      </c>
      <c r="H23" s="37" t="s">
        <v>30</v>
      </c>
      <c r="I23" s="37" t="s">
        <v>30</v>
      </c>
      <c r="J23" s="37" t="s">
        <v>30</v>
      </c>
      <c r="K23" s="37" t="s">
        <v>30</v>
      </c>
      <c r="L23" s="37" t="s">
        <v>30</v>
      </c>
      <c r="M23" s="37" t="s">
        <v>30</v>
      </c>
      <c r="N23" s="37" t="s">
        <v>30</v>
      </c>
      <c r="O23" s="37">
        <v>2500</v>
      </c>
      <c r="P23" s="37">
        <v>4000</v>
      </c>
      <c r="Q23" s="37">
        <v>3000</v>
      </c>
      <c r="R23" s="37">
        <v>4000</v>
      </c>
      <c r="S23" s="36">
        <f t="shared" si="26"/>
        <v>13500</v>
      </c>
      <c r="T23" s="36">
        <v>0</v>
      </c>
      <c r="U23" s="36">
        <f t="shared" si="1"/>
        <v>13500</v>
      </c>
      <c r="V23" s="36">
        <f t="shared" si="2"/>
        <v>24000</v>
      </c>
      <c r="W23" s="36">
        <f t="shared" si="3"/>
        <v>-10500</v>
      </c>
      <c r="X23" s="36"/>
      <c r="Y23" s="37"/>
      <c r="Z23" s="36">
        <v>0</v>
      </c>
      <c r="AA23" s="36">
        <v>0</v>
      </c>
      <c r="AB23" s="36"/>
      <c r="AC23" s="36">
        <v>0</v>
      </c>
      <c r="AD23" s="36"/>
      <c r="AE23" s="36"/>
      <c r="AF23" s="36"/>
      <c r="AG23" s="36">
        <f t="shared" si="5"/>
        <v>0</v>
      </c>
      <c r="AH23" s="36">
        <f t="shared" si="29"/>
        <v>-10500</v>
      </c>
      <c r="AI23" s="96"/>
    </row>
    <row r="24" spans="1:35" ht="15.75" hidden="1" customHeight="1">
      <c r="A24" s="941">
        <v>23</v>
      </c>
      <c r="B24" s="89" t="s">
        <v>97</v>
      </c>
      <c r="C24" s="307" t="s">
        <v>72</v>
      </c>
      <c r="D24" s="944">
        <v>12000</v>
      </c>
      <c r="E24" s="36">
        <v>4000</v>
      </c>
      <c r="F24" s="36" t="s">
        <v>21</v>
      </c>
      <c r="G24" s="37" t="s">
        <v>30</v>
      </c>
      <c r="H24" s="37" t="s">
        <v>30</v>
      </c>
      <c r="I24" s="37" t="s">
        <v>30</v>
      </c>
      <c r="J24" s="37" t="s">
        <v>30</v>
      </c>
      <c r="K24" s="37" t="s">
        <v>30</v>
      </c>
      <c r="L24" s="37" t="s">
        <v>30</v>
      </c>
      <c r="M24" s="37" t="s">
        <v>30</v>
      </c>
      <c r="N24" s="37" t="s">
        <v>30</v>
      </c>
      <c r="O24" s="37">
        <v>3000</v>
      </c>
      <c r="P24" s="37">
        <v>2500</v>
      </c>
      <c r="Q24" s="37">
        <v>3000</v>
      </c>
      <c r="R24" s="37">
        <v>3000</v>
      </c>
      <c r="S24" s="36">
        <f t="shared" si="26"/>
        <v>11500</v>
      </c>
      <c r="T24" s="36">
        <v>0</v>
      </c>
      <c r="U24" s="36">
        <f t="shared" si="1"/>
        <v>11500</v>
      </c>
      <c r="V24" s="36">
        <f t="shared" si="2"/>
        <v>24000</v>
      </c>
      <c r="W24" s="36">
        <f t="shared" si="3"/>
        <v>-12500</v>
      </c>
      <c r="X24" s="36"/>
      <c r="Y24" s="37"/>
      <c r="Z24" s="36">
        <v>0</v>
      </c>
      <c r="AA24" s="36">
        <v>0</v>
      </c>
      <c r="AB24" s="36"/>
      <c r="AC24" s="36">
        <v>0</v>
      </c>
      <c r="AD24" s="36"/>
      <c r="AE24" s="36"/>
      <c r="AF24" s="36"/>
      <c r="AG24" s="36">
        <f t="shared" si="5"/>
        <v>0</v>
      </c>
      <c r="AH24" s="36">
        <f t="shared" ref="AH24:AH25" si="30">S24</f>
        <v>11500</v>
      </c>
      <c r="AI24" s="96"/>
    </row>
    <row r="25" spans="1:35" ht="15.75" hidden="1" customHeight="1">
      <c r="A25" s="941">
        <v>24</v>
      </c>
      <c r="B25" s="89" t="s">
        <v>98</v>
      </c>
      <c r="C25" s="307" t="s">
        <v>72</v>
      </c>
      <c r="D25" s="944">
        <v>12000</v>
      </c>
      <c r="E25" s="36">
        <v>4000</v>
      </c>
      <c r="F25" s="36" t="s">
        <v>21</v>
      </c>
      <c r="G25" s="37" t="s">
        <v>30</v>
      </c>
      <c r="H25" s="37" t="s">
        <v>30</v>
      </c>
      <c r="I25" s="37" t="s">
        <v>30</v>
      </c>
      <c r="J25" s="37" t="s">
        <v>30</v>
      </c>
      <c r="K25" s="37" t="s">
        <v>30</v>
      </c>
      <c r="L25" s="37" t="s">
        <v>30</v>
      </c>
      <c r="M25" s="37" t="s">
        <v>30</v>
      </c>
      <c r="N25" s="37" t="s">
        <v>30</v>
      </c>
      <c r="O25" s="37">
        <v>2500</v>
      </c>
      <c r="P25" s="37">
        <v>1500</v>
      </c>
      <c r="Q25" s="37">
        <v>2600</v>
      </c>
      <c r="R25" s="37">
        <v>3000</v>
      </c>
      <c r="S25" s="36">
        <f t="shared" si="26"/>
        <v>9600</v>
      </c>
      <c r="T25" s="36">
        <v>0</v>
      </c>
      <c r="U25" s="36">
        <f t="shared" si="1"/>
        <v>9600</v>
      </c>
      <c r="V25" s="36">
        <f t="shared" si="2"/>
        <v>24000</v>
      </c>
      <c r="W25" s="36">
        <f t="shared" si="3"/>
        <v>-14400</v>
      </c>
      <c r="X25" s="36"/>
      <c r="Y25" s="37"/>
      <c r="Z25" s="36">
        <v>0</v>
      </c>
      <c r="AA25" s="36">
        <v>0</v>
      </c>
      <c r="AB25" s="36"/>
      <c r="AC25" s="36">
        <v>0</v>
      </c>
      <c r="AD25" s="36"/>
      <c r="AE25" s="36"/>
      <c r="AF25" s="36"/>
      <c r="AG25" s="36">
        <f t="shared" si="5"/>
        <v>0</v>
      </c>
      <c r="AH25" s="36">
        <f t="shared" si="30"/>
        <v>9600</v>
      </c>
      <c r="AI25" s="96"/>
    </row>
    <row r="26" spans="1:35" ht="15.75" hidden="1" customHeight="1">
      <c r="A26" s="941">
        <v>25</v>
      </c>
      <c r="B26" s="36" t="s">
        <v>99</v>
      </c>
      <c r="C26" s="36" t="s">
        <v>72</v>
      </c>
      <c r="D26" s="35">
        <v>6000</v>
      </c>
      <c r="E26" s="35">
        <v>4000</v>
      </c>
      <c r="F26" s="36" t="s">
        <v>21</v>
      </c>
      <c r="G26" s="37" t="s">
        <v>30</v>
      </c>
      <c r="H26" s="37" t="s">
        <v>30</v>
      </c>
      <c r="I26" s="37" t="s">
        <v>30</v>
      </c>
      <c r="J26" s="37" t="s">
        <v>30</v>
      </c>
      <c r="K26" s="37" t="s">
        <v>30</v>
      </c>
      <c r="L26" s="37" t="s">
        <v>30</v>
      </c>
      <c r="M26" s="37" t="s">
        <v>30</v>
      </c>
      <c r="N26" s="37" t="s">
        <v>30</v>
      </c>
      <c r="O26" s="37">
        <v>1000</v>
      </c>
      <c r="P26" s="37">
        <v>0</v>
      </c>
      <c r="Q26" s="37">
        <v>1500</v>
      </c>
      <c r="R26" s="37">
        <v>2000</v>
      </c>
      <c r="S26" s="36">
        <f t="shared" si="26"/>
        <v>4500</v>
      </c>
      <c r="T26" s="36">
        <v>0</v>
      </c>
      <c r="U26" s="36">
        <f t="shared" si="1"/>
        <v>4500</v>
      </c>
      <c r="V26" s="36">
        <f t="shared" si="2"/>
        <v>12000</v>
      </c>
      <c r="W26" s="36">
        <f t="shared" si="3"/>
        <v>-7500</v>
      </c>
      <c r="X26" s="36"/>
      <c r="Y26" s="37"/>
      <c r="Z26" s="36">
        <v>0</v>
      </c>
      <c r="AA26" s="36">
        <v>0</v>
      </c>
      <c r="AB26" s="36"/>
      <c r="AC26" s="36">
        <f>O26</f>
        <v>1000</v>
      </c>
      <c r="AD26" s="36"/>
      <c r="AE26" s="36"/>
      <c r="AF26" s="36"/>
      <c r="AG26" s="36">
        <f t="shared" si="5"/>
        <v>1000</v>
      </c>
      <c r="AH26" s="36">
        <f t="shared" ref="AH26:AH29" si="31">W26-AG26</f>
        <v>-8500</v>
      </c>
      <c r="AI26" s="96"/>
    </row>
    <row r="27" spans="1:35" ht="15.75" hidden="1" customHeight="1">
      <c r="A27" s="941">
        <v>26</v>
      </c>
      <c r="B27" s="945" t="s">
        <v>100</v>
      </c>
      <c r="C27" s="300" t="s">
        <v>101</v>
      </c>
      <c r="D27" s="37">
        <v>6000</v>
      </c>
      <c r="E27" s="36">
        <v>6000</v>
      </c>
      <c r="F27" s="300" t="s">
        <v>21</v>
      </c>
      <c r="G27" s="37" t="s">
        <v>30</v>
      </c>
      <c r="H27" s="37" t="s">
        <v>30</v>
      </c>
      <c r="I27" s="37" t="s">
        <v>30</v>
      </c>
      <c r="J27" s="37" t="s">
        <v>30</v>
      </c>
      <c r="K27" s="37" t="s">
        <v>30</v>
      </c>
      <c r="L27" s="37" t="s">
        <v>30</v>
      </c>
      <c r="M27" s="37" t="s">
        <v>30</v>
      </c>
      <c r="N27" s="37" t="s">
        <v>30</v>
      </c>
      <c r="O27" s="37" t="s">
        <v>30</v>
      </c>
      <c r="P27" s="946">
        <v>6000</v>
      </c>
      <c r="Q27" s="946">
        <v>4000</v>
      </c>
      <c r="R27" s="946"/>
      <c r="S27" s="36">
        <f t="shared" si="26"/>
        <v>10000</v>
      </c>
      <c r="T27" s="36">
        <v>0</v>
      </c>
      <c r="U27" s="36">
        <f t="shared" si="1"/>
        <v>10000</v>
      </c>
      <c r="V27" s="36">
        <f t="shared" si="2"/>
        <v>12000</v>
      </c>
      <c r="W27" s="36">
        <f t="shared" si="3"/>
        <v>-2000</v>
      </c>
      <c r="X27" s="946"/>
      <c r="Y27" s="946"/>
      <c r="Z27" s="36">
        <v>0</v>
      </c>
      <c r="AA27" s="36">
        <v>0</v>
      </c>
      <c r="AB27" s="946"/>
      <c r="AC27" s="300"/>
      <c r="AD27" s="946"/>
      <c r="AE27" s="36"/>
      <c r="AF27" s="36"/>
      <c r="AG27" s="36">
        <f t="shared" si="5"/>
        <v>0</v>
      </c>
      <c r="AH27" s="36">
        <f t="shared" si="31"/>
        <v>-2000</v>
      </c>
      <c r="AI27" s="96"/>
    </row>
    <row r="28" spans="1:35" ht="15.75" hidden="1" customHeight="1">
      <c r="A28" s="941">
        <v>27</v>
      </c>
      <c r="B28" s="945" t="s">
        <v>102</v>
      </c>
      <c r="C28" s="945" t="s">
        <v>82</v>
      </c>
      <c r="D28" s="946">
        <v>6000</v>
      </c>
      <c r="E28" s="300">
        <v>6000</v>
      </c>
      <c r="F28" s="300" t="s">
        <v>21</v>
      </c>
      <c r="G28" s="37" t="s">
        <v>30</v>
      </c>
      <c r="H28" s="37" t="s">
        <v>30</v>
      </c>
      <c r="I28" s="37" t="s">
        <v>30</v>
      </c>
      <c r="J28" s="37" t="s">
        <v>30</v>
      </c>
      <c r="K28" s="37" t="s">
        <v>30</v>
      </c>
      <c r="L28" s="37" t="s">
        <v>30</v>
      </c>
      <c r="M28" s="37" t="s">
        <v>30</v>
      </c>
      <c r="N28" s="37" t="s">
        <v>30</v>
      </c>
      <c r="O28" s="37" t="s">
        <v>30</v>
      </c>
      <c r="P28" s="946">
        <v>6000</v>
      </c>
      <c r="Q28" s="946">
        <v>6000</v>
      </c>
      <c r="R28" s="946">
        <v>6000</v>
      </c>
      <c r="S28" s="36">
        <f t="shared" si="26"/>
        <v>18000</v>
      </c>
      <c r="T28" s="36">
        <v>0</v>
      </c>
      <c r="U28" s="36">
        <f t="shared" si="1"/>
        <v>18000</v>
      </c>
      <c r="V28" s="36">
        <f t="shared" si="2"/>
        <v>12000</v>
      </c>
      <c r="W28" s="36">
        <f t="shared" si="3"/>
        <v>6000</v>
      </c>
      <c r="X28" s="946"/>
      <c r="Y28" s="946"/>
      <c r="Z28" s="36">
        <v>0</v>
      </c>
      <c r="AA28" s="36">
        <v>0</v>
      </c>
      <c r="AB28" s="946"/>
      <c r="AC28" s="300"/>
      <c r="AD28" s="946"/>
      <c r="AE28" s="36"/>
      <c r="AF28" s="36">
        <f>R28</f>
        <v>6000</v>
      </c>
      <c r="AG28" s="36">
        <f t="shared" si="5"/>
        <v>6000</v>
      </c>
      <c r="AH28" s="36">
        <f t="shared" si="31"/>
        <v>0</v>
      </c>
      <c r="AI28" s="96"/>
    </row>
    <row r="29" spans="1:35" ht="15.75" hidden="1" customHeight="1">
      <c r="A29" s="941">
        <v>28</v>
      </c>
      <c r="B29" s="945" t="s">
        <v>103</v>
      </c>
      <c r="C29" s="945" t="s">
        <v>72</v>
      </c>
      <c r="D29" s="946">
        <v>12000</v>
      </c>
      <c r="E29" s="300">
        <v>4000</v>
      </c>
      <c r="F29" s="300" t="s">
        <v>19</v>
      </c>
      <c r="G29" s="37" t="s">
        <v>30</v>
      </c>
      <c r="H29" s="37" t="s">
        <v>30</v>
      </c>
      <c r="I29" s="37" t="s">
        <v>30</v>
      </c>
      <c r="J29" s="37" t="s">
        <v>30</v>
      </c>
      <c r="K29" s="37" t="s">
        <v>30</v>
      </c>
      <c r="L29" s="37" t="s">
        <v>30</v>
      </c>
      <c r="M29" s="37" t="s">
        <v>30</v>
      </c>
      <c r="N29" s="37" t="s">
        <v>30</v>
      </c>
      <c r="O29" s="37" t="s">
        <v>30</v>
      </c>
      <c r="P29" s="37" t="s">
        <v>30</v>
      </c>
      <c r="Q29" s="946">
        <v>2500</v>
      </c>
      <c r="R29" s="946">
        <v>2000</v>
      </c>
      <c r="S29" s="36">
        <f t="shared" si="26"/>
        <v>4500</v>
      </c>
      <c r="T29" s="36">
        <v>0</v>
      </c>
      <c r="U29" s="36">
        <f t="shared" si="1"/>
        <v>4500</v>
      </c>
      <c r="V29" s="36">
        <f t="shared" si="2"/>
        <v>24000</v>
      </c>
      <c r="W29" s="36">
        <f t="shared" si="3"/>
        <v>-19500</v>
      </c>
      <c r="X29" s="946"/>
      <c r="Y29" s="946"/>
      <c r="Z29" s="300"/>
      <c r="AA29" s="300"/>
      <c r="AB29" s="946"/>
      <c r="AC29" s="300"/>
      <c r="AD29" s="946"/>
      <c r="AE29" s="36"/>
      <c r="AF29" s="36"/>
      <c r="AG29" s="36">
        <f t="shared" si="5"/>
        <v>0</v>
      </c>
      <c r="AH29" s="36">
        <f t="shared" si="31"/>
        <v>-19500</v>
      </c>
      <c r="AI29" s="96"/>
    </row>
    <row r="30" spans="1:35" ht="15.75" hidden="1" customHeight="1">
      <c r="A30" s="941">
        <v>29</v>
      </c>
      <c r="B30" s="943" t="s">
        <v>104</v>
      </c>
      <c r="C30" s="34" t="s">
        <v>76</v>
      </c>
      <c r="D30" s="35">
        <v>12000</v>
      </c>
      <c r="E30" s="300">
        <v>8000</v>
      </c>
      <c r="F30" s="300" t="s">
        <v>21</v>
      </c>
      <c r="G30" s="37" t="s">
        <v>30</v>
      </c>
      <c r="H30" s="37" t="s">
        <v>30</v>
      </c>
      <c r="I30" s="37" t="s">
        <v>30</v>
      </c>
      <c r="J30" s="37" t="s">
        <v>30</v>
      </c>
      <c r="K30" s="37" t="s">
        <v>30</v>
      </c>
      <c r="L30" s="37" t="s">
        <v>30</v>
      </c>
      <c r="M30" s="37" t="s">
        <v>30</v>
      </c>
      <c r="N30" s="37" t="s">
        <v>30</v>
      </c>
      <c r="O30" s="37" t="s">
        <v>30</v>
      </c>
      <c r="P30" s="37" t="s">
        <v>30</v>
      </c>
      <c r="Q30" s="946">
        <v>8000</v>
      </c>
      <c r="R30" s="946">
        <v>8000</v>
      </c>
      <c r="S30" s="36">
        <f t="shared" si="26"/>
        <v>16000</v>
      </c>
      <c r="T30" s="36">
        <v>0</v>
      </c>
      <c r="U30" s="36">
        <f t="shared" si="1"/>
        <v>16000</v>
      </c>
      <c r="V30" s="36">
        <f t="shared" si="2"/>
        <v>24000</v>
      </c>
      <c r="W30" s="36">
        <f t="shared" si="3"/>
        <v>-8000</v>
      </c>
      <c r="X30" s="946"/>
      <c r="Y30" s="946"/>
      <c r="Z30" s="300"/>
      <c r="AA30" s="300"/>
      <c r="AB30" s="946"/>
      <c r="AC30" s="300"/>
      <c r="AD30" s="946"/>
      <c r="AE30" s="36"/>
      <c r="AF30" s="36"/>
      <c r="AG30" s="36">
        <f t="shared" si="5"/>
        <v>0</v>
      </c>
      <c r="AH30" s="36">
        <f>S30</f>
        <v>16000</v>
      </c>
      <c r="AI30" s="96"/>
    </row>
    <row r="31" spans="1:35" ht="15.75" hidden="1" customHeight="1">
      <c r="A31" s="941">
        <v>30</v>
      </c>
      <c r="B31" s="945" t="s">
        <v>105</v>
      </c>
      <c r="C31" s="945" t="s">
        <v>72</v>
      </c>
      <c r="D31" s="947">
        <v>20000</v>
      </c>
      <c r="E31" s="300">
        <v>5000</v>
      </c>
      <c r="F31" s="300" t="s">
        <v>106</v>
      </c>
      <c r="G31" s="37" t="s">
        <v>30</v>
      </c>
      <c r="H31" s="37" t="s">
        <v>30</v>
      </c>
      <c r="I31" s="37" t="s">
        <v>30</v>
      </c>
      <c r="J31" s="37" t="s">
        <v>30</v>
      </c>
      <c r="K31" s="37" t="s">
        <v>30</v>
      </c>
      <c r="L31" s="37" t="s">
        <v>30</v>
      </c>
      <c r="M31" s="37" t="s">
        <v>30</v>
      </c>
      <c r="N31" s="37" t="s">
        <v>30</v>
      </c>
      <c r="O31" s="37" t="s">
        <v>30</v>
      </c>
      <c r="P31" s="37" t="s">
        <v>30</v>
      </c>
      <c r="Q31" s="37" t="s">
        <v>30</v>
      </c>
      <c r="R31" s="946">
        <v>3000</v>
      </c>
      <c r="S31" s="36">
        <f t="shared" si="26"/>
        <v>3000</v>
      </c>
      <c r="T31" s="36">
        <v>0</v>
      </c>
      <c r="U31" s="36">
        <f t="shared" si="1"/>
        <v>3000</v>
      </c>
      <c r="V31" s="300">
        <f t="shared" si="2"/>
        <v>40000</v>
      </c>
      <c r="W31" s="36">
        <f t="shared" si="3"/>
        <v>-37000</v>
      </c>
      <c r="X31" s="946"/>
      <c r="Y31" s="946"/>
      <c r="Z31" s="300"/>
      <c r="AA31" s="300"/>
      <c r="AB31" s="946"/>
      <c r="AC31" s="300"/>
      <c r="AD31" s="946"/>
      <c r="AE31" s="36"/>
      <c r="AF31" s="36"/>
      <c r="AG31" s="36">
        <f t="shared" si="5"/>
        <v>0</v>
      </c>
      <c r="AH31" s="36">
        <f>W31-AG31</f>
        <v>-37000</v>
      </c>
      <c r="AI31" s="96"/>
    </row>
    <row r="32" spans="1:35" ht="15.75" hidden="1" customHeight="1">
      <c r="A32" s="948"/>
      <c r="B32" s="948" t="s">
        <v>43</v>
      </c>
      <c r="C32" s="948"/>
      <c r="D32" s="949">
        <f t="shared" ref="D32:E32" si="32">SUM(D2:D31)</f>
        <v>430000</v>
      </c>
      <c r="E32" s="949">
        <f t="shared" si="32"/>
        <v>209000</v>
      </c>
      <c r="F32" s="949">
        <f t="shared" ref="F32:Q32" si="33">SUM(F2:F30)</f>
        <v>0</v>
      </c>
      <c r="G32" s="949">
        <f t="shared" si="33"/>
        <v>45000</v>
      </c>
      <c r="H32" s="949">
        <f t="shared" si="33"/>
        <v>42000</v>
      </c>
      <c r="I32" s="949">
        <f t="shared" si="33"/>
        <v>48500</v>
      </c>
      <c r="J32" s="949">
        <f t="shared" si="33"/>
        <v>52000</v>
      </c>
      <c r="K32" s="949">
        <f t="shared" si="33"/>
        <v>52000</v>
      </c>
      <c r="L32" s="949">
        <f t="shared" si="33"/>
        <v>57000</v>
      </c>
      <c r="M32" s="949">
        <f t="shared" si="33"/>
        <v>91450</v>
      </c>
      <c r="N32" s="949">
        <f t="shared" si="33"/>
        <v>98500</v>
      </c>
      <c r="O32" s="949">
        <f t="shared" si="33"/>
        <v>109500</v>
      </c>
      <c r="P32" s="949">
        <f t="shared" si="33"/>
        <v>134000</v>
      </c>
      <c r="Q32" s="949">
        <f t="shared" si="33"/>
        <v>176600</v>
      </c>
      <c r="R32" s="949">
        <f>SUM(R2:R31)</f>
        <v>171000</v>
      </c>
      <c r="S32" s="949">
        <f t="shared" ref="S32:U32" si="34">SUM(S2:S30)</f>
        <v>1074550</v>
      </c>
      <c r="T32" s="949">
        <f t="shared" si="34"/>
        <v>352900</v>
      </c>
      <c r="U32" s="949">
        <f t="shared" si="34"/>
        <v>1427450</v>
      </c>
      <c r="V32" s="949">
        <f>SUM(V2:V31)</f>
        <v>860000</v>
      </c>
      <c r="W32" s="949">
        <f t="shared" ref="W32:AH32" si="35">SUM(W2:W30)</f>
        <v>607450</v>
      </c>
      <c r="X32" s="949">
        <f t="shared" si="35"/>
        <v>34000</v>
      </c>
      <c r="Y32" s="949">
        <f t="shared" si="35"/>
        <v>37000</v>
      </c>
      <c r="Z32" s="949">
        <f t="shared" si="35"/>
        <v>32000</v>
      </c>
      <c r="AA32" s="949">
        <f t="shared" si="35"/>
        <v>65000</v>
      </c>
      <c r="AB32" s="949">
        <f t="shared" si="35"/>
        <v>55500</v>
      </c>
      <c r="AC32" s="949">
        <f t="shared" si="35"/>
        <v>89500</v>
      </c>
      <c r="AD32" s="949">
        <f t="shared" si="35"/>
        <v>90000</v>
      </c>
      <c r="AE32" s="949">
        <f t="shared" si="35"/>
        <v>117000</v>
      </c>
      <c r="AF32" s="949">
        <f t="shared" si="35"/>
        <v>129000</v>
      </c>
      <c r="AG32" s="949">
        <f t="shared" si="35"/>
        <v>615000</v>
      </c>
      <c r="AH32" s="949">
        <f t="shared" si="35"/>
        <v>132450</v>
      </c>
      <c r="AI32" s="304"/>
    </row>
    <row r="33" spans="2:33" ht="15.75" hidden="1" customHeight="1">
      <c r="B33" s="859"/>
      <c r="C33" s="859"/>
      <c r="D33" s="950" t="s">
        <v>44</v>
      </c>
      <c r="G33" s="951"/>
      <c r="H33" s="951"/>
      <c r="I33" s="951"/>
      <c r="J33" s="951"/>
      <c r="K33" s="951"/>
      <c r="L33" s="951"/>
      <c r="M33" s="951"/>
      <c r="N33" s="951"/>
      <c r="O33" s="951"/>
      <c r="P33" s="951"/>
      <c r="Q33" s="951"/>
      <c r="R33" s="951"/>
      <c r="S33" s="96"/>
      <c r="T33" s="96"/>
      <c r="Z33" s="955"/>
      <c r="AG33" s="96"/>
    </row>
    <row r="34" spans="2:33" ht="15.75" hidden="1" customHeight="1">
      <c r="B34" s="952"/>
      <c r="C34" s="952"/>
      <c r="D34" s="950" t="s">
        <v>45</v>
      </c>
      <c r="E34" s="953"/>
      <c r="G34" s="951"/>
      <c r="H34" s="951"/>
      <c r="I34" s="951"/>
      <c r="J34" s="951"/>
      <c r="K34" s="951"/>
      <c r="L34" s="951"/>
      <c r="M34" s="951"/>
      <c r="N34" s="951"/>
      <c r="O34" s="951"/>
      <c r="P34" s="951"/>
      <c r="Q34" s="951"/>
      <c r="R34" s="951"/>
      <c r="S34" s="96"/>
      <c r="T34" s="96"/>
      <c r="Z34" s="36"/>
      <c r="AG34" s="96"/>
    </row>
    <row r="35" spans="2:33" ht="15.75" hidden="1" customHeight="1">
      <c r="B35" s="954"/>
      <c r="C35" s="954"/>
      <c r="D35" s="950" t="s">
        <v>46</v>
      </c>
      <c r="E35" s="36"/>
      <c r="G35" s="951"/>
      <c r="H35" s="951"/>
      <c r="I35" s="951"/>
      <c r="J35" s="951"/>
      <c r="K35" s="951"/>
      <c r="L35" s="951"/>
      <c r="M35" s="951"/>
      <c r="N35" s="951"/>
      <c r="O35" s="951"/>
      <c r="P35" s="951"/>
      <c r="Q35" s="951"/>
      <c r="R35" s="951"/>
      <c r="S35" s="96"/>
      <c r="T35" s="96"/>
      <c r="Z35" s="36"/>
      <c r="AG35" s="96"/>
    </row>
    <row r="36" spans="2:33" ht="15.75" customHeight="1">
      <c r="D36" s="951"/>
      <c r="E36" s="36"/>
      <c r="G36" s="951"/>
      <c r="H36" s="951"/>
      <c r="I36" s="951"/>
      <c r="J36" s="951"/>
      <c r="K36" s="951"/>
      <c r="L36" s="951"/>
      <c r="M36" s="951"/>
      <c r="N36" s="951"/>
      <c r="O36" s="951"/>
      <c r="P36" s="951"/>
      <c r="Q36" s="951"/>
      <c r="R36" s="951"/>
      <c r="S36" s="96"/>
      <c r="T36" s="96"/>
      <c r="Z36" s="36"/>
      <c r="AG36" s="96"/>
    </row>
    <row r="37" spans="2:33" ht="15.75" customHeight="1">
      <c r="D37" s="951"/>
      <c r="E37" s="36"/>
      <c r="G37" s="951"/>
      <c r="H37" s="951"/>
      <c r="I37" s="951"/>
      <c r="J37" s="951"/>
      <c r="K37" s="951"/>
      <c r="L37" s="951"/>
      <c r="M37" s="951"/>
      <c r="N37" s="951"/>
      <c r="O37" s="951"/>
      <c r="P37" s="951"/>
      <c r="Q37" s="951"/>
      <c r="R37" s="951"/>
      <c r="S37" s="96"/>
      <c r="T37" s="96"/>
      <c r="Z37" s="36"/>
      <c r="AG37" s="96"/>
    </row>
    <row r="38" spans="2:33" ht="15.75" customHeight="1">
      <c r="D38" s="951"/>
      <c r="E38" s="36"/>
      <c r="G38" s="951"/>
      <c r="H38" s="951"/>
      <c r="I38" s="951"/>
      <c r="J38" s="951"/>
      <c r="K38" s="951"/>
      <c r="L38" s="951"/>
      <c r="M38" s="951"/>
      <c r="N38" s="951"/>
      <c r="O38" s="951"/>
      <c r="P38" s="951"/>
      <c r="Q38" s="951"/>
      <c r="R38" s="951"/>
      <c r="S38" s="96"/>
      <c r="AG38" s="96"/>
    </row>
    <row r="39" spans="2:33" ht="15.75" customHeight="1">
      <c r="D39" s="951"/>
      <c r="E39" s="36"/>
      <c r="G39" s="951"/>
      <c r="H39" s="951"/>
      <c r="I39" s="951"/>
      <c r="J39" s="951"/>
      <c r="K39" s="951"/>
      <c r="L39" s="951"/>
      <c r="M39" s="951"/>
      <c r="N39" s="951"/>
      <c r="O39" s="951"/>
      <c r="P39" s="951"/>
      <c r="Q39" s="951"/>
      <c r="R39" s="951"/>
      <c r="S39" s="96"/>
      <c r="T39" s="96"/>
      <c r="Z39" s="36"/>
      <c r="AG39" s="96"/>
    </row>
    <row r="40" spans="2:33" ht="15.75" customHeight="1">
      <c r="D40" s="951"/>
      <c r="E40" s="36"/>
      <c r="G40" s="951"/>
      <c r="H40" s="951"/>
      <c r="I40" s="951"/>
      <c r="J40" s="951"/>
      <c r="K40" s="951"/>
      <c r="L40" s="951"/>
      <c r="M40" s="951"/>
      <c r="N40" s="951"/>
      <c r="O40" s="951"/>
      <c r="P40" s="951"/>
      <c r="Q40" s="951"/>
      <c r="R40" s="951"/>
      <c r="S40" s="96"/>
      <c r="T40" s="96"/>
      <c r="Z40" s="36"/>
      <c r="AG40" s="96"/>
    </row>
    <row r="41" spans="2:33" ht="15.75" customHeight="1">
      <c r="D41" s="951"/>
      <c r="E41" s="955"/>
      <c r="G41" s="951"/>
      <c r="H41" s="951"/>
      <c r="I41" s="951"/>
      <c r="J41" s="951"/>
      <c r="K41" s="951"/>
      <c r="L41" s="951"/>
      <c r="M41" s="951"/>
      <c r="N41" s="951"/>
      <c r="O41" s="951"/>
      <c r="P41" s="951"/>
      <c r="Q41" s="951"/>
      <c r="R41" s="951"/>
      <c r="S41" s="96"/>
      <c r="T41" s="96"/>
      <c r="Z41" s="36"/>
      <c r="AG41" s="96"/>
    </row>
    <row r="42" spans="2:33" ht="15.75" customHeight="1">
      <c r="D42" s="951"/>
      <c r="E42" s="36"/>
      <c r="F42">
        <v>69500</v>
      </c>
      <c r="G42" s="951">
        <v>108000</v>
      </c>
      <c r="H42" s="951"/>
      <c r="I42" s="951"/>
      <c r="J42" s="951"/>
      <c r="K42" s="951"/>
      <c r="L42" s="951"/>
      <c r="M42" s="951"/>
      <c r="N42" s="951"/>
      <c r="O42" s="951"/>
      <c r="P42" s="951"/>
      <c r="Q42" s="951"/>
      <c r="R42" s="951"/>
      <c r="S42" s="96"/>
      <c r="T42" s="96"/>
      <c r="Z42" s="36"/>
      <c r="AG42" s="96"/>
    </row>
    <row r="43" spans="2:33" ht="15.75" customHeight="1">
      <c r="D43" s="951"/>
      <c r="E43" s="36"/>
      <c r="F43">
        <v>25000</v>
      </c>
      <c r="G43" s="951">
        <f>F42+F43-(G42)</f>
        <v>-13500</v>
      </c>
      <c r="H43" s="951"/>
      <c r="I43" s="951"/>
      <c r="J43" s="951"/>
      <c r="K43" s="951"/>
      <c r="L43" s="951"/>
      <c r="M43" s="951"/>
      <c r="N43" s="951"/>
      <c r="O43" s="951"/>
      <c r="P43" s="951"/>
      <c r="Q43" s="951"/>
      <c r="R43" s="951"/>
      <c r="S43" s="96"/>
      <c r="T43" s="96"/>
      <c r="Z43" s="36"/>
      <c r="AG43" s="96"/>
    </row>
    <row r="44" spans="2:33" ht="15.75" customHeight="1">
      <c r="D44" s="951"/>
      <c r="E44" s="36"/>
      <c r="F44">
        <v>40500</v>
      </c>
      <c r="G44" s="951"/>
      <c r="H44" s="951"/>
      <c r="I44" s="951"/>
      <c r="J44" s="951"/>
      <c r="K44" s="951"/>
      <c r="L44" s="951"/>
      <c r="M44" s="951"/>
      <c r="N44" s="951"/>
      <c r="O44" s="951"/>
      <c r="P44" s="951"/>
      <c r="Q44" s="951"/>
      <c r="R44" s="951"/>
      <c r="S44" s="96"/>
      <c r="T44" s="96"/>
      <c r="Z44" s="36"/>
      <c r="AG44" s="96"/>
    </row>
    <row r="45" spans="2:33" ht="15.75" customHeight="1">
      <c r="D45" s="951"/>
      <c r="E45" s="36"/>
      <c r="G45" s="951"/>
      <c r="H45" s="951"/>
      <c r="I45" s="951"/>
      <c r="J45" s="951"/>
      <c r="K45" s="951"/>
      <c r="L45" s="951"/>
      <c r="M45" s="951"/>
      <c r="N45" s="951"/>
      <c r="O45" s="951"/>
      <c r="P45" s="951"/>
      <c r="Q45" s="951"/>
      <c r="R45" s="951"/>
      <c r="S45" s="96"/>
      <c r="T45" s="96"/>
      <c r="Z45" s="36"/>
      <c r="AG45" s="96"/>
    </row>
    <row r="46" spans="2:33" ht="15.75" customHeight="1">
      <c r="D46" s="951"/>
      <c r="E46" s="36"/>
      <c r="G46" s="951"/>
      <c r="H46" s="951"/>
      <c r="I46" s="951"/>
      <c r="J46" s="951"/>
      <c r="K46" s="951"/>
      <c r="L46" s="951"/>
      <c r="M46" s="951"/>
      <c r="N46" s="951"/>
      <c r="O46" s="951"/>
      <c r="P46" s="951"/>
      <c r="Q46" s="951"/>
      <c r="R46" s="951"/>
      <c r="S46" s="96"/>
      <c r="T46" s="96"/>
      <c r="Z46" s="36"/>
      <c r="AG46" s="96"/>
    </row>
    <row r="47" spans="2:33" ht="15.75" customHeight="1">
      <c r="D47" s="951"/>
      <c r="E47" s="36"/>
      <c r="G47" s="951"/>
      <c r="H47" s="951"/>
      <c r="I47" s="951"/>
      <c r="J47" s="951"/>
      <c r="K47" s="951"/>
      <c r="L47" s="951"/>
      <c r="M47" s="951"/>
      <c r="N47" s="951"/>
      <c r="O47" s="951"/>
      <c r="P47" s="951"/>
      <c r="Q47" s="951"/>
      <c r="R47" s="951"/>
      <c r="S47" s="96"/>
      <c r="T47" s="96"/>
      <c r="Z47" s="36"/>
      <c r="AG47" s="96"/>
    </row>
    <row r="48" spans="2:33" ht="15.75" customHeight="1">
      <c r="D48" s="951"/>
      <c r="G48" s="951"/>
      <c r="H48" s="951"/>
      <c r="I48" s="951"/>
      <c r="J48" s="951"/>
      <c r="K48" s="951"/>
      <c r="L48" s="951"/>
      <c r="M48" s="951"/>
      <c r="N48" s="951"/>
      <c r="O48" s="951"/>
      <c r="P48" s="951"/>
      <c r="Q48" s="951"/>
      <c r="R48" s="951"/>
      <c r="S48" s="96"/>
      <c r="T48" s="96"/>
      <c r="Z48" s="36"/>
      <c r="AG48" s="96"/>
    </row>
    <row r="49" spans="4:33" ht="15.75" customHeight="1">
      <c r="D49" s="951"/>
      <c r="G49" s="951"/>
      <c r="H49" s="951"/>
      <c r="I49" s="951"/>
      <c r="J49" s="951"/>
      <c r="K49" s="951"/>
      <c r="L49" s="951"/>
      <c r="M49" s="951"/>
      <c r="N49" s="951"/>
      <c r="O49" s="951"/>
      <c r="P49" s="951"/>
      <c r="Q49" s="951"/>
      <c r="R49" s="951"/>
      <c r="S49" s="96"/>
      <c r="T49" s="96"/>
      <c r="Z49" s="36"/>
      <c r="AG49" s="96"/>
    </row>
    <row r="50" spans="4:33" ht="15.75" customHeight="1">
      <c r="D50" s="951"/>
      <c r="G50" s="951"/>
      <c r="H50" s="951"/>
      <c r="I50" s="951"/>
      <c r="J50" s="951"/>
      <c r="K50" s="951"/>
      <c r="L50" s="951"/>
      <c r="M50" s="951"/>
      <c r="N50" s="951"/>
      <c r="O50" s="951"/>
      <c r="P50" s="951"/>
      <c r="Q50" s="951"/>
      <c r="R50" s="951"/>
      <c r="S50" s="96"/>
      <c r="T50" s="96"/>
      <c r="Z50" s="36"/>
      <c r="AG50" s="96"/>
    </row>
    <row r="51" spans="4:33" ht="15.75" customHeight="1">
      <c r="D51" s="951"/>
      <c r="G51" s="951"/>
      <c r="H51" s="951"/>
      <c r="I51" s="951"/>
      <c r="J51" s="951"/>
      <c r="K51" s="951"/>
      <c r="L51" s="951"/>
      <c r="M51" s="951"/>
      <c r="N51" s="951"/>
      <c r="O51" s="951"/>
      <c r="P51" s="951"/>
      <c r="Q51" s="951"/>
      <c r="R51" s="951"/>
      <c r="S51" s="96"/>
      <c r="T51" s="96"/>
      <c r="Z51" s="36"/>
      <c r="AG51" s="96"/>
    </row>
    <row r="52" spans="4:33" ht="15.75" customHeight="1">
      <c r="D52" s="951"/>
      <c r="G52" s="951"/>
      <c r="H52" s="951"/>
      <c r="I52" s="951"/>
      <c r="J52" s="951"/>
      <c r="K52" s="951"/>
      <c r="L52" s="951"/>
      <c r="M52" s="951"/>
      <c r="N52" s="951"/>
      <c r="O52" s="951"/>
      <c r="P52" s="951"/>
      <c r="Q52" s="951"/>
      <c r="R52" s="951"/>
      <c r="S52" s="96"/>
      <c r="T52" s="96"/>
      <c r="Z52" s="36"/>
      <c r="AG52" s="96"/>
    </row>
    <row r="53" spans="4:33" ht="15.75" customHeight="1">
      <c r="D53" s="951"/>
      <c r="G53" s="951"/>
      <c r="H53" s="951"/>
      <c r="I53" s="951"/>
      <c r="J53" s="951"/>
      <c r="K53" s="951"/>
      <c r="L53" s="951"/>
      <c r="M53" s="951"/>
      <c r="N53" s="951"/>
      <c r="O53" s="951"/>
      <c r="P53" s="951"/>
      <c r="Q53" s="951"/>
      <c r="R53" s="951"/>
      <c r="S53" s="96"/>
      <c r="T53" s="96"/>
      <c r="Z53" s="36"/>
      <c r="AG53" s="96"/>
    </row>
    <row r="54" spans="4:33" ht="15.75" customHeight="1">
      <c r="D54" s="951"/>
      <c r="G54" s="951"/>
      <c r="H54" s="951"/>
      <c r="I54" s="951"/>
      <c r="J54" s="951"/>
      <c r="K54" s="951"/>
      <c r="L54" s="951"/>
      <c r="M54" s="951"/>
      <c r="N54" s="951"/>
      <c r="O54" s="951"/>
      <c r="P54" s="951"/>
      <c r="Q54" s="951"/>
      <c r="R54" s="951"/>
      <c r="S54" s="96"/>
      <c r="T54" s="96"/>
      <c r="Z54" s="36"/>
      <c r="AG54" s="96"/>
    </row>
    <row r="55" spans="4:33" ht="15.75" customHeight="1">
      <c r="D55" s="951"/>
      <c r="G55" s="951"/>
      <c r="H55" s="951"/>
      <c r="I55" s="951"/>
      <c r="J55" s="951"/>
      <c r="K55" s="951"/>
      <c r="L55" s="951"/>
      <c r="M55" s="951"/>
      <c r="N55" s="951"/>
      <c r="O55" s="951"/>
      <c r="P55" s="951"/>
      <c r="Q55" s="951"/>
      <c r="R55" s="951"/>
      <c r="S55" s="96"/>
      <c r="T55" s="96"/>
      <c r="Z55" s="36"/>
      <c r="AG55" s="96"/>
    </row>
    <row r="56" spans="4:33" ht="15.75" customHeight="1">
      <c r="D56" s="951"/>
      <c r="G56" s="951"/>
      <c r="H56" s="951"/>
      <c r="I56" s="951"/>
      <c r="J56" s="951"/>
      <c r="K56" s="951"/>
      <c r="L56" s="951"/>
      <c r="M56" s="951"/>
      <c r="N56" s="951"/>
      <c r="O56" s="951"/>
      <c r="P56" s="951"/>
      <c r="Q56" s="951"/>
      <c r="R56" s="951"/>
      <c r="S56" s="96"/>
      <c r="T56" s="96"/>
      <c r="Z56" s="36"/>
      <c r="AG56" s="96"/>
    </row>
    <row r="57" spans="4:33" ht="15.75" customHeight="1">
      <c r="D57" s="951"/>
      <c r="G57" s="951"/>
      <c r="H57" s="951"/>
      <c r="I57" s="951"/>
      <c r="J57" s="951"/>
      <c r="K57" s="951"/>
      <c r="L57" s="951"/>
      <c r="M57" s="951"/>
      <c r="N57" s="951"/>
      <c r="O57" s="951"/>
      <c r="P57" s="951"/>
      <c r="Q57" s="951"/>
      <c r="R57" s="951"/>
      <c r="S57" s="96"/>
      <c r="T57" s="96"/>
      <c r="Z57" s="36"/>
      <c r="AG57" s="96"/>
    </row>
    <row r="58" spans="4:33" ht="15.75" customHeight="1">
      <c r="D58" s="951"/>
      <c r="G58" s="951"/>
      <c r="H58" s="951"/>
      <c r="I58" s="951"/>
      <c r="J58" s="951"/>
      <c r="K58" s="951"/>
      <c r="L58" s="951"/>
      <c r="M58" s="951"/>
      <c r="N58" s="951"/>
      <c r="O58" s="951"/>
      <c r="P58" s="951"/>
      <c r="Q58" s="951"/>
      <c r="R58" s="951"/>
      <c r="S58" s="96"/>
      <c r="T58" s="96"/>
      <c r="Z58" s="36"/>
      <c r="AG58" s="96"/>
    </row>
    <row r="59" spans="4:33" ht="15.75" customHeight="1">
      <c r="D59" s="951"/>
      <c r="G59" s="951"/>
      <c r="H59" s="951"/>
      <c r="I59" s="951"/>
      <c r="J59" s="951"/>
      <c r="K59" s="951"/>
      <c r="L59" s="951"/>
      <c r="M59" s="951"/>
      <c r="N59" s="951"/>
      <c r="O59" s="951"/>
      <c r="P59" s="951"/>
      <c r="Q59" s="951"/>
      <c r="R59" s="951"/>
      <c r="S59" s="96"/>
      <c r="T59" s="96"/>
      <c r="Z59" s="36"/>
      <c r="AG59" s="96"/>
    </row>
    <row r="60" spans="4:33" ht="15.75" customHeight="1">
      <c r="D60" s="951"/>
      <c r="G60" s="951"/>
      <c r="H60" s="951"/>
      <c r="I60" s="951"/>
      <c r="J60" s="951"/>
      <c r="K60" s="951"/>
      <c r="L60" s="951"/>
      <c r="M60" s="951"/>
      <c r="N60" s="951"/>
      <c r="O60" s="951"/>
      <c r="P60" s="951"/>
      <c r="Q60" s="951"/>
      <c r="R60" s="951"/>
      <c r="S60" s="96"/>
      <c r="T60" s="96"/>
      <c r="Z60" s="36"/>
      <c r="AG60" s="96"/>
    </row>
    <row r="61" spans="4:33" ht="15.75" customHeight="1">
      <c r="D61" s="951"/>
      <c r="G61" s="951"/>
      <c r="H61" s="951"/>
      <c r="I61" s="951"/>
      <c r="J61" s="951"/>
      <c r="K61" s="951"/>
      <c r="L61" s="951"/>
      <c r="M61" s="951"/>
      <c r="N61" s="951"/>
      <c r="O61" s="951"/>
      <c r="P61" s="951"/>
      <c r="Q61" s="951"/>
      <c r="R61" s="951"/>
      <c r="S61" s="96"/>
      <c r="T61" s="96"/>
      <c r="Z61" s="36"/>
      <c r="AG61" s="96"/>
    </row>
    <row r="62" spans="4:33" ht="15.75" customHeight="1">
      <c r="D62" s="951"/>
      <c r="G62" s="951"/>
      <c r="H62" s="951"/>
      <c r="I62" s="951"/>
      <c r="J62" s="951"/>
      <c r="K62" s="951"/>
      <c r="L62" s="951"/>
      <c r="M62" s="951"/>
      <c r="N62" s="951"/>
      <c r="O62" s="951"/>
      <c r="P62" s="951"/>
      <c r="Q62" s="951"/>
      <c r="R62" s="951"/>
      <c r="S62" s="96"/>
      <c r="T62" s="96"/>
      <c r="Z62" s="36"/>
      <c r="AG62" s="96"/>
    </row>
    <row r="63" spans="4:33" ht="15.75" customHeight="1">
      <c r="D63" s="951"/>
      <c r="G63" s="951"/>
      <c r="H63" s="951"/>
      <c r="I63" s="951"/>
      <c r="J63" s="951"/>
      <c r="K63" s="951"/>
      <c r="L63" s="951"/>
      <c r="M63" s="951"/>
      <c r="N63" s="951"/>
      <c r="O63" s="951"/>
      <c r="P63" s="951"/>
      <c r="Q63" s="951"/>
      <c r="R63" s="951"/>
      <c r="S63" s="96"/>
      <c r="T63" s="96"/>
      <c r="Z63" s="36"/>
      <c r="AG63" s="96"/>
    </row>
    <row r="64" spans="4:33" ht="15.75" customHeight="1">
      <c r="D64" s="951"/>
      <c r="G64" s="951"/>
      <c r="H64" s="951"/>
      <c r="I64" s="951"/>
      <c r="J64" s="951"/>
      <c r="K64" s="951"/>
      <c r="L64" s="951"/>
      <c r="M64" s="951"/>
      <c r="N64" s="951"/>
      <c r="O64" s="951"/>
      <c r="P64" s="951"/>
      <c r="Q64" s="951"/>
      <c r="R64" s="951"/>
      <c r="S64" s="96"/>
      <c r="T64" s="96"/>
      <c r="Z64" s="36"/>
      <c r="AG64" s="96"/>
    </row>
    <row r="65" spans="4:33" ht="15.75" customHeight="1">
      <c r="D65" s="951"/>
      <c r="G65" s="951"/>
      <c r="H65" s="951"/>
      <c r="I65" s="951"/>
      <c r="J65" s="951"/>
      <c r="K65" s="951"/>
      <c r="L65" s="951"/>
      <c r="M65" s="951"/>
      <c r="N65" s="951"/>
      <c r="O65" s="951"/>
      <c r="P65" s="951"/>
      <c r="Q65" s="951"/>
      <c r="R65" s="951"/>
      <c r="S65" s="96"/>
      <c r="T65" s="96"/>
      <c r="Z65" s="36"/>
      <c r="AG65" s="96"/>
    </row>
    <row r="66" spans="4:33" ht="15.75" customHeight="1">
      <c r="D66" s="951"/>
      <c r="G66" s="951"/>
      <c r="H66" s="951"/>
      <c r="I66" s="951"/>
      <c r="J66" s="951"/>
      <c r="K66" s="951"/>
      <c r="L66" s="951"/>
      <c r="M66" s="951"/>
      <c r="N66" s="951"/>
      <c r="O66" s="951"/>
      <c r="P66" s="951"/>
      <c r="Q66" s="951"/>
      <c r="R66" s="951"/>
      <c r="S66" s="96"/>
      <c r="T66" s="96"/>
      <c r="Z66" s="36"/>
      <c r="AG66" s="96"/>
    </row>
    <row r="67" spans="4:33" ht="15.75" customHeight="1">
      <c r="D67" s="951"/>
      <c r="G67" s="951"/>
      <c r="H67" s="951"/>
      <c r="I67" s="951"/>
      <c r="J67" s="951"/>
      <c r="K67" s="951"/>
      <c r="L67" s="951"/>
      <c r="M67" s="951"/>
      <c r="N67" s="951"/>
      <c r="O67" s="951"/>
      <c r="P67" s="951"/>
      <c r="Q67" s="951"/>
      <c r="R67" s="951"/>
      <c r="S67" s="96"/>
      <c r="T67" s="96"/>
      <c r="Z67" s="36"/>
      <c r="AG67" s="96"/>
    </row>
    <row r="68" spans="4:33" ht="15.75" customHeight="1">
      <c r="D68" s="951"/>
      <c r="G68" s="951"/>
      <c r="H68" s="951"/>
      <c r="I68" s="951"/>
      <c r="J68" s="951"/>
      <c r="K68" s="951"/>
      <c r="L68" s="951"/>
      <c r="M68" s="951"/>
      <c r="N68" s="951"/>
      <c r="O68" s="951"/>
      <c r="P68" s="951"/>
      <c r="Q68" s="951"/>
      <c r="R68" s="951"/>
      <c r="S68" s="96"/>
      <c r="T68" s="96"/>
      <c r="Z68" s="36"/>
      <c r="AG68" s="96"/>
    </row>
    <row r="69" spans="4:33" ht="15.75" customHeight="1">
      <c r="D69" s="951"/>
      <c r="G69" s="951"/>
      <c r="H69" s="951"/>
      <c r="I69" s="951"/>
      <c r="J69" s="951"/>
      <c r="K69" s="951"/>
      <c r="L69" s="951"/>
      <c r="M69" s="951"/>
      <c r="N69" s="951"/>
      <c r="O69" s="951"/>
      <c r="P69" s="951"/>
      <c r="Q69" s="951"/>
      <c r="R69" s="951"/>
      <c r="S69" s="96"/>
      <c r="T69" s="96"/>
      <c r="Z69" s="36"/>
      <c r="AG69" s="96"/>
    </row>
    <row r="70" spans="4:33" ht="15.75" customHeight="1">
      <c r="D70" s="951"/>
      <c r="G70" s="951"/>
      <c r="H70" s="951"/>
      <c r="I70" s="951"/>
      <c r="J70" s="951"/>
      <c r="K70" s="951"/>
      <c r="L70" s="951"/>
      <c r="M70" s="951"/>
      <c r="N70" s="951"/>
      <c r="O70" s="951"/>
      <c r="P70" s="951"/>
      <c r="Q70" s="951"/>
      <c r="R70" s="951"/>
      <c r="S70" s="96"/>
      <c r="T70" s="96"/>
      <c r="Z70" s="36"/>
      <c r="AG70" s="96"/>
    </row>
    <row r="71" spans="4:33" ht="15.75" customHeight="1">
      <c r="D71" s="951"/>
      <c r="G71" s="951"/>
      <c r="H71" s="951"/>
      <c r="I71" s="951"/>
      <c r="J71" s="951"/>
      <c r="K71" s="951"/>
      <c r="L71" s="951"/>
      <c r="M71" s="951"/>
      <c r="N71" s="951"/>
      <c r="O71" s="951"/>
      <c r="P71" s="951"/>
      <c r="Q71" s="951"/>
      <c r="R71" s="951"/>
      <c r="S71" s="96"/>
      <c r="T71" s="96"/>
      <c r="Z71" s="36"/>
      <c r="AG71" s="96"/>
    </row>
    <row r="72" spans="4:33" ht="15.75" customHeight="1">
      <c r="D72" s="951"/>
      <c r="G72" s="951"/>
      <c r="H72" s="951"/>
      <c r="I72" s="951"/>
      <c r="J72" s="951"/>
      <c r="K72" s="951"/>
      <c r="L72" s="951"/>
      <c r="M72" s="951"/>
      <c r="N72" s="951"/>
      <c r="O72" s="951"/>
      <c r="P72" s="951"/>
      <c r="Q72" s="951"/>
      <c r="R72" s="951"/>
      <c r="S72" s="96"/>
      <c r="T72" s="96"/>
      <c r="Z72" s="36"/>
      <c r="AG72" s="96"/>
    </row>
    <row r="73" spans="4:33" ht="15.75" customHeight="1">
      <c r="D73" s="951"/>
      <c r="G73" s="951"/>
      <c r="H73" s="951"/>
      <c r="I73" s="951"/>
      <c r="J73" s="951"/>
      <c r="K73" s="951"/>
      <c r="L73" s="951"/>
      <c r="M73" s="951"/>
      <c r="N73" s="951"/>
      <c r="O73" s="951"/>
      <c r="P73" s="951"/>
      <c r="Q73" s="951"/>
      <c r="R73" s="951"/>
      <c r="S73" s="96"/>
      <c r="T73" s="96"/>
      <c r="Z73" s="36"/>
      <c r="AG73" s="96"/>
    </row>
    <row r="74" spans="4:33" ht="15.75" customHeight="1">
      <c r="D74" s="951"/>
      <c r="G74" s="951"/>
      <c r="H74" s="951"/>
      <c r="I74" s="951"/>
      <c r="J74" s="951"/>
      <c r="K74" s="951"/>
      <c r="L74" s="951"/>
      <c r="M74" s="951"/>
      <c r="N74" s="951"/>
      <c r="O74" s="951"/>
      <c r="P74" s="951"/>
      <c r="Q74" s="951"/>
      <c r="R74" s="951"/>
      <c r="S74" s="96"/>
      <c r="T74" s="96"/>
      <c r="Z74" s="36"/>
      <c r="AG74" s="96"/>
    </row>
    <row r="75" spans="4:33" ht="15.75" customHeight="1">
      <c r="D75" s="951"/>
      <c r="G75" s="951"/>
      <c r="H75" s="951"/>
      <c r="I75" s="951"/>
      <c r="J75" s="951"/>
      <c r="K75" s="951"/>
      <c r="L75" s="951"/>
      <c r="M75" s="951"/>
      <c r="N75" s="951"/>
      <c r="O75" s="951"/>
      <c r="P75" s="951"/>
      <c r="Q75" s="951"/>
      <c r="R75" s="951"/>
      <c r="S75" s="96"/>
      <c r="T75" s="96"/>
      <c r="Z75" s="36"/>
      <c r="AG75" s="96"/>
    </row>
    <row r="76" spans="4:33" ht="15.75" customHeight="1">
      <c r="D76" s="951"/>
      <c r="G76" s="951"/>
      <c r="H76" s="951"/>
      <c r="I76" s="951"/>
      <c r="J76" s="951"/>
      <c r="K76" s="951"/>
      <c r="L76" s="951"/>
      <c r="M76" s="951"/>
      <c r="N76" s="951"/>
      <c r="O76" s="951"/>
      <c r="P76" s="951"/>
      <c r="Q76" s="951"/>
      <c r="R76" s="951"/>
      <c r="S76" s="96"/>
      <c r="T76" s="96"/>
      <c r="Z76" s="36"/>
      <c r="AG76" s="96"/>
    </row>
    <row r="77" spans="4:33" ht="15.75" customHeight="1">
      <c r="D77" s="951"/>
      <c r="G77" s="951"/>
      <c r="H77" s="951"/>
      <c r="I77" s="951"/>
      <c r="J77" s="951"/>
      <c r="K77" s="951"/>
      <c r="L77" s="951"/>
      <c r="M77" s="951"/>
      <c r="N77" s="951"/>
      <c r="O77" s="951"/>
      <c r="P77" s="951"/>
      <c r="Q77" s="951"/>
      <c r="R77" s="951"/>
      <c r="S77" s="96"/>
      <c r="T77" s="96"/>
      <c r="Z77" s="36"/>
      <c r="AG77" s="96"/>
    </row>
    <row r="78" spans="4:33" ht="15.75" customHeight="1">
      <c r="D78" s="951"/>
      <c r="G78" s="951"/>
      <c r="H78" s="951"/>
      <c r="I78" s="951"/>
      <c r="J78" s="951"/>
      <c r="K78" s="951"/>
      <c r="L78" s="951"/>
      <c r="M78" s="951"/>
      <c r="N78" s="951"/>
      <c r="O78" s="951"/>
      <c r="P78" s="951"/>
      <c r="Q78" s="951"/>
      <c r="R78" s="951"/>
      <c r="S78" s="96"/>
      <c r="T78" s="96"/>
      <c r="Z78" s="36"/>
      <c r="AG78" s="96"/>
    </row>
    <row r="79" spans="4:33" ht="15.75" customHeight="1">
      <c r="D79" s="951"/>
      <c r="G79" s="951"/>
      <c r="H79" s="951"/>
      <c r="I79" s="951"/>
      <c r="J79" s="951"/>
      <c r="K79" s="951"/>
      <c r="L79" s="951"/>
      <c r="M79" s="951"/>
      <c r="N79" s="951"/>
      <c r="O79" s="951"/>
      <c r="P79" s="951"/>
      <c r="Q79" s="951"/>
      <c r="R79" s="951"/>
      <c r="S79" s="96"/>
      <c r="T79" s="96"/>
      <c r="Z79" s="36"/>
      <c r="AG79" s="96"/>
    </row>
    <row r="80" spans="4:33" ht="15.75" customHeight="1">
      <c r="D80" s="951"/>
      <c r="G80" s="951"/>
      <c r="H80" s="951"/>
      <c r="I80" s="951"/>
      <c r="J80" s="951"/>
      <c r="K80" s="951"/>
      <c r="L80" s="951"/>
      <c r="M80" s="951"/>
      <c r="N80" s="951"/>
      <c r="O80" s="951"/>
      <c r="P80" s="951"/>
      <c r="Q80" s="951"/>
      <c r="R80" s="951"/>
      <c r="S80" s="96"/>
      <c r="T80" s="96"/>
      <c r="Z80" s="36"/>
      <c r="AG80" s="96"/>
    </row>
    <row r="81" spans="4:33" ht="15.75" customHeight="1">
      <c r="D81" s="951"/>
      <c r="G81" s="951"/>
      <c r="H81" s="951"/>
      <c r="I81" s="951"/>
      <c r="J81" s="951"/>
      <c r="K81" s="951"/>
      <c r="L81" s="951"/>
      <c r="M81" s="951"/>
      <c r="N81" s="951"/>
      <c r="O81" s="951"/>
      <c r="P81" s="951"/>
      <c r="Q81" s="951"/>
      <c r="R81" s="951"/>
      <c r="S81" s="96"/>
      <c r="T81" s="96"/>
      <c r="Z81" s="36"/>
      <c r="AG81" s="96"/>
    </row>
    <row r="82" spans="4:33" ht="15.75" customHeight="1">
      <c r="D82" s="951"/>
      <c r="G82" s="951"/>
      <c r="H82" s="951"/>
      <c r="I82" s="951"/>
      <c r="J82" s="951"/>
      <c r="K82" s="951"/>
      <c r="L82" s="951"/>
      <c r="M82" s="951"/>
      <c r="N82" s="951"/>
      <c r="O82" s="951"/>
      <c r="P82" s="951"/>
      <c r="Q82" s="951"/>
      <c r="R82" s="951"/>
      <c r="S82" s="96"/>
      <c r="T82" s="96"/>
      <c r="Z82" s="36"/>
      <c r="AG82" s="96"/>
    </row>
    <row r="83" spans="4:33" ht="15.75" customHeight="1">
      <c r="D83" s="951"/>
      <c r="G83" s="951"/>
      <c r="H83" s="951"/>
      <c r="I83" s="951"/>
      <c r="J83" s="951"/>
      <c r="K83" s="951"/>
      <c r="L83" s="951"/>
      <c r="M83" s="951"/>
      <c r="N83" s="951"/>
      <c r="O83" s="951"/>
      <c r="P83" s="951"/>
      <c r="Q83" s="951"/>
      <c r="R83" s="951"/>
      <c r="S83" s="96"/>
      <c r="T83" s="96"/>
      <c r="Z83" s="36"/>
      <c r="AG83" s="96"/>
    </row>
    <row r="84" spans="4:33" ht="15.75" customHeight="1">
      <c r="D84" s="951"/>
      <c r="G84" s="951"/>
      <c r="H84" s="951"/>
      <c r="I84" s="951"/>
      <c r="J84" s="951"/>
      <c r="K84" s="951"/>
      <c r="L84" s="951"/>
      <c r="M84" s="951"/>
      <c r="N84" s="951"/>
      <c r="O84" s="951"/>
      <c r="P84" s="951"/>
      <c r="Q84" s="951"/>
      <c r="R84" s="951"/>
      <c r="S84" s="96"/>
      <c r="T84" s="96"/>
      <c r="Z84" s="36"/>
      <c r="AG84" s="96"/>
    </row>
    <row r="85" spans="4:33" ht="15.75" customHeight="1">
      <c r="D85" s="951"/>
      <c r="G85" s="951"/>
      <c r="H85" s="951"/>
      <c r="I85" s="951"/>
      <c r="J85" s="951"/>
      <c r="K85" s="951"/>
      <c r="L85" s="951"/>
      <c r="M85" s="951"/>
      <c r="N85" s="951"/>
      <c r="O85" s="951"/>
      <c r="P85" s="951"/>
      <c r="Q85" s="951"/>
      <c r="R85" s="951"/>
      <c r="S85" s="96"/>
      <c r="T85" s="96"/>
      <c r="Z85" s="36"/>
      <c r="AG85" s="96"/>
    </row>
    <row r="86" spans="4:33" ht="15.75" customHeight="1">
      <c r="D86" s="951"/>
      <c r="G86" s="951"/>
      <c r="H86" s="951"/>
      <c r="I86" s="951"/>
      <c r="J86" s="951"/>
      <c r="K86" s="951"/>
      <c r="L86" s="951"/>
      <c r="M86" s="951"/>
      <c r="N86" s="951"/>
      <c r="O86" s="951"/>
      <c r="P86" s="951"/>
      <c r="Q86" s="951"/>
      <c r="R86" s="951"/>
      <c r="S86" s="96"/>
      <c r="T86" s="96"/>
      <c r="Z86" s="36"/>
      <c r="AG86" s="96"/>
    </row>
    <row r="87" spans="4:33" ht="15.75" customHeight="1">
      <c r="D87" s="951"/>
      <c r="G87" s="951"/>
      <c r="H87" s="951"/>
      <c r="I87" s="951"/>
      <c r="J87" s="951"/>
      <c r="K87" s="951"/>
      <c r="L87" s="951"/>
      <c r="M87" s="951"/>
      <c r="N87" s="951"/>
      <c r="O87" s="951"/>
      <c r="P87" s="951"/>
      <c r="Q87" s="951"/>
      <c r="R87" s="951"/>
      <c r="S87" s="96"/>
      <c r="T87" s="96"/>
      <c r="Z87" s="36"/>
      <c r="AG87" s="96"/>
    </row>
    <row r="88" spans="4:33" ht="15.75" customHeight="1">
      <c r="D88" s="951"/>
      <c r="G88" s="951"/>
      <c r="H88" s="951"/>
      <c r="I88" s="951"/>
      <c r="J88" s="951"/>
      <c r="K88" s="951"/>
      <c r="L88" s="951"/>
      <c r="M88" s="951"/>
      <c r="N88" s="951"/>
      <c r="O88" s="951"/>
      <c r="P88" s="951"/>
      <c r="Q88" s="951"/>
      <c r="R88" s="951"/>
      <c r="S88" s="96"/>
      <c r="T88" s="96"/>
      <c r="Z88" s="36"/>
      <c r="AG88" s="96"/>
    </row>
    <row r="89" spans="4:33" ht="15.75" customHeight="1">
      <c r="D89" s="951"/>
      <c r="G89" s="951"/>
      <c r="H89" s="951"/>
      <c r="I89" s="951"/>
      <c r="J89" s="951"/>
      <c r="K89" s="951"/>
      <c r="L89" s="951"/>
      <c r="M89" s="951"/>
      <c r="N89" s="951"/>
      <c r="O89" s="951"/>
      <c r="P89" s="951"/>
      <c r="Q89" s="951"/>
      <c r="R89" s="951"/>
      <c r="S89" s="96"/>
      <c r="T89" s="96"/>
      <c r="Z89" s="36"/>
      <c r="AG89" s="96"/>
    </row>
    <row r="90" spans="4:33" ht="15.75" customHeight="1">
      <c r="D90" s="951"/>
      <c r="G90" s="951"/>
      <c r="H90" s="951"/>
      <c r="I90" s="951"/>
      <c r="J90" s="951"/>
      <c r="K90" s="951"/>
      <c r="L90" s="951"/>
      <c r="M90" s="951"/>
      <c r="N90" s="951"/>
      <c r="O90" s="951"/>
      <c r="P90" s="951"/>
      <c r="Q90" s="951"/>
      <c r="R90" s="951"/>
      <c r="S90" s="96"/>
      <c r="T90" s="96"/>
      <c r="Z90" s="36"/>
      <c r="AG90" s="96"/>
    </row>
    <row r="91" spans="4:33" ht="15.75" customHeight="1">
      <c r="D91" s="951"/>
      <c r="G91" s="951"/>
      <c r="H91" s="951"/>
      <c r="I91" s="951"/>
      <c r="J91" s="951"/>
      <c r="K91" s="951"/>
      <c r="L91" s="951"/>
      <c r="M91" s="951"/>
      <c r="N91" s="951"/>
      <c r="O91" s="951"/>
      <c r="P91" s="951"/>
      <c r="Q91" s="951"/>
      <c r="R91" s="951"/>
      <c r="S91" s="96"/>
      <c r="T91" s="96"/>
      <c r="Z91" s="36"/>
      <c r="AG91" s="96"/>
    </row>
    <row r="92" spans="4:33" ht="15.75" customHeight="1">
      <c r="D92" s="951"/>
      <c r="G92" s="951"/>
      <c r="H92" s="951"/>
      <c r="I92" s="951"/>
      <c r="J92" s="951"/>
      <c r="K92" s="951"/>
      <c r="L92" s="951"/>
      <c r="M92" s="951"/>
      <c r="N92" s="951"/>
      <c r="O92" s="951"/>
      <c r="P92" s="951"/>
      <c r="Q92" s="951"/>
      <c r="R92" s="951"/>
      <c r="S92" s="96"/>
      <c r="T92" s="96"/>
      <c r="Z92" s="36"/>
      <c r="AG92" s="96"/>
    </row>
    <row r="93" spans="4:33" ht="15.75" customHeight="1">
      <c r="D93" s="951"/>
      <c r="G93" s="951"/>
      <c r="H93" s="951"/>
      <c r="I93" s="951"/>
      <c r="J93" s="951"/>
      <c r="K93" s="951"/>
      <c r="L93" s="951"/>
      <c r="M93" s="951"/>
      <c r="N93" s="951"/>
      <c r="O93" s="951"/>
      <c r="P93" s="951"/>
      <c r="Q93" s="951"/>
      <c r="R93" s="951"/>
      <c r="S93" s="96"/>
      <c r="T93" s="96"/>
      <c r="Z93" s="36"/>
      <c r="AG93" s="96"/>
    </row>
    <row r="94" spans="4:33" ht="15.75" customHeight="1">
      <c r="D94" s="951"/>
      <c r="G94" s="951"/>
      <c r="H94" s="951"/>
      <c r="I94" s="951"/>
      <c r="J94" s="951"/>
      <c r="K94" s="951"/>
      <c r="L94" s="951"/>
      <c r="M94" s="951"/>
      <c r="N94" s="951"/>
      <c r="O94" s="951"/>
      <c r="P94" s="951"/>
      <c r="Q94" s="951"/>
      <c r="R94" s="951"/>
      <c r="S94" s="96"/>
      <c r="T94" s="96"/>
      <c r="Z94" s="36"/>
      <c r="AG94" s="96"/>
    </row>
    <row r="95" spans="4:33" ht="15.75" customHeight="1">
      <c r="D95" s="951"/>
      <c r="G95" s="951"/>
      <c r="H95" s="951"/>
      <c r="I95" s="951"/>
      <c r="J95" s="951"/>
      <c r="K95" s="951"/>
      <c r="L95" s="951"/>
      <c r="M95" s="951"/>
      <c r="N95" s="951"/>
      <c r="O95" s="951"/>
      <c r="P95" s="951"/>
      <c r="Q95" s="951"/>
      <c r="R95" s="951"/>
      <c r="S95" s="96"/>
      <c r="T95" s="96"/>
      <c r="Z95" s="36"/>
      <c r="AG95" s="96"/>
    </row>
    <row r="96" spans="4:33" ht="15.75" customHeight="1">
      <c r="D96" s="951"/>
      <c r="G96" s="951"/>
      <c r="H96" s="951"/>
      <c r="I96" s="951"/>
      <c r="J96" s="951"/>
      <c r="K96" s="951"/>
      <c r="L96" s="951"/>
      <c r="M96" s="951"/>
      <c r="N96" s="951"/>
      <c r="O96" s="951"/>
      <c r="P96" s="951"/>
      <c r="Q96" s="951"/>
      <c r="R96" s="951"/>
      <c r="S96" s="96"/>
      <c r="T96" s="96"/>
      <c r="Z96" s="36"/>
      <c r="AG96" s="96"/>
    </row>
    <row r="97" spans="4:33" ht="15.75" customHeight="1">
      <c r="D97" s="951"/>
      <c r="G97" s="951"/>
      <c r="H97" s="951"/>
      <c r="I97" s="951"/>
      <c r="J97" s="951"/>
      <c r="K97" s="951"/>
      <c r="L97" s="951"/>
      <c r="M97" s="951"/>
      <c r="N97" s="951"/>
      <c r="O97" s="951"/>
      <c r="P97" s="951"/>
      <c r="Q97" s="951"/>
      <c r="R97" s="951"/>
      <c r="S97" s="96"/>
      <c r="T97" s="96"/>
      <c r="Z97" s="36"/>
      <c r="AG97" s="96"/>
    </row>
    <row r="98" spans="4:33" ht="15.75" customHeight="1">
      <c r="D98" s="951"/>
      <c r="G98" s="951"/>
      <c r="H98" s="951"/>
      <c r="I98" s="951"/>
      <c r="J98" s="951"/>
      <c r="K98" s="951"/>
      <c r="L98" s="951"/>
      <c r="M98" s="951"/>
      <c r="N98" s="951"/>
      <c r="O98" s="951"/>
      <c r="P98" s="951"/>
      <c r="Q98" s="951"/>
      <c r="R98" s="951"/>
      <c r="S98" s="96"/>
      <c r="T98" s="96"/>
      <c r="Z98" s="36"/>
      <c r="AG98" s="96"/>
    </row>
    <row r="99" spans="4:33" ht="15.75" customHeight="1">
      <c r="D99" s="951"/>
      <c r="G99" s="951"/>
      <c r="H99" s="951"/>
      <c r="I99" s="951"/>
      <c r="J99" s="951"/>
      <c r="K99" s="951"/>
      <c r="L99" s="951"/>
      <c r="M99" s="951"/>
      <c r="N99" s="951"/>
      <c r="O99" s="951"/>
      <c r="P99" s="951"/>
      <c r="Q99" s="951"/>
      <c r="R99" s="951"/>
      <c r="S99" s="96"/>
      <c r="T99" s="96"/>
      <c r="Z99" s="36"/>
      <c r="AG99" s="96"/>
    </row>
    <row r="100" spans="4:33" ht="15.75" customHeight="1">
      <c r="D100" s="951"/>
      <c r="G100" s="951"/>
      <c r="H100" s="951"/>
      <c r="I100" s="951"/>
      <c r="J100" s="951"/>
      <c r="K100" s="951"/>
      <c r="L100" s="951"/>
      <c r="M100" s="951"/>
      <c r="N100" s="951"/>
      <c r="O100" s="951"/>
      <c r="P100" s="951"/>
      <c r="Q100" s="951"/>
      <c r="R100" s="951"/>
      <c r="S100" s="96"/>
      <c r="T100" s="96"/>
      <c r="Z100" s="36"/>
      <c r="AG100" s="96"/>
    </row>
    <row r="101" spans="4:33" ht="15.75" customHeight="1">
      <c r="D101" s="951"/>
      <c r="G101" s="951"/>
      <c r="H101" s="951"/>
      <c r="I101" s="951"/>
      <c r="J101" s="951"/>
      <c r="K101" s="951"/>
      <c r="L101" s="951"/>
      <c r="M101" s="951"/>
      <c r="N101" s="951"/>
      <c r="O101" s="951"/>
      <c r="P101" s="951"/>
      <c r="Q101" s="951"/>
      <c r="R101" s="951"/>
      <c r="S101" s="96"/>
      <c r="T101" s="96"/>
      <c r="Z101" s="36"/>
      <c r="AG101" s="96"/>
    </row>
    <row r="102" spans="4:33" ht="15.75" customHeight="1">
      <c r="D102" s="951"/>
      <c r="G102" s="951"/>
      <c r="H102" s="951"/>
      <c r="I102" s="951"/>
      <c r="J102" s="951"/>
      <c r="K102" s="951"/>
      <c r="L102" s="951"/>
      <c r="M102" s="951"/>
      <c r="N102" s="951"/>
      <c r="O102" s="951"/>
      <c r="P102" s="951"/>
      <c r="Q102" s="951"/>
      <c r="R102" s="951"/>
      <c r="S102" s="96"/>
      <c r="T102" s="96"/>
      <c r="Z102" s="36"/>
      <c r="AG102" s="96"/>
    </row>
    <row r="103" spans="4:33" ht="15.75" customHeight="1">
      <c r="D103" s="951"/>
      <c r="G103" s="951"/>
      <c r="H103" s="951"/>
      <c r="I103" s="951"/>
      <c r="J103" s="951"/>
      <c r="K103" s="951"/>
      <c r="L103" s="951"/>
      <c r="M103" s="951"/>
      <c r="N103" s="951"/>
      <c r="O103" s="951"/>
      <c r="P103" s="951"/>
      <c r="Q103" s="951"/>
      <c r="R103" s="951"/>
      <c r="S103" s="96"/>
      <c r="T103" s="96"/>
      <c r="Z103" s="36"/>
      <c r="AG103" s="96"/>
    </row>
    <row r="104" spans="4:33" ht="15.75" customHeight="1">
      <c r="D104" s="951"/>
      <c r="G104" s="951"/>
      <c r="H104" s="951"/>
      <c r="I104" s="951"/>
      <c r="J104" s="951"/>
      <c r="K104" s="951"/>
      <c r="L104" s="951"/>
      <c r="M104" s="951"/>
      <c r="N104" s="951"/>
      <c r="O104" s="951"/>
      <c r="P104" s="951"/>
      <c r="Q104" s="951"/>
      <c r="R104" s="951"/>
      <c r="S104" s="96"/>
      <c r="T104" s="96"/>
      <c r="Z104" s="36"/>
      <c r="AG104" s="96"/>
    </row>
    <row r="105" spans="4:33" ht="15.75" customHeight="1">
      <c r="D105" s="951"/>
      <c r="G105" s="951"/>
      <c r="H105" s="951"/>
      <c r="I105" s="951"/>
      <c r="J105" s="951"/>
      <c r="K105" s="951"/>
      <c r="L105" s="951"/>
      <c r="M105" s="951"/>
      <c r="N105" s="951"/>
      <c r="O105" s="951"/>
      <c r="P105" s="951"/>
      <c r="Q105" s="951"/>
      <c r="R105" s="951"/>
      <c r="S105" s="96"/>
      <c r="T105" s="96"/>
      <c r="Z105" s="36"/>
      <c r="AG105" s="96"/>
    </row>
    <row r="106" spans="4:33" ht="15.75" customHeight="1">
      <c r="D106" s="951"/>
      <c r="G106" s="951"/>
      <c r="H106" s="951"/>
      <c r="I106" s="951"/>
      <c r="J106" s="951"/>
      <c r="K106" s="951"/>
      <c r="L106" s="951"/>
      <c r="M106" s="951"/>
      <c r="N106" s="951"/>
      <c r="O106" s="951"/>
      <c r="P106" s="951"/>
      <c r="Q106" s="951"/>
      <c r="R106" s="951"/>
      <c r="S106" s="96"/>
      <c r="T106" s="96"/>
      <c r="Z106" s="36"/>
      <c r="AG106" s="96"/>
    </row>
    <row r="107" spans="4:33" ht="15.75" customHeight="1">
      <c r="D107" s="951"/>
      <c r="G107" s="951"/>
      <c r="H107" s="951"/>
      <c r="I107" s="951"/>
      <c r="J107" s="951"/>
      <c r="K107" s="951"/>
      <c r="L107" s="951"/>
      <c r="M107" s="951"/>
      <c r="N107" s="951"/>
      <c r="O107" s="951"/>
      <c r="P107" s="951"/>
      <c r="Q107" s="951"/>
      <c r="R107" s="951"/>
      <c r="S107" s="96"/>
      <c r="T107" s="96"/>
      <c r="Z107" s="36"/>
      <c r="AG107" s="96"/>
    </row>
    <row r="108" spans="4:33" ht="15.75" customHeight="1">
      <c r="D108" s="951"/>
      <c r="G108" s="951"/>
      <c r="H108" s="951"/>
      <c r="I108" s="951"/>
      <c r="J108" s="951"/>
      <c r="K108" s="951"/>
      <c r="L108" s="951"/>
      <c r="M108" s="951"/>
      <c r="N108" s="951"/>
      <c r="O108" s="951"/>
      <c r="P108" s="951"/>
      <c r="Q108" s="951"/>
      <c r="R108" s="951"/>
      <c r="S108" s="96"/>
      <c r="T108" s="96"/>
      <c r="Z108" s="36"/>
      <c r="AG108" s="96"/>
    </row>
    <row r="109" spans="4:33" ht="15.75" customHeight="1">
      <c r="D109" s="951"/>
      <c r="G109" s="951"/>
      <c r="H109" s="951"/>
      <c r="I109" s="951"/>
      <c r="J109" s="951"/>
      <c r="K109" s="951"/>
      <c r="L109" s="951"/>
      <c r="M109" s="951"/>
      <c r="N109" s="951"/>
      <c r="O109" s="951"/>
      <c r="P109" s="951"/>
      <c r="Q109" s="951"/>
      <c r="R109" s="951"/>
      <c r="S109" s="96"/>
      <c r="T109" s="96"/>
      <c r="Z109" s="36"/>
      <c r="AG109" s="96"/>
    </row>
    <row r="110" spans="4:33" ht="15.75" customHeight="1">
      <c r="D110" s="951"/>
      <c r="G110" s="951"/>
      <c r="H110" s="951"/>
      <c r="I110" s="951"/>
      <c r="J110" s="951"/>
      <c r="K110" s="951"/>
      <c r="L110" s="951"/>
      <c r="M110" s="951"/>
      <c r="N110" s="951"/>
      <c r="O110" s="951"/>
      <c r="P110" s="951"/>
      <c r="Q110" s="951"/>
      <c r="R110" s="951"/>
      <c r="S110" s="96"/>
      <c r="T110" s="96"/>
      <c r="Z110" s="36"/>
      <c r="AG110" s="96"/>
    </row>
    <row r="111" spans="4:33" ht="15.75" customHeight="1">
      <c r="D111" s="951"/>
      <c r="G111" s="951"/>
      <c r="H111" s="951"/>
      <c r="I111" s="951"/>
      <c r="J111" s="951"/>
      <c r="K111" s="951"/>
      <c r="L111" s="951"/>
      <c r="M111" s="951"/>
      <c r="N111" s="951"/>
      <c r="O111" s="951"/>
      <c r="P111" s="951"/>
      <c r="Q111" s="951"/>
      <c r="R111" s="951"/>
      <c r="S111" s="96"/>
      <c r="T111" s="96"/>
      <c r="Z111" s="36"/>
      <c r="AG111" s="96"/>
    </row>
    <row r="112" spans="4:33" ht="15.75" customHeight="1">
      <c r="D112" s="951"/>
      <c r="G112" s="951"/>
      <c r="H112" s="951"/>
      <c r="I112" s="951"/>
      <c r="J112" s="951"/>
      <c r="K112" s="951"/>
      <c r="L112" s="951"/>
      <c r="M112" s="951"/>
      <c r="N112" s="951"/>
      <c r="O112" s="951"/>
      <c r="P112" s="951"/>
      <c r="Q112" s="951"/>
      <c r="R112" s="951"/>
      <c r="S112" s="96"/>
      <c r="T112" s="96"/>
      <c r="Z112" s="36"/>
      <c r="AG112" s="96"/>
    </row>
    <row r="113" spans="4:33" ht="15.75" customHeight="1">
      <c r="D113" s="951"/>
      <c r="G113" s="951"/>
      <c r="H113" s="951"/>
      <c r="I113" s="951"/>
      <c r="J113" s="951"/>
      <c r="K113" s="951"/>
      <c r="L113" s="951"/>
      <c r="M113" s="951"/>
      <c r="N113" s="951"/>
      <c r="O113" s="951"/>
      <c r="P113" s="951"/>
      <c r="Q113" s="951"/>
      <c r="R113" s="951"/>
      <c r="S113" s="96"/>
      <c r="T113" s="96"/>
      <c r="Z113" s="36"/>
      <c r="AG113" s="96"/>
    </row>
    <row r="114" spans="4:33" ht="15.75" customHeight="1">
      <c r="D114" s="951"/>
      <c r="G114" s="951"/>
      <c r="H114" s="951"/>
      <c r="I114" s="951"/>
      <c r="J114" s="951"/>
      <c r="K114" s="951"/>
      <c r="L114" s="951"/>
      <c r="M114" s="951"/>
      <c r="N114" s="951"/>
      <c r="O114" s="951"/>
      <c r="P114" s="951"/>
      <c r="Q114" s="951"/>
      <c r="R114" s="951"/>
      <c r="S114" s="96"/>
      <c r="T114" s="96"/>
      <c r="Z114" s="36"/>
      <c r="AG114" s="96"/>
    </row>
    <row r="115" spans="4:33" ht="15.75" customHeight="1">
      <c r="D115" s="951"/>
      <c r="G115" s="951"/>
      <c r="H115" s="951"/>
      <c r="I115" s="951"/>
      <c r="J115" s="951"/>
      <c r="K115" s="951"/>
      <c r="L115" s="951"/>
      <c r="M115" s="951"/>
      <c r="N115" s="951"/>
      <c r="O115" s="951"/>
      <c r="P115" s="951"/>
      <c r="Q115" s="951"/>
      <c r="R115" s="951"/>
      <c r="S115" s="96"/>
      <c r="T115" s="96"/>
      <c r="Z115" s="36"/>
      <c r="AG115" s="96"/>
    </row>
    <row r="116" spans="4:33" ht="15.75" customHeight="1">
      <c r="D116" s="951"/>
      <c r="G116" s="951"/>
      <c r="H116" s="951"/>
      <c r="I116" s="951"/>
      <c r="J116" s="951"/>
      <c r="K116" s="951"/>
      <c r="L116" s="951"/>
      <c r="M116" s="951"/>
      <c r="N116" s="951"/>
      <c r="O116" s="951"/>
      <c r="P116" s="951"/>
      <c r="Q116" s="951"/>
      <c r="R116" s="951"/>
      <c r="S116" s="96"/>
      <c r="T116" s="96"/>
      <c r="Z116" s="36"/>
      <c r="AG116" s="96"/>
    </row>
    <row r="117" spans="4:33" ht="15.75" customHeight="1">
      <c r="D117" s="951"/>
      <c r="G117" s="951"/>
      <c r="H117" s="951"/>
      <c r="I117" s="951"/>
      <c r="J117" s="951"/>
      <c r="K117" s="951"/>
      <c r="L117" s="951"/>
      <c r="M117" s="951"/>
      <c r="N117" s="951"/>
      <c r="O117" s="951"/>
      <c r="P117" s="951"/>
      <c r="Q117" s="951"/>
      <c r="R117" s="951"/>
      <c r="S117" s="96"/>
      <c r="T117" s="96"/>
      <c r="Z117" s="36"/>
      <c r="AG117" s="96"/>
    </row>
    <row r="118" spans="4:33" ht="15.75" customHeight="1">
      <c r="D118" s="951"/>
      <c r="G118" s="951"/>
      <c r="H118" s="951"/>
      <c r="I118" s="951"/>
      <c r="J118" s="951"/>
      <c r="K118" s="951"/>
      <c r="L118" s="951"/>
      <c r="M118" s="951"/>
      <c r="N118" s="951"/>
      <c r="O118" s="951"/>
      <c r="P118" s="951"/>
      <c r="Q118" s="951"/>
      <c r="R118" s="951"/>
      <c r="S118" s="96"/>
      <c r="T118" s="96"/>
      <c r="Z118" s="36"/>
      <c r="AG118" s="96"/>
    </row>
    <row r="119" spans="4:33" ht="15.75" customHeight="1">
      <c r="D119" s="951"/>
      <c r="G119" s="951"/>
      <c r="H119" s="951"/>
      <c r="I119" s="951"/>
      <c r="J119" s="951"/>
      <c r="K119" s="951"/>
      <c r="L119" s="951"/>
      <c r="M119" s="951"/>
      <c r="N119" s="951"/>
      <c r="O119" s="951"/>
      <c r="P119" s="951"/>
      <c r="Q119" s="951"/>
      <c r="R119" s="951"/>
      <c r="S119" s="96"/>
      <c r="T119" s="96"/>
      <c r="Z119" s="36"/>
      <c r="AG119" s="96"/>
    </row>
    <row r="120" spans="4:33" ht="15.75" customHeight="1">
      <c r="D120" s="951"/>
      <c r="G120" s="951"/>
      <c r="H120" s="951"/>
      <c r="I120" s="951"/>
      <c r="J120" s="951"/>
      <c r="K120" s="951"/>
      <c r="L120" s="951"/>
      <c r="M120" s="951"/>
      <c r="N120" s="951"/>
      <c r="O120" s="951"/>
      <c r="P120" s="951"/>
      <c r="Q120" s="951"/>
      <c r="R120" s="951"/>
      <c r="S120" s="96"/>
      <c r="T120" s="96"/>
      <c r="Z120" s="36"/>
      <c r="AG120" s="96"/>
    </row>
    <row r="121" spans="4:33" ht="15.75" customHeight="1">
      <c r="D121" s="951"/>
      <c r="G121" s="951"/>
      <c r="H121" s="951"/>
      <c r="I121" s="951"/>
      <c r="J121" s="951"/>
      <c r="K121" s="951"/>
      <c r="L121" s="951"/>
      <c r="M121" s="951"/>
      <c r="N121" s="951"/>
      <c r="O121" s="951"/>
      <c r="P121" s="951"/>
      <c r="Q121" s="951"/>
      <c r="R121" s="951"/>
      <c r="S121" s="96"/>
      <c r="T121" s="96"/>
      <c r="Z121" s="36"/>
      <c r="AG121" s="96"/>
    </row>
    <row r="122" spans="4:33" ht="15.75" customHeight="1">
      <c r="D122" s="951"/>
      <c r="G122" s="951"/>
      <c r="H122" s="951"/>
      <c r="I122" s="951"/>
      <c r="J122" s="951"/>
      <c r="K122" s="951"/>
      <c r="L122" s="951"/>
      <c r="M122" s="951"/>
      <c r="N122" s="951"/>
      <c r="O122" s="951"/>
      <c r="P122" s="951"/>
      <c r="Q122" s="951"/>
      <c r="R122" s="951"/>
      <c r="S122" s="96"/>
      <c r="T122" s="96"/>
      <c r="Z122" s="36"/>
      <c r="AG122" s="96"/>
    </row>
    <row r="123" spans="4:33" ht="15.75" customHeight="1">
      <c r="D123" s="951"/>
      <c r="G123" s="951"/>
      <c r="H123" s="951"/>
      <c r="I123" s="951"/>
      <c r="J123" s="951"/>
      <c r="K123" s="951"/>
      <c r="L123" s="951"/>
      <c r="M123" s="951"/>
      <c r="N123" s="951"/>
      <c r="O123" s="951"/>
      <c r="P123" s="951"/>
      <c r="Q123" s="951"/>
      <c r="R123" s="951"/>
      <c r="S123" s="96"/>
      <c r="T123" s="96"/>
      <c r="Z123" s="36"/>
      <c r="AG123" s="96"/>
    </row>
    <row r="124" spans="4:33" ht="15.75" customHeight="1">
      <c r="D124" s="951"/>
      <c r="G124" s="951"/>
      <c r="H124" s="951"/>
      <c r="I124" s="951"/>
      <c r="J124" s="951"/>
      <c r="K124" s="951"/>
      <c r="L124" s="951"/>
      <c r="M124" s="951"/>
      <c r="N124" s="951"/>
      <c r="O124" s="951"/>
      <c r="P124" s="951"/>
      <c r="Q124" s="951"/>
      <c r="R124" s="951"/>
      <c r="S124" s="96"/>
      <c r="T124" s="96"/>
      <c r="Z124" s="36"/>
      <c r="AG124" s="96"/>
    </row>
    <row r="125" spans="4:33" ht="15.75" customHeight="1">
      <c r="D125" s="951"/>
      <c r="G125" s="951"/>
      <c r="H125" s="951"/>
      <c r="I125" s="951"/>
      <c r="J125" s="951"/>
      <c r="K125" s="951"/>
      <c r="L125" s="951"/>
      <c r="M125" s="951"/>
      <c r="N125" s="951"/>
      <c r="O125" s="951"/>
      <c r="P125" s="951"/>
      <c r="Q125" s="951"/>
      <c r="R125" s="951"/>
      <c r="S125" s="96"/>
      <c r="T125" s="96"/>
      <c r="Z125" s="36"/>
      <c r="AG125" s="96"/>
    </row>
    <row r="126" spans="4:33" ht="15.75" customHeight="1">
      <c r="D126" s="951"/>
      <c r="G126" s="951"/>
      <c r="H126" s="951"/>
      <c r="I126" s="951"/>
      <c r="J126" s="951"/>
      <c r="K126" s="951"/>
      <c r="L126" s="951"/>
      <c r="M126" s="951"/>
      <c r="N126" s="951"/>
      <c r="O126" s="951"/>
      <c r="P126" s="951"/>
      <c r="Q126" s="951"/>
      <c r="R126" s="951"/>
      <c r="S126" s="96"/>
      <c r="T126" s="96"/>
      <c r="Z126" s="36"/>
      <c r="AG126" s="96"/>
    </row>
    <row r="127" spans="4:33" ht="15.75" customHeight="1">
      <c r="D127" s="951"/>
      <c r="G127" s="951"/>
      <c r="H127" s="951"/>
      <c r="I127" s="951"/>
      <c r="J127" s="951"/>
      <c r="K127" s="951"/>
      <c r="L127" s="951"/>
      <c r="M127" s="951"/>
      <c r="N127" s="951"/>
      <c r="O127" s="951"/>
      <c r="P127" s="951"/>
      <c r="Q127" s="951"/>
      <c r="R127" s="951"/>
      <c r="S127" s="96"/>
      <c r="T127" s="96"/>
      <c r="Z127" s="36"/>
      <c r="AG127" s="96"/>
    </row>
    <row r="128" spans="4:33" ht="15.75" customHeight="1">
      <c r="D128" s="951"/>
      <c r="G128" s="951"/>
      <c r="H128" s="951"/>
      <c r="I128" s="951"/>
      <c r="J128" s="951"/>
      <c r="K128" s="951"/>
      <c r="L128" s="951"/>
      <c r="M128" s="951"/>
      <c r="N128" s="951"/>
      <c r="O128" s="951"/>
      <c r="P128" s="951"/>
      <c r="Q128" s="951"/>
      <c r="R128" s="951"/>
      <c r="S128" s="96"/>
      <c r="T128" s="96"/>
      <c r="Z128" s="36"/>
      <c r="AG128" s="96"/>
    </row>
    <row r="129" spans="4:33" ht="15.75" customHeight="1">
      <c r="D129" s="951"/>
      <c r="G129" s="951"/>
      <c r="H129" s="951"/>
      <c r="I129" s="951"/>
      <c r="J129" s="951"/>
      <c r="K129" s="951"/>
      <c r="L129" s="951"/>
      <c r="M129" s="951"/>
      <c r="N129" s="951"/>
      <c r="O129" s="951"/>
      <c r="P129" s="951"/>
      <c r="Q129" s="951"/>
      <c r="R129" s="951"/>
      <c r="S129" s="96"/>
      <c r="T129" s="96"/>
      <c r="Z129" s="36"/>
      <c r="AG129" s="96"/>
    </row>
    <row r="130" spans="4:33" ht="15.75" customHeight="1">
      <c r="D130" s="951"/>
      <c r="G130" s="951"/>
      <c r="H130" s="951"/>
      <c r="I130" s="951"/>
      <c r="J130" s="951"/>
      <c r="K130" s="951"/>
      <c r="L130" s="951"/>
      <c r="M130" s="951"/>
      <c r="N130" s="951"/>
      <c r="O130" s="951"/>
      <c r="P130" s="951"/>
      <c r="Q130" s="951"/>
      <c r="R130" s="951"/>
      <c r="S130" s="96"/>
      <c r="T130" s="96"/>
      <c r="Z130" s="36"/>
      <c r="AG130" s="96"/>
    </row>
    <row r="131" spans="4:33" ht="15.75" customHeight="1">
      <c r="D131" s="951"/>
      <c r="G131" s="951"/>
      <c r="H131" s="951"/>
      <c r="I131" s="951"/>
      <c r="J131" s="951"/>
      <c r="K131" s="951"/>
      <c r="L131" s="951"/>
      <c r="M131" s="951"/>
      <c r="N131" s="951"/>
      <c r="O131" s="951"/>
      <c r="P131" s="951"/>
      <c r="Q131" s="951"/>
      <c r="R131" s="951"/>
      <c r="S131" s="96"/>
      <c r="T131" s="96"/>
      <c r="Z131" s="36"/>
      <c r="AG131" s="96"/>
    </row>
    <row r="132" spans="4:33" ht="15.75" customHeight="1">
      <c r="D132" s="951"/>
      <c r="G132" s="951"/>
      <c r="H132" s="951"/>
      <c r="I132" s="951"/>
      <c r="J132" s="951"/>
      <c r="K132" s="951"/>
      <c r="L132" s="951"/>
      <c r="M132" s="951"/>
      <c r="N132" s="951"/>
      <c r="O132" s="951"/>
      <c r="P132" s="951"/>
      <c r="Q132" s="951"/>
      <c r="R132" s="951"/>
      <c r="S132" s="96"/>
      <c r="T132" s="96"/>
      <c r="Z132" s="36"/>
      <c r="AG132" s="96"/>
    </row>
    <row r="133" spans="4:33" ht="15.75" customHeight="1">
      <c r="D133" s="951"/>
      <c r="G133" s="951"/>
      <c r="H133" s="951"/>
      <c r="I133" s="951"/>
      <c r="J133" s="951"/>
      <c r="K133" s="951"/>
      <c r="L133" s="951"/>
      <c r="M133" s="951"/>
      <c r="N133" s="951"/>
      <c r="O133" s="951"/>
      <c r="P133" s="951"/>
      <c r="Q133" s="951"/>
      <c r="R133" s="951"/>
      <c r="S133" s="96"/>
      <c r="T133" s="96"/>
      <c r="Z133" s="36"/>
      <c r="AG133" s="96"/>
    </row>
    <row r="134" spans="4:33" ht="15.75" customHeight="1">
      <c r="D134" s="951"/>
      <c r="G134" s="951"/>
      <c r="H134" s="951"/>
      <c r="I134" s="951"/>
      <c r="J134" s="951"/>
      <c r="K134" s="951"/>
      <c r="L134" s="951"/>
      <c r="M134" s="951"/>
      <c r="N134" s="951"/>
      <c r="O134" s="951"/>
      <c r="P134" s="951"/>
      <c r="Q134" s="951"/>
      <c r="R134" s="951"/>
      <c r="S134" s="96"/>
      <c r="T134" s="96"/>
      <c r="Z134" s="36"/>
      <c r="AG134" s="96"/>
    </row>
    <row r="135" spans="4:33" ht="15.75" customHeight="1">
      <c r="D135" s="951"/>
      <c r="G135" s="951"/>
      <c r="H135" s="951"/>
      <c r="I135" s="951"/>
      <c r="J135" s="951"/>
      <c r="K135" s="951"/>
      <c r="L135" s="951"/>
      <c r="M135" s="951"/>
      <c r="N135" s="951"/>
      <c r="O135" s="951"/>
      <c r="P135" s="951"/>
      <c r="Q135" s="951"/>
      <c r="R135" s="951"/>
      <c r="S135" s="96"/>
      <c r="T135" s="96"/>
      <c r="Z135" s="36"/>
      <c r="AG135" s="96"/>
    </row>
    <row r="136" spans="4:33" ht="15.75" customHeight="1">
      <c r="D136" s="951"/>
      <c r="G136" s="951"/>
      <c r="H136" s="951"/>
      <c r="I136" s="951"/>
      <c r="J136" s="951"/>
      <c r="K136" s="951"/>
      <c r="L136" s="951"/>
      <c r="M136" s="951"/>
      <c r="N136" s="951"/>
      <c r="O136" s="951"/>
      <c r="P136" s="951"/>
      <c r="Q136" s="951"/>
      <c r="R136" s="951"/>
      <c r="S136" s="96"/>
      <c r="T136" s="96"/>
      <c r="Z136" s="36"/>
      <c r="AG136" s="96"/>
    </row>
    <row r="137" spans="4:33" ht="15.75" customHeight="1">
      <c r="D137" s="951"/>
      <c r="G137" s="951"/>
      <c r="H137" s="951"/>
      <c r="I137" s="951"/>
      <c r="J137" s="951"/>
      <c r="K137" s="951"/>
      <c r="L137" s="951"/>
      <c r="M137" s="951"/>
      <c r="N137" s="951"/>
      <c r="O137" s="951"/>
      <c r="P137" s="951"/>
      <c r="Q137" s="951"/>
      <c r="R137" s="951"/>
      <c r="S137" s="96"/>
      <c r="T137" s="96"/>
      <c r="Z137" s="36"/>
      <c r="AG137" s="96"/>
    </row>
    <row r="138" spans="4:33" ht="15.75" customHeight="1">
      <c r="D138" s="951"/>
      <c r="G138" s="951"/>
      <c r="H138" s="951"/>
      <c r="I138" s="951"/>
      <c r="J138" s="951"/>
      <c r="K138" s="951"/>
      <c r="L138" s="951"/>
      <c r="M138" s="951"/>
      <c r="N138" s="951"/>
      <c r="O138" s="951"/>
      <c r="P138" s="951"/>
      <c r="Q138" s="951"/>
      <c r="R138" s="951"/>
      <c r="S138" s="96"/>
      <c r="T138" s="96"/>
      <c r="Z138" s="36"/>
      <c r="AG138" s="96"/>
    </row>
    <row r="139" spans="4:33" ht="15.75" customHeight="1">
      <c r="D139" s="951"/>
      <c r="G139" s="951"/>
      <c r="H139" s="951"/>
      <c r="I139" s="951"/>
      <c r="J139" s="951"/>
      <c r="K139" s="951"/>
      <c r="L139" s="951"/>
      <c r="M139" s="951"/>
      <c r="N139" s="951"/>
      <c r="O139" s="951"/>
      <c r="P139" s="951"/>
      <c r="Q139" s="951"/>
      <c r="R139" s="951"/>
      <c r="S139" s="96"/>
      <c r="T139" s="96"/>
      <c r="Z139" s="36"/>
      <c r="AG139" s="96"/>
    </row>
    <row r="140" spans="4:33" ht="15.75" customHeight="1">
      <c r="D140" s="951"/>
      <c r="G140" s="951"/>
      <c r="H140" s="951"/>
      <c r="I140" s="951"/>
      <c r="J140" s="951"/>
      <c r="K140" s="951"/>
      <c r="L140" s="951"/>
      <c r="M140" s="951"/>
      <c r="N140" s="951"/>
      <c r="O140" s="951"/>
      <c r="P140" s="951"/>
      <c r="Q140" s="951"/>
      <c r="R140" s="951"/>
      <c r="S140" s="96"/>
      <c r="T140" s="96"/>
      <c r="Z140" s="36"/>
      <c r="AG140" s="96"/>
    </row>
    <row r="141" spans="4:33" ht="15.75" customHeight="1">
      <c r="D141" s="951"/>
      <c r="G141" s="951"/>
      <c r="H141" s="951"/>
      <c r="I141" s="951"/>
      <c r="J141" s="951"/>
      <c r="K141" s="951"/>
      <c r="L141" s="951"/>
      <c r="M141" s="951"/>
      <c r="N141" s="951"/>
      <c r="O141" s="951"/>
      <c r="P141" s="951"/>
      <c r="Q141" s="951"/>
      <c r="R141" s="951"/>
      <c r="S141" s="96"/>
      <c r="T141" s="96"/>
      <c r="Z141" s="36"/>
      <c r="AG141" s="96"/>
    </row>
    <row r="142" spans="4:33" ht="15.75" customHeight="1">
      <c r="D142" s="951"/>
      <c r="G142" s="951"/>
      <c r="H142" s="951"/>
      <c r="I142" s="951"/>
      <c r="J142" s="951"/>
      <c r="K142" s="951"/>
      <c r="L142" s="951"/>
      <c r="M142" s="951"/>
      <c r="N142" s="951"/>
      <c r="O142" s="951"/>
      <c r="P142" s="951"/>
      <c r="Q142" s="951"/>
      <c r="R142" s="951"/>
      <c r="S142" s="96"/>
      <c r="T142" s="96"/>
      <c r="Z142" s="36"/>
      <c r="AG142" s="96"/>
    </row>
    <row r="143" spans="4:33" ht="15.75" customHeight="1">
      <c r="D143" s="951"/>
      <c r="G143" s="951"/>
      <c r="H143" s="951"/>
      <c r="I143" s="951"/>
      <c r="J143" s="951"/>
      <c r="K143" s="951"/>
      <c r="L143" s="951"/>
      <c r="M143" s="951"/>
      <c r="N143" s="951"/>
      <c r="O143" s="951"/>
      <c r="P143" s="951"/>
      <c r="Q143" s="951"/>
      <c r="R143" s="951"/>
      <c r="S143" s="96"/>
      <c r="T143" s="96"/>
      <c r="Z143" s="36"/>
      <c r="AG143" s="96"/>
    </row>
    <row r="144" spans="4:33" ht="15.75" customHeight="1">
      <c r="D144" s="951"/>
      <c r="G144" s="951"/>
      <c r="H144" s="951"/>
      <c r="I144" s="951"/>
      <c r="J144" s="951"/>
      <c r="K144" s="951"/>
      <c r="L144" s="951"/>
      <c r="M144" s="951"/>
      <c r="N144" s="951"/>
      <c r="O144" s="951"/>
      <c r="P144" s="951"/>
      <c r="Q144" s="951"/>
      <c r="R144" s="951"/>
      <c r="S144" s="96"/>
      <c r="T144" s="96"/>
      <c r="Z144" s="36"/>
      <c r="AG144" s="96"/>
    </row>
    <row r="145" spans="4:33" ht="15.75" customHeight="1">
      <c r="D145" s="951"/>
      <c r="G145" s="951"/>
      <c r="H145" s="951"/>
      <c r="I145" s="951"/>
      <c r="J145" s="951"/>
      <c r="K145" s="951"/>
      <c r="L145" s="951"/>
      <c r="M145" s="951"/>
      <c r="N145" s="951"/>
      <c r="O145" s="951"/>
      <c r="P145" s="951"/>
      <c r="Q145" s="951"/>
      <c r="R145" s="951"/>
      <c r="S145" s="96"/>
      <c r="T145" s="96"/>
      <c r="Z145" s="36"/>
      <c r="AG145" s="96"/>
    </row>
    <row r="146" spans="4:33" ht="15.75" customHeight="1">
      <c r="D146" s="951"/>
      <c r="G146" s="951"/>
      <c r="H146" s="951"/>
      <c r="I146" s="951"/>
      <c r="J146" s="951"/>
      <c r="K146" s="951"/>
      <c r="L146" s="951"/>
      <c r="M146" s="951"/>
      <c r="N146" s="951"/>
      <c r="O146" s="951"/>
      <c r="P146" s="951"/>
      <c r="Q146" s="951"/>
      <c r="R146" s="951"/>
      <c r="S146" s="96"/>
      <c r="T146" s="96"/>
      <c r="Z146" s="36"/>
      <c r="AG146" s="96"/>
    </row>
    <row r="147" spans="4:33" ht="15.75" customHeight="1">
      <c r="D147" s="951"/>
      <c r="G147" s="951"/>
      <c r="H147" s="951"/>
      <c r="I147" s="951"/>
      <c r="J147" s="951"/>
      <c r="K147" s="951"/>
      <c r="L147" s="951"/>
      <c r="M147" s="951"/>
      <c r="N147" s="951"/>
      <c r="O147" s="951"/>
      <c r="P147" s="951"/>
      <c r="Q147" s="951"/>
      <c r="R147" s="951"/>
      <c r="S147" s="96"/>
      <c r="T147" s="96"/>
      <c r="Z147" s="36"/>
      <c r="AG147" s="96"/>
    </row>
    <row r="148" spans="4:33" ht="15.75" customHeight="1">
      <c r="D148" s="951"/>
      <c r="G148" s="951"/>
      <c r="H148" s="951"/>
      <c r="I148" s="951"/>
      <c r="J148" s="951"/>
      <c r="K148" s="951"/>
      <c r="L148" s="951"/>
      <c r="M148" s="951"/>
      <c r="N148" s="951"/>
      <c r="O148" s="951"/>
      <c r="P148" s="951"/>
      <c r="Q148" s="951"/>
      <c r="R148" s="951"/>
      <c r="S148" s="96"/>
      <c r="T148" s="96"/>
      <c r="Z148" s="36"/>
      <c r="AG148" s="96"/>
    </row>
    <row r="149" spans="4:33" ht="15.75" customHeight="1">
      <c r="D149" s="951"/>
      <c r="G149" s="951"/>
      <c r="H149" s="951"/>
      <c r="I149" s="951"/>
      <c r="J149" s="951"/>
      <c r="K149" s="951"/>
      <c r="L149" s="951"/>
      <c r="M149" s="951"/>
      <c r="N149" s="951"/>
      <c r="O149" s="951"/>
      <c r="P149" s="951"/>
      <c r="Q149" s="951"/>
      <c r="R149" s="951"/>
      <c r="S149" s="96"/>
      <c r="T149" s="96"/>
      <c r="Z149" s="36"/>
      <c r="AG149" s="96"/>
    </row>
    <row r="150" spans="4:33" ht="15.75" customHeight="1">
      <c r="D150" s="951"/>
      <c r="G150" s="951"/>
      <c r="H150" s="951"/>
      <c r="I150" s="951"/>
      <c r="J150" s="951"/>
      <c r="K150" s="951"/>
      <c r="L150" s="951"/>
      <c r="M150" s="951"/>
      <c r="N150" s="951"/>
      <c r="O150" s="951"/>
      <c r="P150" s="951"/>
      <c r="Q150" s="951"/>
      <c r="R150" s="951"/>
      <c r="S150" s="96"/>
      <c r="T150" s="96"/>
      <c r="Z150" s="36"/>
      <c r="AG150" s="96"/>
    </row>
    <row r="151" spans="4:33" ht="15.75" customHeight="1">
      <c r="D151" s="951"/>
      <c r="G151" s="951"/>
      <c r="H151" s="951"/>
      <c r="I151" s="951"/>
      <c r="J151" s="951"/>
      <c r="K151" s="951"/>
      <c r="L151" s="951"/>
      <c r="M151" s="951"/>
      <c r="N151" s="951"/>
      <c r="O151" s="951"/>
      <c r="P151" s="951"/>
      <c r="Q151" s="951"/>
      <c r="R151" s="951"/>
      <c r="S151" s="96"/>
      <c r="T151" s="96"/>
      <c r="Z151" s="36"/>
      <c r="AG151" s="96"/>
    </row>
    <row r="152" spans="4:33" ht="15.75" customHeight="1">
      <c r="D152" s="951"/>
      <c r="G152" s="951"/>
      <c r="H152" s="951"/>
      <c r="I152" s="951"/>
      <c r="J152" s="951"/>
      <c r="K152" s="951"/>
      <c r="L152" s="951"/>
      <c r="M152" s="951"/>
      <c r="N152" s="951"/>
      <c r="O152" s="951"/>
      <c r="P152" s="951"/>
      <c r="Q152" s="951"/>
      <c r="R152" s="951"/>
      <c r="S152" s="96"/>
      <c r="T152" s="96"/>
      <c r="Z152" s="36"/>
      <c r="AG152" s="96"/>
    </row>
    <row r="153" spans="4:33" ht="15.75" customHeight="1">
      <c r="D153" s="951"/>
      <c r="G153" s="951"/>
      <c r="H153" s="951"/>
      <c r="I153" s="951"/>
      <c r="J153" s="951"/>
      <c r="K153" s="951"/>
      <c r="L153" s="951"/>
      <c r="M153" s="951"/>
      <c r="N153" s="951"/>
      <c r="O153" s="951"/>
      <c r="P153" s="951"/>
      <c r="Q153" s="951"/>
      <c r="R153" s="951"/>
      <c r="S153" s="96"/>
      <c r="T153" s="96"/>
      <c r="Z153" s="36"/>
      <c r="AG153" s="96"/>
    </row>
    <row r="154" spans="4:33" ht="15.75" customHeight="1">
      <c r="D154" s="951"/>
      <c r="G154" s="951"/>
      <c r="H154" s="951"/>
      <c r="I154" s="951"/>
      <c r="J154" s="951"/>
      <c r="K154" s="951"/>
      <c r="L154" s="951"/>
      <c r="M154" s="951"/>
      <c r="N154" s="951"/>
      <c r="O154" s="951"/>
      <c r="P154" s="951"/>
      <c r="Q154" s="951"/>
      <c r="R154" s="951"/>
      <c r="S154" s="96"/>
      <c r="T154" s="96"/>
      <c r="Z154" s="36"/>
      <c r="AG154" s="96"/>
    </row>
    <row r="155" spans="4:33" ht="15.75" customHeight="1">
      <c r="D155" s="951"/>
      <c r="G155" s="951"/>
      <c r="H155" s="951"/>
      <c r="I155" s="951"/>
      <c r="J155" s="951"/>
      <c r="K155" s="951"/>
      <c r="L155" s="951"/>
      <c r="M155" s="951"/>
      <c r="N155" s="951"/>
      <c r="O155" s="951"/>
      <c r="P155" s="951"/>
      <c r="Q155" s="951"/>
      <c r="R155" s="951"/>
      <c r="S155" s="96"/>
      <c r="T155" s="96"/>
      <c r="Z155" s="36"/>
      <c r="AG155" s="96"/>
    </row>
    <row r="156" spans="4:33" ht="15.75" customHeight="1">
      <c r="D156" s="951"/>
      <c r="G156" s="951"/>
      <c r="H156" s="951"/>
      <c r="I156" s="951"/>
      <c r="J156" s="951"/>
      <c r="K156" s="951"/>
      <c r="L156" s="951"/>
      <c r="M156" s="951"/>
      <c r="N156" s="951"/>
      <c r="O156" s="951"/>
      <c r="P156" s="951"/>
      <c r="Q156" s="951"/>
      <c r="R156" s="951"/>
      <c r="S156" s="96"/>
      <c r="T156" s="96"/>
      <c r="Z156" s="36"/>
      <c r="AG156" s="96"/>
    </row>
    <row r="157" spans="4:33" ht="15.75" customHeight="1">
      <c r="D157" s="951"/>
      <c r="G157" s="951"/>
      <c r="H157" s="951"/>
      <c r="I157" s="951"/>
      <c r="J157" s="951"/>
      <c r="K157" s="951"/>
      <c r="L157" s="951"/>
      <c r="M157" s="951"/>
      <c r="N157" s="951"/>
      <c r="O157" s="951"/>
      <c r="P157" s="951"/>
      <c r="Q157" s="951"/>
      <c r="R157" s="951"/>
      <c r="S157" s="96"/>
      <c r="T157" s="96"/>
      <c r="Z157" s="36"/>
      <c r="AG157" s="96"/>
    </row>
    <row r="158" spans="4:33" ht="15.75" customHeight="1">
      <c r="D158" s="951"/>
      <c r="G158" s="951"/>
      <c r="H158" s="951"/>
      <c r="I158" s="951"/>
      <c r="J158" s="951"/>
      <c r="K158" s="951"/>
      <c r="L158" s="951"/>
      <c r="M158" s="951"/>
      <c r="N158" s="951"/>
      <c r="O158" s="951"/>
      <c r="P158" s="951"/>
      <c r="Q158" s="951"/>
      <c r="R158" s="951"/>
      <c r="S158" s="96"/>
      <c r="T158" s="96"/>
      <c r="Z158" s="36"/>
      <c r="AG158" s="96"/>
    </row>
    <row r="159" spans="4:33" ht="15.75" customHeight="1">
      <c r="D159" s="951"/>
      <c r="G159" s="951"/>
      <c r="H159" s="951"/>
      <c r="I159" s="951"/>
      <c r="J159" s="951"/>
      <c r="K159" s="951"/>
      <c r="L159" s="951"/>
      <c r="M159" s="951"/>
      <c r="N159" s="951"/>
      <c r="O159" s="951"/>
      <c r="P159" s="951"/>
      <c r="Q159" s="951"/>
      <c r="R159" s="951"/>
      <c r="S159" s="96"/>
      <c r="T159" s="96"/>
      <c r="Z159" s="36"/>
      <c r="AG159" s="96"/>
    </row>
    <row r="160" spans="4:33" ht="15.75" customHeight="1">
      <c r="D160" s="951"/>
      <c r="G160" s="951"/>
      <c r="H160" s="951"/>
      <c r="I160" s="951"/>
      <c r="J160" s="951"/>
      <c r="K160" s="951"/>
      <c r="L160" s="951"/>
      <c r="M160" s="951"/>
      <c r="N160" s="951"/>
      <c r="O160" s="951"/>
      <c r="P160" s="951"/>
      <c r="Q160" s="951"/>
      <c r="R160" s="951"/>
      <c r="S160" s="96"/>
      <c r="T160" s="96"/>
      <c r="Z160" s="36"/>
      <c r="AG160" s="96"/>
    </row>
    <row r="161" spans="4:33" ht="15.75" customHeight="1">
      <c r="D161" s="951"/>
      <c r="G161" s="951"/>
      <c r="H161" s="951"/>
      <c r="I161" s="951"/>
      <c r="J161" s="951"/>
      <c r="K161" s="951"/>
      <c r="L161" s="951"/>
      <c r="M161" s="951"/>
      <c r="N161" s="951"/>
      <c r="O161" s="951"/>
      <c r="P161" s="951"/>
      <c r="Q161" s="951"/>
      <c r="R161" s="951"/>
      <c r="S161" s="96"/>
      <c r="T161" s="96"/>
      <c r="Z161" s="36"/>
      <c r="AG161" s="96"/>
    </row>
    <row r="162" spans="4:33" ht="15.75" customHeight="1">
      <c r="D162" s="951"/>
      <c r="G162" s="951"/>
      <c r="H162" s="951"/>
      <c r="I162" s="951"/>
      <c r="J162" s="951"/>
      <c r="K162" s="951"/>
      <c r="L162" s="951"/>
      <c r="M162" s="951"/>
      <c r="N162" s="951"/>
      <c r="O162" s="951"/>
      <c r="P162" s="951"/>
      <c r="Q162" s="951"/>
      <c r="R162" s="951"/>
      <c r="S162" s="96"/>
      <c r="T162" s="96"/>
      <c r="Z162" s="36"/>
      <c r="AG162" s="96"/>
    </row>
    <row r="163" spans="4:33" ht="15.75" customHeight="1">
      <c r="D163" s="951"/>
      <c r="G163" s="951"/>
      <c r="H163" s="951"/>
      <c r="I163" s="951"/>
      <c r="J163" s="951"/>
      <c r="K163" s="951"/>
      <c r="L163" s="951"/>
      <c r="M163" s="951"/>
      <c r="N163" s="951"/>
      <c r="O163" s="951"/>
      <c r="P163" s="951"/>
      <c r="Q163" s="951"/>
      <c r="R163" s="951"/>
      <c r="S163" s="96"/>
      <c r="T163" s="96"/>
      <c r="Z163" s="36"/>
      <c r="AG163" s="96"/>
    </row>
    <row r="164" spans="4:33" ht="15.75" customHeight="1">
      <c r="D164" s="951"/>
      <c r="G164" s="951"/>
      <c r="H164" s="951"/>
      <c r="I164" s="951"/>
      <c r="J164" s="951"/>
      <c r="K164" s="951"/>
      <c r="L164" s="951"/>
      <c r="M164" s="951"/>
      <c r="N164" s="951"/>
      <c r="O164" s="951"/>
      <c r="P164" s="951"/>
      <c r="Q164" s="951"/>
      <c r="R164" s="951"/>
      <c r="S164" s="96"/>
      <c r="T164" s="96"/>
      <c r="Z164" s="36"/>
      <c r="AG164" s="96"/>
    </row>
    <row r="165" spans="4:33" ht="15.75" customHeight="1">
      <c r="D165" s="951"/>
      <c r="G165" s="951"/>
      <c r="H165" s="951"/>
      <c r="I165" s="951"/>
      <c r="J165" s="951"/>
      <c r="K165" s="951"/>
      <c r="L165" s="951"/>
      <c r="M165" s="951"/>
      <c r="N165" s="951"/>
      <c r="O165" s="951"/>
      <c r="P165" s="951"/>
      <c r="Q165" s="951"/>
      <c r="R165" s="951"/>
      <c r="S165" s="96"/>
      <c r="T165" s="96"/>
      <c r="Z165" s="36"/>
      <c r="AG165" s="96"/>
    </row>
    <row r="166" spans="4:33" ht="15.75" customHeight="1">
      <c r="D166" s="951"/>
      <c r="G166" s="951"/>
      <c r="H166" s="951"/>
      <c r="I166" s="951"/>
      <c r="J166" s="951"/>
      <c r="K166" s="951"/>
      <c r="L166" s="951"/>
      <c r="M166" s="951"/>
      <c r="N166" s="951"/>
      <c r="O166" s="951"/>
      <c r="P166" s="951"/>
      <c r="Q166" s="951"/>
      <c r="R166" s="951"/>
      <c r="S166" s="96"/>
      <c r="T166" s="96"/>
      <c r="Z166" s="36"/>
      <c r="AG166" s="96"/>
    </row>
    <row r="167" spans="4:33" ht="15.75" customHeight="1">
      <c r="D167" s="951"/>
      <c r="G167" s="951"/>
      <c r="H167" s="951"/>
      <c r="I167" s="951"/>
      <c r="J167" s="951"/>
      <c r="K167" s="951"/>
      <c r="L167" s="951"/>
      <c r="M167" s="951"/>
      <c r="N167" s="951"/>
      <c r="O167" s="951"/>
      <c r="P167" s="951"/>
      <c r="Q167" s="951"/>
      <c r="R167" s="951"/>
      <c r="S167" s="96"/>
      <c r="T167" s="96"/>
      <c r="Z167" s="36"/>
      <c r="AG167" s="96"/>
    </row>
    <row r="168" spans="4:33" ht="15.75" customHeight="1">
      <c r="D168" s="951"/>
      <c r="G168" s="951"/>
      <c r="H168" s="951"/>
      <c r="I168" s="951"/>
      <c r="J168" s="951"/>
      <c r="K168" s="951"/>
      <c r="L168" s="951"/>
      <c r="M168" s="951"/>
      <c r="N168" s="951"/>
      <c r="O168" s="951"/>
      <c r="P168" s="951"/>
      <c r="Q168" s="951"/>
      <c r="R168" s="951"/>
      <c r="S168" s="96"/>
      <c r="T168" s="96"/>
      <c r="Z168" s="36"/>
      <c r="AG168" s="96"/>
    </row>
    <row r="169" spans="4:33" ht="15.75" customHeight="1">
      <c r="D169" s="951"/>
      <c r="G169" s="951"/>
      <c r="H169" s="951"/>
      <c r="I169" s="951"/>
      <c r="J169" s="951"/>
      <c r="K169" s="951"/>
      <c r="L169" s="951"/>
      <c r="M169" s="951"/>
      <c r="N169" s="951"/>
      <c r="O169" s="951"/>
      <c r="P169" s="951"/>
      <c r="Q169" s="951"/>
      <c r="R169" s="951"/>
      <c r="S169" s="96"/>
      <c r="T169" s="96"/>
      <c r="Z169" s="36"/>
      <c r="AG169" s="96"/>
    </row>
    <row r="170" spans="4:33" ht="15.75" customHeight="1">
      <c r="D170" s="951"/>
      <c r="G170" s="951"/>
      <c r="H170" s="951"/>
      <c r="I170" s="951"/>
      <c r="J170" s="951"/>
      <c r="K170" s="951"/>
      <c r="L170" s="951"/>
      <c r="M170" s="951"/>
      <c r="N170" s="951"/>
      <c r="O170" s="951"/>
      <c r="P170" s="951"/>
      <c r="Q170" s="951"/>
      <c r="R170" s="951"/>
      <c r="S170" s="96"/>
      <c r="T170" s="96"/>
      <c r="Z170" s="36"/>
      <c r="AG170" s="96"/>
    </row>
    <row r="171" spans="4:33" ht="15.75" customHeight="1">
      <c r="D171" s="951"/>
      <c r="G171" s="951"/>
      <c r="H171" s="951"/>
      <c r="I171" s="951"/>
      <c r="J171" s="951"/>
      <c r="K171" s="951"/>
      <c r="L171" s="951"/>
      <c r="M171" s="951"/>
      <c r="N171" s="951"/>
      <c r="O171" s="951"/>
      <c r="P171" s="951"/>
      <c r="Q171" s="951"/>
      <c r="R171" s="951"/>
      <c r="S171" s="96"/>
      <c r="T171" s="96"/>
      <c r="Z171" s="36"/>
      <c r="AG171" s="96"/>
    </row>
    <row r="172" spans="4:33" ht="15.75" customHeight="1">
      <c r="D172" s="951"/>
      <c r="G172" s="951"/>
      <c r="H172" s="951"/>
      <c r="I172" s="951"/>
      <c r="J172" s="951"/>
      <c r="K172" s="951"/>
      <c r="L172" s="951"/>
      <c r="M172" s="951"/>
      <c r="N172" s="951"/>
      <c r="O172" s="951"/>
      <c r="P172" s="951"/>
      <c r="Q172" s="951"/>
      <c r="R172" s="951"/>
      <c r="S172" s="96"/>
      <c r="T172" s="96"/>
      <c r="Z172" s="36"/>
      <c r="AG172" s="96"/>
    </row>
    <row r="173" spans="4:33" ht="15.75" customHeight="1">
      <c r="D173" s="951"/>
      <c r="G173" s="951"/>
      <c r="H173" s="951"/>
      <c r="I173" s="951"/>
      <c r="J173" s="951"/>
      <c r="K173" s="951"/>
      <c r="L173" s="951"/>
      <c r="M173" s="951"/>
      <c r="N173" s="951"/>
      <c r="O173" s="951"/>
      <c r="P173" s="951"/>
      <c r="Q173" s="951"/>
      <c r="R173" s="951"/>
      <c r="S173" s="96"/>
      <c r="T173" s="96"/>
      <c r="Z173" s="36"/>
      <c r="AG173" s="96"/>
    </row>
    <row r="174" spans="4:33" ht="15.75" customHeight="1">
      <c r="D174" s="951"/>
      <c r="G174" s="951"/>
      <c r="H174" s="951"/>
      <c r="I174" s="951"/>
      <c r="J174" s="951"/>
      <c r="K174" s="951"/>
      <c r="L174" s="951"/>
      <c r="M174" s="951"/>
      <c r="N174" s="951"/>
      <c r="O174" s="951"/>
      <c r="P174" s="951"/>
      <c r="Q174" s="951"/>
      <c r="R174" s="951"/>
      <c r="S174" s="96"/>
      <c r="T174" s="96"/>
      <c r="Z174" s="36"/>
      <c r="AG174" s="96"/>
    </row>
    <row r="175" spans="4:33" ht="15.75" customHeight="1">
      <c r="D175" s="951"/>
      <c r="G175" s="951"/>
      <c r="H175" s="951"/>
      <c r="I175" s="951"/>
      <c r="J175" s="951"/>
      <c r="K175" s="951"/>
      <c r="L175" s="951"/>
      <c r="M175" s="951"/>
      <c r="N175" s="951"/>
      <c r="O175" s="951"/>
      <c r="P175" s="951"/>
      <c r="Q175" s="951"/>
      <c r="R175" s="951"/>
      <c r="S175" s="96"/>
      <c r="T175" s="96"/>
      <c r="Z175" s="36"/>
      <c r="AG175" s="96"/>
    </row>
    <row r="176" spans="4:33" ht="15.75" customHeight="1">
      <c r="D176" s="951"/>
      <c r="G176" s="951"/>
      <c r="H176" s="951"/>
      <c r="I176" s="951"/>
      <c r="J176" s="951"/>
      <c r="K176" s="951"/>
      <c r="L176" s="951"/>
      <c r="M176" s="951"/>
      <c r="N176" s="951"/>
      <c r="O176" s="951"/>
      <c r="P176" s="951"/>
      <c r="Q176" s="951"/>
      <c r="R176" s="951"/>
      <c r="S176" s="96"/>
      <c r="T176" s="96"/>
      <c r="Z176" s="36"/>
      <c r="AG176" s="96"/>
    </row>
    <row r="177" spans="4:33" ht="15.75" customHeight="1">
      <c r="D177" s="951"/>
      <c r="G177" s="951"/>
      <c r="H177" s="951"/>
      <c r="I177" s="951"/>
      <c r="J177" s="951"/>
      <c r="K177" s="951"/>
      <c r="L177" s="951"/>
      <c r="M177" s="951"/>
      <c r="N177" s="951"/>
      <c r="O177" s="951"/>
      <c r="P177" s="951"/>
      <c r="Q177" s="951"/>
      <c r="R177" s="951"/>
      <c r="S177" s="96"/>
      <c r="T177" s="96"/>
      <c r="Z177" s="36"/>
      <c r="AG177" s="96"/>
    </row>
    <row r="178" spans="4:33" ht="15.75" customHeight="1">
      <c r="D178" s="951"/>
      <c r="G178" s="951"/>
      <c r="H178" s="951"/>
      <c r="I178" s="951"/>
      <c r="J178" s="951"/>
      <c r="K178" s="951"/>
      <c r="L178" s="951"/>
      <c r="M178" s="951"/>
      <c r="N178" s="951"/>
      <c r="O178" s="951"/>
      <c r="P178" s="951"/>
      <c r="Q178" s="951"/>
      <c r="R178" s="951"/>
      <c r="S178" s="96"/>
      <c r="T178" s="96"/>
      <c r="Z178" s="36"/>
      <c r="AG178" s="96"/>
    </row>
    <row r="179" spans="4:33" ht="15.75" customHeight="1">
      <c r="D179" s="951"/>
      <c r="G179" s="951"/>
      <c r="H179" s="951"/>
      <c r="I179" s="951"/>
      <c r="J179" s="951"/>
      <c r="K179" s="951"/>
      <c r="L179" s="951"/>
      <c r="M179" s="951"/>
      <c r="N179" s="951"/>
      <c r="O179" s="951"/>
      <c r="P179" s="951"/>
      <c r="Q179" s="951"/>
      <c r="R179" s="951"/>
      <c r="S179" s="96"/>
      <c r="T179" s="96"/>
      <c r="Z179" s="36"/>
      <c r="AG179" s="96"/>
    </row>
    <row r="180" spans="4:33" ht="15.75" customHeight="1">
      <c r="D180" s="951"/>
      <c r="G180" s="951"/>
      <c r="H180" s="951"/>
      <c r="I180" s="951"/>
      <c r="J180" s="951"/>
      <c r="K180" s="951"/>
      <c r="L180" s="951"/>
      <c r="M180" s="951"/>
      <c r="N180" s="951"/>
      <c r="O180" s="951"/>
      <c r="P180" s="951"/>
      <c r="Q180" s="951"/>
      <c r="R180" s="951"/>
      <c r="S180" s="96"/>
      <c r="T180" s="96"/>
      <c r="Z180" s="36"/>
      <c r="AG180" s="96"/>
    </row>
    <row r="181" spans="4:33" ht="15.75" customHeight="1">
      <c r="D181" s="951"/>
      <c r="G181" s="951"/>
      <c r="H181" s="951"/>
      <c r="I181" s="951"/>
      <c r="J181" s="951"/>
      <c r="K181" s="951"/>
      <c r="L181" s="951"/>
      <c r="M181" s="951"/>
      <c r="N181" s="951"/>
      <c r="O181" s="951"/>
      <c r="P181" s="951"/>
      <c r="Q181" s="951"/>
      <c r="R181" s="951"/>
      <c r="S181" s="96"/>
      <c r="T181" s="96"/>
      <c r="Z181" s="36"/>
      <c r="AG181" s="96"/>
    </row>
    <row r="182" spans="4:33" ht="15.75" customHeight="1">
      <c r="D182" s="951"/>
      <c r="G182" s="951"/>
      <c r="H182" s="951"/>
      <c r="I182" s="951"/>
      <c r="J182" s="951"/>
      <c r="K182" s="951"/>
      <c r="L182" s="951"/>
      <c r="M182" s="951"/>
      <c r="N182" s="951"/>
      <c r="O182" s="951"/>
      <c r="P182" s="951"/>
      <c r="Q182" s="951"/>
      <c r="R182" s="951"/>
      <c r="S182" s="96"/>
      <c r="T182" s="96"/>
      <c r="Z182" s="36"/>
      <c r="AG182" s="96"/>
    </row>
    <row r="183" spans="4:33" ht="15.75" customHeight="1">
      <c r="D183" s="951"/>
      <c r="G183" s="951"/>
      <c r="H183" s="951"/>
      <c r="I183" s="951"/>
      <c r="J183" s="951"/>
      <c r="K183" s="951"/>
      <c r="L183" s="951"/>
      <c r="M183" s="951"/>
      <c r="N183" s="951"/>
      <c r="O183" s="951"/>
      <c r="P183" s="951"/>
      <c r="Q183" s="951"/>
      <c r="R183" s="951"/>
      <c r="S183" s="96"/>
      <c r="T183" s="96"/>
      <c r="Z183" s="36"/>
      <c r="AG183" s="96"/>
    </row>
    <row r="184" spans="4:33" ht="15.75" customHeight="1">
      <c r="D184" s="951"/>
      <c r="G184" s="951"/>
      <c r="H184" s="951"/>
      <c r="I184" s="951"/>
      <c r="J184" s="951"/>
      <c r="K184" s="951"/>
      <c r="L184" s="951"/>
      <c r="M184" s="951"/>
      <c r="N184" s="951"/>
      <c r="O184" s="951"/>
      <c r="P184" s="951"/>
      <c r="Q184" s="951"/>
      <c r="R184" s="951"/>
      <c r="S184" s="96"/>
      <c r="T184" s="96"/>
      <c r="Z184" s="36"/>
      <c r="AG184" s="96"/>
    </row>
    <row r="185" spans="4:33" ht="15.75" customHeight="1">
      <c r="D185" s="951"/>
      <c r="G185" s="951"/>
      <c r="H185" s="951"/>
      <c r="I185" s="951"/>
      <c r="J185" s="951"/>
      <c r="K185" s="951"/>
      <c r="L185" s="951"/>
      <c r="M185" s="951"/>
      <c r="N185" s="951"/>
      <c r="O185" s="951"/>
      <c r="P185" s="951"/>
      <c r="Q185" s="951"/>
      <c r="R185" s="951"/>
      <c r="S185" s="96"/>
      <c r="T185" s="96"/>
      <c r="Z185" s="36"/>
      <c r="AG185" s="96"/>
    </row>
    <row r="186" spans="4:33" ht="15.75" customHeight="1">
      <c r="D186" s="951"/>
      <c r="G186" s="951"/>
      <c r="H186" s="951"/>
      <c r="I186" s="951"/>
      <c r="J186" s="951"/>
      <c r="K186" s="951"/>
      <c r="L186" s="951"/>
      <c r="M186" s="951"/>
      <c r="N186" s="951"/>
      <c r="O186" s="951"/>
      <c r="P186" s="951"/>
      <c r="Q186" s="951"/>
      <c r="R186" s="951"/>
      <c r="S186" s="96"/>
      <c r="T186" s="96"/>
      <c r="Z186" s="36"/>
      <c r="AG186" s="96"/>
    </row>
    <row r="187" spans="4:33" ht="15.75" customHeight="1">
      <c r="D187" s="951"/>
      <c r="G187" s="951"/>
      <c r="H187" s="951"/>
      <c r="I187" s="951"/>
      <c r="J187" s="951"/>
      <c r="K187" s="951"/>
      <c r="L187" s="951"/>
      <c r="M187" s="951"/>
      <c r="N187" s="951"/>
      <c r="O187" s="951"/>
      <c r="P187" s="951"/>
      <c r="Q187" s="951"/>
      <c r="R187" s="951"/>
      <c r="S187" s="96"/>
      <c r="T187" s="96"/>
      <c r="Z187" s="36"/>
      <c r="AG187" s="96"/>
    </row>
    <row r="188" spans="4:33" ht="15.75" customHeight="1">
      <c r="D188" s="951"/>
      <c r="G188" s="951"/>
      <c r="H188" s="951"/>
      <c r="I188" s="951"/>
      <c r="J188" s="951"/>
      <c r="K188" s="951"/>
      <c r="L188" s="951"/>
      <c r="M188" s="951"/>
      <c r="N188" s="951"/>
      <c r="O188" s="951"/>
      <c r="P188" s="951"/>
      <c r="Q188" s="951"/>
      <c r="R188" s="951"/>
      <c r="S188" s="96"/>
      <c r="T188" s="96"/>
      <c r="Z188" s="36"/>
      <c r="AG188" s="96"/>
    </row>
    <row r="189" spans="4:33" ht="15.75" customHeight="1">
      <c r="D189" s="951"/>
      <c r="G189" s="951"/>
      <c r="H189" s="951"/>
      <c r="I189" s="951"/>
      <c r="J189" s="951"/>
      <c r="K189" s="951"/>
      <c r="L189" s="951"/>
      <c r="M189" s="951"/>
      <c r="N189" s="951"/>
      <c r="O189" s="951"/>
      <c r="P189" s="951"/>
      <c r="Q189" s="951"/>
      <c r="R189" s="951"/>
      <c r="S189" s="96"/>
      <c r="T189" s="96"/>
      <c r="Z189" s="36"/>
      <c r="AG189" s="96"/>
    </row>
    <row r="190" spans="4:33" ht="15.75" customHeight="1">
      <c r="D190" s="951"/>
      <c r="G190" s="951"/>
      <c r="H190" s="951"/>
      <c r="I190" s="951"/>
      <c r="J190" s="951"/>
      <c r="K190" s="951"/>
      <c r="L190" s="951"/>
      <c r="M190" s="951"/>
      <c r="N190" s="951"/>
      <c r="O190" s="951"/>
      <c r="P190" s="951"/>
      <c r="Q190" s="951"/>
      <c r="R190" s="951"/>
      <c r="S190" s="96"/>
      <c r="T190" s="96"/>
      <c r="Z190" s="36"/>
      <c r="AG190" s="96"/>
    </row>
    <row r="191" spans="4:33" ht="15.75" customHeight="1">
      <c r="D191" s="951"/>
      <c r="G191" s="951"/>
      <c r="H191" s="951"/>
      <c r="I191" s="951"/>
      <c r="J191" s="951"/>
      <c r="K191" s="951"/>
      <c r="L191" s="951"/>
      <c r="M191" s="951"/>
      <c r="N191" s="951"/>
      <c r="O191" s="951"/>
      <c r="P191" s="951"/>
      <c r="Q191" s="951"/>
      <c r="R191" s="951"/>
      <c r="S191" s="96"/>
      <c r="T191" s="96"/>
      <c r="Z191" s="36"/>
      <c r="AG191" s="96"/>
    </row>
    <row r="192" spans="4:33" ht="15.75" customHeight="1">
      <c r="D192" s="951"/>
      <c r="G192" s="951"/>
      <c r="H192" s="951"/>
      <c r="I192" s="951"/>
      <c r="J192" s="951"/>
      <c r="K192" s="951"/>
      <c r="L192" s="951"/>
      <c r="M192" s="951"/>
      <c r="N192" s="951"/>
      <c r="O192" s="951"/>
      <c r="P192" s="951"/>
      <c r="Q192" s="951"/>
      <c r="R192" s="951"/>
      <c r="S192" s="96"/>
      <c r="T192" s="96"/>
      <c r="Z192" s="36"/>
      <c r="AG192" s="96"/>
    </row>
    <row r="193" spans="4:33" ht="15.75" customHeight="1">
      <c r="D193" s="951"/>
      <c r="G193" s="951"/>
      <c r="H193" s="951"/>
      <c r="I193" s="951"/>
      <c r="J193" s="951"/>
      <c r="K193" s="951"/>
      <c r="L193" s="951"/>
      <c r="M193" s="951"/>
      <c r="N193" s="951"/>
      <c r="O193" s="951"/>
      <c r="P193" s="951"/>
      <c r="Q193" s="951"/>
      <c r="R193" s="951"/>
      <c r="S193" s="96"/>
      <c r="T193" s="96"/>
      <c r="Z193" s="36"/>
      <c r="AG193" s="96"/>
    </row>
    <row r="194" spans="4:33" ht="15.75" customHeight="1">
      <c r="D194" s="951"/>
      <c r="G194" s="951"/>
      <c r="H194" s="951"/>
      <c r="I194" s="951"/>
      <c r="J194" s="951"/>
      <c r="K194" s="951"/>
      <c r="L194" s="951"/>
      <c r="M194" s="951"/>
      <c r="N194" s="951"/>
      <c r="O194" s="951"/>
      <c r="P194" s="951"/>
      <c r="Q194" s="951"/>
      <c r="R194" s="951"/>
      <c r="S194" s="96"/>
      <c r="T194" s="96"/>
      <c r="Z194" s="36"/>
      <c r="AG194" s="96"/>
    </row>
    <row r="195" spans="4:33" ht="15.75" customHeight="1">
      <c r="D195" s="951"/>
      <c r="G195" s="951"/>
      <c r="H195" s="951"/>
      <c r="I195" s="951"/>
      <c r="J195" s="951"/>
      <c r="K195" s="951"/>
      <c r="L195" s="951"/>
      <c r="M195" s="951"/>
      <c r="N195" s="951"/>
      <c r="O195" s="951"/>
      <c r="P195" s="951"/>
      <c r="Q195" s="951"/>
      <c r="R195" s="951"/>
      <c r="S195" s="96"/>
      <c r="T195" s="96"/>
      <c r="Z195" s="36"/>
      <c r="AG195" s="96"/>
    </row>
    <row r="196" spans="4:33" ht="15.75" customHeight="1">
      <c r="D196" s="951"/>
      <c r="G196" s="951"/>
      <c r="H196" s="951"/>
      <c r="I196" s="951"/>
      <c r="J196" s="951"/>
      <c r="K196" s="951"/>
      <c r="L196" s="951"/>
      <c r="M196" s="951"/>
      <c r="N196" s="951"/>
      <c r="O196" s="951"/>
      <c r="P196" s="951"/>
      <c r="Q196" s="951"/>
      <c r="R196" s="951"/>
      <c r="S196" s="96"/>
      <c r="T196" s="96"/>
      <c r="Z196" s="36"/>
      <c r="AG196" s="96"/>
    </row>
    <row r="197" spans="4:33" ht="15.75" customHeight="1">
      <c r="D197" s="951"/>
      <c r="G197" s="951"/>
      <c r="H197" s="951"/>
      <c r="I197" s="951"/>
      <c r="J197" s="951"/>
      <c r="K197" s="951"/>
      <c r="L197" s="951"/>
      <c r="M197" s="951"/>
      <c r="N197" s="951"/>
      <c r="O197" s="951"/>
      <c r="P197" s="951"/>
      <c r="Q197" s="951"/>
      <c r="R197" s="951"/>
      <c r="S197" s="96"/>
      <c r="T197" s="96"/>
      <c r="Z197" s="36"/>
      <c r="AG197" s="96"/>
    </row>
    <row r="198" spans="4:33" ht="15.75" customHeight="1">
      <c r="D198" s="951"/>
      <c r="G198" s="951"/>
      <c r="H198" s="951"/>
      <c r="I198" s="951"/>
      <c r="J198" s="951"/>
      <c r="K198" s="951"/>
      <c r="L198" s="951"/>
      <c r="M198" s="951"/>
      <c r="N198" s="951"/>
      <c r="O198" s="951"/>
      <c r="P198" s="951"/>
      <c r="Q198" s="951"/>
      <c r="R198" s="951"/>
      <c r="S198" s="96"/>
      <c r="T198" s="96"/>
      <c r="Z198" s="36"/>
      <c r="AG198" s="96"/>
    </row>
    <row r="199" spans="4:33" ht="15.75" customHeight="1">
      <c r="D199" s="951"/>
      <c r="G199" s="951"/>
      <c r="H199" s="951"/>
      <c r="I199" s="951"/>
      <c r="J199" s="951"/>
      <c r="K199" s="951"/>
      <c r="L199" s="951"/>
      <c r="M199" s="951"/>
      <c r="N199" s="951"/>
      <c r="O199" s="951"/>
      <c r="P199" s="951"/>
      <c r="Q199" s="951"/>
      <c r="R199" s="951"/>
      <c r="S199" s="96"/>
      <c r="T199" s="96"/>
      <c r="Z199" s="36"/>
      <c r="AG199" s="96"/>
    </row>
    <row r="200" spans="4:33" ht="15.75" customHeight="1">
      <c r="D200" s="951"/>
      <c r="G200" s="951"/>
      <c r="H200" s="951"/>
      <c r="I200" s="951"/>
      <c r="J200" s="951"/>
      <c r="K200" s="951"/>
      <c r="L200" s="951"/>
      <c r="M200" s="951"/>
      <c r="N200" s="951"/>
      <c r="O200" s="951"/>
      <c r="P200" s="951"/>
      <c r="Q200" s="951"/>
      <c r="R200" s="951"/>
      <c r="S200" s="96"/>
      <c r="T200" s="96"/>
      <c r="Z200" s="36"/>
      <c r="AG200" s="96"/>
    </row>
    <row r="201" spans="4:33" ht="15.75" customHeight="1">
      <c r="D201" s="951"/>
      <c r="G201" s="951"/>
      <c r="H201" s="951"/>
      <c r="I201" s="951"/>
      <c r="J201" s="951"/>
      <c r="K201" s="951"/>
      <c r="L201" s="951"/>
      <c r="M201" s="951"/>
      <c r="N201" s="951"/>
      <c r="O201" s="951"/>
      <c r="P201" s="951"/>
      <c r="Q201" s="951"/>
      <c r="R201" s="951"/>
      <c r="S201" s="96"/>
      <c r="T201" s="96"/>
      <c r="Z201" s="36"/>
      <c r="AG201" s="96"/>
    </row>
    <row r="202" spans="4:33" ht="15.75" customHeight="1">
      <c r="D202" s="951"/>
      <c r="G202" s="951"/>
      <c r="H202" s="951"/>
      <c r="I202" s="951"/>
      <c r="J202" s="951"/>
      <c r="K202" s="951"/>
      <c r="L202" s="951"/>
      <c r="M202" s="951"/>
      <c r="N202" s="951"/>
      <c r="O202" s="951"/>
      <c r="P202" s="951"/>
      <c r="Q202" s="951"/>
      <c r="R202" s="951"/>
      <c r="S202" s="96"/>
      <c r="T202" s="96"/>
      <c r="Z202" s="36"/>
      <c r="AG202" s="96"/>
    </row>
    <row r="203" spans="4:33" ht="15.75" customHeight="1">
      <c r="D203" s="951"/>
      <c r="G203" s="951"/>
      <c r="H203" s="951"/>
      <c r="I203" s="951"/>
      <c r="J203" s="951"/>
      <c r="K203" s="951"/>
      <c r="L203" s="951"/>
      <c r="M203" s="951"/>
      <c r="N203" s="951"/>
      <c r="O203" s="951"/>
      <c r="P203" s="951"/>
      <c r="Q203" s="951"/>
      <c r="R203" s="951"/>
      <c r="S203" s="96"/>
      <c r="T203" s="96"/>
      <c r="Z203" s="36"/>
      <c r="AG203" s="96"/>
    </row>
    <row r="204" spans="4:33" ht="15.75" customHeight="1">
      <c r="D204" s="951"/>
      <c r="G204" s="951"/>
      <c r="H204" s="951"/>
      <c r="I204" s="951"/>
      <c r="J204" s="951"/>
      <c r="K204" s="951"/>
      <c r="L204" s="951"/>
      <c r="M204" s="951"/>
      <c r="N204" s="951"/>
      <c r="O204" s="951"/>
      <c r="P204" s="951"/>
      <c r="Q204" s="951"/>
      <c r="R204" s="951"/>
      <c r="S204" s="96"/>
      <c r="T204" s="96"/>
      <c r="Z204" s="36"/>
      <c r="AG204" s="96"/>
    </row>
    <row r="205" spans="4:33" ht="15.75" customHeight="1">
      <c r="D205" s="951"/>
      <c r="G205" s="951"/>
      <c r="H205" s="951"/>
      <c r="I205" s="951"/>
      <c r="J205" s="951"/>
      <c r="K205" s="951"/>
      <c r="L205" s="951"/>
      <c r="M205" s="951"/>
      <c r="N205" s="951"/>
      <c r="O205" s="951"/>
      <c r="P205" s="951"/>
      <c r="Q205" s="951"/>
      <c r="R205" s="951"/>
      <c r="S205" s="96"/>
      <c r="T205" s="96"/>
      <c r="Z205" s="36"/>
      <c r="AG205" s="96"/>
    </row>
    <row r="206" spans="4:33" ht="15.75" customHeight="1">
      <c r="D206" s="951"/>
      <c r="G206" s="951"/>
      <c r="H206" s="951"/>
      <c r="I206" s="951"/>
      <c r="J206" s="951"/>
      <c r="K206" s="951"/>
      <c r="L206" s="951"/>
      <c r="M206" s="951"/>
      <c r="N206" s="951"/>
      <c r="O206" s="951"/>
      <c r="P206" s="951"/>
      <c r="Q206" s="951"/>
      <c r="R206" s="951"/>
      <c r="S206" s="96"/>
      <c r="T206" s="96"/>
      <c r="Z206" s="36"/>
      <c r="AG206" s="96"/>
    </row>
    <row r="207" spans="4:33" ht="15.75" customHeight="1">
      <c r="D207" s="951"/>
      <c r="G207" s="951"/>
      <c r="H207" s="951"/>
      <c r="I207" s="951"/>
      <c r="J207" s="951"/>
      <c r="K207" s="951"/>
      <c r="L207" s="951"/>
      <c r="M207" s="951"/>
      <c r="N207" s="951"/>
      <c r="O207" s="951"/>
      <c r="P207" s="951"/>
      <c r="Q207" s="951"/>
      <c r="R207" s="951"/>
      <c r="S207" s="96"/>
      <c r="T207" s="96"/>
      <c r="Z207" s="36"/>
      <c r="AG207" s="96"/>
    </row>
    <row r="208" spans="4:33" ht="15.75" customHeight="1">
      <c r="D208" s="951"/>
      <c r="G208" s="951"/>
      <c r="H208" s="951"/>
      <c r="I208" s="951"/>
      <c r="J208" s="951"/>
      <c r="K208" s="951"/>
      <c r="L208" s="951"/>
      <c r="M208" s="951"/>
      <c r="N208" s="951"/>
      <c r="O208" s="951"/>
      <c r="P208" s="951"/>
      <c r="Q208" s="951"/>
      <c r="R208" s="951"/>
      <c r="S208" s="96"/>
      <c r="T208" s="96"/>
      <c r="Z208" s="36"/>
      <c r="AG208" s="96"/>
    </row>
    <row r="209" spans="4:33" ht="15.75" customHeight="1">
      <c r="D209" s="951"/>
      <c r="G209" s="951"/>
      <c r="H209" s="951"/>
      <c r="I209" s="951"/>
      <c r="J209" s="951"/>
      <c r="K209" s="951"/>
      <c r="L209" s="951"/>
      <c r="M209" s="951"/>
      <c r="N209" s="951"/>
      <c r="O209" s="951"/>
      <c r="P209" s="951"/>
      <c r="Q209" s="951"/>
      <c r="R209" s="951"/>
      <c r="S209" s="96"/>
      <c r="T209" s="96"/>
      <c r="Z209" s="36"/>
      <c r="AG209" s="96"/>
    </row>
    <row r="210" spans="4:33" ht="15.75" customHeight="1">
      <c r="D210" s="951"/>
      <c r="G210" s="951"/>
      <c r="H210" s="951"/>
      <c r="I210" s="951"/>
      <c r="J210" s="951"/>
      <c r="K210" s="951"/>
      <c r="L210" s="951"/>
      <c r="M210" s="951"/>
      <c r="N210" s="951"/>
      <c r="O210" s="951"/>
      <c r="P210" s="951"/>
      <c r="Q210" s="951"/>
      <c r="R210" s="951"/>
      <c r="S210" s="96"/>
      <c r="T210" s="96"/>
      <c r="Z210" s="36"/>
      <c r="AG210" s="96"/>
    </row>
    <row r="211" spans="4:33" ht="15.75" customHeight="1">
      <c r="D211" s="951"/>
      <c r="G211" s="951"/>
      <c r="H211" s="951"/>
      <c r="I211" s="951"/>
      <c r="J211" s="951"/>
      <c r="K211" s="951"/>
      <c r="L211" s="951"/>
      <c r="M211" s="951"/>
      <c r="N211" s="951"/>
      <c r="O211" s="951"/>
      <c r="P211" s="951"/>
      <c r="Q211" s="951"/>
      <c r="R211" s="951"/>
      <c r="S211" s="96"/>
      <c r="T211" s="96"/>
      <c r="Z211" s="36"/>
      <c r="AG211" s="96"/>
    </row>
    <row r="212" spans="4:33" ht="15.75" customHeight="1">
      <c r="D212" s="951"/>
      <c r="G212" s="951"/>
      <c r="H212" s="951"/>
      <c r="I212" s="951"/>
      <c r="J212" s="951"/>
      <c r="K212" s="951"/>
      <c r="L212" s="951"/>
      <c r="M212" s="951"/>
      <c r="N212" s="951"/>
      <c r="O212" s="951"/>
      <c r="P212" s="951"/>
      <c r="Q212" s="951"/>
      <c r="R212" s="951"/>
      <c r="S212" s="96"/>
      <c r="T212" s="96"/>
      <c r="Z212" s="36"/>
      <c r="AG212" s="96"/>
    </row>
    <row r="213" spans="4:33" ht="15.75" customHeight="1">
      <c r="D213" s="951"/>
      <c r="G213" s="951"/>
      <c r="H213" s="951"/>
      <c r="I213" s="951"/>
      <c r="J213" s="951"/>
      <c r="K213" s="951"/>
      <c r="L213" s="951"/>
      <c r="M213" s="951"/>
      <c r="N213" s="951"/>
      <c r="O213" s="951"/>
      <c r="P213" s="951"/>
      <c r="Q213" s="951"/>
      <c r="R213" s="951"/>
      <c r="S213" s="96"/>
      <c r="T213" s="96"/>
      <c r="Z213" s="36"/>
      <c r="AG213" s="96"/>
    </row>
    <row r="214" spans="4:33" ht="15.75" customHeight="1">
      <c r="D214" s="951"/>
      <c r="G214" s="951"/>
      <c r="H214" s="951"/>
      <c r="I214" s="951"/>
      <c r="J214" s="951"/>
      <c r="K214" s="951"/>
      <c r="L214" s="951"/>
      <c r="M214" s="951"/>
      <c r="N214" s="951"/>
      <c r="O214" s="951"/>
      <c r="P214" s="951"/>
      <c r="Q214" s="951"/>
      <c r="R214" s="951"/>
      <c r="S214" s="96"/>
      <c r="T214" s="96"/>
      <c r="Z214" s="36"/>
      <c r="AG214" s="96"/>
    </row>
    <row r="215" spans="4:33" ht="15.75" customHeight="1">
      <c r="D215" s="951"/>
      <c r="G215" s="951"/>
      <c r="H215" s="951"/>
      <c r="I215" s="951"/>
      <c r="J215" s="951"/>
      <c r="K215" s="951"/>
      <c r="L215" s="951"/>
      <c r="M215" s="951"/>
      <c r="N215" s="951"/>
      <c r="O215" s="951"/>
      <c r="P215" s="951"/>
      <c r="Q215" s="951"/>
      <c r="R215" s="951"/>
      <c r="S215" s="96"/>
      <c r="T215" s="96"/>
      <c r="Z215" s="36"/>
      <c r="AG215" s="96"/>
    </row>
    <row r="216" spans="4:33" ht="15.75" customHeight="1">
      <c r="D216" s="951"/>
      <c r="G216" s="951"/>
      <c r="H216" s="951"/>
      <c r="I216" s="951"/>
      <c r="J216" s="951"/>
      <c r="K216" s="951"/>
      <c r="L216" s="951"/>
      <c r="M216" s="951"/>
      <c r="N216" s="951"/>
      <c r="O216" s="951"/>
      <c r="P216" s="951"/>
      <c r="Q216" s="951"/>
      <c r="R216" s="951"/>
      <c r="S216" s="96"/>
      <c r="T216" s="96"/>
      <c r="Z216" s="36"/>
      <c r="AG216" s="96"/>
    </row>
    <row r="217" spans="4:33" ht="15.75" customHeight="1">
      <c r="D217" s="951"/>
      <c r="G217" s="951"/>
      <c r="H217" s="951"/>
      <c r="I217" s="951"/>
      <c r="J217" s="951"/>
      <c r="K217" s="951"/>
      <c r="L217" s="951"/>
      <c r="M217" s="951"/>
      <c r="N217" s="951"/>
      <c r="O217" s="951"/>
      <c r="P217" s="951"/>
      <c r="Q217" s="951"/>
      <c r="R217" s="951"/>
      <c r="S217" s="96"/>
      <c r="T217" s="96"/>
      <c r="Z217" s="36"/>
      <c r="AG217" s="96"/>
    </row>
    <row r="218" spans="4:33" ht="15.75" customHeight="1">
      <c r="D218" s="951"/>
      <c r="G218" s="951"/>
      <c r="H218" s="951"/>
      <c r="I218" s="951"/>
      <c r="J218" s="951"/>
      <c r="K218" s="951"/>
      <c r="L218" s="951"/>
      <c r="M218" s="951"/>
      <c r="N218" s="951"/>
      <c r="O218" s="951"/>
      <c r="P218" s="951"/>
      <c r="Q218" s="951"/>
      <c r="R218" s="951"/>
      <c r="S218" s="96"/>
      <c r="T218" s="96"/>
      <c r="Z218" s="36"/>
      <c r="AG218" s="96"/>
    </row>
    <row r="219" spans="4:33" ht="15.75" customHeight="1">
      <c r="D219" s="951"/>
      <c r="G219" s="951"/>
      <c r="H219" s="951"/>
      <c r="I219" s="951"/>
      <c r="J219" s="951"/>
      <c r="K219" s="951"/>
      <c r="L219" s="951"/>
      <c r="M219" s="951"/>
      <c r="N219" s="951"/>
      <c r="O219" s="951"/>
      <c r="P219" s="951"/>
      <c r="Q219" s="951"/>
      <c r="R219" s="951"/>
      <c r="S219" s="96"/>
      <c r="T219" s="96"/>
      <c r="Z219" s="36"/>
      <c r="AG219" s="96"/>
    </row>
    <row r="220" spans="4:33" ht="15.75" customHeight="1">
      <c r="D220" s="951"/>
      <c r="G220" s="951"/>
      <c r="H220" s="951"/>
      <c r="I220" s="951"/>
      <c r="J220" s="951"/>
      <c r="K220" s="951"/>
      <c r="L220" s="951"/>
      <c r="M220" s="951"/>
      <c r="N220" s="951"/>
      <c r="O220" s="951"/>
      <c r="P220" s="951"/>
      <c r="Q220" s="951"/>
      <c r="R220" s="951"/>
      <c r="S220" s="96"/>
      <c r="T220" s="96"/>
      <c r="Z220" s="36"/>
      <c r="AG220" s="96"/>
    </row>
    <row r="221" spans="4:33" ht="15.75" customHeight="1">
      <c r="D221" s="951"/>
      <c r="G221" s="951"/>
      <c r="H221" s="951"/>
      <c r="I221" s="951"/>
      <c r="J221" s="951"/>
      <c r="K221" s="951"/>
      <c r="L221" s="951"/>
      <c r="M221" s="951"/>
      <c r="N221" s="951"/>
      <c r="O221" s="951"/>
      <c r="P221" s="951"/>
      <c r="Q221" s="951"/>
      <c r="R221" s="951"/>
      <c r="S221" s="96"/>
      <c r="T221" s="96"/>
      <c r="Z221" s="36"/>
      <c r="AG221" s="96"/>
    </row>
    <row r="222" spans="4:33" ht="15.75" customHeight="1">
      <c r="D222" s="951"/>
      <c r="G222" s="951"/>
      <c r="H222" s="951"/>
      <c r="I222" s="951"/>
      <c r="J222" s="951"/>
      <c r="K222" s="951"/>
      <c r="L222" s="951"/>
      <c r="M222" s="951"/>
      <c r="N222" s="951"/>
      <c r="O222" s="951"/>
      <c r="P222" s="951"/>
      <c r="Q222" s="951"/>
      <c r="R222" s="951"/>
      <c r="S222" s="96"/>
      <c r="T222" s="96"/>
      <c r="Z222" s="36"/>
      <c r="AG222" s="96"/>
    </row>
    <row r="223" spans="4:33" ht="15.75" customHeight="1">
      <c r="D223" s="951"/>
      <c r="G223" s="951"/>
      <c r="H223" s="951"/>
      <c r="I223" s="951"/>
      <c r="J223" s="951"/>
      <c r="K223" s="951"/>
      <c r="L223" s="951"/>
      <c r="M223" s="951"/>
      <c r="N223" s="951"/>
      <c r="O223" s="951"/>
      <c r="P223" s="951"/>
      <c r="Q223" s="951"/>
      <c r="R223" s="951"/>
      <c r="S223" s="96"/>
      <c r="T223" s="96"/>
      <c r="Z223" s="36"/>
      <c r="AG223" s="96"/>
    </row>
    <row r="224" spans="4:33" ht="15.75" customHeight="1">
      <c r="D224" s="951"/>
      <c r="G224" s="951"/>
      <c r="H224" s="951"/>
      <c r="I224" s="951"/>
      <c r="J224" s="951"/>
      <c r="K224" s="951"/>
      <c r="L224" s="951"/>
      <c r="M224" s="951"/>
      <c r="N224" s="951"/>
      <c r="O224" s="951"/>
      <c r="P224" s="951"/>
      <c r="Q224" s="951"/>
      <c r="R224" s="951"/>
      <c r="S224" s="96"/>
      <c r="T224" s="96"/>
      <c r="Z224" s="36"/>
      <c r="AG224" s="96"/>
    </row>
    <row r="225" spans="4:33" ht="15.75" customHeight="1">
      <c r="D225" s="951"/>
      <c r="G225" s="951"/>
      <c r="H225" s="951"/>
      <c r="I225" s="951"/>
      <c r="J225" s="951"/>
      <c r="K225" s="951"/>
      <c r="L225" s="951"/>
      <c r="M225" s="951"/>
      <c r="N225" s="951"/>
      <c r="O225" s="951"/>
      <c r="P225" s="951"/>
      <c r="Q225" s="951"/>
      <c r="R225" s="951"/>
      <c r="S225" s="96"/>
      <c r="T225" s="96"/>
      <c r="Z225" s="36"/>
      <c r="AG225" s="96"/>
    </row>
    <row r="226" spans="4:33" ht="15.75" customHeight="1">
      <c r="D226" s="951"/>
      <c r="G226" s="951"/>
      <c r="H226" s="951"/>
      <c r="I226" s="951"/>
      <c r="J226" s="951"/>
      <c r="K226" s="951"/>
      <c r="L226" s="951"/>
      <c r="M226" s="951"/>
      <c r="N226" s="951"/>
      <c r="O226" s="951"/>
      <c r="P226" s="951"/>
      <c r="Q226" s="951"/>
      <c r="R226" s="951"/>
      <c r="S226" s="96"/>
      <c r="T226" s="96"/>
      <c r="Z226" s="36"/>
      <c r="AG226" s="96"/>
    </row>
    <row r="227" spans="4:33" ht="15.75" customHeight="1">
      <c r="D227" s="951"/>
      <c r="G227" s="951"/>
      <c r="H227" s="951"/>
      <c r="I227" s="951"/>
      <c r="J227" s="951"/>
      <c r="K227" s="951"/>
      <c r="L227" s="951"/>
      <c r="M227" s="951"/>
      <c r="N227" s="951"/>
      <c r="O227" s="951"/>
      <c r="P227" s="951"/>
      <c r="Q227" s="951"/>
      <c r="R227" s="951"/>
      <c r="S227" s="96"/>
      <c r="T227" s="96"/>
      <c r="Z227" s="36"/>
      <c r="AG227" s="96"/>
    </row>
    <row r="228" spans="4:33" ht="15.75" customHeight="1">
      <c r="D228" s="951"/>
      <c r="G228" s="951"/>
      <c r="H228" s="951"/>
      <c r="I228" s="951"/>
      <c r="J228" s="951"/>
      <c r="K228" s="951"/>
      <c r="L228" s="951"/>
      <c r="M228" s="951"/>
      <c r="N228" s="951"/>
      <c r="O228" s="951"/>
      <c r="P228" s="951"/>
      <c r="Q228" s="951"/>
      <c r="R228" s="951"/>
      <c r="S228" s="96"/>
      <c r="T228" s="96"/>
      <c r="Z228" s="36"/>
      <c r="AG228" s="96"/>
    </row>
    <row r="229" spans="4:33" ht="15.75" customHeight="1">
      <c r="D229" s="951"/>
      <c r="G229" s="951"/>
      <c r="H229" s="951"/>
      <c r="I229" s="951"/>
      <c r="J229" s="951"/>
      <c r="K229" s="951"/>
      <c r="L229" s="951"/>
      <c r="M229" s="951"/>
      <c r="N229" s="951"/>
      <c r="O229" s="951"/>
      <c r="P229" s="951"/>
      <c r="Q229" s="951"/>
      <c r="R229" s="951"/>
      <c r="S229" s="96"/>
      <c r="T229" s="96"/>
      <c r="Z229" s="36"/>
      <c r="AG229" s="96"/>
    </row>
    <row r="230" spans="4:33" ht="15.75" customHeight="1">
      <c r="D230" s="951"/>
      <c r="G230" s="951"/>
      <c r="H230" s="951"/>
      <c r="I230" s="951"/>
      <c r="J230" s="951"/>
      <c r="K230" s="951"/>
      <c r="L230" s="951"/>
      <c r="M230" s="951"/>
      <c r="N230" s="951"/>
      <c r="O230" s="951"/>
      <c r="P230" s="951"/>
      <c r="Q230" s="951"/>
      <c r="R230" s="951"/>
      <c r="S230" s="96"/>
      <c r="T230" s="96"/>
      <c r="Z230" s="36"/>
      <c r="AG230" s="96"/>
    </row>
    <row r="231" spans="4:33" ht="15.75" customHeight="1">
      <c r="D231" s="951"/>
      <c r="G231" s="951"/>
      <c r="H231" s="951"/>
      <c r="I231" s="951"/>
      <c r="J231" s="951"/>
      <c r="K231" s="951"/>
      <c r="L231" s="951"/>
      <c r="M231" s="951"/>
      <c r="N231" s="951"/>
      <c r="O231" s="951"/>
      <c r="P231" s="951"/>
      <c r="Q231" s="951"/>
      <c r="R231" s="951"/>
      <c r="S231" s="96"/>
      <c r="T231" s="96"/>
      <c r="Z231" s="36"/>
      <c r="AG231" s="96"/>
    </row>
    <row r="232" spans="4:33" ht="15.75" customHeight="1">
      <c r="D232" s="951"/>
      <c r="G232" s="951"/>
      <c r="H232" s="951"/>
      <c r="I232" s="951"/>
      <c r="J232" s="951"/>
      <c r="K232" s="951"/>
      <c r="L232" s="951"/>
      <c r="M232" s="951"/>
      <c r="N232" s="951"/>
      <c r="O232" s="951"/>
      <c r="P232" s="951"/>
      <c r="Q232" s="951"/>
      <c r="R232" s="951"/>
      <c r="S232" s="96"/>
      <c r="T232" s="96"/>
      <c r="Z232" s="36"/>
      <c r="AG232" s="96"/>
    </row>
    <row r="233" spans="4:33" ht="15.75" customHeight="1">
      <c r="D233" s="951"/>
      <c r="G233" s="951"/>
      <c r="H233" s="951"/>
      <c r="I233" s="951"/>
      <c r="J233" s="951"/>
      <c r="K233" s="951"/>
      <c r="L233" s="951"/>
      <c r="M233" s="951"/>
      <c r="N233" s="951"/>
      <c r="O233" s="951"/>
      <c r="P233" s="951"/>
      <c r="Q233" s="951"/>
      <c r="R233" s="951"/>
      <c r="S233" s="96"/>
      <c r="T233" s="96"/>
      <c r="Z233" s="36"/>
      <c r="AG233" s="96"/>
    </row>
    <row r="234" spans="4:33" ht="15.75" customHeight="1">
      <c r="D234" s="951"/>
      <c r="G234" s="951"/>
      <c r="H234" s="951"/>
      <c r="I234" s="951"/>
      <c r="J234" s="951"/>
      <c r="K234" s="951"/>
      <c r="L234" s="951"/>
      <c r="M234" s="951"/>
      <c r="N234" s="951"/>
      <c r="O234" s="951"/>
      <c r="P234" s="951"/>
      <c r="Q234" s="951"/>
      <c r="R234" s="951"/>
      <c r="S234" s="96"/>
      <c r="T234" s="96"/>
      <c r="Z234" s="36"/>
      <c r="AG234" s="96"/>
    </row>
    <row r="235" spans="4:33" ht="15.75" customHeight="1">
      <c r="D235" s="951"/>
      <c r="G235" s="951"/>
      <c r="H235" s="951"/>
      <c r="I235" s="951"/>
      <c r="J235" s="951"/>
      <c r="K235" s="951"/>
      <c r="L235" s="951"/>
      <c r="M235" s="951"/>
      <c r="N235" s="951"/>
      <c r="O235" s="951"/>
      <c r="P235" s="951"/>
      <c r="Q235" s="951"/>
      <c r="R235" s="951"/>
      <c r="S235" s="96"/>
      <c r="T235" s="96"/>
      <c r="Z235" s="36"/>
      <c r="AG235" s="96"/>
    </row>
    <row r="236" spans="4:33" ht="15.75" customHeight="1"/>
    <row r="237" spans="4:33" ht="15.75" customHeight="1"/>
    <row r="238" spans="4:33" ht="15.75" customHeight="1"/>
    <row r="239" spans="4:33" ht="15.75" customHeight="1"/>
    <row r="240" spans="4:3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I35" xr:uid="{00000000-0009-0000-0000-000001000000}">
    <filterColumn colId="1">
      <filters>
        <filter val="Mohammad Rehanuddin"/>
      </filters>
    </filterColumn>
  </autoFilter>
  <conditionalFormatting sqref="C23:C26">
    <cfRule type="cellIs" dxfId="49" priority="1" operator="equal">
      <formula>"YL"</formula>
    </cfRule>
    <cfRule type="cellIs" dxfId="48" priority="2" operator="equal">
      <formula>"YL"</formula>
    </cfRule>
  </conditionalFormatting>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L1000"/>
  <sheetViews>
    <sheetView workbookViewId="0">
      <pane xSplit="5" ySplit="1" topLeftCell="J4" activePane="bottomRight" state="frozen"/>
      <selection pane="topRight"/>
      <selection pane="bottomLeft"/>
      <selection pane="bottomRight" activeCell="I30" sqref="G30:I30"/>
    </sheetView>
  </sheetViews>
  <sheetFormatPr defaultColWidth="12.59765625" defaultRowHeight="15" customHeight="1"/>
  <cols>
    <col min="1" max="1" width="3.69921875" customWidth="1"/>
    <col min="2" max="2" width="24.5" bestFit="1" customWidth="1"/>
    <col min="3" max="3" width="13.19921875" customWidth="1"/>
    <col min="4" max="4" width="9.5" customWidth="1"/>
    <col min="5" max="5" width="8.69921875" customWidth="1"/>
    <col min="6" max="6" width="9.69921875" customWidth="1"/>
    <col min="7" max="18" width="8.19921875" customWidth="1"/>
    <col min="19" max="19" width="9.19921875" customWidth="1"/>
    <col min="20" max="20" width="7.59765625" customWidth="1"/>
    <col min="21" max="21" width="9" customWidth="1"/>
    <col min="22" max="38" width="7.59765625" customWidth="1"/>
  </cols>
  <sheetData>
    <row r="1" spans="1:38" ht="69" customHeight="1">
      <c r="A1" s="884" t="s">
        <v>0</v>
      </c>
      <c r="B1" s="885" t="s">
        <v>1</v>
      </c>
      <c r="C1" s="885" t="s">
        <v>48</v>
      </c>
      <c r="D1" s="886" t="s">
        <v>2</v>
      </c>
      <c r="E1" s="886" t="s">
        <v>3</v>
      </c>
      <c r="F1" s="887" t="s">
        <v>4</v>
      </c>
      <c r="G1" s="885" t="s">
        <v>49</v>
      </c>
      <c r="H1" s="885" t="s">
        <v>50</v>
      </c>
      <c r="I1" s="885" t="s">
        <v>51</v>
      </c>
      <c r="J1" s="885" t="s">
        <v>52</v>
      </c>
      <c r="K1" s="885" t="s">
        <v>53</v>
      </c>
      <c r="L1" s="885" t="s">
        <v>54</v>
      </c>
      <c r="M1" s="885" t="s">
        <v>55</v>
      </c>
      <c r="N1" s="885" t="s">
        <v>56</v>
      </c>
      <c r="O1" s="885" t="s">
        <v>57</v>
      </c>
      <c r="P1" s="885" t="s">
        <v>12</v>
      </c>
      <c r="Q1" s="885" t="s">
        <v>13</v>
      </c>
      <c r="R1" s="885" t="s">
        <v>14</v>
      </c>
      <c r="S1" s="920" t="s">
        <v>107</v>
      </c>
      <c r="T1" s="920" t="s">
        <v>108</v>
      </c>
      <c r="U1" s="920" t="s">
        <v>109</v>
      </c>
      <c r="V1" s="921" t="s">
        <v>110</v>
      </c>
      <c r="W1" s="920" t="s">
        <v>111</v>
      </c>
      <c r="X1" s="920"/>
      <c r="Y1" s="935" t="s">
        <v>112</v>
      </c>
      <c r="Z1" s="935" t="s">
        <v>113</v>
      </c>
      <c r="AA1" s="935" t="s">
        <v>114</v>
      </c>
      <c r="AB1" s="935" t="s">
        <v>115</v>
      </c>
      <c r="AC1" s="935" t="s">
        <v>116</v>
      </c>
      <c r="AD1" s="935" t="s">
        <v>117</v>
      </c>
      <c r="AE1" s="935" t="s">
        <v>118</v>
      </c>
      <c r="AF1" s="935" t="s">
        <v>119</v>
      </c>
      <c r="AG1" s="935" t="s">
        <v>120</v>
      </c>
      <c r="AH1" s="935" t="s">
        <v>121</v>
      </c>
      <c r="AI1" s="935" t="s">
        <v>122</v>
      </c>
      <c r="AJ1" s="935" t="s">
        <v>123</v>
      </c>
      <c r="AK1" s="935" t="s">
        <v>124</v>
      </c>
      <c r="AL1" s="935" t="s">
        <v>125</v>
      </c>
    </row>
    <row r="2" spans="1:38" ht="15.75" hidden="1" customHeight="1">
      <c r="A2" s="888">
        <v>1</v>
      </c>
      <c r="B2" s="889" t="s">
        <v>127</v>
      </c>
      <c r="C2" s="890" t="s">
        <v>128</v>
      </c>
      <c r="D2" s="890">
        <v>10000</v>
      </c>
      <c r="E2" s="891">
        <v>5000</v>
      </c>
      <c r="F2" s="100" t="s">
        <v>21</v>
      </c>
      <c r="G2" s="103">
        <v>3000</v>
      </c>
      <c r="H2" s="103">
        <v>4000</v>
      </c>
      <c r="I2" s="103">
        <v>4000</v>
      </c>
      <c r="J2" s="103">
        <v>4000</v>
      </c>
      <c r="K2" s="103">
        <v>5000</v>
      </c>
      <c r="L2" s="103">
        <v>4000</v>
      </c>
      <c r="M2" s="103">
        <v>3000</v>
      </c>
      <c r="N2" s="103">
        <v>0</v>
      </c>
      <c r="O2" s="103">
        <v>4000</v>
      </c>
      <c r="P2" s="103">
        <v>4000</v>
      </c>
      <c r="Q2" s="922">
        <v>2000</v>
      </c>
      <c r="R2" s="103">
        <v>4000</v>
      </c>
      <c r="S2" s="103">
        <f t="shared" ref="S2:S9" si="0">SUM(G2:R2)</f>
        <v>41000</v>
      </c>
      <c r="T2" s="103">
        <v>0</v>
      </c>
      <c r="U2" s="103">
        <v>30500</v>
      </c>
      <c r="V2" s="103">
        <v>20000</v>
      </c>
      <c r="W2" s="103">
        <v>20000</v>
      </c>
      <c r="X2" s="100"/>
      <c r="Y2" s="103">
        <v>0</v>
      </c>
      <c r="Z2" s="103">
        <v>0</v>
      </c>
      <c r="AA2" s="103">
        <v>0</v>
      </c>
      <c r="AB2" s="103">
        <v>0</v>
      </c>
      <c r="AC2" s="103">
        <v>0</v>
      </c>
      <c r="AD2" s="103">
        <v>4000</v>
      </c>
      <c r="AE2" s="103">
        <v>3000</v>
      </c>
      <c r="AF2" s="103">
        <v>0</v>
      </c>
      <c r="AG2" s="100">
        <f t="shared" ref="AG2:AJ2" si="1">O2</f>
        <v>4000</v>
      </c>
      <c r="AH2" s="100">
        <f t="shared" si="1"/>
        <v>4000</v>
      </c>
      <c r="AI2" s="923">
        <f t="shared" si="1"/>
        <v>2000</v>
      </c>
      <c r="AJ2" s="100">
        <f t="shared" si="1"/>
        <v>4000</v>
      </c>
      <c r="AK2" s="103">
        <f>SUM(Y2:AJ2)</f>
        <v>21000</v>
      </c>
      <c r="AL2" s="103">
        <v>23500</v>
      </c>
    </row>
    <row r="3" spans="1:38" ht="15.75" hidden="1" customHeight="1">
      <c r="A3" s="888">
        <v>2</v>
      </c>
      <c r="B3" s="889" t="s">
        <v>129</v>
      </c>
      <c r="C3" s="890" t="s">
        <v>128</v>
      </c>
      <c r="D3" s="890">
        <v>10000</v>
      </c>
      <c r="E3" s="891">
        <v>5000</v>
      </c>
      <c r="F3" s="100" t="s">
        <v>21</v>
      </c>
      <c r="G3" s="103" t="s">
        <v>30</v>
      </c>
      <c r="H3" s="103" t="s">
        <v>30</v>
      </c>
      <c r="I3" s="103" t="s">
        <v>30</v>
      </c>
      <c r="J3" s="103" t="s">
        <v>30</v>
      </c>
      <c r="K3" s="103" t="s">
        <v>30</v>
      </c>
      <c r="L3" s="103" t="s">
        <v>30</v>
      </c>
      <c r="M3" s="103" t="s">
        <v>30</v>
      </c>
      <c r="N3" s="103" t="s">
        <v>30</v>
      </c>
      <c r="O3" s="103">
        <v>4000</v>
      </c>
      <c r="P3" s="103">
        <v>5000</v>
      </c>
      <c r="Q3" s="103">
        <v>4000</v>
      </c>
      <c r="R3" s="922">
        <f>E3/22*9</f>
        <v>2045.4545454545455</v>
      </c>
      <c r="S3" s="922">
        <f t="shared" si="0"/>
        <v>15045.454545454546</v>
      </c>
      <c r="T3" s="103"/>
      <c r="U3" s="103"/>
      <c r="V3" s="103"/>
      <c r="W3" s="100"/>
      <c r="X3" s="100"/>
      <c r="Y3" s="100"/>
      <c r="Z3" s="103"/>
      <c r="AA3" s="100"/>
      <c r="AB3" s="103"/>
      <c r="AC3" s="100"/>
      <c r="AD3" s="100"/>
      <c r="AE3" s="100"/>
      <c r="AF3" s="100"/>
      <c r="AG3" s="100">
        <v>0</v>
      </c>
      <c r="AH3" s="100">
        <v>0</v>
      </c>
      <c r="AI3" s="100">
        <v>0</v>
      </c>
      <c r="AJ3" s="100">
        <v>0</v>
      </c>
      <c r="AK3" s="103">
        <f>SUM(Y3:AJ3)</f>
        <v>0</v>
      </c>
      <c r="AL3" s="100"/>
    </row>
    <row r="4" spans="1:38" ht="15.75" customHeight="1">
      <c r="A4" s="888">
        <v>3</v>
      </c>
      <c r="B4" s="890" t="s">
        <v>130</v>
      </c>
      <c r="C4" s="890" t="s">
        <v>131</v>
      </c>
      <c r="D4" s="193">
        <v>12000</v>
      </c>
      <c r="E4" s="892">
        <v>6000</v>
      </c>
      <c r="F4" s="100" t="s">
        <v>21</v>
      </c>
      <c r="G4" s="103" t="s">
        <v>30</v>
      </c>
      <c r="H4" s="103" t="s">
        <v>30</v>
      </c>
      <c r="I4" s="103" t="s">
        <v>30</v>
      </c>
      <c r="J4" s="103" t="s">
        <v>30</v>
      </c>
      <c r="K4" s="103" t="s">
        <v>30</v>
      </c>
      <c r="L4" s="103">
        <v>6000</v>
      </c>
      <c r="M4" s="103">
        <v>6000</v>
      </c>
      <c r="N4" s="103">
        <v>6000</v>
      </c>
      <c r="O4" s="103">
        <v>6000</v>
      </c>
      <c r="P4" s="103">
        <v>6000</v>
      </c>
      <c r="Q4" s="103">
        <v>6000</v>
      </c>
      <c r="R4" s="103">
        <v>6000</v>
      </c>
      <c r="S4" s="103">
        <f t="shared" si="0"/>
        <v>42000</v>
      </c>
      <c r="T4" s="103"/>
      <c r="U4" s="103"/>
      <c r="V4" s="103">
        <v>12000</v>
      </c>
      <c r="W4" s="100"/>
      <c r="X4" s="100"/>
      <c r="Y4" s="100"/>
      <c r="Z4" s="103"/>
      <c r="AA4" s="100"/>
      <c r="AB4" s="103"/>
      <c r="AC4" s="100"/>
      <c r="AD4" s="103">
        <v>0</v>
      </c>
      <c r="AE4" s="103">
        <v>0</v>
      </c>
      <c r="AF4" s="103">
        <v>6000</v>
      </c>
      <c r="AG4" s="100">
        <f>O4</f>
        <v>6000</v>
      </c>
      <c r="AH4" s="100">
        <v>0</v>
      </c>
      <c r="AI4" s="100">
        <v>0</v>
      </c>
      <c r="AJ4" s="100">
        <f>R4</f>
        <v>6000</v>
      </c>
      <c r="AK4" s="103">
        <f>SUM(Y4:AJ4)</f>
        <v>18000</v>
      </c>
      <c r="AL4" s="100"/>
    </row>
    <row r="5" spans="1:38" ht="15.75" hidden="1" customHeight="1">
      <c r="A5" s="888">
        <v>4</v>
      </c>
      <c r="B5" s="893" t="s">
        <v>132</v>
      </c>
      <c r="C5" s="890" t="s">
        <v>131</v>
      </c>
      <c r="D5" s="890">
        <v>12000</v>
      </c>
      <c r="E5" s="894">
        <v>4000</v>
      </c>
      <c r="F5" s="100" t="s">
        <v>21</v>
      </c>
      <c r="G5" s="103" t="s">
        <v>30</v>
      </c>
      <c r="H5" s="103" t="s">
        <v>30</v>
      </c>
      <c r="I5" s="103" t="s">
        <v>30</v>
      </c>
      <c r="J5" s="103" t="s">
        <v>30</v>
      </c>
      <c r="K5" s="103" t="s">
        <v>30</v>
      </c>
      <c r="L5" s="103" t="s">
        <v>30</v>
      </c>
      <c r="M5" s="103" t="s">
        <v>30</v>
      </c>
      <c r="N5" s="103" t="s">
        <v>30</v>
      </c>
      <c r="O5" s="103">
        <v>4000</v>
      </c>
      <c r="P5" s="103">
        <v>4000</v>
      </c>
      <c r="Q5" s="103">
        <v>0</v>
      </c>
      <c r="R5" s="103">
        <v>4000</v>
      </c>
      <c r="S5" s="103">
        <f t="shared" si="0"/>
        <v>12000</v>
      </c>
      <c r="T5" s="103"/>
      <c r="U5" s="103"/>
      <c r="V5" s="103"/>
      <c r="W5" s="100"/>
      <c r="X5" s="100"/>
      <c r="Y5" s="100"/>
      <c r="Z5" s="103"/>
      <c r="AA5" s="100"/>
      <c r="AB5" s="103"/>
      <c r="AC5" s="100"/>
      <c r="AD5" s="100"/>
      <c r="AE5" s="100"/>
      <c r="AF5" s="100"/>
      <c r="AG5" s="100">
        <v>0</v>
      </c>
      <c r="AH5" s="100">
        <v>0</v>
      </c>
      <c r="AI5" s="100">
        <v>0</v>
      </c>
      <c r="AJ5" s="100">
        <v>0</v>
      </c>
      <c r="AK5" s="100"/>
      <c r="AL5" s="100"/>
    </row>
    <row r="6" spans="1:38" ht="15.75" hidden="1" customHeight="1">
      <c r="A6" s="888">
        <v>6</v>
      </c>
      <c r="B6" s="890" t="s">
        <v>41</v>
      </c>
      <c r="C6" s="890" t="s">
        <v>133</v>
      </c>
      <c r="D6" s="193">
        <v>25000</v>
      </c>
      <c r="E6" s="890">
        <v>5000</v>
      </c>
      <c r="F6" s="100" t="s">
        <v>21</v>
      </c>
      <c r="G6" s="103">
        <v>5000</v>
      </c>
      <c r="H6" s="895">
        <v>5000</v>
      </c>
      <c r="I6" s="895">
        <v>5000</v>
      </c>
      <c r="J6" s="895">
        <v>5000</v>
      </c>
      <c r="K6" s="895">
        <v>5000</v>
      </c>
      <c r="L6" s="895">
        <v>5000</v>
      </c>
      <c r="M6" s="895">
        <v>5000</v>
      </c>
      <c r="N6" s="895">
        <v>5000</v>
      </c>
      <c r="O6" s="103">
        <v>5000</v>
      </c>
      <c r="P6" s="100">
        <v>5000</v>
      </c>
      <c r="Q6" s="100">
        <v>5000</v>
      </c>
      <c r="R6" s="923">
        <f t="shared" ref="R6:R7" si="2">E6/22*7</f>
        <v>1590.909090909091</v>
      </c>
      <c r="S6" s="922">
        <f t="shared" si="0"/>
        <v>56590.909090909088</v>
      </c>
      <c r="T6" s="103">
        <v>0</v>
      </c>
      <c r="U6" s="103">
        <v>45000</v>
      </c>
      <c r="V6" s="103">
        <v>50000</v>
      </c>
      <c r="W6" s="103">
        <v>50000</v>
      </c>
      <c r="X6" s="100"/>
      <c r="Y6" s="103">
        <v>5000</v>
      </c>
      <c r="Z6" s="103">
        <v>5000</v>
      </c>
      <c r="AA6" s="103">
        <v>5000</v>
      </c>
      <c r="AB6" s="103">
        <v>5000</v>
      </c>
      <c r="AC6" s="103">
        <v>0</v>
      </c>
      <c r="AD6" s="103">
        <v>0</v>
      </c>
      <c r="AE6" s="103">
        <v>5000</v>
      </c>
      <c r="AF6" s="103">
        <v>5000</v>
      </c>
      <c r="AG6" s="100"/>
      <c r="AH6" s="100"/>
      <c r="AI6" s="100">
        <v>0</v>
      </c>
      <c r="AJ6" s="100">
        <v>0</v>
      </c>
      <c r="AK6" s="103">
        <v>30000</v>
      </c>
      <c r="AL6" s="103">
        <v>15000</v>
      </c>
    </row>
    <row r="7" spans="1:38" ht="15.75" hidden="1" customHeight="1">
      <c r="A7" s="888">
        <v>7</v>
      </c>
      <c r="B7" s="890" t="s">
        <v>134</v>
      </c>
      <c r="C7" s="890" t="s">
        <v>133</v>
      </c>
      <c r="D7" s="896">
        <v>18000</v>
      </c>
      <c r="E7" s="892">
        <v>6000</v>
      </c>
      <c r="F7" s="100" t="s">
        <v>21</v>
      </c>
      <c r="G7" s="103" t="s">
        <v>30</v>
      </c>
      <c r="H7" s="103">
        <v>6000</v>
      </c>
      <c r="I7" s="103">
        <v>6000</v>
      </c>
      <c r="J7" s="103">
        <v>6000</v>
      </c>
      <c r="K7" s="103">
        <v>6000</v>
      </c>
      <c r="L7" s="103">
        <v>6000</v>
      </c>
      <c r="M7" s="103">
        <v>6000</v>
      </c>
      <c r="N7" s="103">
        <v>6000</v>
      </c>
      <c r="O7" s="103">
        <v>6000</v>
      </c>
      <c r="P7" s="100">
        <v>6000</v>
      </c>
      <c r="Q7" s="100">
        <v>6000</v>
      </c>
      <c r="R7" s="923">
        <f t="shared" si="2"/>
        <v>1909.0909090909092</v>
      </c>
      <c r="S7" s="922">
        <f t="shared" si="0"/>
        <v>61909.090909090912</v>
      </c>
      <c r="T7" s="103">
        <v>0</v>
      </c>
      <c r="U7" s="922">
        <f t="shared" ref="U7:U9" si="3">S7+T7</f>
        <v>61909.090909090912</v>
      </c>
      <c r="V7" s="103">
        <f t="shared" ref="V7:V9" si="4">D7*2</f>
        <v>36000</v>
      </c>
      <c r="W7" s="922">
        <f t="shared" ref="W7:W9" si="5">U7-V7</f>
        <v>25909.090909090912</v>
      </c>
      <c r="X7" s="100"/>
      <c r="Y7" s="103">
        <v>0</v>
      </c>
      <c r="Z7" s="103">
        <v>0</v>
      </c>
      <c r="AA7" s="103">
        <v>0</v>
      </c>
      <c r="AB7" s="103">
        <v>6000</v>
      </c>
      <c r="AC7" s="103">
        <v>6000</v>
      </c>
      <c r="AD7" s="103">
        <v>6000</v>
      </c>
      <c r="AE7" s="103">
        <v>6000</v>
      </c>
      <c r="AF7" s="103">
        <v>6000</v>
      </c>
      <c r="AG7" s="100">
        <v>0</v>
      </c>
      <c r="AH7" s="100">
        <v>0</v>
      </c>
      <c r="AI7" s="100">
        <v>0</v>
      </c>
      <c r="AJ7" s="100">
        <v>10000</v>
      </c>
      <c r="AK7" s="103">
        <f>SUM(Y7:AJ7)</f>
        <v>40000</v>
      </c>
      <c r="AL7" s="922">
        <f>S7-AK7</f>
        <v>21909.090909090912</v>
      </c>
    </row>
    <row r="8" spans="1:38" ht="15.75" hidden="1" customHeight="1">
      <c r="A8" s="888">
        <v>8</v>
      </c>
      <c r="B8" s="890" t="s">
        <v>135</v>
      </c>
      <c r="C8" s="890" t="s">
        <v>133</v>
      </c>
      <c r="D8" s="193">
        <v>12000</v>
      </c>
      <c r="E8" s="193">
        <v>6000</v>
      </c>
      <c r="F8" s="100" t="s">
        <v>21</v>
      </c>
      <c r="G8" s="103">
        <v>6000</v>
      </c>
      <c r="H8" s="103">
        <v>4000</v>
      </c>
      <c r="I8" s="103">
        <v>4000</v>
      </c>
      <c r="J8" s="103">
        <v>6000</v>
      </c>
      <c r="K8" s="103">
        <v>5000</v>
      </c>
      <c r="L8" s="103">
        <v>6000</v>
      </c>
      <c r="M8" s="103">
        <v>6000</v>
      </c>
      <c r="N8" s="103">
        <v>6000</v>
      </c>
      <c r="O8" s="103">
        <v>6000</v>
      </c>
      <c r="P8" s="103">
        <v>6000</v>
      </c>
      <c r="Q8" s="103">
        <v>6000</v>
      </c>
      <c r="R8" s="103">
        <v>6000</v>
      </c>
      <c r="S8" s="103">
        <f t="shared" si="0"/>
        <v>67000</v>
      </c>
      <c r="T8" s="103">
        <v>0</v>
      </c>
      <c r="U8" s="103">
        <f t="shared" si="3"/>
        <v>67000</v>
      </c>
      <c r="V8" s="103">
        <f t="shared" si="4"/>
        <v>24000</v>
      </c>
      <c r="W8" s="100">
        <f t="shared" si="5"/>
        <v>43000</v>
      </c>
      <c r="X8" s="100"/>
      <c r="Y8" s="100"/>
      <c r="Z8" s="103">
        <v>0</v>
      </c>
      <c r="AA8" s="103">
        <v>0</v>
      </c>
      <c r="AB8" s="103">
        <v>6000</v>
      </c>
      <c r="AC8" s="103">
        <v>5000</v>
      </c>
      <c r="AD8" s="103">
        <v>6000</v>
      </c>
      <c r="AE8" s="103">
        <v>6000</v>
      </c>
      <c r="AF8" s="103">
        <v>6000</v>
      </c>
      <c r="AG8" s="100">
        <v>0</v>
      </c>
      <c r="AH8" s="100">
        <v>0</v>
      </c>
      <c r="AI8" s="100">
        <f t="shared" ref="AI8:AJ8" si="6">Q8</f>
        <v>6000</v>
      </c>
      <c r="AJ8" s="100">
        <f t="shared" si="6"/>
        <v>6000</v>
      </c>
      <c r="AK8" s="100"/>
      <c r="AL8" s="100"/>
    </row>
    <row r="9" spans="1:38" ht="15.75" hidden="1" customHeight="1">
      <c r="A9" s="888">
        <v>9</v>
      </c>
      <c r="B9" s="890" t="s">
        <v>136</v>
      </c>
      <c r="C9" s="890" t="s">
        <v>133</v>
      </c>
      <c r="D9" s="896">
        <v>12000</v>
      </c>
      <c r="E9" s="890">
        <v>6000</v>
      </c>
      <c r="F9" s="100" t="s">
        <v>21</v>
      </c>
      <c r="G9" s="103" t="s">
        <v>30</v>
      </c>
      <c r="H9" s="103" t="s">
        <v>30</v>
      </c>
      <c r="I9" s="103">
        <v>3000</v>
      </c>
      <c r="J9" s="103">
        <v>4000</v>
      </c>
      <c r="K9" s="103">
        <v>5000</v>
      </c>
      <c r="L9" s="103">
        <v>6000</v>
      </c>
      <c r="M9" s="103">
        <v>6000</v>
      </c>
      <c r="N9" s="103">
        <v>6000</v>
      </c>
      <c r="O9" s="103">
        <v>6000</v>
      </c>
      <c r="P9" s="103">
        <f>E9/20*15</f>
        <v>4500</v>
      </c>
      <c r="Q9" s="103">
        <v>6000</v>
      </c>
      <c r="R9" s="103">
        <v>6000</v>
      </c>
      <c r="S9" s="103">
        <f t="shared" si="0"/>
        <v>52500</v>
      </c>
      <c r="T9" s="103">
        <v>0</v>
      </c>
      <c r="U9" s="103">
        <f t="shared" si="3"/>
        <v>52500</v>
      </c>
      <c r="V9" s="103">
        <f t="shared" si="4"/>
        <v>24000</v>
      </c>
      <c r="W9" s="100">
        <f t="shared" si="5"/>
        <v>28500</v>
      </c>
      <c r="X9" s="100"/>
      <c r="Y9" s="100"/>
      <c r="Z9" s="103">
        <v>0</v>
      </c>
      <c r="AA9" s="103">
        <v>0</v>
      </c>
      <c r="AB9" s="103">
        <v>0</v>
      </c>
      <c r="AC9" s="103">
        <v>0</v>
      </c>
      <c r="AD9" s="103">
        <v>6000</v>
      </c>
      <c r="AE9" s="103">
        <v>6000</v>
      </c>
      <c r="AF9" s="103">
        <v>6000</v>
      </c>
      <c r="AG9" s="100">
        <v>0</v>
      </c>
      <c r="AH9" s="100">
        <v>0</v>
      </c>
      <c r="AI9" s="100">
        <v>0</v>
      </c>
      <c r="AJ9" s="100">
        <v>6000</v>
      </c>
      <c r="AK9" s="100"/>
      <c r="AL9" s="100"/>
    </row>
    <row r="10" spans="1:38" ht="15.75" hidden="1" customHeight="1">
      <c r="A10" s="888">
        <v>10</v>
      </c>
      <c r="B10" s="890" t="s">
        <v>20</v>
      </c>
      <c r="C10" s="890" t="s">
        <v>133</v>
      </c>
      <c r="D10" s="193">
        <v>17000</v>
      </c>
      <c r="E10" s="890">
        <v>10000</v>
      </c>
      <c r="F10" s="101" t="s">
        <v>21</v>
      </c>
      <c r="G10" s="104">
        <v>10000</v>
      </c>
      <c r="H10" s="104">
        <v>10000</v>
      </c>
      <c r="I10" s="104">
        <v>4000</v>
      </c>
      <c r="J10" s="104">
        <v>0</v>
      </c>
      <c r="K10" s="104">
        <v>0</v>
      </c>
      <c r="L10" s="104">
        <v>0</v>
      </c>
      <c r="M10" s="104">
        <v>0</v>
      </c>
      <c r="N10" s="104">
        <v>0</v>
      </c>
      <c r="O10" s="908">
        <f>E10/23*11</f>
        <v>4782.608695652174</v>
      </c>
      <c r="P10" s="909">
        <f>E10/21*6</f>
        <v>2857.1428571428573</v>
      </c>
      <c r="Q10" s="101">
        <v>10000</v>
      </c>
      <c r="R10" s="101">
        <v>10000</v>
      </c>
      <c r="S10" s="104">
        <v>29000</v>
      </c>
      <c r="T10" s="104">
        <v>-6000</v>
      </c>
      <c r="U10" s="104">
        <v>23000</v>
      </c>
      <c r="V10" s="104">
        <v>34000</v>
      </c>
      <c r="W10" s="104">
        <v>28000</v>
      </c>
      <c r="X10" s="101"/>
      <c r="Y10" s="104">
        <v>10000</v>
      </c>
      <c r="Z10" s="104">
        <v>10000</v>
      </c>
      <c r="AA10" s="104">
        <v>4000</v>
      </c>
      <c r="AB10" s="104">
        <v>0</v>
      </c>
      <c r="AC10" s="104">
        <v>0</v>
      </c>
      <c r="AD10" s="104">
        <v>0</v>
      </c>
      <c r="AE10" s="101"/>
      <c r="AF10" s="101"/>
      <c r="AG10" s="101"/>
      <c r="AH10" s="927">
        <f t="shared" ref="AH10:AJ10" si="7">P10</f>
        <v>2857.1428571428573</v>
      </c>
      <c r="AI10" s="101">
        <f t="shared" si="7"/>
        <v>10000</v>
      </c>
      <c r="AJ10" s="101">
        <f t="shared" si="7"/>
        <v>10000</v>
      </c>
      <c r="AK10" s="104">
        <v>24000</v>
      </c>
      <c r="AL10" s="104">
        <v>-1000</v>
      </c>
    </row>
    <row r="11" spans="1:38" ht="15.75" hidden="1" customHeight="1">
      <c r="A11" s="888">
        <v>11</v>
      </c>
      <c r="B11" s="893" t="s">
        <v>137</v>
      </c>
      <c r="C11" s="890" t="s">
        <v>133</v>
      </c>
      <c r="D11" s="892">
        <v>12000</v>
      </c>
      <c r="E11" s="892">
        <v>6000</v>
      </c>
      <c r="F11" s="100" t="s">
        <v>21</v>
      </c>
      <c r="G11" s="103" t="s">
        <v>30</v>
      </c>
      <c r="H11" s="103" t="s">
        <v>30</v>
      </c>
      <c r="I11" s="103" t="s">
        <v>30</v>
      </c>
      <c r="J11" s="103">
        <v>6000</v>
      </c>
      <c r="K11" s="103">
        <v>6000</v>
      </c>
      <c r="L11" s="103">
        <v>6000</v>
      </c>
      <c r="M11" s="103">
        <v>6000</v>
      </c>
      <c r="N11" s="103">
        <v>6000</v>
      </c>
      <c r="O11" s="103">
        <v>6000</v>
      </c>
      <c r="P11" s="103">
        <v>6000</v>
      </c>
      <c r="Q11" s="103">
        <v>6000</v>
      </c>
      <c r="R11" s="103">
        <v>6000</v>
      </c>
      <c r="S11" s="103">
        <f t="shared" ref="S11:S15" si="8">SUM(G11:R11)</f>
        <v>54000</v>
      </c>
      <c r="T11" s="103"/>
      <c r="U11" s="103">
        <v>0</v>
      </c>
      <c r="V11" s="103">
        <v>24000</v>
      </c>
      <c r="W11" s="100"/>
      <c r="X11" s="100"/>
      <c r="Y11" s="100"/>
      <c r="Z11" s="103"/>
      <c r="AA11" s="100"/>
      <c r="AB11" s="103">
        <v>0</v>
      </c>
      <c r="AC11" s="103">
        <v>0</v>
      </c>
      <c r="AD11" s="103">
        <v>0</v>
      </c>
      <c r="AE11" s="103">
        <v>0</v>
      </c>
      <c r="AF11" s="103">
        <v>6000</v>
      </c>
      <c r="AG11" s="100">
        <f t="shared" ref="AG11:AJ11" si="9">O11</f>
        <v>6000</v>
      </c>
      <c r="AH11" s="100">
        <f t="shared" si="9"/>
        <v>6000</v>
      </c>
      <c r="AI11" s="100">
        <f t="shared" si="9"/>
        <v>6000</v>
      </c>
      <c r="AJ11" s="100">
        <f t="shared" si="9"/>
        <v>6000</v>
      </c>
      <c r="AK11" s="100"/>
      <c r="AL11" s="100"/>
    </row>
    <row r="12" spans="1:38" ht="15.75" hidden="1" customHeight="1">
      <c r="A12" s="888">
        <v>12</v>
      </c>
      <c r="B12" s="890" t="s">
        <v>92</v>
      </c>
      <c r="C12" s="890" t="s">
        <v>93</v>
      </c>
      <c r="D12" s="890">
        <v>18000</v>
      </c>
      <c r="E12" s="894">
        <v>6000</v>
      </c>
      <c r="F12" s="100" t="s">
        <v>21</v>
      </c>
      <c r="G12" s="103">
        <v>6000</v>
      </c>
      <c r="H12" s="103">
        <v>6000</v>
      </c>
      <c r="I12" s="103">
        <v>6000</v>
      </c>
      <c r="J12" s="103">
        <v>6000</v>
      </c>
      <c r="K12" s="103">
        <v>5000</v>
      </c>
      <c r="L12" s="103">
        <v>5000</v>
      </c>
      <c r="M12" s="103">
        <v>5000</v>
      </c>
      <c r="N12" s="103">
        <v>6000</v>
      </c>
      <c r="O12" s="103">
        <v>6000</v>
      </c>
      <c r="P12" s="100">
        <v>6000</v>
      </c>
      <c r="Q12" s="100">
        <v>6000</v>
      </c>
      <c r="R12" s="100">
        <v>6000</v>
      </c>
      <c r="S12" s="103">
        <f t="shared" si="8"/>
        <v>69000</v>
      </c>
      <c r="T12" s="103">
        <v>10650</v>
      </c>
      <c r="U12" s="103">
        <f>S12+T12</f>
        <v>79650</v>
      </c>
      <c r="V12" s="103">
        <f>D12*2</f>
        <v>36000</v>
      </c>
      <c r="W12" s="103">
        <f>U12-V12</f>
        <v>43650</v>
      </c>
      <c r="X12" s="100"/>
      <c r="Y12" s="103">
        <v>6000</v>
      </c>
      <c r="Z12" s="103">
        <v>0</v>
      </c>
      <c r="AA12" s="103">
        <v>6000</v>
      </c>
      <c r="AB12" s="103">
        <v>6000</v>
      </c>
      <c r="AC12" s="103">
        <v>0</v>
      </c>
      <c r="AD12" s="103">
        <v>0</v>
      </c>
      <c r="AE12" s="103">
        <v>5000</v>
      </c>
      <c r="AF12" s="103">
        <v>6000</v>
      </c>
      <c r="AG12" s="100">
        <f t="shared" ref="AG12:AJ12" si="10">O12</f>
        <v>6000</v>
      </c>
      <c r="AH12" s="100">
        <f t="shared" si="10"/>
        <v>6000</v>
      </c>
      <c r="AI12" s="100">
        <f t="shared" si="10"/>
        <v>6000</v>
      </c>
      <c r="AJ12" s="100">
        <f t="shared" si="10"/>
        <v>6000</v>
      </c>
      <c r="AK12" s="103">
        <f>SUM(Y12:AJ12)</f>
        <v>53000</v>
      </c>
      <c r="AL12" s="103">
        <f>S12-AK12</f>
        <v>16000</v>
      </c>
    </row>
    <row r="13" spans="1:38" ht="15.75" hidden="1" customHeight="1">
      <c r="A13" s="888">
        <v>13</v>
      </c>
      <c r="B13" s="890" t="s">
        <v>94</v>
      </c>
      <c r="C13" s="890" t="s">
        <v>93</v>
      </c>
      <c r="D13" s="891">
        <v>12000</v>
      </c>
      <c r="E13" s="891">
        <v>6000</v>
      </c>
      <c r="F13" s="100" t="s">
        <v>21</v>
      </c>
      <c r="G13" s="103">
        <v>6000</v>
      </c>
      <c r="H13" s="103">
        <v>6000</v>
      </c>
      <c r="I13" s="103">
        <v>6000</v>
      </c>
      <c r="J13" s="103">
        <v>6000</v>
      </c>
      <c r="K13" s="103">
        <v>5000</v>
      </c>
      <c r="L13" s="103">
        <v>5000</v>
      </c>
      <c r="M13" s="103">
        <v>5000</v>
      </c>
      <c r="N13" s="103">
        <v>6000</v>
      </c>
      <c r="O13" s="103">
        <v>6000</v>
      </c>
      <c r="P13" s="100">
        <v>6000</v>
      </c>
      <c r="Q13" s="100">
        <v>6000</v>
      </c>
      <c r="R13" s="100">
        <v>6000</v>
      </c>
      <c r="S13" s="103">
        <f t="shared" si="8"/>
        <v>69000</v>
      </c>
      <c r="T13" s="103">
        <v>0</v>
      </c>
      <c r="U13" s="103">
        <v>51000</v>
      </c>
      <c r="V13" s="103">
        <v>24000</v>
      </c>
      <c r="W13" s="103">
        <v>24000</v>
      </c>
      <c r="X13" s="100"/>
      <c r="Y13" s="103">
        <v>6000</v>
      </c>
      <c r="Z13" s="103">
        <v>0</v>
      </c>
      <c r="AA13" s="103">
        <v>6000</v>
      </c>
      <c r="AB13" s="103">
        <v>6000</v>
      </c>
      <c r="AC13" s="103">
        <v>0</v>
      </c>
      <c r="AD13" s="103">
        <v>0</v>
      </c>
      <c r="AE13" s="103">
        <v>5000</v>
      </c>
      <c r="AF13" s="103">
        <v>6000</v>
      </c>
      <c r="AG13" s="100">
        <f t="shared" ref="AG13:AJ13" si="11">O13</f>
        <v>6000</v>
      </c>
      <c r="AH13" s="100">
        <f t="shared" si="11"/>
        <v>6000</v>
      </c>
      <c r="AI13" s="100">
        <f t="shared" si="11"/>
        <v>6000</v>
      </c>
      <c r="AJ13" s="100">
        <f t="shared" si="11"/>
        <v>6000</v>
      </c>
      <c r="AK13" s="103">
        <f>SUM(Y13:AJ13)</f>
        <v>53000</v>
      </c>
      <c r="AL13" s="103">
        <f>S13-AK13</f>
        <v>16000</v>
      </c>
    </row>
    <row r="14" spans="1:38" ht="15.75" hidden="1" customHeight="1">
      <c r="A14" s="888">
        <v>14</v>
      </c>
      <c r="B14" s="890" t="s">
        <v>138</v>
      </c>
      <c r="C14" s="890" t="s">
        <v>93</v>
      </c>
      <c r="D14" s="891">
        <v>6000</v>
      </c>
      <c r="E14" s="891">
        <v>6000</v>
      </c>
      <c r="F14" s="100" t="s">
        <v>21</v>
      </c>
      <c r="G14" s="103" t="s">
        <v>30</v>
      </c>
      <c r="H14" s="103" t="s">
        <v>30</v>
      </c>
      <c r="I14" s="103" t="s">
        <v>30</v>
      </c>
      <c r="J14" s="103" t="s">
        <v>30</v>
      </c>
      <c r="K14" s="103">
        <v>6000</v>
      </c>
      <c r="L14" s="103">
        <v>6000</v>
      </c>
      <c r="M14" s="103">
        <v>6000</v>
      </c>
      <c r="N14" s="103">
        <v>6000</v>
      </c>
      <c r="O14" s="103">
        <v>6000</v>
      </c>
      <c r="P14" s="103">
        <v>6000</v>
      </c>
      <c r="Q14" s="103">
        <v>6000</v>
      </c>
      <c r="R14" s="103">
        <v>6000</v>
      </c>
      <c r="S14" s="103">
        <f t="shared" si="8"/>
        <v>48000</v>
      </c>
      <c r="T14" s="103">
        <v>0</v>
      </c>
      <c r="U14" s="103">
        <f t="shared" ref="U14:U15" si="12">S14+T14</f>
        <v>48000</v>
      </c>
      <c r="V14" s="103">
        <v>12000</v>
      </c>
      <c r="W14" s="100">
        <f t="shared" ref="W14:W15" si="13">U14-V14</f>
        <v>36000</v>
      </c>
      <c r="X14" s="100"/>
      <c r="Y14" s="100"/>
      <c r="Z14" s="103"/>
      <c r="AA14" s="100"/>
      <c r="AB14" s="103"/>
      <c r="AC14" s="103">
        <v>0</v>
      </c>
      <c r="AD14" s="103">
        <v>0</v>
      </c>
      <c r="AE14" s="103">
        <v>6000</v>
      </c>
      <c r="AF14" s="103">
        <v>6000</v>
      </c>
      <c r="AG14" s="100">
        <f t="shared" ref="AG14:AJ14" si="14">O14</f>
        <v>6000</v>
      </c>
      <c r="AH14" s="100">
        <f t="shared" si="14"/>
        <v>6000</v>
      </c>
      <c r="AI14" s="100">
        <f t="shared" si="14"/>
        <v>6000</v>
      </c>
      <c r="AJ14" s="100">
        <f t="shared" si="14"/>
        <v>6000</v>
      </c>
      <c r="AK14" s="103">
        <v>12000</v>
      </c>
      <c r="AL14" s="103">
        <v>-12000</v>
      </c>
    </row>
    <row r="15" spans="1:38" ht="15.75" hidden="1" customHeight="1">
      <c r="A15" s="888">
        <v>15</v>
      </c>
      <c r="B15" s="890" t="s">
        <v>139</v>
      </c>
      <c r="C15" s="890" t="s">
        <v>140</v>
      </c>
      <c r="D15" s="894">
        <v>16000</v>
      </c>
      <c r="E15" s="891">
        <v>6000</v>
      </c>
      <c r="F15" s="100" t="s">
        <v>21</v>
      </c>
      <c r="G15" s="103">
        <v>6000</v>
      </c>
      <c r="H15" s="103">
        <v>6000</v>
      </c>
      <c r="I15" s="103">
        <v>6000</v>
      </c>
      <c r="J15" s="103">
        <v>5000</v>
      </c>
      <c r="K15" s="103">
        <v>6000</v>
      </c>
      <c r="L15" s="103">
        <v>6000</v>
      </c>
      <c r="M15" s="103">
        <v>6000</v>
      </c>
      <c r="N15" s="103">
        <v>6000</v>
      </c>
      <c r="O15" s="103">
        <v>6000</v>
      </c>
      <c r="P15" s="100">
        <v>6000</v>
      </c>
      <c r="Q15" s="100">
        <v>6000</v>
      </c>
      <c r="R15" s="100">
        <v>6000</v>
      </c>
      <c r="S15" s="103">
        <f t="shared" si="8"/>
        <v>71000</v>
      </c>
      <c r="T15" s="103">
        <v>0</v>
      </c>
      <c r="U15" s="103">
        <f t="shared" si="12"/>
        <v>71000</v>
      </c>
      <c r="V15" s="103">
        <f>D15*2</f>
        <v>32000</v>
      </c>
      <c r="W15" s="103">
        <f t="shared" si="13"/>
        <v>39000</v>
      </c>
      <c r="X15" s="100"/>
      <c r="Y15" s="103">
        <v>0</v>
      </c>
      <c r="Z15" s="103">
        <v>0</v>
      </c>
      <c r="AA15" s="103">
        <v>6000</v>
      </c>
      <c r="AB15" s="103">
        <v>5000</v>
      </c>
      <c r="AC15" s="103">
        <v>6000</v>
      </c>
      <c r="AD15" s="103">
        <v>0</v>
      </c>
      <c r="AE15" s="103">
        <v>0</v>
      </c>
      <c r="AF15" s="103">
        <v>0</v>
      </c>
      <c r="AG15" s="100">
        <v>0</v>
      </c>
      <c r="AH15" s="100">
        <f t="shared" ref="AH15:AJ15" si="15">P15</f>
        <v>6000</v>
      </c>
      <c r="AI15" s="100">
        <f t="shared" si="15"/>
        <v>6000</v>
      </c>
      <c r="AJ15" s="100">
        <f t="shared" si="15"/>
        <v>6000</v>
      </c>
      <c r="AK15" s="103">
        <v>17000</v>
      </c>
      <c r="AL15" s="103">
        <v>36000</v>
      </c>
    </row>
    <row r="16" spans="1:38" ht="15.75" hidden="1" customHeight="1">
      <c r="A16" s="888">
        <v>17</v>
      </c>
      <c r="B16" s="890" t="s">
        <v>141</v>
      </c>
      <c r="C16" s="890" t="s">
        <v>140</v>
      </c>
      <c r="D16" s="891">
        <v>12000</v>
      </c>
      <c r="E16" s="891">
        <v>4000</v>
      </c>
      <c r="F16" s="100" t="s">
        <v>21</v>
      </c>
      <c r="G16" s="103" t="s">
        <v>30</v>
      </c>
      <c r="H16" s="103" t="s">
        <v>30</v>
      </c>
      <c r="I16" s="103" t="s">
        <v>30</v>
      </c>
      <c r="J16" s="103" t="s">
        <v>30</v>
      </c>
      <c r="K16" s="103" t="s">
        <v>30</v>
      </c>
      <c r="L16" s="103" t="s">
        <v>30</v>
      </c>
      <c r="M16" s="103" t="s">
        <v>30</v>
      </c>
      <c r="N16" s="103" t="s">
        <v>30</v>
      </c>
      <c r="O16" s="103">
        <v>4000</v>
      </c>
      <c r="P16" s="103">
        <v>4000</v>
      </c>
      <c r="Q16" s="103">
        <v>4000</v>
      </c>
      <c r="R16" s="103">
        <v>4000</v>
      </c>
      <c r="S16" s="103"/>
      <c r="T16" s="103"/>
      <c r="U16" s="103"/>
      <c r="V16" s="103"/>
      <c r="W16" s="100"/>
      <c r="X16" s="100"/>
      <c r="Y16" s="100"/>
      <c r="Z16" s="103"/>
      <c r="AA16" s="100"/>
      <c r="AB16" s="103"/>
      <c r="AC16" s="100"/>
      <c r="AD16" s="100"/>
      <c r="AE16" s="100"/>
      <c r="AF16" s="100"/>
      <c r="AG16" s="100">
        <v>0</v>
      </c>
      <c r="AH16" s="100">
        <v>0</v>
      </c>
      <c r="AI16" s="100">
        <v>0</v>
      </c>
      <c r="AJ16" s="100">
        <v>0</v>
      </c>
      <c r="AK16" s="100"/>
      <c r="AL16" s="100"/>
    </row>
    <row r="17" spans="1:38" ht="15.75" hidden="1" customHeight="1">
      <c r="A17" s="888">
        <v>18</v>
      </c>
      <c r="B17" s="890" t="s">
        <v>96</v>
      </c>
      <c r="C17" s="890" t="s">
        <v>140</v>
      </c>
      <c r="D17" s="892">
        <v>30000</v>
      </c>
      <c r="E17" s="892">
        <v>5000</v>
      </c>
      <c r="F17" s="100" t="s">
        <v>21</v>
      </c>
      <c r="G17" s="103">
        <v>4000</v>
      </c>
      <c r="H17" s="103">
        <v>3000</v>
      </c>
      <c r="I17" s="103">
        <v>3000</v>
      </c>
      <c r="J17" s="103">
        <v>7000</v>
      </c>
      <c r="K17" s="103">
        <v>10000</v>
      </c>
      <c r="L17" s="103">
        <v>10000</v>
      </c>
      <c r="M17" s="103">
        <v>8000</v>
      </c>
      <c r="N17" s="103">
        <v>8000</v>
      </c>
      <c r="O17" s="103">
        <v>5000</v>
      </c>
      <c r="P17" s="103">
        <v>5000</v>
      </c>
      <c r="Q17" s="103">
        <v>5000</v>
      </c>
      <c r="R17" s="922">
        <f>E17/22*13</f>
        <v>2954.5454545454545</v>
      </c>
      <c r="S17" s="103">
        <v>58000</v>
      </c>
      <c r="T17" s="103" t="e">
        <v>#REF!</v>
      </c>
      <c r="U17" s="103" t="s">
        <v>142</v>
      </c>
      <c r="V17" s="103">
        <v>60000</v>
      </c>
      <c r="W17" s="924" t="s">
        <v>142</v>
      </c>
      <c r="X17" s="100"/>
      <c r="Y17" s="103">
        <v>0</v>
      </c>
      <c r="Z17" s="103">
        <v>0</v>
      </c>
      <c r="AA17" s="103">
        <v>0</v>
      </c>
      <c r="AB17" s="103">
        <v>7000</v>
      </c>
      <c r="AC17" s="100"/>
      <c r="AD17" s="103">
        <v>10000</v>
      </c>
      <c r="AE17" s="103">
        <v>8000</v>
      </c>
      <c r="AF17" s="103">
        <v>8000</v>
      </c>
      <c r="AG17" s="100">
        <v>0</v>
      </c>
      <c r="AH17" s="100">
        <v>0</v>
      </c>
      <c r="AI17" s="100">
        <v>0</v>
      </c>
      <c r="AJ17" s="100">
        <v>0</v>
      </c>
      <c r="AK17" s="100"/>
      <c r="AL17" s="100"/>
    </row>
    <row r="18" spans="1:38" ht="15.75" hidden="1" customHeight="1">
      <c r="A18" s="888">
        <v>19</v>
      </c>
      <c r="B18" s="893" t="s">
        <v>143</v>
      </c>
      <c r="C18" s="890" t="s">
        <v>140</v>
      </c>
      <c r="D18" s="890">
        <v>20000</v>
      </c>
      <c r="E18" s="890">
        <v>5000</v>
      </c>
      <c r="F18" s="100" t="s">
        <v>21</v>
      </c>
      <c r="G18" s="103" t="s">
        <v>30</v>
      </c>
      <c r="H18" s="103" t="s">
        <v>30</v>
      </c>
      <c r="I18" s="103" t="s">
        <v>30</v>
      </c>
      <c r="J18" s="103">
        <v>4000</v>
      </c>
      <c r="K18" s="103">
        <v>4000</v>
      </c>
      <c r="L18" s="103">
        <v>4000</v>
      </c>
      <c r="M18" s="103">
        <v>4000</v>
      </c>
      <c r="N18" s="103">
        <v>3000</v>
      </c>
      <c r="O18" s="103">
        <v>4000</v>
      </c>
      <c r="P18" s="908">
        <f>E18/20*5</f>
        <v>1250</v>
      </c>
      <c r="Q18" s="103">
        <v>5000</v>
      </c>
      <c r="R18" s="103">
        <v>4000</v>
      </c>
      <c r="S18" s="103">
        <f>SUM(G18:R18)</f>
        <v>33250</v>
      </c>
      <c r="T18" s="103">
        <v>0</v>
      </c>
      <c r="U18" s="103">
        <f>S18+T18</f>
        <v>33250</v>
      </c>
      <c r="V18" s="103">
        <f>D18*2</f>
        <v>40000</v>
      </c>
      <c r="W18" s="100"/>
      <c r="X18" s="100"/>
      <c r="Y18" s="100"/>
      <c r="Z18" s="103"/>
      <c r="AA18" s="100"/>
      <c r="AB18" s="103">
        <v>0</v>
      </c>
      <c r="AC18" s="100"/>
      <c r="AD18" s="103">
        <v>0</v>
      </c>
      <c r="AE18" s="100"/>
      <c r="AF18" s="103">
        <v>0</v>
      </c>
      <c r="AG18" s="100">
        <v>0</v>
      </c>
      <c r="AH18" s="100">
        <v>0</v>
      </c>
      <c r="AI18" s="100">
        <v>0</v>
      </c>
      <c r="AJ18" s="100">
        <v>0</v>
      </c>
      <c r="AK18" s="100"/>
      <c r="AL18" s="100"/>
    </row>
    <row r="19" spans="1:38" ht="15.75" hidden="1" customHeight="1">
      <c r="A19" s="888">
        <v>20</v>
      </c>
      <c r="B19" s="893" t="s">
        <v>85</v>
      </c>
      <c r="C19" s="890" t="s">
        <v>86</v>
      </c>
      <c r="D19" s="891">
        <v>40000</v>
      </c>
      <c r="E19" s="891">
        <v>10000</v>
      </c>
      <c r="F19" s="100" t="s">
        <v>21</v>
      </c>
      <c r="G19" s="103">
        <v>10000</v>
      </c>
      <c r="H19" s="103">
        <v>10000</v>
      </c>
      <c r="I19" s="103">
        <v>10000</v>
      </c>
      <c r="J19" s="103">
        <v>10000</v>
      </c>
      <c r="K19" s="103">
        <v>10000</v>
      </c>
      <c r="L19" s="103">
        <v>10000</v>
      </c>
      <c r="M19" s="103">
        <v>7000</v>
      </c>
      <c r="N19" s="103">
        <v>10000</v>
      </c>
      <c r="O19" s="103">
        <v>10000</v>
      </c>
      <c r="P19" s="910">
        <v>10000</v>
      </c>
      <c r="Q19" s="923">
        <f>E19/23*13</f>
        <v>5652.173913043478</v>
      </c>
      <c r="R19" s="100">
        <v>10000</v>
      </c>
      <c r="S19" s="103">
        <v>87000</v>
      </c>
      <c r="T19" s="103">
        <v>0</v>
      </c>
      <c r="U19" s="103">
        <v>87000</v>
      </c>
      <c r="V19" s="103">
        <v>80000</v>
      </c>
      <c r="W19" s="103">
        <v>80000</v>
      </c>
      <c r="X19" s="100"/>
      <c r="Y19" s="103">
        <v>10000</v>
      </c>
      <c r="Z19" s="103">
        <v>10000</v>
      </c>
      <c r="AA19" s="103">
        <v>10000</v>
      </c>
      <c r="AB19" s="103">
        <v>10000</v>
      </c>
      <c r="AC19" s="103">
        <v>10000</v>
      </c>
      <c r="AD19" s="103">
        <v>8250</v>
      </c>
      <c r="AE19" s="103">
        <v>7000</v>
      </c>
      <c r="AF19" s="103">
        <v>10000</v>
      </c>
      <c r="AG19" s="100">
        <f t="shared" ref="AG19:AH19" si="16">O19</f>
        <v>10000</v>
      </c>
      <c r="AH19" s="923">
        <f t="shared" si="16"/>
        <v>10000</v>
      </c>
      <c r="AI19" s="923"/>
      <c r="AJ19" s="100">
        <f>R19</f>
        <v>10000</v>
      </c>
      <c r="AK19" s="103">
        <v>75250</v>
      </c>
      <c r="AL19" s="103">
        <v>11750</v>
      </c>
    </row>
    <row r="20" spans="1:38" ht="15.75" hidden="1" customHeight="1">
      <c r="A20" s="888">
        <v>21</v>
      </c>
      <c r="B20" s="890" t="s">
        <v>90</v>
      </c>
      <c r="C20" s="890" t="s">
        <v>86</v>
      </c>
      <c r="D20" s="890">
        <v>25000</v>
      </c>
      <c r="E20" s="890">
        <v>5000</v>
      </c>
      <c r="F20" s="100" t="s">
        <v>21</v>
      </c>
      <c r="G20" s="103">
        <v>6000</v>
      </c>
      <c r="H20" s="103">
        <v>6000</v>
      </c>
      <c r="I20" s="103">
        <v>6000</v>
      </c>
      <c r="J20" s="103">
        <v>4000</v>
      </c>
      <c r="K20" s="911">
        <v>6000</v>
      </c>
      <c r="L20" s="911">
        <v>6000</v>
      </c>
      <c r="M20" s="911">
        <v>4000</v>
      </c>
      <c r="N20" s="911">
        <v>6000</v>
      </c>
      <c r="O20" s="103">
        <v>6000</v>
      </c>
      <c r="P20" s="912">
        <v>0</v>
      </c>
      <c r="Q20" s="925">
        <v>3000</v>
      </c>
      <c r="R20" s="926">
        <f>G20/22*7</f>
        <v>1909.0909090909092</v>
      </c>
      <c r="S20" s="103">
        <v>50000</v>
      </c>
      <c r="T20" s="103">
        <v>0</v>
      </c>
      <c r="U20" s="103">
        <v>50000</v>
      </c>
      <c r="V20" s="103">
        <v>28000</v>
      </c>
      <c r="W20" s="103">
        <v>28000</v>
      </c>
      <c r="X20" s="100"/>
      <c r="Y20" s="103">
        <v>6000</v>
      </c>
      <c r="Z20" s="103">
        <v>6000</v>
      </c>
      <c r="AA20" s="103">
        <v>6000</v>
      </c>
      <c r="AB20" s="103">
        <v>4000</v>
      </c>
      <c r="AC20" s="103">
        <v>0</v>
      </c>
      <c r="AD20" s="103">
        <v>0</v>
      </c>
      <c r="AE20" s="103">
        <v>0</v>
      </c>
      <c r="AF20" s="103">
        <v>0</v>
      </c>
      <c r="AG20" s="100">
        <f>O20</f>
        <v>6000</v>
      </c>
      <c r="AH20" s="100">
        <v>0</v>
      </c>
      <c r="AI20" s="100"/>
      <c r="AJ20" s="100">
        <v>0</v>
      </c>
      <c r="AK20" s="103">
        <v>22000</v>
      </c>
      <c r="AL20" s="103">
        <v>28000</v>
      </c>
    </row>
    <row r="21" spans="1:38" ht="15.75" hidden="1" customHeight="1">
      <c r="A21" s="888">
        <v>22</v>
      </c>
      <c r="B21" s="890" t="s">
        <v>144</v>
      </c>
      <c r="C21" s="890" t="s">
        <v>86</v>
      </c>
      <c r="D21" s="892">
        <v>12000</v>
      </c>
      <c r="E21" s="892">
        <v>4000</v>
      </c>
      <c r="F21" s="100" t="s">
        <v>21</v>
      </c>
      <c r="G21" s="103" t="s">
        <v>30</v>
      </c>
      <c r="H21" s="103" t="s">
        <v>30</v>
      </c>
      <c r="I21" s="103" t="s">
        <v>30</v>
      </c>
      <c r="J21" s="103" t="s">
        <v>30</v>
      </c>
      <c r="K21" s="103" t="s">
        <v>30</v>
      </c>
      <c r="L21" s="103" t="s">
        <v>30</v>
      </c>
      <c r="M21" s="103" t="s">
        <v>30</v>
      </c>
      <c r="N21" s="103" t="s">
        <v>30</v>
      </c>
      <c r="O21" s="103">
        <v>4000</v>
      </c>
      <c r="P21" s="910">
        <v>4000</v>
      </c>
      <c r="Q21" s="922">
        <f>E21/23*20</f>
        <v>3478.2608695652175</v>
      </c>
      <c r="R21" s="103">
        <v>4000</v>
      </c>
      <c r="S21" s="922">
        <f>SUM(H21:R21)</f>
        <v>15478.260869565218</v>
      </c>
      <c r="T21" s="103"/>
      <c r="U21" s="103"/>
      <c r="V21" s="103"/>
      <c r="W21" s="100"/>
      <c r="X21" s="100"/>
      <c r="Y21" s="100"/>
      <c r="Z21" s="103"/>
      <c r="AA21" s="100"/>
      <c r="AB21" s="103"/>
      <c r="AC21" s="100"/>
      <c r="AD21" s="100"/>
      <c r="AE21" s="100"/>
      <c r="AF21" s="100"/>
      <c r="AG21" s="100">
        <v>0</v>
      </c>
      <c r="AH21" s="100">
        <v>0</v>
      </c>
      <c r="AI21" s="100"/>
      <c r="AJ21" s="100">
        <v>0</v>
      </c>
      <c r="AK21" s="100"/>
      <c r="AL21" s="923">
        <f>S21</f>
        <v>15478.260869565218</v>
      </c>
    </row>
    <row r="22" spans="1:38" ht="15.75" hidden="1" customHeight="1">
      <c r="A22" s="888">
        <v>23</v>
      </c>
      <c r="B22" s="890" t="s">
        <v>104</v>
      </c>
      <c r="C22" s="890" t="s">
        <v>76</v>
      </c>
      <c r="D22" s="892">
        <v>25000</v>
      </c>
      <c r="E22" s="892">
        <v>5000</v>
      </c>
      <c r="F22" s="100" t="s">
        <v>21</v>
      </c>
      <c r="G22" s="103">
        <v>8000</v>
      </c>
      <c r="H22" s="103">
        <v>8000</v>
      </c>
      <c r="I22" s="103">
        <v>8000</v>
      </c>
      <c r="J22" s="103">
        <v>8000</v>
      </c>
      <c r="K22" s="103">
        <v>8000</v>
      </c>
      <c r="L22" s="103">
        <v>5000</v>
      </c>
      <c r="M22" s="103">
        <v>5000</v>
      </c>
      <c r="N22" s="103">
        <v>5000</v>
      </c>
      <c r="O22" s="103">
        <v>5000</v>
      </c>
      <c r="P22" s="910">
        <v>5000</v>
      </c>
      <c r="Q22" s="103">
        <v>5000</v>
      </c>
      <c r="R22" s="103">
        <v>5000</v>
      </c>
      <c r="S22" s="103">
        <f>SUM(G22:R22)</f>
        <v>75000</v>
      </c>
      <c r="T22" s="103">
        <v>0</v>
      </c>
      <c r="U22" s="103">
        <v>60000</v>
      </c>
      <c r="V22" s="103">
        <v>50000</v>
      </c>
      <c r="W22" s="103">
        <v>50000</v>
      </c>
      <c r="X22" s="100"/>
      <c r="Y22" s="103">
        <v>0</v>
      </c>
      <c r="Z22" s="103">
        <v>8000</v>
      </c>
      <c r="AA22" s="103">
        <v>8000</v>
      </c>
      <c r="AB22" s="103">
        <v>8000</v>
      </c>
      <c r="AC22" s="103">
        <v>8000</v>
      </c>
      <c r="AD22" s="103">
        <v>5000</v>
      </c>
      <c r="AE22" s="103">
        <v>5000</v>
      </c>
      <c r="AF22" s="103">
        <v>5000</v>
      </c>
      <c r="AG22" s="100">
        <v>0</v>
      </c>
      <c r="AH22" s="100">
        <v>0</v>
      </c>
      <c r="AI22" s="100"/>
      <c r="AJ22" s="100">
        <v>0</v>
      </c>
      <c r="AK22" s="103">
        <v>47000</v>
      </c>
      <c r="AL22" s="103">
        <f>S22-AK22</f>
        <v>28000</v>
      </c>
    </row>
    <row r="23" spans="1:38" ht="15.75" hidden="1" customHeight="1">
      <c r="A23" s="888">
        <v>24</v>
      </c>
      <c r="B23" s="893" t="s">
        <v>145</v>
      </c>
      <c r="C23" s="890" t="s">
        <v>82</v>
      </c>
      <c r="D23" s="891">
        <v>22000</v>
      </c>
      <c r="E23" s="891">
        <v>8000</v>
      </c>
      <c r="F23" s="100" t="s">
        <v>21</v>
      </c>
      <c r="G23" s="103">
        <v>8000</v>
      </c>
      <c r="H23" s="103">
        <v>8000</v>
      </c>
      <c r="I23" s="103">
        <v>8000</v>
      </c>
      <c r="J23" s="103">
        <v>8000</v>
      </c>
      <c r="K23" s="103">
        <v>8000</v>
      </c>
      <c r="L23" s="103">
        <v>8000</v>
      </c>
      <c r="M23" s="103">
        <v>8000</v>
      </c>
      <c r="N23" s="103">
        <v>8000</v>
      </c>
      <c r="O23" s="103">
        <v>8000</v>
      </c>
      <c r="P23" s="908">
        <f>E23/20*15</f>
        <v>6000</v>
      </c>
      <c r="Q23" s="923">
        <f>E23/23*18</f>
        <v>6260.8695652173919</v>
      </c>
      <c r="R23" s="100">
        <v>8000</v>
      </c>
      <c r="S23" s="103">
        <v>72000</v>
      </c>
      <c r="T23" s="103">
        <v>0</v>
      </c>
      <c r="U23" s="103">
        <v>72000</v>
      </c>
      <c r="V23" s="103">
        <v>44000</v>
      </c>
      <c r="W23" s="103">
        <v>44000</v>
      </c>
      <c r="X23" s="100"/>
      <c r="Y23" s="103">
        <v>8000</v>
      </c>
      <c r="Z23" s="103">
        <v>8000</v>
      </c>
      <c r="AA23" s="103">
        <v>8000</v>
      </c>
      <c r="AB23" s="103">
        <v>8000</v>
      </c>
      <c r="AC23" s="103">
        <v>0</v>
      </c>
      <c r="AD23" s="103">
        <v>0</v>
      </c>
      <c r="AE23" s="103">
        <v>0</v>
      </c>
      <c r="AF23" s="103">
        <v>8000</v>
      </c>
      <c r="AG23" s="100">
        <f t="shared" ref="AG23:AJ23" si="17">O23</f>
        <v>8000</v>
      </c>
      <c r="AH23" s="923">
        <f t="shared" si="17"/>
        <v>6000</v>
      </c>
      <c r="AI23" s="923">
        <f t="shared" si="17"/>
        <v>6260.8695652173919</v>
      </c>
      <c r="AJ23" s="100">
        <f t="shared" si="17"/>
        <v>8000</v>
      </c>
      <c r="AK23" s="103">
        <v>40000</v>
      </c>
      <c r="AL23" s="103">
        <v>32000</v>
      </c>
    </row>
    <row r="24" spans="1:38" ht="15.75" hidden="1" customHeight="1">
      <c r="A24" s="888">
        <v>25</v>
      </c>
      <c r="B24" s="890" t="s">
        <v>146</v>
      </c>
      <c r="C24" s="890" t="s">
        <v>82</v>
      </c>
      <c r="D24" s="891">
        <v>6000</v>
      </c>
      <c r="E24" s="891">
        <v>6000</v>
      </c>
      <c r="F24" s="100" t="s">
        <v>21</v>
      </c>
      <c r="G24" s="103" t="s">
        <v>30</v>
      </c>
      <c r="H24" s="103" t="s">
        <v>30</v>
      </c>
      <c r="I24" s="103">
        <v>6000</v>
      </c>
      <c r="J24" s="103">
        <v>6000</v>
      </c>
      <c r="K24" s="103">
        <v>5000</v>
      </c>
      <c r="L24" s="103">
        <v>6000</v>
      </c>
      <c r="M24" s="103">
        <v>6000</v>
      </c>
      <c r="N24" s="103">
        <v>6000</v>
      </c>
      <c r="O24" s="103">
        <v>6000</v>
      </c>
      <c r="P24" s="100">
        <v>6000</v>
      </c>
      <c r="Q24" s="100">
        <v>6000</v>
      </c>
      <c r="R24" s="100">
        <v>6000</v>
      </c>
      <c r="S24" s="103">
        <f>SUM(G24:R24)</f>
        <v>59000</v>
      </c>
      <c r="T24" s="103"/>
      <c r="U24" s="103">
        <v>41000</v>
      </c>
      <c r="V24" s="103">
        <v>12000</v>
      </c>
      <c r="W24" s="103">
        <v>12000</v>
      </c>
      <c r="X24" s="100"/>
      <c r="Y24" s="100" t="s">
        <v>30</v>
      </c>
      <c r="Z24" s="103">
        <v>0</v>
      </c>
      <c r="AA24" s="103">
        <v>0</v>
      </c>
      <c r="AB24" s="103">
        <v>0</v>
      </c>
      <c r="AC24" s="103">
        <v>5000</v>
      </c>
      <c r="AD24" s="103">
        <v>6000</v>
      </c>
      <c r="AE24" s="103">
        <v>6000</v>
      </c>
      <c r="AF24" s="103">
        <v>6000</v>
      </c>
      <c r="AG24" s="100">
        <f t="shared" ref="AG24:AJ24" si="18">O24</f>
        <v>6000</v>
      </c>
      <c r="AH24" s="100">
        <f t="shared" si="18"/>
        <v>6000</v>
      </c>
      <c r="AI24" s="100">
        <f t="shared" si="18"/>
        <v>6000</v>
      </c>
      <c r="AJ24" s="100">
        <f t="shared" si="18"/>
        <v>6000</v>
      </c>
      <c r="AK24" s="103">
        <f>SUM(AC24:AJ24)</f>
        <v>47000</v>
      </c>
      <c r="AL24" s="103">
        <f>S24-AK24</f>
        <v>12000</v>
      </c>
    </row>
    <row r="25" spans="1:38" ht="15.75" hidden="1" customHeight="1">
      <c r="A25" s="888">
        <v>26</v>
      </c>
      <c r="B25" s="890" t="s">
        <v>147</v>
      </c>
      <c r="C25" s="890" t="s">
        <v>82</v>
      </c>
      <c r="D25" s="890">
        <v>14000</v>
      </c>
      <c r="E25" s="890">
        <v>6000</v>
      </c>
      <c r="F25" s="100" t="s">
        <v>21</v>
      </c>
      <c r="G25" s="103" t="s">
        <v>30</v>
      </c>
      <c r="H25" s="103" t="s">
        <v>30</v>
      </c>
      <c r="I25" s="103" t="s">
        <v>30</v>
      </c>
      <c r="J25" s="103" t="s">
        <v>30</v>
      </c>
      <c r="K25" s="103" t="s">
        <v>30</v>
      </c>
      <c r="L25" s="103" t="s">
        <v>30</v>
      </c>
      <c r="M25" s="103">
        <v>6000</v>
      </c>
      <c r="N25" s="103">
        <v>6000</v>
      </c>
      <c r="O25" s="103">
        <v>6000</v>
      </c>
      <c r="P25" s="103">
        <v>6000</v>
      </c>
      <c r="Q25" s="103">
        <v>6000</v>
      </c>
      <c r="R25" s="103">
        <v>6000</v>
      </c>
      <c r="S25" s="103">
        <f>SUM(L25:R25)</f>
        <v>36000</v>
      </c>
      <c r="T25" s="103"/>
      <c r="U25" s="103"/>
      <c r="V25" s="103">
        <v>12000</v>
      </c>
      <c r="W25" s="100"/>
      <c r="X25" s="100"/>
      <c r="Y25" s="100"/>
      <c r="Z25" s="103"/>
      <c r="AA25" s="100"/>
      <c r="AB25" s="103"/>
      <c r="AC25" s="100"/>
      <c r="AD25" s="100"/>
      <c r="AE25" s="103">
        <v>0</v>
      </c>
      <c r="AF25" s="103">
        <v>0</v>
      </c>
      <c r="AG25" s="100">
        <f t="shared" ref="AG25:AI25" si="19">O25</f>
        <v>6000</v>
      </c>
      <c r="AH25" s="100">
        <f t="shared" si="19"/>
        <v>6000</v>
      </c>
      <c r="AI25" s="100">
        <f t="shared" si="19"/>
        <v>6000</v>
      </c>
      <c r="AJ25" s="100">
        <v>0</v>
      </c>
      <c r="AK25" s="100">
        <f>SUM(Y25:AJ25)</f>
        <v>18000</v>
      </c>
      <c r="AL25" s="100">
        <f>S25-AK25</f>
        <v>18000</v>
      </c>
    </row>
    <row r="26" spans="1:38" ht="15.75" hidden="1" customHeight="1">
      <c r="A26" s="888">
        <v>27</v>
      </c>
      <c r="B26" s="890" t="s">
        <v>148</v>
      </c>
      <c r="C26" s="890" t="s">
        <v>82</v>
      </c>
      <c r="D26" s="891">
        <v>14000</v>
      </c>
      <c r="E26" s="891">
        <v>6000</v>
      </c>
      <c r="F26" s="100" t="s">
        <v>21</v>
      </c>
      <c r="G26" s="103" t="s">
        <v>30</v>
      </c>
      <c r="H26" s="103" t="s">
        <v>30</v>
      </c>
      <c r="I26" s="103" t="s">
        <v>30</v>
      </c>
      <c r="J26" s="103" t="s">
        <v>30</v>
      </c>
      <c r="K26" s="103" t="s">
        <v>30</v>
      </c>
      <c r="L26" s="103" t="s">
        <v>30</v>
      </c>
      <c r="M26" s="103">
        <v>6000</v>
      </c>
      <c r="N26" s="103">
        <v>6000</v>
      </c>
      <c r="O26" s="103">
        <v>6000</v>
      </c>
      <c r="P26" s="103">
        <v>6000</v>
      </c>
      <c r="Q26" s="103">
        <v>5000</v>
      </c>
      <c r="R26" s="103">
        <v>6000</v>
      </c>
      <c r="S26" s="103">
        <f>SUM(G26:R26)</f>
        <v>35000</v>
      </c>
      <c r="T26" s="103">
        <v>0</v>
      </c>
      <c r="U26" s="103">
        <f>S26+T26</f>
        <v>35000</v>
      </c>
      <c r="V26" s="103">
        <f>D26*2</f>
        <v>28000</v>
      </c>
      <c r="W26" s="100">
        <f>U26-V26</f>
        <v>7000</v>
      </c>
      <c r="X26" s="100"/>
      <c r="Y26" s="100"/>
      <c r="Z26" s="103"/>
      <c r="AA26" s="100"/>
      <c r="AB26" s="103"/>
      <c r="AC26" s="100"/>
      <c r="AD26" s="100"/>
      <c r="AE26" s="103">
        <v>0</v>
      </c>
      <c r="AF26" s="103">
        <v>0</v>
      </c>
      <c r="AG26" s="100">
        <f>O26</f>
        <v>6000</v>
      </c>
      <c r="AH26" s="100">
        <v>0</v>
      </c>
      <c r="AI26" s="100"/>
      <c r="AJ26" s="100">
        <v>6000</v>
      </c>
      <c r="AK26" s="103">
        <v>0</v>
      </c>
      <c r="AL26" s="103">
        <v>0</v>
      </c>
    </row>
    <row r="27" spans="1:38" ht="15.75" hidden="1" customHeight="1">
      <c r="A27" s="888">
        <v>28</v>
      </c>
      <c r="B27" s="893" t="s">
        <v>149</v>
      </c>
      <c r="C27" s="890" t="s">
        <v>150</v>
      </c>
      <c r="D27" s="891">
        <v>10000</v>
      </c>
      <c r="E27" s="891">
        <v>5000</v>
      </c>
      <c r="F27" s="100" t="s">
        <v>21</v>
      </c>
      <c r="G27" s="103" t="s">
        <v>30</v>
      </c>
      <c r="H27" s="103" t="s">
        <v>30</v>
      </c>
      <c r="I27" s="103" t="s">
        <v>30</v>
      </c>
      <c r="J27" s="103" t="s">
        <v>30</v>
      </c>
      <c r="K27" s="103" t="s">
        <v>30</v>
      </c>
      <c r="L27" s="103" t="s">
        <v>30</v>
      </c>
      <c r="M27" s="103">
        <v>5000</v>
      </c>
      <c r="N27" s="103">
        <v>5000</v>
      </c>
      <c r="O27" s="103">
        <v>5000</v>
      </c>
      <c r="P27" s="100">
        <v>5000</v>
      </c>
      <c r="Q27" s="923">
        <f>E27/23*20</f>
        <v>4347.826086956522</v>
      </c>
      <c r="R27" s="923">
        <f>E27/22*10</f>
        <v>2272.727272727273</v>
      </c>
      <c r="S27" s="103"/>
      <c r="T27" s="103"/>
      <c r="U27" s="103"/>
      <c r="V27" s="103">
        <v>20000</v>
      </c>
      <c r="W27" s="103">
        <v>20000</v>
      </c>
      <c r="X27" s="100"/>
      <c r="Y27" s="100"/>
      <c r="Z27" s="100"/>
      <c r="AA27" s="100"/>
      <c r="AB27" s="100"/>
      <c r="AC27" s="100"/>
      <c r="AD27" s="100"/>
      <c r="AE27" s="103">
        <v>0</v>
      </c>
      <c r="AF27" s="103">
        <v>0</v>
      </c>
      <c r="AG27" s="100">
        <v>0</v>
      </c>
      <c r="AH27" s="100">
        <v>0</v>
      </c>
      <c r="AI27" s="923">
        <f t="shared" ref="AI27:AJ27" si="20">Q27</f>
        <v>4347.826086956522</v>
      </c>
      <c r="AJ27" s="923">
        <f t="shared" si="20"/>
        <v>2272.727272727273</v>
      </c>
      <c r="AK27" s="103">
        <v>0</v>
      </c>
      <c r="AL27" s="103">
        <v>0</v>
      </c>
    </row>
    <row r="28" spans="1:38" ht="15.75" hidden="1" customHeight="1">
      <c r="A28" s="888">
        <v>29</v>
      </c>
      <c r="B28" s="890" t="s">
        <v>151</v>
      </c>
      <c r="C28" s="890" t="s">
        <v>150</v>
      </c>
      <c r="D28" s="891">
        <v>18000</v>
      </c>
      <c r="E28" s="891">
        <v>7000</v>
      </c>
      <c r="F28" s="100" t="s">
        <v>21</v>
      </c>
      <c r="G28" s="103">
        <v>7000</v>
      </c>
      <c r="H28" s="103">
        <v>7000</v>
      </c>
      <c r="I28" s="103">
        <v>7000</v>
      </c>
      <c r="J28" s="103">
        <v>7000</v>
      </c>
      <c r="K28" s="103">
        <v>7000</v>
      </c>
      <c r="L28" s="103">
        <v>7000</v>
      </c>
      <c r="M28" s="103">
        <v>7000</v>
      </c>
      <c r="N28" s="103">
        <v>7000</v>
      </c>
      <c r="O28" s="103">
        <v>7000</v>
      </c>
      <c r="P28" s="100">
        <v>0</v>
      </c>
      <c r="Q28" s="923">
        <f>E28/23*14</f>
        <v>4260.869565217391</v>
      </c>
      <c r="R28" s="100">
        <v>7000</v>
      </c>
      <c r="S28" s="103">
        <v>63000</v>
      </c>
      <c r="T28" s="103"/>
      <c r="U28" s="103">
        <v>63000</v>
      </c>
      <c r="V28" s="103">
        <v>36000</v>
      </c>
      <c r="W28" s="103">
        <v>36000</v>
      </c>
      <c r="X28" s="100"/>
      <c r="Y28" s="103">
        <v>7000</v>
      </c>
      <c r="Z28" s="103">
        <v>7000</v>
      </c>
      <c r="AA28" s="103">
        <v>7000</v>
      </c>
      <c r="AB28" s="103">
        <v>7000</v>
      </c>
      <c r="AC28" s="103">
        <v>7000</v>
      </c>
      <c r="AD28" s="103">
        <v>7000</v>
      </c>
      <c r="AE28" s="103">
        <v>7000</v>
      </c>
      <c r="AF28" s="103">
        <v>7000</v>
      </c>
      <c r="AG28" s="100">
        <f t="shared" ref="AG28:AJ28" si="21">O28</f>
        <v>7000</v>
      </c>
      <c r="AH28" s="100">
        <f t="shared" si="21"/>
        <v>0</v>
      </c>
      <c r="AI28" s="923">
        <f t="shared" si="21"/>
        <v>4260.869565217391</v>
      </c>
      <c r="AJ28" s="100">
        <f t="shared" si="21"/>
        <v>7000</v>
      </c>
      <c r="AK28" s="103">
        <v>56000</v>
      </c>
      <c r="AL28" s="103">
        <v>7000</v>
      </c>
    </row>
    <row r="29" spans="1:38" ht="15.75" hidden="1" customHeight="1">
      <c r="A29" s="888">
        <v>30</v>
      </c>
      <c r="B29" s="890" t="s">
        <v>152</v>
      </c>
      <c r="C29" s="890" t="s">
        <v>150</v>
      </c>
      <c r="D29" s="890">
        <v>10000</v>
      </c>
      <c r="E29" s="890">
        <v>5000</v>
      </c>
      <c r="F29" s="100" t="s">
        <v>21</v>
      </c>
      <c r="G29" s="103" t="s">
        <v>30</v>
      </c>
      <c r="H29" s="103" t="s">
        <v>30</v>
      </c>
      <c r="I29" s="103" t="s">
        <v>30</v>
      </c>
      <c r="J29" s="103" t="s">
        <v>30</v>
      </c>
      <c r="K29" s="103" t="s">
        <v>30</v>
      </c>
      <c r="L29" s="103" t="s">
        <v>30</v>
      </c>
      <c r="M29" s="103" t="s">
        <v>30</v>
      </c>
      <c r="N29" s="103" t="s">
        <v>30</v>
      </c>
      <c r="O29" s="103" t="s">
        <v>30</v>
      </c>
      <c r="P29" s="103">
        <v>5000</v>
      </c>
      <c r="Q29" s="103">
        <f>E29-2000</f>
        <v>3000</v>
      </c>
      <c r="R29" s="922">
        <f>E29/22*12</f>
        <v>2727.2727272727275</v>
      </c>
      <c r="S29" s="922">
        <f>SUM(P29:R29)</f>
        <v>10727.272727272728</v>
      </c>
      <c r="T29" s="103"/>
      <c r="U29" s="103"/>
      <c r="V29" s="103"/>
      <c r="W29" s="103"/>
      <c r="X29" s="100"/>
      <c r="Y29" s="100"/>
      <c r="Z29" s="103"/>
      <c r="AA29" s="103"/>
      <c r="AB29" s="103"/>
      <c r="AC29" s="103"/>
      <c r="AD29" s="103"/>
      <c r="AE29" s="103"/>
      <c r="AF29" s="103"/>
      <c r="AG29" s="100"/>
      <c r="AH29" s="100">
        <v>0</v>
      </c>
      <c r="AI29" s="100"/>
      <c r="AJ29" s="100"/>
      <c r="AK29" s="100"/>
      <c r="AL29" s="923">
        <f>S29</f>
        <v>10727.272727272728</v>
      </c>
    </row>
    <row r="30" spans="1:38" ht="15.75" hidden="1" customHeight="1">
      <c r="A30" s="888">
        <v>31</v>
      </c>
      <c r="B30" s="890" t="s">
        <v>87</v>
      </c>
      <c r="C30" s="890" t="s">
        <v>72</v>
      </c>
      <c r="D30" s="896">
        <v>47000</v>
      </c>
      <c r="E30" s="896">
        <v>5000</v>
      </c>
      <c r="F30" s="100" t="s">
        <v>21</v>
      </c>
      <c r="G30" s="103">
        <v>5000</v>
      </c>
      <c r="H30" s="103">
        <v>10000</v>
      </c>
      <c r="I30" s="103">
        <v>10000</v>
      </c>
      <c r="J30" s="103">
        <v>10000</v>
      </c>
      <c r="K30" s="103">
        <v>10000</v>
      </c>
      <c r="L30" s="103">
        <v>10000</v>
      </c>
      <c r="M30" s="103">
        <v>10000</v>
      </c>
      <c r="N30" s="103">
        <v>10000</v>
      </c>
      <c r="O30" s="103">
        <v>10000</v>
      </c>
      <c r="P30" s="100">
        <v>10000</v>
      </c>
      <c r="Q30" s="100">
        <v>5000</v>
      </c>
      <c r="R30" s="100">
        <v>5000</v>
      </c>
      <c r="S30" s="103">
        <v>85000</v>
      </c>
      <c r="T30" s="103">
        <v>0</v>
      </c>
      <c r="U30" s="103">
        <v>85000</v>
      </c>
      <c r="V30" s="103">
        <v>70000</v>
      </c>
      <c r="W30" s="103">
        <v>70000</v>
      </c>
      <c r="X30" s="100"/>
      <c r="Y30" s="103">
        <v>5000</v>
      </c>
      <c r="Z30" s="103">
        <v>10000</v>
      </c>
      <c r="AA30" s="103">
        <v>10000</v>
      </c>
      <c r="AB30" s="103">
        <v>10000</v>
      </c>
      <c r="AC30" s="103">
        <v>0</v>
      </c>
      <c r="AD30" s="103">
        <v>10000</v>
      </c>
      <c r="AE30" s="103">
        <v>10000</v>
      </c>
      <c r="AF30" s="103">
        <v>10000</v>
      </c>
      <c r="AG30" s="100">
        <v>0</v>
      </c>
      <c r="AH30" s="100">
        <f t="shared" ref="AH30:AI30" si="22">P30</f>
        <v>10000</v>
      </c>
      <c r="AI30" s="100">
        <f t="shared" si="22"/>
        <v>5000</v>
      </c>
      <c r="AJ30" s="923"/>
      <c r="AK30" s="100"/>
      <c r="AL30" s="100"/>
    </row>
    <row r="31" spans="1:38" ht="15.75" hidden="1" customHeight="1">
      <c r="A31" s="888">
        <v>33</v>
      </c>
      <c r="B31" s="893" t="s">
        <v>153</v>
      </c>
      <c r="C31" s="890" t="s">
        <v>72</v>
      </c>
      <c r="D31" s="891">
        <v>15000</v>
      </c>
      <c r="E31" s="891">
        <v>10000</v>
      </c>
      <c r="F31" s="100" t="s">
        <v>21</v>
      </c>
      <c r="G31" s="103" t="s">
        <v>30</v>
      </c>
      <c r="H31" s="103" t="s">
        <v>30</v>
      </c>
      <c r="I31" s="103" t="s">
        <v>30</v>
      </c>
      <c r="J31" s="103" t="s">
        <v>30</v>
      </c>
      <c r="K31" s="103">
        <v>3000</v>
      </c>
      <c r="L31" s="103">
        <v>8000</v>
      </c>
      <c r="M31" s="103">
        <v>8500</v>
      </c>
      <c r="N31" s="103">
        <v>5000</v>
      </c>
      <c r="O31" s="103">
        <v>10000</v>
      </c>
      <c r="P31" s="913">
        <v>10000</v>
      </c>
      <c r="Q31" s="103">
        <v>10000</v>
      </c>
      <c r="R31" s="103">
        <v>8000</v>
      </c>
      <c r="S31" s="103"/>
      <c r="T31" s="103"/>
      <c r="U31" s="103"/>
      <c r="V31" s="103">
        <v>30000</v>
      </c>
      <c r="W31" s="100"/>
      <c r="X31" s="100"/>
      <c r="Y31" s="100"/>
      <c r="Z31" s="103"/>
      <c r="AA31" s="100"/>
      <c r="AB31" s="103"/>
      <c r="AC31" s="100"/>
      <c r="AD31" s="103">
        <v>0</v>
      </c>
      <c r="AE31" s="100"/>
      <c r="AF31" s="103">
        <v>0</v>
      </c>
      <c r="AG31" s="100">
        <v>0</v>
      </c>
      <c r="AH31" s="100">
        <f t="shared" ref="AH31:AJ31" si="23">P31</f>
        <v>10000</v>
      </c>
      <c r="AI31" s="100">
        <f t="shared" si="23"/>
        <v>10000</v>
      </c>
      <c r="AJ31" s="100">
        <f t="shared" si="23"/>
        <v>8000</v>
      </c>
      <c r="AK31" s="100"/>
      <c r="AL31" s="100"/>
    </row>
    <row r="32" spans="1:38" ht="15.75" hidden="1" customHeight="1">
      <c r="A32" s="888">
        <v>34</v>
      </c>
      <c r="B32" s="893" t="s">
        <v>154</v>
      </c>
      <c r="C32" s="890" t="s">
        <v>72</v>
      </c>
      <c r="D32" s="891">
        <v>12000</v>
      </c>
      <c r="E32" s="891">
        <v>4000</v>
      </c>
      <c r="F32" s="100" t="s">
        <v>21</v>
      </c>
      <c r="G32" s="103" t="s">
        <v>30</v>
      </c>
      <c r="H32" s="103" t="s">
        <v>30</v>
      </c>
      <c r="I32" s="103" t="s">
        <v>30</v>
      </c>
      <c r="J32" s="103" t="s">
        <v>30</v>
      </c>
      <c r="K32" s="103" t="s">
        <v>30</v>
      </c>
      <c r="L32" s="103" t="s">
        <v>30</v>
      </c>
      <c r="M32" s="103" t="s">
        <v>30</v>
      </c>
      <c r="N32" s="103" t="s">
        <v>30</v>
      </c>
      <c r="O32" s="914">
        <v>4000</v>
      </c>
      <c r="P32" s="103">
        <v>3000</v>
      </c>
      <c r="Q32" s="103">
        <v>4000</v>
      </c>
      <c r="R32" s="103">
        <v>2000</v>
      </c>
      <c r="S32" s="103"/>
      <c r="T32" s="103"/>
      <c r="U32" s="103"/>
      <c r="V32" s="103"/>
      <c r="W32" s="100"/>
      <c r="X32" s="100"/>
      <c r="Y32" s="100"/>
      <c r="Z32" s="103"/>
      <c r="AA32" s="100"/>
      <c r="AB32" s="103"/>
      <c r="AC32" s="100"/>
      <c r="AD32" s="100"/>
      <c r="AE32" s="100"/>
      <c r="AF32" s="100"/>
      <c r="AG32" s="100">
        <v>0</v>
      </c>
      <c r="AH32" s="100">
        <v>0</v>
      </c>
      <c r="AI32" s="100"/>
      <c r="AJ32" s="100">
        <v>0</v>
      </c>
      <c r="AK32" s="100"/>
      <c r="AL32" s="100"/>
    </row>
    <row r="33" spans="1:38" ht="15.75" hidden="1" customHeight="1">
      <c r="A33" s="888">
        <v>35</v>
      </c>
      <c r="B33" s="893" t="s">
        <v>155</v>
      </c>
      <c r="C33" s="890" t="s">
        <v>72</v>
      </c>
      <c r="D33" s="894">
        <v>12000</v>
      </c>
      <c r="E33" s="894">
        <v>4000</v>
      </c>
      <c r="F33" s="100" t="s">
        <v>21</v>
      </c>
      <c r="G33" s="103" t="s">
        <v>30</v>
      </c>
      <c r="H33" s="103" t="s">
        <v>30</v>
      </c>
      <c r="I33" s="103" t="s">
        <v>30</v>
      </c>
      <c r="J33" s="103" t="s">
        <v>30</v>
      </c>
      <c r="K33" s="103" t="s">
        <v>30</v>
      </c>
      <c r="L33" s="103">
        <v>4000</v>
      </c>
      <c r="M33" s="103">
        <v>4000</v>
      </c>
      <c r="N33" s="103">
        <v>4000</v>
      </c>
      <c r="O33" s="103">
        <v>4000</v>
      </c>
      <c r="P33" s="103">
        <v>3000</v>
      </c>
      <c r="Q33" s="103">
        <v>2000</v>
      </c>
      <c r="R33" s="103">
        <v>4000</v>
      </c>
      <c r="S33" s="103"/>
      <c r="T33" s="103"/>
      <c r="U33" s="103"/>
      <c r="V33" s="103">
        <v>24000</v>
      </c>
      <c r="W33" s="100"/>
      <c r="X33" s="100"/>
      <c r="Y33" s="100"/>
      <c r="Z33" s="103"/>
      <c r="AA33" s="100"/>
      <c r="AB33" s="103"/>
      <c r="AC33" s="100"/>
      <c r="AD33" s="103">
        <v>0</v>
      </c>
      <c r="AE33" s="103">
        <v>0</v>
      </c>
      <c r="AF33" s="103">
        <v>0</v>
      </c>
      <c r="AG33" s="100">
        <v>0</v>
      </c>
      <c r="AH33" s="100">
        <v>0</v>
      </c>
      <c r="AI33" s="100"/>
      <c r="AJ33" s="100">
        <v>0</v>
      </c>
      <c r="AK33" s="103">
        <v>0</v>
      </c>
      <c r="AL33" s="103">
        <v>0</v>
      </c>
    </row>
    <row r="34" spans="1:38" ht="15.75" hidden="1" customHeight="1">
      <c r="A34" s="888">
        <v>36</v>
      </c>
      <c r="B34" s="890" t="s">
        <v>95</v>
      </c>
      <c r="C34" s="890" t="s">
        <v>72</v>
      </c>
      <c r="D34" s="891">
        <v>25000</v>
      </c>
      <c r="E34" s="891">
        <v>10000</v>
      </c>
      <c r="F34" s="100" t="s">
        <v>21</v>
      </c>
      <c r="G34" s="103">
        <v>3000</v>
      </c>
      <c r="H34" s="103">
        <v>5000</v>
      </c>
      <c r="I34" s="103">
        <v>5000</v>
      </c>
      <c r="J34" s="103">
        <v>5000</v>
      </c>
      <c r="K34" s="103">
        <v>10000</v>
      </c>
      <c r="L34" s="103">
        <v>10000</v>
      </c>
      <c r="M34" s="103">
        <v>10000</v>
      </c>
      <c r="N34" s="103">
        <v>10000</v>
      </c>
      <c r="O34" s="103">
        <v>10000</v>
      </c>
      <c r="P34" s="100">
        <v>10000</v>
      </c>
      <c r="Q34" s="100">
        <v>10000</v>
      </c>
      <c r="R34" s="923">
        <f>E34/22*7</f>
        <v>3181.818181818182</v>
      </c>
      <c r="S34" s="103">
        <v>68000</v>
      </c>
      <c r="T34" s="103">
        <v>0</v>
      </c>
      <c r="U34" s="103">
        <v>68000</v>
      </c>
      <c r="V34" s="103">
        <v>50000</v>
      </c>
      <c r="W34" s="103">
        <v>50000</v>
      </c>
      <c r="X34" s="100"/>
      <c r="Y34" s="103">
        <v>0</v>
      </c>
      <c r="Z34" s="103">
        <v>5000</v>
      </c>
      <c r="AA34" s="103">
        <v>5000</v>
      </c>
      <c r="AB34" s="103">
        <v>5000</v>
      </c>
      <c r="AC34" s="103">
        <v>0</v>
      </c>
      <c r="AD34" s="103">
        <v>10000</v>
      </c>
      <c r="AE34" s="103">
        <v>10000</v>
      </c>
      <c r="AF34" s="103">
        <v>10000</v>
      </c>
      <c r="AG34" s="100">
        <f t="shared" ref="AG34:AJ34" si="24">O34</f>
        <v>10000</v>
      </c>
      <c r="AH34" s="100">
        <f t="shared" si="24"/>
        <v>10000</v>
      </c>
      <c r="AI34" s="100">
        <f t="shared" si="24"/>
        <v>10000</v>
      </c>
      <c r="AJ34" s="923">
        <f t="shared" si="24"/>
        <v>3181.818181818182</v>
      </c>
      <c r="AK34" s="100"/>
      <c r="AL34" s="100"/>
    </row>
    <row r="35" spans="1:38" ht="15.75" hidden="1" customHeight="1">
      <c r="A35" s="888">
        <v>38</v>
      </c>
      <c r="B35" s="889" t="s">
        <v>80</v>
      </c>
      <c r="C35" s="890" t="s">
        <v>79</v>
      </c>
      <c r="D35" s="891">
        <v>30000</v>
      </c>
      <c r="E35" s="891">
        <v>10000</v>
      </c>
      <c r="F35" s="100" t="s">
        <v>21</v>
      </c>
      <c r="G35" s="103">
        <v>10000</v>
      </c>
      <c r="H35" s="103">
        <v>5000</v>
      </c>
      <c r="I35" s="103">
        <v>9000</v>
      </c>
      <c r="J35" s="103">
        <v>10000</v>
      </c>
      <c r="K35" s="103">
        <v>9000</v>
      </c>
      <c r="L35" s="103">
        <v>10000</v>
      </c>
      <c r="M35" s="103">
        <v>10000</v>
      </c>
      <c r="N35" s="103">
        <v>10000</v>
      </c>
      <c r="O35" s="915">
        <f>E35/23*19</f>
        <v>8260.8695652173919</v>
      </c>
      <c r="P35" s="103">
        <v>10000</v>
      </c>
      <c r="Q35" s="103">
        <v>10000</v>
      </c>
      <c r="R35" s="103">
        <v>10000</v>
      </c>
      <c r="S35" s="922">
        <f>SUM(G35:R35)</f>
        <v>111260.86956521739</v>
      </c>
      <c r="T35" s="103">
        <v>22000</v>
      </c>
      <c r="U35" s="922">
        <f>S35+T35</f>
        <v>133260.86956521741</v>
      </c>
      <c r="V35" s="103">
        <v>60000</v>
      </c>
      <c r="W35" s="923">
        <f>U35-V35</f>
        <v>73260.869565217406</v>
      </c>
      <c r="X35" s="100"/>
      <c r="Y35" s="100">
        <v>10000</v>
      </c>
      <c r="Z35" s="103">
        <v>5000</v>
      </c>
      <c r="AA35" s="103">
        <v>9000</v>
      </c>
      <c r="AB35" s="103">
        <v>0</v>
      </c>
      <c r="AC35" s="103">
        <v>0</v>
      </c>
      <c r="AD35" s="103">
        <v>10000</v>
      </c>
      <c r="AE35" s="103">
        <v>10000</v>
      </c>
      <c r="AF35" s="103">
        <v>10000</v>
      </c>
      <c r="AG35" s="923">
        <v>0</v>
      </c>
      <c r="AH35" s="100">
        <f t="shared" ref="AH35:AJ35" si="25">P35</f>
        <v>10000</v>
      </c>
      <c r="AI35" s="100">
        <f t="shared" si="25"/>
        <v>10000</v>
      </c>
      <c r="AJ35" s="100">
        <f t="shared" si="25"/>
        <v>10000</v>
      </c>
      <c r="AK35" s="100">
        <f>SUM(Y35:AJ35)</f>
        <v>84000</v>
      </c>
      <c r="AL35" s="923">
        <f>AK35-W35</f>
        <v>10739.130434782594</v>
      </c>
    </row>
    <row r="36" spans="1:38" ht="15.75" hidden="1" customHeight="1">
      <c r="A36" s="888">
        <v>40</v>
      </c>
      <c r="B36" s="890" t="s">
        <v>156</v>
      </c>
      <c r="C36" s="890" t="s">
        <v>79</v>
      </c>
      <c r="D36" s="892">
        <v>12000</v>
      </c>
      <c r="E36" s="892">
        <v>4000</v>
      </c>
      <c r="F36" s="100" t="s">
        <v>21</v>
      </c>
      <c r="G36" s="103" t="s">
        <v>30</v>
      </c>
      <c r="H36" s="103" t="s">
        <v>30</v>
      </c>
      <c r="I36" s="103" t="s">
        <v>30</v>
      </c>
      <c r="J36" s="103" t="s">
        <v>30</v>
      </c>
      <c r="K36" s="103" t="s">
        <v>30</v>
      </c>
      <c r="L36" s="103" t="s">
        <v>30</v>
      </c>
      <c r="M36" s="103">
        <v>4000</v>
      </c>
      <c r="N36" s="103">
        <v>4000</v>
      </c>
      <c r="O36" s="103">
        <v>4000</v>
      </c>
      <c r="P36" s="103">
        <v>4000</v>
      </c>
      <c r="Q36" s="103">
        <v>4000</v>
      </c>
      <c r="R36" s="103">
        <v>4000</v>
      </c>
      <c r="S36" s="103"/>
      <c r="T36" s="103"/>
      <c r="U36" s="103"/>
      <c r="V36" s="103">
        <v>24000</v>
      </c>
      <c r="W36" s="100"/>
      <c r="X36" s="100"/>
      <c r="Y36" s="100"/>
      <c r="Z36" s="103"/>
      <c r="AA36" s="100"/>
      <c r="AB36" s="103"/>
      <c r="AC36" s="100"/>
      <c r="AD36" s="100"/>
      <c r="AE36" s="103">
        <v>0</v>
      </c>
      <c r="AF36" s="103">
        <v>0</v>
      </c>
      <c r="AG36" s="100">
        <v>0</v>
      </c>
      <c r="AH36" s="100">
        <v>0</v>
      </c>
      <c r="AI36" s="100"/>
      <c r="AJ36" s="100">
        <v>0</v>
      </c>
      <c r="AK36" s="100"/>
      <c r="AL36" s="100"/>
    </row>
    <row r="37" spans="1:38" ht="15.75" hidden="1" customHeight="1">
      <c r="A37" s="888">
        <v>42</v>
      </c>
      <c r="B37" s="890" t="s">
        <v>157</v>
      </c>
      <c r="C37" s="890" t="s">
        <v>74</v>
      </c>
      <c r="D37" s="891">
        <v>6000</v>
      </c>
      <c r="E37" s="891">
        <v>6000</v>
      </c>
      <c r="F37" s="100" t="s">
        <v>21</v>
      </c>
      <c r="G37" s="103" t="s">
        <v>30</v>
      </c>
      <c r="H37" s="103">
        <v>6000</v>
      </c>
      <c r="I37" s="103">
        <v>3000</v>
      </c>
      <c r="J37" s="103">
        <v>6000</v>
      </c>
      <c r="K37" s="103">
        <v>6000</v>
      </c>
      <c r="L37" s="103">
        <v>6000</v>
      </c>
      <c r="M37" s="103">
        <v>6000</v>
      </c>
      <c r="N37" s="103">
        <v>15062</v>
      </c>
      <c r="O37" s="916">
        <v>15250</v>
      </c>
      <c r="P37" s="913">
        <v>17250</v>
      </c>
      <c r="Q37" s="103">
        <v>6000</v>
      </c>
      <c r="R37" s="103">
        <v>6000</v>
      </c>
      <c r="S37" s="103">
        <f t="shared" ref="S37:S38" si="26">SUM(G37:R37)</f>
        <v>92562</v>
      </c>
      <c r="T37" s="103"/>
      <c r="U37" s="103">
        <v>48062</v>
      </c>
      <c r="V37" s="103">
        <v>12000</v>
      </c>
      <c r="W37" s="100"/>
      <c r="X37" s="100"/>
      <c r="Y37" s="100"/>
      <c r="Z37" s="103">
        <v>0</v>
      </c>
      <c r="AA37" s="103">
        <v>0</v>
      </c>
      <c r="AB37" s="103">
        <v>0</v>
      </c>
      <c r="AC37" s="103">
        <v>6000</v>
      </c>
      <c r="AD37" s="103">
        <v>6000</v>
      </c>
      <c r="AE37" s="103">
        <v>6000</v>
      </c>
      <c r="AF37" s="103">
        <v>18000</v>
      </c>
      <c r="AG37" s="100">
        <f t="shared" ref="AG37:AJ37" si="27">O37</f>
        <v>15250</v>
      </c>
      <c r="AH37" s="100">
        <f t="shared" si="27"/>
        <v>17250</v>
      </c>
      <c r="AI37" s="100">
        <f t="shared" si="27"/>
        <v>6000</v>
      </c>
      <c r="AJ37" s="100">
        <f t="shared" si="27"/>
        <v>6000</v>
      </c>
      <c r="AK37" s="103">
        <f>SUM(Y37:AJ37)</f>
        <v>80500</v>
      </c>
      <c r="AL37" s="103">
        <f>S37-AK37</f>
        <v>12062</v>
      </c>
    </row>
    <row r="38" spans="1:38" ht="15.75" hidden="1" customHeight="1">
      <c r="A38" s="888">
        <v>43</v>
      </c>
      <c r="B38" s="890" t="s">
        <v>158</v>
      </c>
      <c r="C38" s="890" t="s">
        <v>74</v>
      </c>
      <c r="D38" s="891">
        <v>6000</v>
      </c>
      <c r="E38" s="891">
        <v>6000</v>
      </c>
      <c r="F38" s="100" t="s">
        <v>21</v>
      </c>
      <c r="G38" s="103" t="s">
        <v>30</v>
      </c>
      <c r="H38" s="103" t="s">
        <v>30</v>
      </c>
      <c r="I38" s="103" t="s">
        <v>30</v>
      </c>
      <c r="J38" s="103" t="s">
        <v>30</v>
      </c>
      <c r="K38" s="103" t="s">
        <v>30</v>
      </c>
      <c r="L38" s="103">
        <v>6000</v>
      </c>
      <c r="M38" s="103">
        <v>6000</v>
      </c>
      <c r="N38" s="103">
        <v>16571</v>
      </c>
      <c r="O38" s="914">
        <v>17250</v>
      </c>
      <c r="P38" s="914">
        <v>17250</v>
      </c>
      <c r="Q38" s="103">
        <v>6000</v>
      </c>
      <c r="R38" s="103">
        <v>6000</v>
      </c>
      <c r="S38" s="103">
        <f t="shared" si="26"/>
        <v>75071</v>
      </c>
      <c r="T38" s="103"/>
      <c r="U38" s="103"/>
      <c r="V38" s="103">
        <v>12000</v>
      </c>
      <c r="W38" s="100"/>
      <c r="X38" s="100"/>
      <c r="Y38" s="100"/>
      <c r="Z38" s="103"/>
      <c r="AA38" s="100"/>
      <c r="AB38" s="103"/>
      <c r="AC38" s="100"/>
      <c r="AD38" s="103">
        <v>0</v>
      </c>
      <c r="AE38" s="103">
        <v>0</v>
      </c>
      <c r="AF38" s="103">
        <v>20000</v>
      </c>
      <c r="AG38" s="100">
        <f t="shared" ref="AG38:AJ38" si="28">O38</f>
        <v>17250</v>
      </c>
      <c r="AH38" s="100">
        <f t="shared" si="28"/>
        <v>17250</v>
      </c>
      <c r="AI38" s="100">
        <f t="shared" si="28"/>
        <v>6000</v>
      </c>
      <c r="AJ38" s="100">
        <f t="shared" si="28"/>
        <v>6000</v>
      </c>
      <c r="AK38" s="100">
        <f>SUM(AD38:AJ38)</f>
        <v>66500</v>
      </c>
      <c r="AL38" s="100">
        <f>S38-AK38</f>
        <v>8571</v>
      </c>
    </row>
    <row r="39" spans="1:38" ht="15.75" hidden="1" customHeight="1">
      <c r="A39" s="888">
        <v>47</v>
      </c>
      <c r="B39" s="893" t="s">
        <v>159</v>
      </c>
      <c r="C39" s="890" t="s">
        <v>160</v>
      </c>
      <c r="D39" s="890">
        <v>10000</v>
      </c>
      <c r="E39" s="890">
        <v>6000</v>
      </c>
      <c r="F39" s="100" t="s">
        <v>21</v>
      </c>
      <c r="G39" s="103" t="s">
        <v>30</v>
      </c>
      <c r="H39" s="103" t="s">
        <v>30</v>
      </c>
      <c r="I39" s="103" t="s">
        <v>30</v>
      </c>
      <c r="J39" s="103" t="s">
        <v>30</v>
      </c>
      <c r="K39" s="103" t="s">
        <v>30</v>
      </c>
      <c r="L39" s="103" t="s">
        <v>30</v>
      </c>
      <c r="M39" s="103" t="s">
        <v>30</v>
      </c>
      <c r="N39" s="103" t="s">
        <v>30</v>
      </c>
      <c r="O39" s="103" t="s">
        <v>30</v>
      </c>
      <c r="P39" s="103">
        <v>6000</v>
      </c>
      <c r="Q39" s="103">
        <v>0</v>
      </c>
      <c r="R39" s="103">
        <v>0</v>
      </c>
      <c r="S39" s="103"/>
      <c r="T39" s="103"/>
      <c r="U39" s="103"/>
      <c r="V39" s="103"/>
      <c r="W39" s="103"/>
      <c r="X39" s="100"/>
      <c r="Y39" s="100"/>
      <c r="Z39" s="103"/>
      <c r="AA39" s="103"/>
      <c r="AB39" s="103"/>
      <c r="AC39" s="103"/>
      <c r="AD39" s="103"/>
      <c r="AE39" s="103"/>
      <c r="AF39" s="103"/>
      <c r="AG39" s="100"/>
      <c r="AH39" s="100">
        <v>0</v>
      </c>
      <c r="AI39" s="100"/>
      <c r="AJ39" s="100">
        <f t="shared" ref="AJ39:AJ40" si="29">R39</f>
        <v>0</v>
      </c>
      <c r="AK39" s="100"/>
      <c r="AL39" s="100"/>
    </row>
    <row r="40" spans="1:38" ht="15.75" hidden="1" customHeight="1">
      <c r="A40" s="888">
        <v>48</v>
      </c>
      <c r="B40" s="890" t="s">
        <v>161</v>
      </c>
      <c r="C40" s="890" t="s">
        <v>160</v>
      </c>
      <c r="D40" s="891">
        <v>6000</v>
      </c>
      <c r="E40" s="891">
        <v>6000</v>
      </c>
      <c r="F40" s="101" t="s">
        <v>21</v>
      </c>
      <c r="G40" s="103" t="s">
        <v>30</v>
      </c>
      <c r="H40" s="103" t="s">
        <v>30</v>
      </c>
      <c r="I40" s="103" t="s">
        <v>30</v>
      </c>
      <c r="J40" s="103" t="s">
        <v>30</v>
      </c>
      <c r="K40" s="103" t="s">
        <v>30</v>
      </c>
      <c r="L40" s="103" t="s">
        <v>30</v>
      </c>
      <c r="M40" s="103" t="s">
        <v>30</v>
      </c>
      <c r="N40" s="103" t="s">
        <v>30</v>
      </c>
      <c r="O40" s="104">
        <v>6000</v>
      </c>
      <c r="P40" s="101">
        <v>6000</v>
      </c>
      <c r="Q40" s="101">
        <v>6000</v>
      </c>
      <c r="R40" s="927">
        <v>6000</v>
      </c>
      <c r="S40" s="104">
        <f>SUM(O40:R40)</f>
        <v>24000</v>
      </c>
      <c r="T40" s="104"/>
      <c r="U40" s="104"/>
      <c r="V40" s="104"/>
      <c r="W40" s="101"/>
      <c r="X40" s="101"/>
      <c r="Y40" s="101"/>
      <c r="Z40" s="101"/>
      <c r="AA40" s="101"/>
      <c r="AB40" s="101"/>
      <c r="AC40" s="101"/>
      <c r="AD40" s="101"/>
      <c r="AE40" s="101"/>
      <c r="AF40" s="101"/>
      <c r="AG40" s="101">
        <v>0</v>
      </c>
      <c r="AH40" s="101">
        <v>0</v>
      </c>
      <c r="AI40" s="101">
        <v>6000</v>
      </c>
      <c r="AJ40" s="927">
        <f t="shared" si="29"/>
        <v>6000</v>
      </c>
      <c r="AK40" s="101">
        <f>SUM(AG40:AJ40)</f>
        <v>12000</v>
      </c>
      <c r="AL40" s="101">
        <f>S40-AK40</f>
        <v>12000</v>
      </c>
    </row>
    <row r="41" spans="1:38" ht="15.75" hidden="1" customHeight="1">
      <c r="A41" s="888">
        <v>49</v>
      </c>
      <c r="B41" s="889" t="s">
        <v>162</v>
      </c>
      <c r="C41" s="890" t="s">
        <v>163</v>
      </c>
      <c r="D41" s="890">
        <v>20000</v>
      </c>
      <c r="E41" s="891">
        <v>5000</v>
      </c>
      <c r="F41" s="100" t="s">
        <v>164</v>
      </c>
      <c r="G41" s="103" t="s">
        <v>30</v>
      </c>
      <c r="H41" s="103" t="s">
        <v>30</v>
      </c>
      <c r="I41" s="103" t="s">
        <v>30</v>
      </c>
      <c r="J41" s="103" t="s">
        <v>30</v>
      </c>
      <c r="K41" s="103">
        <v>6000</v>
      </c>
      <c r="L41" s="103">
        <v>6000</v>
      </c>
      <c r="M41" s="103">
        <v>6000</v>
      </c>
      <c r="N41" s="103">
        <v>6000</v>
      </c>
      <c r="O41" s="103">
        <v>5000</v>
      </c>
      <c r="P41" s="103">
        <v>5000</v>
      </c>
      <c r="Q41" s="922">
        <f>E41/23*13</f>
        <v>2826.086956521739</v>
      </c>
      <c r="R41" s="103">
        <v>5000</v>
      </c>
      <c r="S41" s="922">
        <f>SUM(G41:R41)</f>
        <v>41826.086956521736</v>
      </c>
      <c r="T41" s="103">
        <v>0</v>
      </c>
      <c r="U41" s="922">
        <f t="shared" ref="U41:U42" si="30">S41+T41</f>
        <v>41826.086956521736</v>
      </c>
      <c r="V41" s="103">
        <f>D41*2</f>
        <v>40000</v>
      </c>
      <c r="W41" s="923">
        <f>U41-V41</f>
        <v>1826.0869565217363</v>
      </c>
      <c r="X41" s="923"/>
      <c r="Y41" s="100"/>
      <c r="Z41" s="103"/>
      <c r="AA41" s="100"/>
      <c r="AB41" s="103"/>
      <c r="AC41" s="103">
        <v>0</v>
      </c>
      <c r="AD41" s="103">
        <v>0</v>
      </c>
      <c r="AE41" s="103">
        <v>6000</v>
      </c>
      <c r="AF41" s="103">
        <v>6000</v>
      </c>
      <c r="AG41" s="100">
        <v>0</v>
      </c>
      <c r="AH41" s="100">
        <v>0</v>
      </c>
      <c r="AI41" s="100"/>
      <c r="AJ41" s="100">
        <v>0</v>
      </c>
      <c r="AK41" s="100"/>
      <c r="AL41" s="923">
        <f>U41-AE41-AF41</f>
        <v>29826.086956521736</v>
      </c>
    </row>
    <row r="42" spans="1:38" ht="15.75" hidden="1" customHeight="1">
      <c r="A42" s="888">
        <v>51</v>
      </c>
      <c r="B42" s="890" t="s">
        <v>165</v>
      </c>
      <c r="C42" s="890" t="s">
        <v>163</v>
      </c>
      <c r="D42" s="894">
        <v>12000</v>
      </c>
      <c r="E42" s="894">
        <v>4000</v>
      </c>
      <c r="F42" s="100" t="s">
        <v>164</v>
      </c>
      <c r="G42" s="103" t="s">
        <v>30</v>
      </c>
      <c r="H42" s="103" t="s">
        <v>30</v>
      </c>
      <c r="I42" s="103" t="s">
        <v>30</v>
      </c>
      <c r="J42" s="103" t="s">
        <v>30</v>
      </c>
      <c r="K42" s="103" t="s">
        <v>30</v>
      </c>
      <c r="L42" s="103" t="s">
        <v>30</v>
      </c>
      <c r="M42" s="103" t="s">
        <v>30</v>
      </c>
      <c r="N42" s="103">
        <v>4000</v>
      </c>
      <c r="O42" s="917">
        <f>E42/23*16</f>
        <v>2782.608695652174</v>
      </c>
      <c r="P42" s="103">
        <v>2000</v>
      </c>
      <c r="Q42" s="103">
        <v>4000</v>
      </c>
      <c r="R42" s="103">
        <v>4000</v>
      </c>
      <c r="S42" s="922">
        <f>SUM(K42:R42)</f>
        <v>16782.608695652176</v>
      </c>
      <c r="T42" s="103">
        <v>0</v>
      </c>
      <c r="U42" s="922">
        <f t="shared" si="30"/>
        <v>16782.608695652176</v>
      </c>
      <c r="V42" s="103">
        <v>24000</v>
      </c>
      <c r="W42" s="100"/>
      <c r="X42" s="100"/>
      <c r="Y42" s="100"/>
      <c r="Z42" s="103"/>
      <c r="AA42" s="100"/>
      <c r="AB42" s="103"/>
      <c r="AC42" s="100"/>
      <c r="AD42" s="100"/>
      <c r="AE42" s="100"/>
      <c r="AF42" s="103">
        <v>0</v>
      </c>
      <c r="AG42" s="100">
        <v>0</v>
      </c>
      <c r="AH42" s="100">
        <v>0</v>
      </c>
      <c r="AI42" s="100"/>
      <c r="AJ42" s="100">
        <v>0</v>
      </c>
      <c r="AK42" s="100"/>
      <c r="AL42" s="923">
        <f>S42</f>
        <v>16782.608695652176</v>
      </c>
    </row>
    <row r="43" spans="1:38" ht="15.75" hidden="1" customHeight="1">
      <c r="A43" s="888">
        <v>52</v>
      </c>
      <c r="B43" s="893" t="s">
        <v>166</v>
      </c>
      <c r="C43" s="890" t="s">
        <v>72</v>
      </c>
      <c r="D43" s="891">
        <v>20000</v>
      </c>
      <c r="E43" s="891">
        <v>5000</v>
      </c>
      <c r="F43" s="100" t="s">
        <v>164</v>
      </c>
      <c r="G43" s="103" t="s">
        <v>30</v>
      </c>
      <c r="H43" s="103" t="s">
        <v>30</v>
      </c>
      <c r="I43" s="103" t="s">
        <v>30</v>
      </c>
      <c r="J43" s="103">
        <v>4000</v>
      </c>
      <c r="K43" s="103">
        <v>4000</v>
      </c>
      <c r="L43" s="103">
        <v>4000</v>
      </c>
      <c r="M43" s="103">
        <v>4000</v>
      </c>
      <c r="N43" s="103">
        <v>5000</v>
      </c>
      <c r="O43" s="103">
        <v>5000</v>
      </c>
      <c r="P43" s="103">
        <v>5000</v>
      </c>
      <c r="Q43" s="922">
        <f>E43/23*20</f>
        <v>4347.826086956522</v>
      </c>
      <c r="R43" s="103">
        <v>5000</v>
      </c>
      <c r="S43" s="103"/>
      <c r="T43" s="103"/>
      <c r="U43" s="103"/>
      <c r="V43" s="103">
        <v>40000</v>
      </c>
      <c r="W43" s="100"/>
      <c r="X43" s="100"/>
      <c r="Y43" s="100"/>
      <c r="Z43" s="103"/>
      <c r="AA43" s="100"/>
      <c r="AB43" s="103">
        <v>0</v>
      </c>
      <c r="AC43" s="100"/>
      <c r="AD43" s="103">
        <v>0</v>
      </c>
      <c r="AE43" s="103">
        <v>0</v>
      </c>
      <c r="AF43" s="103">
        <v>0</v>
      </c>
      <c r="AG43" s="100">
        <v>0</v>
      </c>
      <c r="AH43" s="100">
        <v>0</v>
      </c>
      <c r="AI43" s="100"/>
      <c r="AJ43" s="100">
        <v>0</v>
      </c>
      <c r="AK43" s="103">
        <v>0</v>
      </c>
      <c r="AL43" s="103">
        <v>0</v>
      </c>
    </row>
    <row r="44" spans="1:38" ht="15.75" hidden="1" customHeight="1">
      <c r="A44" s="888">
        <v>55</v>
      </c>
      <c r="B44" s="890" t="s">
        <v>75</v>
      </c>
      <c r="C44" s="890" t="s">
        <v>72</v>
      </c>
      <c r="D44" s="891">
        <v>15000</v>
      </c>
      <c r="E44" s="891">
        <v>10000</v>
      </c>
      <c r="F44" s="100" t="s">
        <v>167</v>
      </c>
      <c r="G44" s="103">
        <v>2000</v>
      </c>
      <c r="H44" s="103">
        <v>2000</v>
      </c>
      <c r="I44" s="103">
        <v>2000</v>
      </c>
      <c r="J44" s="103">
        <v>2000</v>
      </c>
      <c r="K44" s="103">
        <v>0</v>
      </c>
      <c r="L44" s="103">
        <v>6000</v>
      </c>
      <c r="M44" s="103">
        <v>0</v>
      </c>
      <c r="N44" s="103">
        <v>0</v>
      </c>
      <c r="O44" s="918">
        <v>9000</v>
      </c>
      <c r="P44" s="103">
        <v>5000</v>
      </c>
      <c r="Q44" s="103">
        <v>6000</v>
      </c>
      <c r="R44" s="103">
        <v>8000</v>
      </c>
      <c r="S44" s="103">
        <f t="shared" ref="S44:S46" si="31">SUM(G44:R44)</f>
        <v>42000</v>
      </c>
      <c r="T44" s="103">
        <v>12000</v>
      </c>
      <c r="U44" s="103">
        <f t="shared" ref="U44:U46" si="32">S44+T44</f>
        <v>54000</v>
      </c>
      <c r="V44" s="103">
        <v>30000</v>
      </c>
      <c r="W44" s="103">
        <f t="shared" ref="W44:W46" si="33">U44-V44</f>
        <v>24000</v>
      </c>
      <c r="X44" s="100"/>
      <c r="Y44" s="103">
        <v>0</v>
      </c>
      <c r="Z44" s="103">
        <v>0</v>
      </c>
      <c r="AA44" s="103">
        <v>0</v>
      </c>
      <c r="AB44" s="103">
        <v>0</v>
      </c>
      <c r="AC44" s="103">
        <v>0</v>
      </c>
      <c r="AD44" s="103">
        <v>6000</v>
      </c>
      <c r="AE44" s="103">
        <v>0</v>
      </c>
      <c r="AF44" s="103">
        <v>0</v>
      </c>
      <c r="AG44" s="100">
        <v>0</v>
      </c>
      <c r="AH44" s="100">
        <v>0</v>
      </c>
      <c r="AI44" s="100">
        <f t="shared" ref="AI44:AJ44" si="34">Q44</f>
        <v>6000</v>
      </c>
      <c r="AJ44" s="100">
        <f t="shared" si="34"/>
        <v>8000</v>
      </c>
      <c r="AK44" s="103">
        <f t="shared" ref="AK44:AK46" si="35">SUM(Y44:AJ44)</f>
        <v>20000</v>
      </c>
      <c r="AL44" s="103">
        <f>S44-AK44</f>
        <v>22000</v>
      </c>
    </row>
    <row r="45" spans="1:38" ht="15.75" hidden="1" customHeight="1">
      <c r="A45" s="888">
        <v>56</v>
      </c>
      <c r="B45" s="890" t="s">
        <v>97</v>
      </c>
      <c r="C45" s="890" t="s">
        <v>72</v>
      </c>
      <c r="D45" s="891">
        <v>15000</v>
      </c>
      <c r="E45" s="891">
        <v>10000</v>
      </c>
      <c r="F45" s="100" t="s">
        <v>167</v>
      </c>
      <c r="G45" s="103">
        <v>4000</v>
      </c>
      <c r="H45" s="103">
        <v>0</v>
      </c>
      <c r="I45" s="103">
        <v>3000</v>
      </c>
      <c r="J45" s="103">
        <v>7000</v>
      </c>
      <c r="K45" s="103">
        <v>10000</v>
      </c>
      <c r="L45" s="103">
        <v>9000</v>
      </c>
      <c r="M45" s="103">
        <v>9000</v>
      </c>
      <c r="N45" s="103">
        <v>8000</v>
      </c>
      <c r="O45" s="918">
        <v>9000</v>
      </c>
      <c r="P45" s="100">
        <v>9000</v>
      </c>
      <c r="Q45" s="100">
        <v>7000</v>
      </c>
      <c r="R45" s="100">
        <v>9000</v>
      </c>
      <c r="S45" s="103">
        <f t="shared" si="31"/>
        <v>84000</v>
      </c>
      <c r="T45" s="103">
        <f>'2020'!S24</f>
        <v>11500</v>
      </c>
      <c r="U45" s="103">
        <f t="shared" si="32"/>
        <v>95500</v>
      </c>
      <c r="V45" s="103">
        <v>30000</v>
      </c>
      <c r="W45" s="924">
        <f t="shared" si="33"/>
        <v>65500</v>
      </c>
      <c r="X45" s="100"/>
      <c r="Y45" s="103"/>
      <c r="Z45" s="103">
        <v>0</v>
      </c>
      <c r="AA45" s="103">
        <v>0</v>
      </c>
      <c r="AB45" s="103">
        <v>0</v>
      </c>
      <c r="AC45" s="100"/>
      <c r="AD45" s="103">
        <v>9000</v>
      </c>
      <c r="AE45" s="103">
        <v>9000</v>
      </c>
      <c r="AF45" s="103">
        <v>8000</v>
      </c>
      <c r="AG45" s="100">
        <f t="shared" ref="AG45:AJ45" si="36">O45</f>
        <v>9000</v>
      </c>
      <c r="AH45" s="100">
        <f t="shared" si="36"/>
        <v>9000</v>
      </c>
      <c r="AI45" s="100">
        <f t="shared" si="36"/>
        <v>7000</v>
      </c>
      <c r="AJ45" s="100">
        <f t="shared" si="36"/>
        <v>9000</v>
      </c>
      <c r="AK45" s="100">
        <f t="shared" si="35"/>
        <v>60000</v>
      </c>
      <c r="AL45" s="98">
        <f>24000+11500-30000</f>
        <v>5500</v>
      </c>
    </row>
    <row r="46" spans="1:38" ht="15.75" hidden="1" customHeight="1">
      <c r="A46" s="888">
        <v>57</v>
      </c>
      <c r="B46" s="890" t="s">
        <v>98</v>
      </c>
      <c r="C46" s="890" t="s">
        <v>72</v>
      </c>
      <c r="D46" s="891">
        <v>30000</v>
      </c>
      <c r="E46" s="891">
        <v>5000</v>
      </c>
      <c r="F46" s="100" t="s">
        <v>167</v>
      </c>
      <c r="G46" s="103">
        <v>2500</v>
      </c>
      <c r="H46" s="103">
        <v>3000</v>
      </c>
      <c r="I46" s="103">
        <v>3000</v>
      </c>
      <c r="J46" s="103">
        <v>4000</v>
      </c>
      <c r="K46" s="103">
        <v>8000</v>
      </c>
      <c r="L46" s="103">
        <v>9000</v>
      </c>
      <c r="M46" s="103">
        <v>8000</v>
      </c>
      <c r="N46" s="103">
        <v>9000</v>
      </c>
      <c r="O46" s="918">
        <v>5000</v>
      </c>
      <c r="P46" s="100">
        <v>0</v>
      </c>
      <c r="Q46" s="923">
        <f>E46/23*8</f>
        <v>1739.1304347826087</v>
      </c>
      <c r="R46" s="100">
        <v>4000</v>
      </c>
      <c r="S46" s="922">
        <f t="shared" si="31"/>
        <v>57239.130434782608</v>
      </c>
      <c r="T46" s="103">
        <f>'2020'!U25</f>
        <v>9600</v>
      </c>
      <c r="U46" s="928">
        <f t="shared" si="32"/>
        <v>66839.130434782608</v>
      </c>
      <c r="V46" s="929">
        <v>60000</v>
      </c>
      <c r="W46" s="930">
        <f t="shared" si="33"/>
        <v>6839.1304347826081</v>
      </c>
      <c r="X46" s="106"/>
      <c r="Y46" s="916">
        <v>0</v>
      </c>
      <c r="Z46" s="916">
        <v>0</v>
      </c>
      <c r="AA46" s="916">
        <v>0</v>
      </c>
      <c r="AB46" s="916">
        <v>0</v>
      </c>
      <c r="AC46" s="106"/>
      <c r="AD46" s="916">
        <v>9000</v>
      </c>
      <c r="AE46" s="916">
        <v>8000</v>
      </c>
      <c r="AF46" s="916">
        <v>9000</v>
      </c>
      <c r="AG46" s="106">
        <v>0</v>
      </c>
      <c r="AH46" s="106">
        <v>0</v>
      </c>
      <c r="AI46" s="106"/>
      <c r="AJ46" s="106">
        <v>0</v>
      </c>
      <c r="AK46" s="106">
        <f t="shared" si="35"/>
        <v>26000</v>
      </c>
      <c r="AL46" s="936">
        <f>S46-AK46</f>
        <v>31239.130434782608</v>
      </c>
    </row>
    <row r="47" spans="1:38" ht="15.75" hidden="1" customHeight="1">
      <c r="A47" s="888">
        <v>58</v>
      </c>
      <c r="B47" s="893" t="s">
        <v>168</v>
      </c>
      <c r="C47" s="890" t="s">
        <v>72</v>
      </c>
      <c r="D47" s="892">
        <v>12000</v>
      </c>
      <c r="E47" s="891">
        <v>4000</v>
      </c>
      <c r="F47" s="100" t="s">
        <v>167</v>
      </c>
      <c r="G47" s="103" t="s">
        <v>30</v>
      </c>
      <c r="H47" s="103" t="s">
        <v>30</v>
      </c>
      <c r="I47" s="103" t="s">
        <v>30</v>
      </c>
      <c r="J47" s="103" t="s">
        <v>30</v>
      </c>
      <c r="K47" s="103" t="s">
        <v>30</v>
      </c>
      <c r="L47" s="103" t="s">
        <v>30</v>
      </c>
      <c r="M47" s="103">
        <v>3000</v>
      </c>
      <c r="N47" s="103">
        <v>3000</v>
      </c>
      <c r="O47" s="103">
        <v>4000</v>
      </c>
      <c r="P47" s="103">
        <v>2000</v>
      </c>
      <c r="Q47" s="103">
        <v>4000</v>
      </c>
      <c r="R47" s="103">
        <v>3000</v>
      </c>
      <c r="S47" s="103"/>
      <c r="T47" s="103"/>
      <c r="U47" s="931"/>
      <c r="V47" s="929">
        <v>24000</v>
      </c>
      <c r="W47" s="932"/>
      <c r="X47" s="106"/>
      <c r="Y47" s="106"/>
      <c r="Z47" s="916"/>
      <c r="AA47" s="106"/>
      <c r="AB47" s="916"/>
      <c r="AC47" s="106"/>
      <c r="AD47" s="106"/>
      <c r="AE47" s="106"/>
      <c r="AF47" s="916">
        <v>0</v>
      </c>
      <c r="AG47" s="106">
        <v>0</v>
      </c>
      <c r="AH47" s="106">
        <v>0</v>
      </c>
      <c r="AI47" s="106"/>
      <c r="AJ47" s="106">
        <v>0</v>
      </c>
      <c r="AK47" s="106"/>
      <c r="AL47" s="106"/>
    </row>
    <row r="48" spans="1:38" ht="15.75" hidden="1" customHeight="1">
      <c r="A48" s="888">
        <v>59</v>
      </c>
      <c r="B48" s="890" t="s">
        <v>169</v>
      </c>
      <c r="C48" s="890" t="s">
        <v>72</v>
      </c>
      <c r="D48" s="892">
        <v>12000</v>
      </c>
      <c r="E48" s="892">
        <v>4000</v>
      </c>
      <c r="F48" s="100" t="s">
        <v>167</v>
      </c>
      <c r="G48" s="103" t="s">
        <v>30</v>
      </c>
      <c r="H48" s="103" t="s">
        <v>30</v>
      </c>
      <c r="I48" s="103" t="s">
        <v>30</v>
      </c>
      <c r="J48" s="103" t="s">
        <v>30</v>
      </c>
      <c r="K48" s="103" t="s">
        <v>30</v>
      </c>
      <c r="L48" s="103" t="s">
        <v>30</v>
      </c>
      <c r="M48" s="103" t="s">
        <v>30</v>
      </c>
      <c r="N48" s="103" t="s">
        <v>30</v>
      </c>
      <c r="O48" s="103">
        <v>4000</v>
      </c>
      <c r="P48" s="103">
        <v>4000</v>
      </c>
      <c r="Q48" s="103">
        <v>4000</v>
      </c>
      <c r="R48" s="103">
        <v>3000</v>
      </c>
      <c r="S48" s="103"/>
      <c r="T48" s="103"/>
      <c r="U48" s="931"/>
      <c r="V48" s="929"/>
      <c r="W48" s="932"/>
      <c r="X48" s="106"/>
      <c r="Y48" s="106"/>
      <c r="Z48" s="916"/>
      <c r="AA48" s="106"/>
      <c r="AB48" s="916"/>
      <c r="AC48" s="106"/>
      <c r="AD48" s="106"/>
      <c r="AE48" s="106"/>
      <c r="AF48" s="106"/>
      <c r="AG48" s="106">
        <v>0</v>
      </c>
      <c r="AH48" s="106">
        <v>0</v>
      </c>
      <c r="AI48" s="106"/>
      <c r="AJ48" s="106">
        <v>0</v>
      </c>
      <c r="AK48" s="106"/>
      <c r="AL48" s="106"/>
    </row>
    <row r="49" spans="1:38" ht="15.75" hidden="1" customHeight="1">
      <c r="A49" s="888">
        <v>60</v>
      </c>
      <c r="B49" s="897" t="s">
        <v>170</v>
      </c>
      <c r="C49" s="890" t="s">
        <v>72</v>
      </c>
      <c r="D49" s="898">
        <v>12000</v>
      </c>
      <c r="E49" s="899">
        <v>4000</v>
      </c>
      <c r="F49" s="100" t="s">
        <v>167</v>
      </c>
      <c r="G49" s="103" t="s">
        <v>30</v>
      </c>
      <c r="H49" s="103" t="s">
        <v>30</v>
      </c>
      <c r="I49" s="103" t="s">
        <v>30</v>
      </c>
      <c r="J49" s="103" t="s">
        <v>30</v>
      </c>
      <c r="K49" s="103" t="s">
        <v>30</v>
      </c>
      <c r="L49" s="103" t="s">
        <v>30</v>
      </c>
      <c r="M49" s="103" t="s">
        <v>30</v>
      </c>
      <c r="N49" s="103" t="s">
        <v>30</v>
      </c>
      <c r="O49" s="103">
        <v>4000</v>
      </c>
      <c r="P49" s="103">
        <v>4000</v>
      </c>
      <c r="Q49" s="103">
        <v>4000</v>
      </c>
      <c r="R49" s="103">
        <v>4000</v>
      </c>
      <c r="S49" s="103"/>
      <c r="T49" s="103"/>
      <c r="U49" s="931"/>
      <c r="V49" s="931"/>
      <c r="W49" s="100"/>
      <c r="X49" s="106"/>
      <c r="Y49" s="106"/>
      <c r="Z49" s="916"/>
      <c r="AA49" s="106"/>
      <c r="AB49" s="916"/>
      <c r="AC49" s="106"/>
      <c r="AD49" s="106"/>
      <c r="AE49" s="106"/>
      <c r="AF49" s="106"/>
      <c r="AG49" s="106">
        <v>0</v>
      </c>
      <c r="AH49" s="106">
        <v>0</v>
      </c>
      <c r="AI49" s="106"/>
      <c r="AJ49" s="106">
        <v>0</v>
      </c>
      <c r="AK49" s="106"/>
      <c r="AL49" s="106"/>
    </row>
    <row r="50" spans="1:38" ht="15.75" hidden="1" customHeight="1">
      <c r="A50" s="888">
        <v>61</v>
      </c>
      <c r="B50" s="890" t="s">
        <v>171</v>
      </c>
      <c r="C50" s="890" t="s">
        <v>86</v>
      </c>
      <c r="D50" s="890">
        <v>12000</v>
      </c>
      <c r="E50" s="890">
        <v>4000</v>
      </c>
      <c r="F50" s="100" t="s">
        <v>21</v>
      </c>
      <c r="G50" s="103" t="s">
        <v>30</v>
      </c>
      <c r="H50" s="103" t="s">
        <v>30</v>
      </c>
      <c r="I50" s="103" t="s">
        <v>30</v>
      </c>
      <c r="J50" s="103" t="s">
        <v>30</v>
      </c>
      <c r="K50" s="103" t="s">
        <v>30</v>
      </c>
      <c r="L50" s="103" t="s">
        <v>30</v>
      </c>
      <c r="M50" s="103" t="s">
        <v>30</v>
      </c>
      <c r="N50" s="103" t="s">
        <v>30</v>
      </c>
      <c r="O50" s="103" t="s">
        <v>30</v>
      </c>
      <c r="P50" s="103" t="s">
        <v>30</v>
      </c>
      <c r="Q50" s="103">
        <v>4000</v>
      </c>
      <c r="R50" s="103">
        <v>4000</v>
      </c>
      <c r="S50" s="103">
        <f>SUM(Q50:R50)</f>
        <v>8000</v>
      </c>
      <c r="T50" s="103"/>
      <c r="U50" s="931"/>
      <c r="V50" s="931"/>
      <c r="W50" s="100"/>
      <c r="X50" s="106"/>
      <c r="Y50" s="106"/>
      <c r="Z50" s="916"/>
      <c r="AA50" s="106"/>
      <c r="AB50" s="916"/>
      <c r="AC50" s="106"/>
      <c r="AD50" s="106"/>
      <c r="AE50" s="106"/>
      <c r="AF50" s="106"/>
      <c r="AG50" s="106"/>
      <c r="AH50" s="106">
        <v>0</v>
      </c>
      <c r="AI50" s="106"/>
      <c r="AJ50" s="106">
        <v>0</v>
      </c>
      <c r="AK50" s="106"/>
      <c r="AL50" s="106"/>
    </row>
    <row r="51" spans="1:38" ht="15.75" hidden="1" customHeight="1">
      <c r="A51" s="888">
        <v>62</v>
      </c>
      <c r="B51" s="890" t="s">
        <v>172</v>
      </c>
      <c r="C51" s="900" t="s">
        <v>173</v>
      </c>
      <c r="D51" s="890">
        <v>12000</v>
      </c>
      <c r="E51" s="890">
        <v>4000</v>
      </c>
      <c r="F51" s="100" t="s">
        <v>21</v>
      </c>
      <c r="G51" s="103" t="s">
        <v>30</v>
      </c>
      <c r="H51" s="103" t="s">
        <v>30</v>
      </c>
      <c r="I51" s="103" t="s">
        <v>30</v>
      </c>
      <c r="J51" s="103" t="s">
        <v>30</v>
      </c>
      <c r="K51" s="103" t="s">
        <v>30</v>
      </c>
      <c r="L51" s="103" t="s">
        <v>30</v>
      </c>
      <c r="M51" s="103" t="s">
        <v>30</v>
      </c>
      <c r="N51" s="103" t="s">
        <v>30</v>
      </c>
      <c r="O51" s="103" t="s">
        <v>30</v>
      </c>
      <c r="P51" s="103" t="s">
        <v>30</v>
      </c>
      <c r="Q51" s="103" t="s">
        <v>30</v>
      </c>
      <c r="R51" s="103">
        <v>0</v>
      </c>
      <c r="S51" s="103"/>
      <c r="T51" s="103"/>
      <c r="U51" s="931"/>
      <c r="V51" s="931"/>
      <c r="W51" s="100"/>
      <c r="X51" s="106"/>
      <c r="Y51" s="106"/>
      <c r="Z51" s="916"/>
      <c r="AA51" s="106"/>
      <c r="AB51" s="916"/>
      <c r="AC51" s="106"/>
      <c r="AD51" s="106"/>
      <c r="AE51" s="106"/>
      <c r="AF51" s="106"/>
      <c r="AG51" s="106"/>
      <c r="AH51" s="106"/>
      <c r="AI51" s="106"/>
      <c r="AJ51" s="106">
        <v>0</v>
      </c>
      <c r="AK51" s="106"/>
      <c r="AL51" s="106"/>
    </row>
    <row r="52" spans="1:38" ht="15.75" hidden="1" customHeight="1">
      <c r="A52" s="888">
        <v>63</v>
      </c>
      <c r="B52" s="893" t="s">
        <v>174</v>
      </c>
      <c r="C52" s="900" t="s">
        <v>173</v>
      </c>
      <c r="D52" s="890">
        <v>12000</v>
      </c>
      <c r="E52" s="890">
        <v>4000</v>
      </c>
      <c r="F52" s="100" t="s">
        <v>21</v>
      </c>
      <c r="G52" s="103" t="s">
        <v>30</v>
      </c>
      <c r="H52" s="103" t="s">
        <v>30</v>
      </c>
      <c r="I52" s="103" t="s">
        <v>30</v>
      </c>
      <c r="J52" s="103" t="s">
        <v>30</v>
      </c>
      <c r="K52" s="103" t="s">
        <v>30</v>
      </c>
      <c r="L52" s="103" t="s">
        <v>30</v>
      </c>
      <c r="M52" s="103" t="s">
        <v>30</v>
      </c>
      <c r="N52" s="103" t="s">
        <v>30</v>
      </c>
      <c r="O52" s="103" t="s">
        <v>30</v>
      </c>
      <c r="P52" s="103" t="s">
        <v>30</v>
      </c>
      <c r="Q52" s="103" t="s">
        <v>30</v>
      </c>
      <c r="R52" s="103">
        <v>4000</v>
      </c>
      <c r="S52" s="103"/>
      <c r="T52" s="103"/>
      <c r="U52" s="931"/>
      <c r="V52" s="931"/>
      <c r="W52" s="100"/>
      <c r="X52" s="106"/>
      <c r="Y52" s="106"/>
      <c r="Z52" s="916"/>
      <c r="AA52" s="106"/>
      <c r="AB52" s="916"/>
      <c r="AC52" s="106"/>
      <c r="AD52" s="106"/>
      <c r="AE52" s="106"/>
      <c r="AF52" s="106"/>
      <c r="AG52" s="106"/>
      <c r="AH52" s="106"/>
      <c r="AI52" s="106"/>
      <c r="AJ52" s="106">
        <v>0</v>
      </c>
      <c r="AK52" s="106"/>
      <c r="AL52" s="106"/>
    </row>
    <row r="53" spans="1:38" ht="15.75" hidden="1" customHeight="1">
      <c r="A53" s="888">
        <v>64</v>
      </c>
      <c r="B53" s="890" t="s">
        <v>175</v>
      </c>
      <c r="C53" s="900" t="s">
        <v>150</v>
      </c>
      <c r="D53" s="890">
        <v>6000</v>
      </c>
      <c r="E53" s="890">
        <v>6000</v>
      </c>
      <c r="F53" s="100" t="s">
        <v>21</v>
      </c>
      <c r="G53" s="103" t="s">
        <v>30</v>
      </c>
      <c r="H53" s="103" t="s">
        <v>30</v>
      </c>
      <c r="I53" s="103" t="s">
        <v>30</v>
      </c>
      <c r="J53" s="103" t="s">
        <v>30</v>
      </c>
      <c r="K53" s="103" t="s">
        <v>30</v>
      </c>
      <c r="L53" s="103" t="s">
        <v>30</v>
      </c>
      <c r="M53" s="103" t="s">
        <v>30</v>
      </c>
      <c r="N53" s="103" t="s">
        <v>30</v>
      </c>
      <c r="O53" s="103" t="s">
        <v>30</v>
      </c>
      <c r="P53" s="103" t="s">
        <v>30</v>
      </c>
      <c r="Q53" s="103" t="s">
        <v>30</v>
      </c>
      <c r="R53" s="103">
        <v>6000</v>
      </c>
      <c r="S53" s="103"/>
      <c r="T53" s="103"/>
      <c r="U53" s="931"/>
      <c r="V53" s="931"/>
      <c r="W53" s="100"/>
      <c r="X53" s="106"/>
      <c r="Y53" s="106"/>
      <c r="Z53" s="916"/>
      <c r="AA53" s="106"/>
      <c r="AB53" s="916"/>
      <c r="AC53" s="106"/>
      <c r="AD53" s="106"/>
      <c r="AE53" s="106"/>
      <c r="AF53" s="106"/>
      <c r="AG53" s="106"/>
      <c r="AH53" s="106"/>
      <c r="AI53" s="106"/>
      <c r="AJ53" s="106"/>
      <c r="AK53" s="106"/>
      <c r="AL53" s="106"/>
    </row>
    <row r="54" spans="1:38" ht="15.75" hidden="1" customHeight="1">
      <c r="A54" s="888">
        <v>65</v>
      </c>
      <c r="B54" s="890" t="s">
        <v>176</v>
      </c>
      <c r="C54" s="890" t="s">
        <v>72</v>
      </c>
      <c r="D54" s="894">
        <v>12000</v>
      </c>
      <c r="E54" s="894">
        <v>4000</v>
      </c>
      <c r="F54" s="100" t="s">
        <v>167</v>
      </c>
      <c r="G54" s="103" t="s">
        <v>30</v>
      </c>
      <c r="H54" s="103" t="s">
        <v>30</v>
      </c>
      <c r="I54" s="103" t="s">
        <v>30</v>
      </c>
      <c r="J54" s="103" t="s">
        <v>30</v>
      </c>
      <c r="K54" s="103" t="s">
        <v>30</v>
      </c>
      <c r="L54" s="103" t="s">
        <v>30</v>
      </c>
      <c r="M54" s="103">
        <v>3000</v>
      </c>
      <c r="N54" s="103">
        <v>4000</v>
      </c>
      <c r="O54" s="103">
        <v>4000</v>
      </c>
      <c r="P54" s="103">
        <v>4000</v>
      </c>
      <c r="Q54" s="103">
        <v>4000</v>
      </c>
      <c r="R54" s="103">
        <v>4000</v>
      </c>
      <c r="S54" s="103">
        <f>SUM(G54:R54)</f>
        <v>23000</v>
      </c>
      <c r="T54" s="103">
        <v>0</v>
      </c>
      <c r="U54" s="103">
        <f>S54+T54</f>
        <v>23000</v>
      </c>
      <c r="V54" s="103">
        <v>24000</v>
      </c>
      <c r="W54" s="100"/>
      <c r="X54" s="776"/>
      <c r="Y54" s="776"/>
      <c r="Z54" s="914"/>
      <c r="AA54" s="776"/>
      <c r="AB54" s="914"/>
      <c r="AC54" s="776"/>
      <c r="AD54" s="776"/>
      <c r="AE54" s="776"/>
      <c r="AF54" s="914">
        <v>0</v>
      </c>
      <c r="AG54" s="776">
        <v>0</v>
      </c>
      <c r="AH54" s="106">
        <v>0</v>
      </c>
      <c r="AI54" s="776"/>
      <c r="AJ54" s="776">
        <v>0</v>
      </c>
      <c r="AK54" s="776"/>
      <c r="AL54" s="776">
        <f>S54</f>
        <v>23000</v>
      </c>
    </row>
    <row r="55" spans="1:38" ht="15.75" hidden="1" customHeight="1">
      <c r="A55" s="209"/>
      <c r="B55" s="901" t="s">
        <v>126</v>
      </c>
      <c r="C55" s="902"/>
      <c r="D55" s="903">
        <f t="shared" ref="D55:AJ55" si="37">SUM(D2:D54)</f>
        <v>833000</v>
      </c>
      <c r="E55" s="903">
        <f t="shared" si="37"/>
        <v>308000</v>
      </c>
      <c r="F55" s="904">
        <f t="shared" si="37"/>
        <v>0</v>
      </c>
      <c r="G55" s="905">
        <f t="shared" si="37"/>
        <v>111500</v>
      </c>
      <c r="H55" s="905">
        <f t="shared" si="37"/>
        <v>120000</v>
      </c>
      <c r="I55" s="905">
        <f t="shared" si="37"/>
        <v>127000</v>
      </c>
      <c r="J55" s="905">
        <f t="shared" si="37"/>
        <v>150000</v>
      </c>
      <c r="K55" s="905">
        <f t="shared" si="37"/>
        <v>178000</v>
      </c>
      <c r="L55" s="905">
        <f t="shared" si="37"/>
        <v>205000</v>
      </c>
      <c r="M55" s="905">
        <f t="shared" si="37"/>
        <v>217500</v>
      </c>
      <c r="N55" s="905">
        <f t="shared" si="37"/>
        <v>242633</v>
      </c>
      <c r="O55" s="905">
        <f t="shared" si="37"/>
        <v>292326.08695652173</v>
      </c>
      <c r="P55" s="919">
        <f t="shared" si="37"/>
        <v>273107.14285714284</v>
      </c>
      <c r="Q55" s="919">
        <f t="shared" si="37"/>
        <v>249913.04347826084</v>
      </c>
      <c r="R55" s="919">
        <f t="shared" si="37"/>
        <v>258590.90909090909</v>
      </c>
      <c r="S55" s="905">
        <f t="shared" si="37"/>
        <v>2011242.6837944663</v>
      </c>
      <c r="T55" s="905" t="e">
        <f t="shared" si="37"/>
        <v>#REF!</v>
      </c>
      <c r="U55" s="905">
        <f t="shared" si="37"/>
        <v>1603079.7865612647</v>
      </c>
      <c r="V55" s="905">
        <f t="shared" si="37"/>
        <v>1292000</v>
      </c>
      <c r="W55" s="905">
        <f t="shared" si="37"/>
        <v>906485.17786561267</v>
      </c>
      <c r="X55" s="905">
        <f t="shared" si="37"/>
        <v>0</v>
      </c>
      <c r="Y55" s="905">
        <f t="shared" si="37"/>
        <v>73000</v>
      </c>
      <c r="Z55" s="905">
        <f t="shared" si="37"/>
        <v>74000</v>
      </c>
      <c r="AA55" s="905">
        <f t="shared" si="37"/>
        <v>90000</v>
      </c>
      <c r="AB55" s="905">
        <f t="shared" si="37"/>
        <v>93000</v>
      </c>
      <c r="AC55" s="905">
        <f t="shared" si="37"/>
        <v>53000</v>
      </c>
      <c r="AD55" s="905">
        <f t="shared" si="37"/>
        <v>118250</v>
      </c>
      <c r="AE55" s="905">
        <f t="shared" si="37"/>
        <v>134000</v>
      </c>
      <c r="AF55" s="905">
        <f t="shared" si="37"/>
        <v>188000</v>
      </c>
      <c r="AG55" s="919">
        <f t="shared" si="37"/>
        <v>134500</v>
      </c>
      <c r="AH55" s="919">
        <f t="shared" si="37"/>
        <v>148357.14285714284</v>
      </c>
      <c r="AI55" s="919">
        <f t="shared" si="37"/>
        <v>140869.5652173913</v>
      </c>
      <c r="AJ55" s="919">
        <f t="shared" si="37"/>
        <v>167454.54545454547</v>
      </c>
      <c r="AK55" s="905">
        <v>630312</v>
      </c>
      <c r="AL55" s="905">
        <v>273250</v>
      </c>
    </row>
    <row r="56" spans="1:38" ht="15.75" hidden="1" customHeight="1">
      <c r="A56" s="102"/>
      <c r="B56" s="906"/>
      <c r="C56" s="102"/>
      <c r="D56" s="907"/>
      <c r="E56" s="907"/>
      <c r="F56" s="102"/>
      <c r="G56" s="102"/>
      <c r="H56" s="102"/>
      <c r="I56" s="102"/>
      <c r="J56" s="102"/>
      <c r="K56" s="102"/>
      <c r="L56" s="102"/>
      <c r="M56" s="102"/>
      <c r="N56" s="102"/>
      <c r="O56" s="102"/>
      <c r="P56" s="102"/>
      <c r="Q56" s="102"/>
      <c r="R56" s="102"/>
      <c r="S56" s="933"/>
      <c r="T56" s="933"/>
      <c r="U56" s="933"/>
      <c r="V56" s="933"/>
      <c r="W56" s="934"/>
      <c r="X56" s="102"/>
      <c r="Y56" s="102"/>
      <c r="Z56" s="102"/>
      <c r="AA56" s="102"/>
      <c r="AB56" s="102"/>
      <c r="AC56" s="102"/>
      <c r="AD56" s="102"/>
      <c r="AE56" s="102"/>
      <c r="AF56" s="102"/>
      <c r="AG56" s="102"/>
      <c r="AH56" s="102"/>
      <c r="AI56" s="102">
        <v>5000</v>
      </c>
      <c r="AJ56" s="102"/>
      <c r="AK56" s="102"/>
      <c r="AL56" s="102"/>
    </row>
    <row r="57" spans="1:38" ht="15.75" hidden="1" customHeight="1">
      <c r="A57" s="102"/>
      <c r="B57" s="102"/>
      <c r="C57" s="102"/>
      <c r="D57" s="907"/>
      <c r="E57" s="907"/>
      <c r="F57" s="102"/>
      <c r="G57" s="102"/>
      <c r="H57" s="102"/>
      <c r="I57" s="102"/>
      <c r="J57" s="102"/>
      <c r="K57" s="102"/>
      <c r="L57" s="102"/>
      <c r="M57" s="102"/>
      <c r="N57" s="102"/>
      <c r="O57" s="102"/>
      <c r="P57" s="102"/>
      <c r="Q57" s="102"/>
      <c r="R57" s="102"/>
      <c r="S57" s="933"/>
      <c r="T57" s="933"/>
      <c r="U57" s="933"/>
      <c r="V57" s="933"/>
      <c r="W57" s="934"/>
      <c r="X57" s="102"/>
      <c r="Y57" s="102"/>
      <c r="Z57" s="102"/>
      <c r="AA57" s="102"/>
      <c r="AB57" s="102"/>
      <c r="AC57" s="102"/>
      <c r="AD57" s="102"/>
      <c r="AE57" s="102"/>
      <c r="AF57" s="102"/>
      <c r="AG57" s="102"/>
      <c r="AH57" s="102"/>
      <c r="AI57" s="937">
        <f>AI55</f>
        <v>140869.5652173913</v>
      </c>
      <c r="AJ57" s="937">
        <f>AI10+AI27+AI31+'To beDeleted'!AI35+'To beDeleted'!AI36+AI38+AI44</f>
        <v>47347.82608695652</v>
      </c>
      <c r="AK57" s="937"/>
      <c r="AL57" s="102"/>
    </row>
    <row r="58" spans="1:38" ht="15.75" hidden="1" customHeight="1">
      <c r="AJ58" s="510">
        <v>10000</v>
      </c>
    </row>
    <row r="59" spans="1:38" ht="15.75" customHeight="1"/>
    <row r="60" spans="1:38" ht="15.75" customHeight="1">
      <c r="M60">
        <f>22309+O48</f>
        <v>26309</v>
      </c>
    </row>
    <row r="61" spans="1:38" ht="15.75" customHeight="1"/>
    <row r="62" spans="1:38" ht="15.75" customHeight="1">
      <c r="N62">
        <v>5000</v>
      </c>
    </row>
    <row r="63" spans="1:38" ht="15.75" customHeight="1"/>
    <row r="64" spans="1:38" ht="15.75" customHeight="1"/>
    <row r="65" spans="7:18" ht="15.75" customHeight="1">
      <c r="K65" s="110"/>
      <c r="L65" s="110"/>
      <c r="M65" s="110"/>
      <c r="N65" s="110"/>
      <c r="P65" s="110"/>
      <c r="Q65" s="110"/>
      <c r="R65" s="110"/>
    </row>
    <row r="66" spans="7:18" ht="15.75" customHeight="1">
      <c r="K66" s="110"/>
      <c r="L66" s="110"/>
      <c r="M66" s="110"/>
      <c r="N66" s="110"/>
      <c r="P66" s="110"/>
      <c r="Q66" s="110"/>
      <c r="R66" s="110"/>
    </row>
    <row r="67" spans="7:18" ht="15.75" customHeight="1">
      <c r="K67" s="110"/>
      <c r="L67" s="110"/>
      <c r="M67" s="110"/>
      <c r="N67" s="110"/>
      <c r="P67" s="110"/>
      <c r="Q67" s="110"/>
      <c r="R67" s="110"/>
    </row>
    <row r="68" spans="7:18" ht="15.75" customHeight="1">
      <c r="K68" s="110"/>
      <c r="L68" s="110"/>
      <c r="M68" s="110"/>
      <c r="N68" s="110"/>
      <c r="P68" s="110"/>
      <c r="Q68" s="110"/>
      <c r="R68" s="110"/>
    </row>
    <row r="69" spans="7:18" ht="15.75" customHeight="1">
      <c r="K69" s="110"/>
      <c r="L69" s="110"/>
      <c r="M69" s="110"/>
      <c r="N69" s="110"/>
      <c r="P69" s="110"/>
      <c r="Q69" s="110"/>
      <c r="R69" s="110"/>
    </row>
    <row r="70" spans="7:18" ht="15.75" customHeight="1">
      <c r="K70" s="110"/>
      <c r="L70" s="110"/>
      <c r="M70" s="110"/>
      <c r="N70" s="110"/>
      <c r="P70" s="110"/>
      <c r="Q70" s="110"/>
      <c r="R70" s="110"/>
    </row>
    <row r="71" spans="7:18" ht="15.75" customHeight="1">
      <c r="K71" s="110"/>
      <c r="L71" s="110"/>
      <c r="M71" s="110"/>
      <c r="N71" s="110"/>
      <c r="P71" s="110"/>
      <c r="Q71" s="110"/>
      <c r="R71" s="110"/>
    </row>
    <row r="72" spans="7:18" ht="15.75" customHeight="1">
      <c r="K72" s="110"/>
      <c r="L72" s="110"/>
      <c r="M72" s="110"/>
      <c r="N72" s="110"/>
      <c r="P72" s="110"/>
      <c r="Q72" s="110"/>
      <c r="R72" s="110"/>
    </row>
    <row r="73" spans="7:18" ht="15.75" customHeight="1">
      <c r="G73" t="s">
        <v>935</v>
      </c>
      <c r="K73" s="110"/>
      <c r="L73" s="110"/>
      <c r="M73" s="110"/>
      <c r="N73" s="110"/>
      <c r="P73" s="110"/>
      <c r="Q73" s="110"/>
      <c r="R73" s="110"/>
    </row>
    <row r="74" spans="7:18" ht="15.75" customHeight="1">
      <c r="K74" s="110"/>
      <c r="L74" s="110"/>
      <c r="M74" s="110"/>
      <c r="N74" s="110"/>
      <c r="P74" s="110"/>
      <c r="Q74" s="110"/>
      <c r="R74" s="110"/>
    </row>
    <row r="75" spans="7:18" ht="15.75" customHeight="1">
      <c r="K75" s="110"/>
      <c r="L75" s="110"/>
      <c r="M75" s="110"/>
      <c r="N75" s="110"/>
      <c r="P75" s="110"/>
      <c r="Q75" s="110"/>
      <c r="R75" s="110"/>
    </row>
    <row r="76" spans="7:18" ht="15.75" customHeight="1">
      <c r="K76" s="110"/>
      <c r="L76" s="110"/>
      <c r="M76" s="110"/>
      <c r="N76" s="110"/>
      <c r="P76" s="110"/>
      <c r="Q76" s="110"/>
      <c r="R76" s="110"/>
    </row>
    <row r="77" spans="7:18" ht="15.75" customHeight="1">
      <c r="K77" s="110"/>
      <c r="L77" s="110"/>
      <c r="M77" s="110"/>
      <c r="N77" s="110"/>
      <c r="P77" s="110"/>
      <c r="Q77" s="110"/>
      <c r="R77" s="110"/>
    </row>
    <row r="78" spans="7:18" ht="15.75" customHeight="1">
      <c r="K78" s="110"/>
      <c r="L78" s="110"/>
      <c r="M78" s="110"/>
      <c r="N78" s="110"/>
      <c r="P78" s="110"/>
      <c r="Q78" s="110"/>
      <c r="R78" s="110"/>
    </row>
    <row r="79" spans="7:18" ht="15.75" customHeight="1">
      <c r="K79" s="110"/>
      <c r="L79" s="110"/>
      <c r="M79" s="110"/>
      <c r="N79" s="110"/>
      <c r="P79" s="110"/>
      <c r="Q79" s="110"/>
      <c r="R79" s="110"/>
    </row>
    <row r="80" spans="7:18" ht="15.75" customHeight="1">
      <c r="K80" s="110"/>
      <c r="L80" s="110"/>
      <c r="M80" s="110"/>
      <c r="N80" s="110"/>
      <c r="P80" s="110"/>
      <c r="Q80" s="110"/>
      <c r="R80" s="110"/>
    </row>
    <row r="81" spans="11:18" ht="15.75" customHeight="1">
      <c r="K81" s="110"/>
      <c r="L81" s="110"/>
      <c r="M81" s="110"/>
      <c r="N81" s="110"/>
      <c r="P81" s="110"/>
      <c r="Q81" s="110"/>
      <c r="R81" s="110"/>
    </row>
    <row r="82" spans="11:18" ht="15.75" customHeight="1">
      <c r="K82" s="110"/>
      <c r="L82" s="110"/>
      <c r="M82" s="110"/>
      <c r="N82" s="110"/>
      <c r="P82" s="110"/>
      <c r="Q82" s="110"/>
      <c r="R82" s="110"/>
    </row>
    <row r="83" spans="11:18" ht="15.75" customHeight="1">
      <c r="K83" s="110"/>
      <c r="L83" s="110"/>
      <c r="M83" s="110"/>
      <c r="N83" s="110"/>
      <c r="P83" s="110"/>
      <c r="Q83" s="110"/>
      <c r="R83" s="110"/>
    </row>
    <row r="84" spans="11:18" ht="15.75" customHeight="1">
      <c r="K84" s="110"/>
      <c r="L84" s="110"/>
      <c r="M84" s="110"/>
      <c r="N84" s="110"/>
      <c r="P84" s="110"/>
      <c r="Q84" s="110"/>
      <c r="R84" s="110"/>
    </row>
    <row r="85" spans="11:18" ht="15.75" customHeight="1">
      <c r="K85" s="110"/>
      <c r="L85" s="110"/>
      <c r="M85" s="110"/>
      <c r="N85" s="110"/>
      <c r="P85" s="110"/>
      <c r="Q85" s="110"/>
      <c r="R85" s="110"/>
    </row>
    <row r="86" spans="11:18" ht="15.75" customHeight="1">
      <c r="K86" s="110"/>
      <c r="L86" s="110"/>
      <c r="M86" s="110"/>
      <c r="N86" s="110"/>
      <c r="P86" s="110"/>
      <c r="Q86" s="110"/>
      <c r="R86" s="110"/>
    </row>
    <row r="87" spans="11:18" ht="15.75" customHeight="1">
      <c r="K87" s="110"/>
      <c r="L87" s="110"/>
      <c r="M87" s="110"/>
      <c r="N87" s="110"/>
      <c r="P87" s="110"/>
      <c r="Q87" s="110"/>
      <c r="R87" s="110"/>
    </row>
    <row r="88" spans="11:18" ht="15.75" customHeight="1">
      <c r="K88" s="110"/>
      <c r="L88" s="110"/>
      <c r="M88" s="110"/>
      <c r="N88" s="110"/>
      <c r="P88" s="110"/>
      <c r="Q88" s="110"/>
      <c r="R88" s="110"/>
    </row>
    <row r="89" spans="11:18" ht="15.75" customHeight="1">
      <c r="K89" s="110"/>
      <c r="L89" s="110"/>
      <c r="M89" s="110"/>
      <c r="N89" s="110"/>
      <c r="P89" s="110"/>
      <c r="Q89" s="110"/>
      <c r="R89" s="110"/>
    </row>
    <row r="90" spans="11:18" ht="15.75" customHeight="1">
      <c r="K90" s="110"/>
      <c r="L90" s="110"/>
      <c r="M90" s="110"/>
      <c r="N90" s="110"/>
      <c r="P90" s="110"/>
      <c r="Q90" s="110"/>
      <c r="R90" s="110"/>
    </row>
    <row r="91" spans="11:18" ht="15.75" customHeight="1">
      <c r="K91" s="110"/>
      <c r="L91" s="110"/>
      <c r="M91" s="110"/>
      <c r="N91" s="110"/>
      <c r="P91" s="110"/>
      <c r="Q91" s="110"/>
      <c r="R91" s="110"/>
    </row>
    <row r="92" spans="11:18" ht="15.75" customHeight="1">
      <c r="K92" s="110"/>
      <c r="L92" s="110"/>
      <c r="M92" s="110"/>
      <c r="N92" s="110"/>
      <c r="P92" s="110"/>
      <c r="Q92" s="110"/>
      <c r="R92" s="110"/>
    </row>
    <row r="93" spans="11:18" ht="15.75" customHeight="1">
      <c r="K93" s="110"/>
      <c r="L93" s="110"/>
      <c r="M93" s="110"/>
      <c r="N93" s="110"/>
      <c r="P93" s="110"/>
      <c r="Q93" s="110"/>
      <c r="R93" s="110"/>
    </row>
    <row r="94" spans="11:18" ht="15.75" customHeight="1">
      <c r="K94" s="110"/>
      <c r="L94" s="110"/>
      <c r="M94" s="110"/>
      <c r="N94" s="110"/>
      <c r="P94" s="110"/>
      <c r="Q94" s="110"/>
      <c r="R94" s="110"/>
    </row>
    <row r="95" spans="11:18" ht="15.75" customHeight="1">
      <c r="K95" s="110"/>
      <c r="L95" s="110"/>
      <c r="M95" s="110"/>
      <c r="N95" s="110"/>
      <c r="P95" s="110"/>
      <c r="Q95" s="110"/>
      <c r="R95" s="110"/>
    </row>
    <row r="96" spans="11:18" ht="15.75" customHeight="1">
      <c r="K96" s="110"/>
      <c r="L96" s="110"/>
      <c r="M96" s="110"/>
      <c r="N96" s="110"/>
      <c r="P96" s="110"/>
      <c r="Q96" s="110"/>
      <c r="R96" s="110"/>
    </row>
    <row r="97" spans="11:18" ht="15.75" customHeight="1">
      <c r="K97" s="110"/>
      <c r="L97" s="110"/>
      <c r="M97" s="110"/>
      <c r="N97" s="110"/>
      <c r="P97" s="110"/>
      <c r="Q97" s="110"/>
      <c r="R97" s="110"/>
    </row>
    <row r="98" spans="11:18" ht="15.75" customHeight="1">
      <c r="K98" s="110"/>
      <c r="L98" s="110"/>
      <c r="M98" s="110"/>
      <c r="N98" s="110"/>
      <c r="P98" s="110"/>
      <c r="Q98" s="110"/>
      <c r="R98" s="110"/>
    </row>
    <row r="99" spans="11:18" ht="15.75" customHeight="1">
      <c r="K99" s="110"/>
      <c r="L99" s="110"/>
      <c r="M99" s="110"/>
      <c r="N99" s="110"/>
      <c r="P99" s="110"/>
      <c r="Q99" s="110"/>
      <c r="R99" s="110"/>
    </row>
    <row r="100" spans="11:18" ht="15.75" customHeight="1">
      <c r="K100" s="110"/>
      <c r="L100" s="110"/>
      <c r="M100" s="110"/>
      <c r="N100" s="110"/>
      <c r="P100" s="110"/>
      <c r="Q100" s="110"/>
      <c r="R100" s="110"/>
    </row>
    <row r="101" spans="11:18" ht="15.75" customHeight="1">
      <c r="K101" s="110"/>
      <c r="L101" s="110"/>
      <c r="M101" s="110"/>
      <c r="N101" s="110"/>
      <c r="P101" s="110"/>
      <c r="Q101" s="110"/>
      <c r="R101" s="110"/>
    </row>
    <row r="102" spans="11:18" ht="15.75" customHeight="1">
      <c r="K102" s="110"/>
      <c r="L102" s="110"/>
      <c r="M102" s="110"/>
      <c r="N102" s="110"/>
      <c r="P102" s="110"/>
      <c r="Q102" s="110"/>
      <c r="R102" s="110"/>
    </row>
    <row r="103" spans="11:18" ht="15.75" customHeight="1">
      <c r="K103" s="110"/>
      <c r="L103" s="110"/>
      <c r="M103" s="110"/>
      <c r="N103" s="110"/>
      <c r="P103" s="110"/>
      <c r="Q103" s="110"/>
      <c r="R103" s="110"/>
    </row>
    <row r="104" spans="11:18" ht="15.75" customHeight="1">
      <c r="K104" s="110"/>
      <c r="L104" s="110"/>
      <c r="M104" s="110"/>
      <c r="N104" s="110"/>
      <c r="P104" s="110"/>
      <c r="Q104" s="110"/>
      <c r="R104" s="110"/>
    </row>
    <row r="105" spans="11:18" ht="15.75" customHeight="1">
      <c r="K105" s="110"/>
      <c r="L105" s="110"/>
      <c r="M105" s="110"/>
      <c r="N105" s="110"/>
      <c r="P105" s="110"/>
      <c r="Q105" s="110"/>
      <c r="R105" s="110"/>
    </row>
    <row r="106" spans="11:18" ht="15.75" customHeight="1">
      <c r="K106" s="110"/>
      <c r="L106" s="110"/>
      <c r="M106" s="110"/>
      <c r="N106" s="110"/>
      <c r="P106" s="110"/>
      <c r="Q106" s="110"/>
      <c r="R106" s="110"/>
    </row>
    <row r="107" spans="11:18" ht="15.75" customHeight="1">
      <c r="K107" s="110"/>
      <c r="L107" s="110"/>
      <c r="M107" s="110"/>
      <c r="N107" s="110"/>
      <c r="P107" s="110"/>
      <c r="Q107" s="110"/>
      <c r="R107" s="110"/>
    </row>
    <row r="108" spans="11:18" ht="15.75" customHeight="1">
      <c r="K108" s="110"/>
      <c r="L108" s="110"/>
      <c r="M108" s="110"/>
      <c r="N108" s="110"/>
      <c r="P108" s="110"/>
      <c r="Q108" s="110"/>
      <c r="R108" s="110"/>
    </row>
    <row r="109" spans="11:18" ht="15.75" customHeight="1">
      <c r="K109" s="110"/>
      <c r="L109" s="110"/>
      <c r="M109" s="110"/>
      <c r="N109" s="110"/>
      <c r="P109" s="110"/>
      <c r="Q109" s="110"/>
      <c r="R109" s="110"/>
    </row>
    <row r="110" spans="11:18" ht="15.75" customHeight="1">
      <c r="K110" s="110"/>
      <c r="L110" s="110"/>
      <c r="M110" s="110"/>
      <c r="N110" s="110"/>
      <c r="P110" s="110"/>
      <c r="Q110" s="110"/>
      <c r="R110" s="110"/>
    </row>
    <row r="111" spans="11:18" ht="15.75" customHeight="1">
      <c r="K111" s="110"/>
      <c r="L111" s="110"/>
      <c r="M111" s="110"/>
      <c r="N111" s="110"/>
      <c r="P111" s="110"/>
      <c r="Q111" s="110"/>
      <c r="R111" s="110"/>
    </row>
    <row r="112" spans="11:18" ht="15.75" customHeight="1">
      <c r="K112" s="110"/>
      <c r="L112" s="110"/>
      <c r="M112" s="110"/>
      <c r="N112" s="110"/>
      <c r="P112" s="110"/>
      <c r="Q112" s="110"/>
      <c r="R112" s="110"/>
    </row>
    <row r="113" spans="11:18" ht="15.75" customHeight="1">
      <c r="K113" s="110"/>
      <c r="L113" s="110"/>
      <c r="M113" s="110"/>
      <c r="N113" s="110"/>
      <c r="P113" s="110"/>
      <c r="Q113" s="110"/>
      <c r="R113" s="110"/>
    </row>
    <row r="114" spans="11:18" ht="15.75" customHeight="1">
      <c r="K114" s="110"/>
      <c r="L114" s="110"/>
      <c r="M114" s="110"/>
      <c r="N114" s="110"/>
      <c r="P114" s="110"/>
      <c r="Q114" s="110"/>
      <c r="R114" s="110"/>
    </row>
    <row r="115" spans="11:18" ht="15.75" customHeight="1">
      <c r="K115" s="110"/>
      <c r="L115" s="110"/>
      <c r="M115" s="110"/>
      <c r="N115" s="110"/>
      <c r="P115" s="110"/>
      <c r="Q115" s="110"/>
      <c r="R115" s="110"/>
    </row>
    <row r="116" spans="11:18" ht="15.75" customHeight="1">
      <c r="K116" s="110"/>
      <c r="L116" s="110"/>
      <c r="M116" s="110"/>
      <c r="N116" s="110"/>
      <c r="P116" s="110"/>
      <c r="Q116" s="110"/>
      <c r="R116" s="110"/>
    </row>
    <row r="117" spans="11:18" ht="15.75" customHeight="1">
      <c r="K117" s="110"/>
      <c r="L117" s="110"/>
      <c r="M117" s="110"/>
      <c r="N117" s="110"/>
      <c r="P117" s="110"/>
      <c r="Q117" s="110"/>
      <c r="R117" s="110"/>
    </row>
    <row r="118" spans="11:18" ht="15.75" customHeight="1">
      <c r="K118" s="110"/>
      <c r="L118" s="110"/>
      <c r="M118" s="110"/>
      <c r="N118" s="110"/>
      <c r="P118" s="110"/>
      <c r="Q118" s="110"/>
      <c r="R118" s="110"/>
    </row>
    <row r="119" spans="11:18" ht="15.75" customHeight="1">
      <c r="K119" s="110"/>
      <c r="L119" s="110"/>
      <c r="M119" s="110"/>
      <c r="N119" s="110"/>
      <c r="P119" s="110"/>
      <c r="Q119" s="110"/>
      <c r="R119" s="110"/>
    </row>
    <row r="120" spans="11:18" ht="15.75" customHeight="1">
      <c r="K120" s="110"/>
      <c r="L120" s="110"/>
      <c r="M120" s="110"/>
      <c r="N120" s="110"/>
      <c r="P120" s="110"/>
      <c r="Q120" s="110"/>
      <c r="R120" s="110"/>
    </row>
    <row r="121" spans="11:18" ht="15.75" customHeight="1">
      <c r="K121" s="110"/>
      <c r="L121" s="110"/>
      <c r="M121" s="110"/>
      <c r="N121" s="110"/>
      <c r="P121" s="110"/>
      <c r="Q121" s="110"/>
      <c r="R121" s="110"/>
    </row>
    <row r="122" spans="11:18" ht="15.75" customHeight="1">
      <c r="K122" s="110"/>
      <c r="L122" s="110"/>
      <c r="M122" s="110"/>
      <c r="N122" s="110"/>
      <c r="P122" s="110"/>
      <c r="Q122" s="110"/>
      <c r="R122" s="110"/>
    </row>
    <row r="123" spans="11:18" ht="15.75" customHeight="1">
      <c r="K123" s="110"/>
      <c r="L123" s="110"/>
      <c r="M123" s="110"/>
      <c r="N123" s="110"/>
      <c r="P123" s="110"/>
      <c r="Q123" s="110"/>
      <c r="R123" s="110"/>
    </row>
    <row r="124" spans="11:18" ht="15.75" customHeight="1">
      <c r="K124" s="110"/>
      <c r="L124" s="110"/>
      <c r="M124" s="110"/>
      <c r="N124" s="110"/>
      <c r="P124" s="110"/>
      <c r="Q124" s="110"/>
      <c r="R124" s="110"/>
    </row>
    <row r="125" spans="11:18" ht="15.75" customHeight="1">
      <c r="K125" s="110"/>
      <c r="L125" s="110"/>
      <c r="M125" s="110"/>
      <c r="N125" s="110"/>
      <c r="P125" s="110"/>
      <c r="Q125" s="110"/>
      <c r="R125" s="110"/>
    </row>
    <row r="126" spans="11:18" ht="15.75" customHeight="1">
      <c r="K126" s="110"/>
      <c r="L126" s="110"/>
      <c r="M126" s="110"/>
      <c r="N126" s="110"/>
      <c r="P126" s="110"/>
      <c r="Q126" s="110"/>
      <c r="R126" s="110"/>
    </row>
    <row r="127" spans="11:18" ht="15.75" customHeight="1">
      <c r="K127" s="110"/>
      <c r="L127" s="110"/>
      <c r="M127" s="110"/>
      <c r="N127" s="110"/>
      <c r="P127" s="110"/>
      <c r="Q127" s="110"/>
      <c r="R127" s="110"/>
    </row>
    <row r="128" spans="11:18" ht="15.75" customHeight="1">
      <c r="K128" s="110"/>
      <c r="L128" s="110"/>
      <c r="M128" s="110"/>
      <c r="N128" s="110"/>
      <c r="P128" s="110"/>
      <c r="Q128" s="110"/>
      <c r="R128" s="110"/>
    </row>
    <row r="129" spans="11:18" ht="15.75" customHeight="1">
      <c r="K129" s="110"/>
      <c r="L129" s="110"/>
      <c r="M129" s="110"/>
      <c r="N129" s="110"/>
      <c r="P129" s="110"/>
      <c r="Q129" s="110"/>
      <c r="R129" s="110"/>
    </row>
    <row r="130" spans="11:18" ht="15.75" customHeight="1">
      <c r="K130" s="110"/>
      <c r="L130" s="110"/>
      <c r="M130" s="110"/>
      <c r="N130" s="110"/>
      <c r="P130" s="110"/>
      <c r="Q130" s="110"/>
      <c r="R130" s="110"/>
    </row>
    <row r="131" spans="11:18" ht="15.75" customHeight="1">
      <c r="K131" s="110"/>
      <c r="L131" s="110"/>
      <c r="M131" s="110"/>
      <c r="N131" s="110"/>
      <c r="P131" s="110"/>
      <c r="Q131" s="110"/>
      <c r="R131" s="110"/>
    </row>
    <row r="132" spans="11:18" ht="15.75" customHeight="1">
      <c r="K132" s="110"/>
      <c r="L132" s="110"/>
      <c r="M132" s="110"/>
      <c r="N132" s="110"/>
      <c r="P132" s="110"/>
      <c r="Q132" s="110"/>
      <c r="R132" s="110"/>
    </row>
    <row r="133" spans="11:18" ht="15.75" customHeight="1">
      <c r="K133" s="110"/>
      <c r="L133" s="110"/>
      <c r="M133" s="110"/>
      <c r="N133" s="110"/>
      <c r="P133" s="110"/>
      <c r="Q133" s="110"/>
      <c r="R133" s="110"/>
    </row>
    <row r="134" spans="11:18" ht="15.75" customHeight="1">
      <c r="K134" s="110"/>
      <c r="L134" s="110"/>
      <c r="M134" s="110"/>
      <c r="N134" s="110"/>
      <c r="P134" s="110"/>
      <c r="Q134" s="110"/>
      <c r="R134" s="110"/>
    </row>
    <row r="135" spans="11:18" ht="15.75" customHeight="1">
      <c r="K135" s="110"/>
      <c r="L135" s="110"/>
      <c r="M135" s="110"/>
      <c r="N135" s="110"/>
      <c r="P135" s="110"/>
      <c r="Q135" s="110"/>
      <c r="R135" s="110"/>
    </row>
    <row r="136" spans="11:18" ht="15.75" customHeight="1">
      <c r="K136" s="110"/>
      <c r="L136" s="110"/>
      <c r="M136" s="110"/>
      <c r="N136" s="110"/>
      <c r="P136" s="110"/>
      <c r="Q136" s="110"/>
      <c r="R136" s="110"/>
    </row>
    <row r="137" spans="11:18" ht="15.75" customHeight="1">
      <c r="K137" s="110"/>
      <c r="L137" s="110"/>
      <c r="M137" s="110"/>
      <c r="N137" s="110"/>
      <c r="P137" s="110"/>
      <c r="Q137" s="110"/>
      <c r="R137" s="110"/>
    </row>
    <row r="138" spans="11:18" ht="15.75" customHeight="1">
      <c r="K138" s="110"/>
      <c r="L138" s="110"/>
      <c r="M138" s="110"/>
      <c r="N138" s="110"/>
      <c r="P138" s="110"/>
      <c r="Q138" s="110"/>
      <c r="R138" s="110"/>
    </row>
    <row r="139" spans="11:18" ht="15.75" customHeight="1">
      <c r="K139" s="110"/>
      <c r="L139" s="110"/>
      <c r="M139" s="110"/>
      <c r="N139" s="110"/>
      <c r="P139" s="110"/>
      <c r="Q139" s="110"/>
      <c r="R139" s="110"/>
    </row>
    <row r="140" spans="11:18" ht="15.75" customHeight="1">
      <c r="K140" s="110"/>
      <c r="L140" s="110"/>
      <c r="M140" s="110"/>
      <c r="N140" s="110"/>
      <c r="P140" s="110"/>
      <c r="Q140" s="110"/>
      <c r="R140" s="110"/>
    </row>
    <row r="141" spans="11:18" ht="15.75" customHeight="1">
      <c r="K141" s="110"/>
      <c r="L141" s="110"/>
      <c r="M141" s="110"/>
      <c r="N141" s="110"/>
      <c r="P141" s="110"/>
      <c r="Q141" s="110"/>
      <c r="R141" s="110"/>
    </row>
    <row r="142" spans="11:18" ht="15.75" customHeight="1">
      <c r="K142" s="110"/>
      <c r="L142" s="110"/>
      <c r="M142" s="110"/>
      <c r="N142" s="110"/>
      <c r="P142" s="110"/>
      <c r="Q142" s="110"/>
      <c r="R142" s="110"/>
    </row>
    <row r="143" spans="11:18" ht="15.75" customHeight="1">
      <c r="K143" s="110"/>
      <c r="L143" s="110"/>
      <c r="M143" s="110"/>
      <c r="N143" s="110"/>
      <c r="P143" s="110"/>
      <c r="Q143" s="110"/>
      <c r="R143" s="110"/>
    </row>
    <row r="144" spans="11:18" ht="15.75" customHeight="1">
      <c r="K144" s="110"/>
      <c r="L144" s="110"/>
      <c r="M144" s="110"/>
      <c r="N144" s="110"/>
      <c r="P144" s="110"/>
      <c r="Q144" s="110"/>
      <c r="R144" s="110"/>
    </row>
    <row r="145" spans="11:18" ht="15.75" customHeight="1">
      <c r="K145" s="110"/>
      <c r="L145" s="110"/>
      <c r="M145" s="110"/>
      <c r="N145" s="110"/>
      <c r="P145" s="110"/>
      <c r="Q145" s="110"/>
      <c r="R145" s="110"/>
    </row>
    <row r="146" spans="11:18" ht="15.75" customHeight="1">
      <c r="K146" s="110"/>
      <c r="L146" s="110"/>
      <c r="M146" s="110"/>
      <c r="N146" s="110"/>
      <c r="P146" s="110"/>
      <c r="Q146" s="110"/>
      <c r="R146" s="110"/>
    </row>
    <row r="147" spans="11:18" ht="15.75" customHeight="1">
      <c r="K147" s="110"/>
      <c r="L147" s="110"/>
      <c r="M147" s="110"/>
      <c r="N147" s="110"/>
      <c r="P147" s="110"/>
      <c r="Q147" s="110"/>
      <c r="R147" s="110"/>
    </row>
    <row r="148" spans="11:18" ht="15.75" customHeight="1">
      <c r="K148" s="110"/>
      <c r="L148" s="110"/>
      <c r="M148" s="110"/>
      <c r="N148" s="110"/>
      <c r="P148" s="110"/>
      <c r="Q148" s="110"/>
      <c r="R148" s="110"/>
    </row>
    <row r="149" spans="11:18" ht="15.75" customHeight="1">
      <c r="K149" s="110"/>
      <c r="L149" s="110"/>
      <c r="M149" s="110"/>
      <c r="N149" s="110"/>
      <c r="P149" s="110"/>
      <c r="Q149" s="110"/>
      <c r="R149" s="110"/>
    </row>
    <row r="150" spans="11:18" ht="15.75" customHeight="1">
      <c r="K150" s="110"/>
      <c r="L150" s="110"/>
      <c r="M150" s="110"/>
      <c r="N150" s="110"/>
      <c r="P150" s="110"/>
      <c r="Q150" s="110"/>
      <c r="R150" s="110"/>
    </row>
    <row r="151" spans="11:18" ht="15.75" customHeight="1">
      <c r="K151" s="110"/>
      <c r="L151" s="110"/>
      <c r="M151" s="110"/>
      <c r="N151" s="110"/>
      <c r="P151" s="110"/>
      <c r="Q151" s="110"/>
      <c r="R151" s="110"/>
    </row>
    <row r="152" spans="11:18" ht="15.75" customHeight="1">
      <c r="K152" s="110"/>
      <c r="L152" s="110"/>
      <c r="M152" s="110"/>
      <c r="N152" s="110"/>
      <c r="P152" s="110"/>
      <c r="Q152" s="110"/>
      <c r="R152" s="110"/>
    </row>
    <row r="153" spans="11:18" ht="15.75" customHeight="1">
      <c r="K153" s="110"/>
      <c r="L153" s="110"/>
      <c r="M153" s="110"/>
      <c r="N153" s="110"/>
      <c r="P153" s="110"/>
      <c r="Q153" s="110"/>
      <c r="R153" s="110"/>
    </row>
    <row r="154" spans="11:18" ht="15.75" customHeight="1">
      <c r="K154" s="110"/>
      <c r="L154" s="110"/>
      <c r="M154" s="110"/>
      <c r="N154" s="110"/>
      <c r="P154" s="110"/>
      <c r="Q154" s="110"/>
      <c r="R154" s="110"/>
    </row>
    <row r="155" spans="11:18" ht="15.75" customHeight="1">
      <c r="K155" s="110"/>
      <c r="L155" s="110"/>
      <c r="M155" s="110"/>
      <c r="N155" s="110"/>
      <c r="P155" s="110"/>
      <c r="Q155" s="110"/>
      <c r="R155" s="110"/>
    </row>
    <row r="156" spans="11:18" ht="15.75" customHeight="1">
      <c r="K156" s="110"/>
      <c r="L156" s="110"/>
      <c r="M156" s="110"/>
      <c r="N156" s="110"/>
      <c r="P156" s="110"/>
      <c r="Q156" s="110"/>
      <c r="R156" s="110"/>
    </row>
    <row r="157" spans="11:18" ht="15.75" customHeight="1">
      <c r="K157" s="110"/>
      <c r="L157" s="110"/>
      <c r="M157" s="110"/>
      <c r="N157" s="110"/>
      <c r="P157" s="110"/>
      <c r="Q157" s="110"/>
      <c r="R157" s="110"/>
    </row>
    <row r="158" spans="11:18" ht="15.75" customHeight="1">
      <c r="K158" s="110"/>
      <c r="L158" s="110"/>
      <c r="M158" s="110"/>
      <c r="N158" s="110"/>
      <c r="P158" s="110"/>
      <c r="Q158" s="110"/>
      <c r="R158" s="110"/>
    </row>
    <row r="159" spans="11:18" ht="15.75" customHeight="1">
      <c r="K159" s="110"/>
      <c r="L159" s="110"/>
      <c r="M159" s="110"/>
      <c r="N159" s="110"/>
      <c r="P159" s="110"/>
      <c r="Q159" s="110"/>
      <c r="R159" s="110"/>
    </row>
    <row r="160" spans="11:18" ht="15.75" customHeight="1">
      <c r="K160" s="110"/>
      <c r="L160" s="110"/>
      <c r="M160" s="110"/>
      <c r="N160" s="110"/>
      <c r="P160" s="110"/>
      <c r="Q160" s="110"/>
      <c r="R160" s="110"/>
    </row>
    <row r="161" spans="11:18" ht="15.75" customHeight="1">
      <c r="K161" s="110"/>
      <c r="L161" s="110"/>
      <c r="M161" s="110"/>
      <c r="N161" s="110"/>
      <c r="P161" s="110"/>
      <c r="Q161" s="110"/>
      <c r="R161" s="110"/>
    </row>
    <row r="162" spans="11:18" ht="15.75" customHeight="1">
      <c r="K162" s="110"/>
      <c r="L162" s="110"/>
      <c r="M162" s="110"/>
      <c r="N162" s="110"/>
      <c r="P162" s="110"/>
      <c r="Q162" s="110"/>
      <c r="R162" s="110"/>
    </row>
    <row r="163" spans="11:18" ht="15.75" customHeight="1">
      <c r="K163" s="110"/>
      <c r="L163" s="110"/>
      <c r="M163" s="110"/>
      <c r="N163" s="110"/>
      <c r="P163" s="110"/>
      <c r="Q163" s="110"/>
      <c r="R163" s="110"/>
    </row>
    <row r="164" spans="11:18" ht="15.75" customHeight="1">
      <c r="K164" s="110"/>
      <c r="L164" s="110"/>
      <c r="M164" s="110"/>
      <c r="N164" s="110"/>
      <c r="P164" s="110"/>
      <c r="Q164" s="110"/>
      <c r="R164" s="110"/>
    </row>
    <row r="165" spans="11:18" ht="15.75" customHeight="1">
      <c r="K165" s="110"/>
      <c r="L165" s="110"/>
      <c r="M165" s="110"/>
      <c r="N165" s="110"/>
      <c r="P165" s="110"/>
      <c r="Q165" s="110"/>
      <c r="R165" s="110"/>
    </row>
    <row r="166" spans="11:18" ht="15.75" customHeight="1">
      <c r="K166" s="110"/>
      <c r="L166" s="110"/>
      <c r="M166" s="110"/>
      <c r="N166" s="110"/>
      <c r="P166" s="110"/>
      <c r="Q166" s="110"/>
      <c r="R166" s="110"/>
    </row>
    <row r="167" spans="11:18" ht="15.75" customHeight="1">
      <c r="K167" s="110"/>
      <c r="L167" s="110"/>
      <c r="M167" s="110"/>
      <c r="N167" s="110"/>
      <c r="P167" s="110"/>
      <c r="Q167" s="110"/>
      <c r="R167" s="110"/>
    </row>
    <row r="168" spans="11:18" ht="15.75" customHeight="1">
      <c r="K168" s="110"/>
      <c r="L168" s="110"/>
      <c r="M168" s="110"/>
      <c r="N168" s="110"/>
      <c r="P168" s="110"/>
      <c r="Q168" s="110"/>
      <c r="R168" s="110"/>
    </row>
    <row r="169" spans="11:18" ht="15.75" customHeight="1">
      <c r="K169" s="110"/>
      <c r="L169" s="110"/>
      <c r="M169" s="110"/>
      <c r="N169" s="110"/>
      <c r="P169" s="110"/>
      <c r="Q169" s="110"/>
      <c r="R169" s="110"/>
    </row>
    <row r="170" spans="11:18" ht="15.75" customHeight="1">
      <c r="K170" s="110"/>
      <c r="L170" s="110"/>
      <c r="M170" s="110"/>
      <c r="N170" s="110"/>
      <c r="P170" s="110"/>
      <c r="Q170" s="110"/>
      <c r="R170" s="110"/>
    </row>
    <row r="171" spans="11:18" ht="15.75" customHeight="1">
      <c r="K171" s="110"/>
      <c r="L171" s="110"/>
      <c r="M171" s="110"/>
      <c r="N171" s="110"/>
      <c r="P171" s="110"/>
      <c r="Q171" s="110"/>
      <c r="R171" s="110"/>
    </row>
    <row r="172" spans="11:18" ht="15.75" customHeight="1">
      <c r="K172" s="110"/>
      <c r="L172" s="110"/>
      <c r="M172" s="110"/>
      <c r="N172" s="110"/>
      <c r="P172" s="110"/>
      <c r="Q172" s="110"/>
      <c r="R172" s="110"/>
    </row>
    <row r="173" spans="11:18" ht="15.75" customHeight="1">
      <c r="K173" s="110"/>
      <c r="L173" s="110"/>
      <c r="M173" s="110"/>
      <c r="N173" s="110"/>
      <c r="P173" s="110"/>
      <c r="Q173" s="110"/>
      <c r="R173" s="110"/>
    </row>
    <row r="174" spans="11:18" ht="15.75" customHeight="1">
      <c r="K174" s="110"/>
      <c r="L174" s="110"/>
      <c r="M174" s="110"/>
      <c r="N174" s="110"/>
      <c r="P174" s="110"/>
      <c r="Q174" s="110"/>
      <c r="R174" s="110"/>
    </row>
    <row r="175" spans="11:18" ht="15.75" customHeight="1">
      <c r="K175" s="110"/>
      <c r="L175" s="110"/>
      <c r="M175" s="110"/>
      <c r="N175" s="110"/>
      <c r="P175" s="110"/>
      <c r="Q175" s="110"/>
      <c r="R175" s="110"/>
    </row>
    <row r="176" spans="11:18" ht="15.75" customHeight="1">
      <c r="K176" s="110"/>
      <c r="L176" s="110"/>
      <c r="M176" s="110"/>
      <c r="N176" s="110"/>
      <c r="P176" s="110"/>
      <c r="Q176" s="110"/>
      <c r="R176" s="110"/>
    </row>
    <row r="177" spans="11:18" ht="15.75" customHeight="1">
      <c r="K177" s="110"/>
      <c r="L177" s="110"/>
      <c r="M177" s="110"/>
      <c r="N177" s="110"/>
      <c r="P177" s="110"/>
      <c r="Q177" s="110"/>
      <c r="R177" s="110"/>
    </row>
    <row r="178" spans="11:18" ht="15.75" customHeight="1">
      <c r="K178" s="110"/>
      <c r="L178" s="110"/>
      <c r="M178" s="110"/>
      <c r="N178" s="110"/>
      <c r="P178" s="110"/>
      <c r="Q178" s="110"/>
      <c r="R178" s="110"/>
    </row>
    <row r="179" spans="11:18" ht="15.75" customHeight="1">
      <c r="K179" s="110"/>
      <c r="L179" s="110"/>
      <c r="M179" s="110"/>
      <c r="N179" s="110"/>
      <c r="P179" s="110"/>
      <c r="Q179" s="110"/>
      <c r="R179" s="110"/>
    </row>
    <row r="180" spans="11:18" ht="15.75" customHeight="1">
      <c r="K180" s="110"/>
      <c r="L180" s="110"/>
      <c r="M180" s="110"/>
      <c r="N180" s="110"/>
      <c r="P180" s="110"/>
      <c r="Q180" s="110"/>
      <c r="R180" s="110"/>
    </row>
    <row r="181" spans="11:18" ht="15.75" customHeight="1">
      <c r="K181" s="110"/>
      <c r="L181" s="110"/>
      <c r="M181" s="110"/>
      <c r="N181" s="110"/>
      <c r="P181" s="110"/>
      <c r="Q181" s="110"/>
      <c r="R181" s="110"/>
    </row>
    <row r="182" spans="11:18" ht="15.75" customHeight="1">
      <c r="K182" s="110"/>
      <c r="L182" s="110"/>
      <c r="M182" s="110"/>
      <c r="N182" s="110"/>
      <c r="P182" s="110"/>
      <c r="Q182" s="110"/>
      <c r="R182" s="110"/>
    </row>
    <row r="183" spans="11:18" ht="15.75" customHeight="1">
      <c r="K183" s="110"/>
      <c r="L183" s="110"/>
      <c r="M183" s="110"/>
      <c r="N183" s="110"/>
      <c r="P183" s="110"/>
      <c r="Q183" s="110"/>
      <c r="R183" s="110"/>
    </row>
    <row r="184" spans="11:18" ht="15.75" customHeight="1">
      <c r="K184" s="110"/>
      <c r="L184" s="110"/>
      <c r="M184" s="110"/>
      <c r="N184" s="110"/>
      <c r="P184" s="110"/>
      <c r="Q184" s="110"/>
      <c r="R184" s="110"/>
    </row>
    <row r="185" spans="11:18" ht="15.75" customHeight="1">
      <c r="K185" s="110"/>
      <c r="L185" s="110"/>
      <c r="M185" s="110"/>
      <c r="N185" s="110"/>
      <c r="P185" s="110"/>
      <c r="Q185" s="110"/>
      <c r="R185" s="110"/>
    </row>
    <row r="186" spans="11:18" ht="15.75" customHeight="1">
      <c r="K186" s="110"/>
      <c r="L186" s="110"/>
      <c r="M186" s="110"/>
      <c r="N186" s="110"/>
      <c r="P186" s="110"/>
      <c r="Q186" s="110"/>
      <c r="R186" s="110"/>
    </row>
    <row r="187" spans="11:18" ht="15.75" customHeight="1">
      <c r="K187" s="110"/>
      <c r="L187" s="110"/>
      <c r="M187" s="110"/>
      <c r="N187" s="110"/>
      <c r="P187" s="110"/>
      <c r="Q187" s="110"/>
      <c r="R187" s="110"/>
    </row>
    <row r="188" spans="11:18" ht="15.75" customHeight="1">
      <c r="K188" s="110"/>
      <c r="L188" s="110"/>
      <c r="M188" s="110"/>
      <c r="N188" s="110"/>
      <c r="P188" s="110"/>
      <c r="Q188" s="110"/>
      <c r="R188" s="110"/>
    </row>
    <row r="189" spans="11:18" ht="15.75" customHeight="1">
      <c r="K189" s="110"/>
      <c r="L189" s="110"/>
      <c r="M189" s="110"/>
      <c r="N189" s="110"/>
      <c r="P189" s="110"/>
      <c r="Q189" s="110"/>
      <c r="R189" s="110"/>
    </row>
    <row r="190" spans="11:18" ht="15.75" customHeight="1">
      <c r="K190" s="110"/>
      <c r="L190" s="110"/>
      <c r="M190" s="110"/>
      <c r="N190" s="110"/>
      <c r="P190" s="110"/>
      <c r="Q190" s="110"/>
      <c r="R190" s="110"/>
    </row>
    <row r="191" spans="11:18" ht="15.75" customHeight="1">
      <c r="K191" s="110"/>
      <c r="L191" s="110"/>
      <c r="M191" s="110"/>
      <c r="N191" s="110"/>
      <c r="P191" s="110"/>
      <c r="Q191" s="110"/>
      <c r="R191" s="110"/>
    </row>
    <row r="192" spans="11:18" ht="15.75" customHeight="1">
      <c r="K192" s="110"/>
      <c r="L192" s="110"/>
      <c r="M192" s="110"/>
      <c r="N192" s="110"/>
      <c r="P192" s="110"/>
      <c r="Q192" s="110"/>
      <c r="R192" s="110"/>
    </row>
    <row r="193" spans="11:18" ht="15.75" customHeight="1">
      <c r="K193" s="110"/>
      <c r="L193" s="110"/>
      <c r="M193" s="110"/>
      <c r="N193" s="110"/>
      <c r="P193" s="110"/>
      <c r="Q193" s="110"/>
      <c r="R193" s="110"/>
    </row>
    <row r="194" spans="11:18" ht="15.75" customHeight="1">
      <c r="K194" s="110"/>
      <c r="L194" s="110"/>
      <c r="M194" s="110"/>
      <c r="N194" s="110"/>
      <c r="P194" s="110"/>
      <c r="Q194" s="110"/>
      <c r="R194" s="110"/>
    </row>
    <row r="195" spans="11:18" ht="15.75" customHeight="1">
      <c r="K195" s="110"/>
      <c r="L195" s="110"/>
      <c r="M195" s="110"/>
      <c r="N195" s="110"/>
      <c r="P195" s="110"/>
      <c r="Q195" s="110"/>
      <c r="R195" s="110"/>
    </row>
    <row r="196" spans="11:18" ht="15.75" customHeight="1">
      <c r="K196" s="110"/>
      <c r="L196" s="110"/>
      <c r="M196" s="110"/>
      <c r="N196" s="110"/>
      <c r="P196" s="110"/>
      <c r="Q196" s="110"/>
      <c r="R196" s="110"/>
    </row>
    <row r="197" spans="11:18" ht="15.75" customHeight="1">
      <c r="K197" s="110"/>
      <c r="L197" s="110"/>
      <c r="M197" s="110"/>
      <c r="N197" s="110"/>
      <c r="P197" s="110"/>
      <c r="Q197" s="110"/>
      <c r="R197" s="110"/>
    </row>
    <row r="198" spans="11:18" ht="15.75" customHeight="1">
      <c r="K198" s="110"/>
      <c r="L198" s="110"/>
      <c r="M198" s="110"/>
      <c r="N198" s="110"/>
      <c r="P198" s="110"/>
      <c r="Q198" s="110"/>
      <c r="R198" s="110"/>
    </row>
    <row r="199" spans="11:18" ht="15.75" customHeight="1">
      <c r="K199" s="110"/>
      <c r="L199" s="110"/>
      <c r="M199" s="110"/>
      <c r="N199" s="110"/>
      <c r="P199" s="110"/>
      <c r="Q199" s="110"/>
      <c r="R199" s="110"/>
    </row>
    <row r="200" spans="11:18" ht="15.75" customHeight="1">
      <c r="K200" s="110"/>
      <c r="L200" s="110"/>
      <c r="M200" s="110"/>
      <c r="N200" s="110"/>
      <c r="P200" s="110"/>
      <c r="Q200" s="110"/>
      <c r="R200" s="110"/>
    </row>
    <row r="201" spans="11:18" ht="15.75" customHeight="1">
      <c r="K201" s="110"/>
      <c r="L201" s="110"/>
      <c r="M201" s="110"/>
      <c r="N201" s="110"/>
      <c r="P201" s="110"/>
      <c r="Q201" s="110"/>
      <c r="R201" s="110"/>
    </row>
    <row r="202" spans="11:18" ht="15.75" customHeight="1">
      <c r="K202" s="110"/>
      <c r="L202" s="110"/>
      <c r="M202" s="110"/>
      <c r="N202" s="110"/>
      <c r="P202" s="110"/>
      <c r="Q202" s="110"/>
      <c r="R202" s="110"/>
    </row>
    <row r="203" spans="11:18" ht="15.75" customHeight="1">
      <c r="K203" s="110"/>
      <c r="L203" s="110"/>
      <c r="M203" s="110"/>
      <c r="N203" s="110"/>
      <c r="P203" s="110"/>
      <c r="Q203" s="110"/>
      <c r="R203" s="110"/>
    </row>
    <row r="204" spans="11:18" ht="15.75" customHeight="1">
      <c r="K204" s="110"/>
      <c r="L204" s="110"/>
      <c r="M204" s="110"/>
      <c r="N204" s="110"/>
      <c r="P204" s="110"/>
      <c r="Q204" s="110"/>
      <c r="R204" s="110"/>
    </row>
    <row r="205" spans="11:18" ht="15.75" customHeight="1">
      <c r="K205" s="110"/>
      <c r="L205" s="110"/>
      <c r="M205" s="110"/>
      <c r="N205" s="110"/>
      <c r="P205" s="110"/>
      <c r="Q205" s="110"/>
      <c r="R205" s="110"/>
    </row>
    <row r="206" spans="11:18" ht="15.75" customHeight="1">
      <c r="K206" s="110"/>
      <c r="L206" s="110"/>
      <c r="M206" s="110"/>
      <c r="N206" s="110"/>
      <c r="P206" s="110"/>
      <c r="Q206" s="110"/>
      <c r="R206" s="110"/>
    </row>
    <row r="207" spans="11:18" ht="15.75" customHeight="1">
      <c r="K207" s="110"/>
      <c r="L207" s="110"/>
      <c r="M207" s="110"/>
      <c r="N207" s="110"/>
      <c r="P207" s="110"/>
      <c r="Q207" s="110"/>
      <c r="R207" s="110"/>
    </row>
    <row r="208" spans="11:18" ht="15.75" customHeight="1">
      <c r="K208" s="110"/>
      <c r="L208" s="110"/>
      <c r="M208" s="110"/>
      <c r="N208" s="110"/>
      <c r="P208" s="110"/>
      <c r="Q208" s="110"/>
      <c r="R208" s="110"/>
    </row>
    <row r="209" spans="11:18" ht="15.75" customHeight="1">
      <c r="K209" s="110"/>
      <c r="L209" s="110"/>
      <c r="M209" s="110"/>
      <c r="N209" s="110"/>
      <c r="P209" s="110"/>
      <c r="Q209" s="110"/>
      <c r="R209" s="110"/>
    </row>
    <row r="210" spans="11:18" ht="15.75" customHeight="1">
      <c r="K210" s="110"/>
      <c r="L210" s="110"/>
      <c r="M210" s="110"/>
      <c r="N210" s="110"/>
      <c r="P210" s="110"/>
      <c r="Q210" s="110"/>
      <c r="R210" s="110"/>
    </row>
    <row r="211" spans="11:18" ht="15.75" customHeight="1">
      <c r="K211" s="110"/>
      <c r="L211" s="110"/>
      <c r="M211" s="110"/>
      <c r="N211" s="110"/>
      <c r="P211" s="110"/>
      <c r="Q211" s="110"/>
      <c r="R211" s="110"/>
    </row>
    <row r="212" spans="11:18" ht="15.75" customHeight="1">
      <c r="K212" s="110"/>
      <c r="L212" s="110"/>
      <c r="M212" s="110"/>
      <c r="N212" s="110"/>
      <c r="P212" s="110"/>
      <c r="Q212" s="110"/>
      <c r="R212" s="110"/>
    </row>
    <row r="213" spans="11:18" ht="15.75" customHeight="1">
      <c r="K213" s="110"/>
      <c r="L213" s="110"/>
      <c r="M213" s="110"/>
      <c r="N213" s="110"/>
      <c r="P213" s="110"/>
      <c r="Q213" s="110"/>
      <c r="R213" s="110"/>
    </row>
    <row r="214" spans="11:18" ht="15.75" customHeight="1">
      <c r="K214" s="110"/>
      <c r="L214" s="110"/>
      <c r="M214" s="110"/>
      <c r="N214" s="110"/>
      <c r="P214" s="110"/>
      <c r="Q214" s="110"/>
      <c r="R214" s="110"/>
    </row>
    <row r="215" spans="11:18" ht="15.75" customHeight="1">
      <c r="K215" s="110"/>
      <c r="L215" s="110"/>
      <c r="M215" s="110"/>
      <c r="N215" s="110"/>
      <c r="P215" s="110"/>
      <c r="Q215" s="110"/>
      <c r="R215" s="110"/>
    </row>
    <row r="216" spans="11:18" ht="15.75" customHeight="1">
      <c r="K216" s="110"/>
      <c r="L216" s="110"/>
      <c r="M216" s="110"/>
      <c r="N216" s="110"/>
      <c r="P216" s="110"/>
      <c r="Q216" s="110"/>
      <c r="R216" s="110"/>
    </row>
    <row r="217" spans="11:18" ht="15.75" customHeight="1">
      <c r="K217" s="110"/>
      <c r="L217" s="110"/>
      <c r="M217" s="110"/>
      <c r="N217" s="110"/>
      <c r="P217" s="110"/>
      <c r="Q217" s="110"/>
      <c r="R217" s="110"/>
    </row>
    <row r="218" spans="11:18" ht="15.75" customHeight="1">
      <c r="K218" s="110"/>
      <c r="L218" s="110"/>
      <c r="M218" s="110"/>
      <c r="N218" s="110"/>
      <c r="P218" s="110"/>
      <c r="Q218" s="110"/>
      <c r="R218" s="110"/>
    </row>
    <row r="219" spans="11:18" ht="15.75" customHeight="1">
      <c r="K219" s="110"/>
      <c r="L219" s="110"/>
      <c r="M219" s="110"/>
      <c r="N219" s="110"/>
      <c r="P219" s="110"/>
      <c r="Q219" s="110"/>
      <c r="R219" s="110"/>
    </row>
    <row r="220" spans="11:18" ht="15.75" customHeight="1">
      <c r="K220" s="110"/>
      <c r="L220" s="110"/>
      <c r="M220" s="110"/>
      <c r="N220" s="110"/>
      <c r="P220" s="110"/>
      <c r="Q220" s="110"/>
      <c r="R220" s="110"/>
    </row>
    <row r="221" spans="11:18" ht="15.75" customHeight="1">
      <c r="K221" s="110"/>
      <c r="L221" s="110"/>
      <c r="M221" s="110"/>
      <c r="N221" s="110"/>
      <c r="P221" s="110"/>
      <c r="Q221" s="110"/>
      <c r="R221" s="110"/>
    </row>
    <row r="222" spans="11:18" ht="15.75" customHeight="1">
      <c r="K222" s="110"/>
      <c r="L222" s="110"/>
      <c r="M222" s="110"/>
      <c r="N222" s="110"/>
      <c r="P222" s="110"/>
      <c r="Q222" s="110"/>
      <c r="R222" s="110"/>
    </row>
    <row r="223" spans="11:18" ht="15.75" customHeight="1">
      <c r="K223" s="110"/>
      <c r="L223" s="110"/>
      <c r="M223" s="110"/>
      <c r="N223" s="110"/>
      <c r="P223" s="110"/>
      <c r="Q223" s="110"/>
      <c r="R223" s="110"/>
    </row>
    <row r="224" spans="11:18" ht="15.75" customHeight="1">
      <c r="K224" s="110"/>
      <c r="L224" s="110"/>
      <c r="M224" s="110"/>
      <c r="N224" s="110"/>
      <c r="P224" s="110"/>
      <c r="Q224" s="110"/>
      <c r="R224" s="110"/>
    </row>
    <row r="225" spans="11:18" ht="15.75" customHeight="1">
      <c r="K225" s="110"/>
      <c r="L225" s="110"/>
      <c r="M225" s="110"/>
      <c r="N225" s="110"/>
      <c r="P225" s="110"/>
      <c r="Q225" s="110"/>
      <c r="R225" s="110"/>
    </row>
    <row r="226" spans="11:18" ht="15.75" customHeight="1">
      <c r="K226" s="110"/>
      <c r="L226" s="110"/>
      <c r="M226" s="110"/>
      <c r="N226" s="110"/>
      <c r="P226" s="110"/>
      <c r="Q226" s="110"/>
      <c r="R226" s="110"/>
    </row>
    <row r="227" spans="11:18" ht="15.75" customHeight="1">
      <c r="K227" s="110"/>
      <c r="L227" s="110"/>
      <c r="M227" s="110"/>
      <c r="N227" s="110"/>
      <c r="P227" s="110"/>
      <c r="Q227" s="110"/>
      <c r="R227" s="110"/>
    </row>
    <row r="228" spans="11:18" ht="15.75" customHeight="1">
      <c r="K228" s="110"/>
      <c r="L228" s="110"/>
      <c r="M228" s="110"/>
      <c r="N228" s="110"/>
      <c r="P228" s="110"/>
      <c r="Q228" s="110"/>
      <c r="R228" s="110"/>
    </row>
    <row r="229" spans="11:18" ht="15.75" customHeight="1">
      <c r="K229" s="110"/>
      <c r="L229" s="110"/>
      <c r="M229" s="110"/>
      <c r="N229" s="110"/>
      <c r="P229" s="110"/>
      <c r="Q229" s="110"/>
      <c r="R229" s="110"/>
    </row>
    <row r="230" spans="11:18" ht="15.75" customHeight="1">
      <c r="K230" s="110"/>
      <c r="L230" s="110"/>
      <c r="M230" s="110"/>
      <c r="N230" s="110"/>
      <c r="P230" s="110"/>
      <c r="Q230" s="110"/>
      <c r="R230" s="110"/>
    </row>
    <row r="231" spans="11:18" ht="15.75" customHeight="1">
      <c r="K231" s="110"/>
      <c r="L231" s="110"/>
      <c r="M231" s="110"/>
      <c r="N231" s="110"/>
      <c r="P231" s="110"/>
      <c r="Q231" s="110"/>
      <c r="R231" s="110"/>
    </row>
    <row r="232" spans="11:18" ht="15.75" customHeight="1">
      <c r="K232" s="110"/>
      <c r="L232" s="110"/>
      <c r="M232" s="110"/>
      <c r="N232" s="110"/>
      <c r="P232" s="110"/>
      <c r="Q232" s="110"/>
      <c r="R232" s="110"/>
    </row>
    <row r="233" spans="11:18" ht="15.75" customHeight="1">
      <c r="K233" s="110"/>
      <c r="L233" s="110"/>
      <c r="M233" s="110"/>
      <c r="N233" s="110"/>
      <c r="P233" s="110"/>
      <c r="Q233" s="110"/>
      <c r="R233" s="110"/>
    </row>
    <row r="234" spans="11:18" ht="15.75" customHeight="1">
      <c r="K234" s="110"/>
      <c r="L234" s="110"/>
      <c r="M234" s="110"/>
      <c r="N234" s="110"/>
      <c r="P234" s="110"/>
      <c r="Q234" s="110"/>
      <c r="R234" s="110"/>
    </row>
    <row r="235" spans="11:18" ht="15.75" customHeight="1">
      <c r="K235" s="110"/>
      <c r="L235" s="110"/>
      <c r="M235" s="110"/>
      <c r="N235" s="110"/>
      <c r="P235" s="110"/>
      <c r="Q235" s="110"/>
      <c r="R235" s="110"/>
    </row>
    <row r="236" spans="11:18" ht="15.75" customHeight="1">
      <c r="K236" s="110"/>
      <c r="L236" s="110"/>
      <c r="M236" s="110"/>
      <c r="N236" s="110"/>
      <c r="P236" s="110"/>
      <c r="Q236" s="110"/>
      <c r="R236" s="110"/>
    </row>
    <row r="237" spans="11:18" ht="15.75" customHeight="1">
      <c r="K237" s="110"/>
      <c r="L237" s="110"/>
      <c r="M237" s="110"/>
      <c r="N237" s="110"/>
      <c r="P237" s="110"/>
      <c r="Q237" s="110"/>
      <c r="R237" s="110"/>
    </row>
    <row r="238" spans="11:18" ht="15.75" customHeight="1">
      <c r="K238" s="110"/>
      <c r="L238" s="110"/>
      <c r="M238" s="110"/>
      <c r="N238" s="110"/>
      <c r="P238" s="110"/>
      <c r="Q238" s="110"/>
      <c r="R238" s="110"/>
    </row>
    <row r="239" spans="11:18" ht="15.75" customHeight="1">
      <c r="K239" s="110"/>
      <c r="L239" s="110"/>
      <c r="M239" s="110"/>
      <c r="N239" s="110"/>
      <c r="P239" s="110"/>
      <c r="Q239" s="110"/>
      <c r="R239" s="110"/>
    </row>
    <row r="240" spans="11:18" ht="15.75" customHeight="1">
      <c r="K240" s="110"/>
      <c r="L240" s="110"/>
      <c r="M240" s="110"/>
      <c r="N240" s="110"/>
      <c r="P240" s="110"/>
      <c r="Q240" s="110"/>
      <c r="R240" s="110"/>
    </row>
    <row r="241" spans="11:18" ht="15.75" customHeight="1">
      <c r="K241" s="110"/>
      <c r="L241" s="110"/>
      <c r="M241" s="110"/>
      <c r="N241" s="110"/>
      <c r="P241" s="110"/>
      <c r="Q241" s="110"/>
      <c r="R241" s="110"/>
    </row>
    <row r="242" spans="11:18" ht="15.75" customHeight="1">
      <c r="K242" s="110"/>
      <c r="L242" s="110"/>
      <c r="M242" s="110"/>
      <c r="N242" s="110"/>
      <c r="P242" s="110"/>
      <c r="Q242" s="110"/>
      <c r="R242" s="110"/>
    </row>
    <row r="243" spans="11:18" ht="15.75" customHeight="1">
      <c r="K243" s="110"/>
      <c r="L243" s="110"/>
      <c r="M243" s="110"/>
      <c r="N243" s="110"/>
      <c r="P243" s="110"/>
      <c r="Q243" s="110"/>
      <c r="R243" s="110"/>
    </row>
    <row r="244" spans="11:18" ht="15.75" customHeight="1">
      <c r="K244" s="110"/>
      <c r="L244" s="110"/>
      <c r="M244" s="110"/>
      <c r="N244" s="110"/>
      <c r="P244" s="110"/>
      <c r="Q244" s="110"/>
      <c r="R244" s="110"/>
    </row>
    <row r="245" spans="11:18" ht="15.75" customHeight="1">
      <c r="K245" s="110"/>
      <c r="L245" s="110"/>
      <c r="M245" s="110"/>
      <c r="N245" s="110"/>
      <c r="P245" s="110"/>
      <c r="Q245" s="110"/>
      <c r="R245" s="110"/>
    </row>
    <row r="246" spans="11:18" ht="15.75" customHeight="1">
      <c r="K246" s="110"/>
      <c r="L246" s="110"/>
      <c r="M246" s="110"/>
      <c r="N246" s="110"/>
      <c r="P246" s="110"/>
      <c r="Q246" s="110"/>
      <c r="R246" s="110"/>
    </row>
    <row r="247" spans="11:18" ht="15.75" customHeight="1">
      <c r="K247" s="110"/>
      <c r="L247" s="110"/>
      <c r="M247" s="110"/>
      <c r="N247" s="110"/>
      <c r="P247" s="110"/>
      <c r="Q247" s="110"/>
      <c r="R247" s="110"/>
    </row>
    <row r="248" spans="11:18" ht="15.75" customHeight="1">
      <c r="K248" s="110"/>
      <c r="L248" s="110"/>
      <c r="M248" s="110"/>
      <c r="N248" s="110"/>
      <c r="P248" s="110"/>
      <c r="Q248" s="110"/>
      <c r="R248" s="110"/>
    </row>
    <row r="249" spans="11:18" ht="15.75" customHeight="1">
      <c r="K249" s="110"/>
      <c r="L249" s="110"/>
      <c r="M249" s="110"/>
      <c r="N249" s="110"/>
      <c r="P249" s="110"/>
      <c r="Q249" s="110"/>
      <c r="R249" s="110"/>
    </row>
    <row r="250" spans="11:18" ht="15.75" customHeight="1">
      <c r="K250" s="110"/>
      <c r="L250" s="110"/>
      <c r="M250" s="110"/>
      <c r="N250" s="110"/>
      <c r="P250" s="110"/>
      <c r="Q250" s="110"/>
      <c r="R250" s="110"/>
    </row>
    <row r="251" spans="11:18" ht="15.75" customHeight="1">
      <c r="K251" s="110"/>
      <c r="L251" s="110"/>
      <c r="M251" s="110"/>
      <c r="N251" s="110"/>
      <c r="P251" s="110"/>
      <c r="Q251" s="110"/>
      <c r="R251" s="110"/>
    </row>
    <row r="252" spans="11:18" ht="15.75" customHeight="1">
      <c r="K252" s="110"/>
      <c r="L252" s="110"/>
      <c r="M252" s="110"/>
      <c r="N252" s="110"/>
      <c r="P252" s="110"/>
      <c r="Q252" s="110"/>
      <c r="R252" s="110"/>
    </row>
    <row r="253" spans="11:18" ht="15.75" customHeight="1">
      <c r="K253" s="110"/>
      <c r="L253" s="110"/>
      <c r="M253" s="110"/>
      <c r="N253" s="110"/>
      <c r="P253" s="110"/>
      <c r="Q253" s="110"/>
      <c r="R253" s="110"/>
    </row>
    <row r="254" spans="11:18" ht="15.75" customHeight="1">
      <c r="K254" s="110"/>
      <c r="L254" s="110"/>
      <c r="M254" s="110"/>
      <c r="N254" s="110"/>
      <c r="P254" s="110"/>
      <c r="Q254" s="110"/>
      <c r="R254" s="110"/>
    </row>
    <row r="255" spans="11:18" ht="15.75" customHeight="1">
      <c r="K255" s="110"/>
      <c r="L255" s="110"/>
      <c r="M255" s="110"/>
      <c r="N255" s="110"/>
      <c r="P255" s="110"/>
      <c r="Q255" s="110"/>
      <c r="R255" s="110"/>
    </row>
    <row r="256" spans="11:18" ht="15.75" customHeight="1">
      <c r="K256" s="110"/>
      <c r="L256" s="110"/>
      <c r="M256" s="110"/>
      <c r="N256" s="110"/>
      <c r="P256" s="110"/>
      <c r="Q256" s="110"/>
      <c r="R256" s="110"/>
    </row>
    <row r="257" spans="11:18" ht="15.75" customHeight="1">
      <c r="K257" s="110"/>
      <c r="L257" s="110"/>
      <c r="M257" s="110"/>
      <c r="N257" s="110"/>
      <c r="P257" s="110"/>
      <c r="Q257" s="110"/>
      <c r="R257" s="110"/>
    </row>
    <row r="258" spans="11:18" ht="15.75" customHeight="1">
      <c r="K258" s="110"/>
      <c r="L258" s="110"/>
      <c r="M258" s="110"/>
      <c r="N258" s="110"/>
      <c r="P258" s="110"/>
      <c r="Q258" s="110"/>
      <c r="R258" s="110"/>
    </row>
    <row r="259" spans="11:18" ht="15.75" customHeight="1">
      <c r="K259" s="110"/>
      <c r="L259" s="110"/>
      <c r="M259" s="110"/>
      <c r="N259" s="110"/>
      <c r="P259" s="110"/>
      <c r="Q259" s="110"/>
      <c r="R259" s="110"/>
    </row>
    <row r="260" spans="11:18" ht="15.75" customHeight="1">
      <c r="K260" s="110"/>
      <c r="L260" s="110"/>
      <c r="M260" s="110"/>
      <c r="N260" s="110"/>
      <c r="P260" s="110"/>
      <c r="Q260" s="110"/>
      <c r="R260" s="110"/>
    </row>
    <row r="261" spans="11:18" ht="15.75" customHeight="1">
      <c r="K261" s="110"/>
      <c r="L261" s="110"/>
      <c r="M261" s="110"/>
      <c r="N261" s="110"/>
      <c r="P261" s="110"/>
      <c r="Q261" s="110"/>
      <c r="R261" s="110"/>
    </row>
    <row r="262" spans="11:18" ht="15.75" customHeight="1">
      <c r="K262" s="110"/>
      <c r="L262" s="110"/>
      <c r="M262" s="110"/>
      <c r="N262" s="110"/>
      <c r="P262" s="110"/>
      <c r="Q262" s="110"/>
      <c r="R262" s="110"/>
    </row>
    <row r="263" spans="11:18" ht="15.75" customHeight="1">
      <c r="K263" s="110"/>
      <c r="L263" s="110"/>
      <c r="M263" s="110"/>
      <c r="N263" s="110"/>
      <c r="P263" s="110"/>
      <c r="Q263" s="110"/>
      <c r="R263" s="110"/>
    </row>
    <row r="264" spans="11:18" ht="15.75" customHeight="1">
      <c r="K264" s="110"/>
      <c r="L264" s="110"/>
      <c r="M264" s="110"/>
      <c r="N264" s="110"/>
      <c r="P264" s="110"/>
      <c r="Q264" s="110"/>
      <c r="R264" s="110"/>
    </row>
    <row r="265" spans="11:18" ht="15.75" customHeight="1">
      <c r="K265" s="110"/>
      <c r="L265" s="110"/>
      <c r="M265" s="110"/>
      <c r="N265" s="110"/>
      <c r="P265" s="110"/>
      <c r="Q265" s="110"/>
      <c r="R265" s="110"/>
    </row>
    <row r="266" spans="11:18" ht="15.75" customHeight="1">
      <c r="K266" s="110"/>
      <c r="L266" s="110"/>
      <c r="M266" s="110"/>
      <c r="N266" s="110"/>
      <c r="P266" s="110"/>
      <c r="Q266" s="110"/>
      <c r="R266" s="110"/>
    </row>
    <row r="267" spans="11:18" ht="15.75" customHeight="1">
      <c r="K267" s="110"/>
      <c r="L267" s="110"/>
      <c r="M267" s="110"/>
      <c r="N267" s="110"/>
      <c r="P267" s="110"/>
      <c r="Q267" s="110"/>
      <c r="R267" s="110"/>
    </row>
    <row r="268" spans="11:18" ht="15.75" customHeight="1">
      <c r="K268" s="110"/>
      <c r="L268" s="110"/>
      <c r="M268" s="110"/>
      <c r="N268" s="110"/>
      <c r="P268" s="110"/>
      <c r="Q268" s="110"/>
      <c r="R268" s="110"/>
    </row>
    <row r="269" spans="11:18" ht="15.75" customHeight="1">
      <c r="K269" s="110"/>
      <c r="L269" s="110"/>
      <c r="M269" s="110"/>
      <c r="N269" s="110"/>
      <c r="P269" s="110"/>
      <c r="Q269" s="110"/>
      <c r="R269" s="110"/>
    </row>
    <row r="270" spans="11:18" ht="15.75" customHeight="1">
      <c r="K270" s="110"/>
      <c r="L270" s="110"/>
      <c r="M270" s="110"/>
      <c r="N270" s="110"/>
      <c r="P270" s="110"/>
      <c r="Q270" s="110"/>
      <c r="R270" s="110"/>
    </row>
    <row r="271" spans="11:18" ht="15.75" customHeight="1">
      <c r="K271" s="110"/>
      <c r="L271" s="110"/>
      <c r="M271" s="110"/>
      <c r="N271" s="110"/>
      <c r="P271" s="110"/>
      <c r="Q271" s="110"/>
      <c r="R271" s="110"/>
    </row>
    <row r="272" spans="11:18" ht="15.75" customHeight="1">
      <c r="K272" s="110"/>
      <c r="L272" s="110"/>
      <c r="M272" s="110"/>
      <c r="N272" s="110"/>
      <c r="P272" s="110"/>
      <c r="Q272" s="110"/>
      <c r="R272" s="110"/>
    </row>
    <row r="273" spans="11:18" ht="15.75" customHeight="1">
      <c r="K273" s="110"/>
      <c r="L273" s="110"/>
      <c r="M273" s="110"/>
      <c r="N273" s="110"/>
      <c r="P273" s="110"/>
      <c r="Q273" s="110"/>
      <c r="R273" s="110"/>
    </row>
    <row r="274" spans="11:18" ht="15.75" customHeight="1">
      <c r="K274" s="110"/>
      <c r="L274" s="110"/>
      <c r="M274" s="110"/>
      <c r="N274" s="110"/>
      <c r="P274" s="110"/>
      <c r="Q274" s="110"/>
      <c r="R274" s="110"/>
    </row>
    <row r="275" spans="11:18" ht="15.75" customHeight="1">
      <c r="K275" s="110"/>
      <c r="L275" s="110"/>
      <c r="M275" s="110"/>
      <c r="N275" s="110"/>
      <c r="P275" s="110"/>
      <c r="Q275" s="110"/>
      <c r="R275" s="110"/>
    </row>
    <row r="276" spans="11:18" ht="15.75" customHeight="1">
      <c r="K276" s="110"/>
      <c r="L276" s="110"/>
      <c r="M276" s="110"/>
      <c r="N276" s="110"/>
      <c r="P276" s="110"/>
      <c r="Q276" s="110"/>
      <c r="R276" s="110"/>
    </row>
    <row r="277" spans="11:18" ht="15.75" customHeight="1">
      <c r="K277" s="110"/>
      <c r="L277" s="110"/>
      <c r="M277" s="110"/>
      <c r="N277" s="110"/>
      <c r="P277" s="110"/>
      <c r="Q277" s="110"/>
      <c r="R277" s="110"/>
    </row>
    <row r="278" spans="11:18" ht="15.75" customHeight="1">
      <c r="K278" s="110"/>
      <c r="L278" s="110"/>
      <c r="M278" s="110"/>
      <c r="N278" s="110"/>
      <c r="P278" s="110"/>
      <c r="Q278" s="110"/>
      <c r="R278" s="110"/>
    </row>
    <row r="279" spans="11:18" ht="15.75" customHeight="1">
      <c r="K279" s="110"/>
      <c r="L279" s="110"/>
      <c r="M279" s="110"/>
      <c r="N279" s="110"/>
      <c r="P279" s="110"/>
      <c r="Q279" s="110"/>
      <c r="R279" s="110"/>
    </row>
    <row r="280" spans="11:18" ht="15.75" customHeight="1">
      <c r="K280" s="110"/>
      <c r="L280" s="110"/>
      <c r="M280" s="110"/>
      <c r="N280" s="110"/>
      <c r="P280" s="110"/>
      <c r="Q280" s="110"/>
      <c r="R280" s="110"/>
    </row>
    <row r="281" spans="11:18" ht="15.75" customHeight="1">
      <c r="K281" s="110"/>
      <c r="L281" s="110"/>
      <c r="M281" s="110"/>
      <c r="N281" s="110"/>
      <c r="P281" s="110"/>
      <c r="Q281" s="110"/>
      <c r="R281" s="110"/>
    </row>
    <row r="282" spans="11:18" ht="15.75" customHeight="1">
      <c r="K282" s="110"/>
      <c r="L282" s="110"/>
      <c r="M282" s="110"/>
      <c r="N282" s="110"/>
      <c r="P282" s="110"/>
      <c r="Q282" s="110"/>
      <c r="R282" s="110"/>
    </row>
    <row r="283" spans="11:18" ht="15.75" customHeight="1">
      <c r="K283" s="110"/>
      <c r="L283" s="110"/>
      <c r="M283" s="110"/>
      <c r="N283" s="110"/>
      <c r="P283" s="110"/>
      <c r="Q283" s="110"/>
      <c r="R283" s="110"/>
    </row>
    <row r="284" spans="11:18" ht="15.75" customHeight="1">
      <c r="K284" s="110"/>
      <c r="L284" s="110"/>
      <c r="M284" s="110"/>
      <c r="N284" s="110"/>
      <c r="P284" s="110"/>
      <c r="Q284" s="110"/>
      <c r="R284" s="110"/>
    </row>
    <row r="285" spans="11:18" ht="15.75" customHeight="1">
      <c r="K285" s="110"/>
      <c r="L285" s="110"/>
      <c r="M285" s="110"/>
      <c r="N285" s="110"/>
      <c r="P285" s="110"/>
      <c r="Q285" s="110"/>
      <c r="R285" s="110"/>
    </row>
    <row r="286" spans="11:18" ht="15.75" customHeight="1">
      <c r="K286" s="110"/>
      <c r="L286" s="110"/>
      <c r="M286" s="110"/>
      <c r="N286" s="110"/>
      <c r="P286" s="110"/>
      <c r="Q286" s="110"/>
      <c r="R286" s="110"/>
    </row>
    <row r="287" spans="11:18" ht="15.75" customHeight="1">
      <c r="K287" s="110"/>
      <c r="L287" s="110"/>
      <c r="M287" s="110"/>
      <c r="N287" s="110"/>
      <c r="P287" s="110"/>
      <c r="Q287" s="110"/>
      <c r="R287" s="110"/>
    </row>
    <row r="288" spans="11:18" ht="15.75" customHeight="1">
      <c r="K288" s="110"/>
      <c r="L288" s="110"/>
      <c r="M288" s="110"/>
      <c r="N288" s="110"/>
      <c r="P288" s="110"/>
      <c r="Q288" s="110"/>
      <c r="R288" s="110"/>
    </row>
    <row r="289" spans="11:18" ht="15.75" customHeight="1">
      <c r="K289" s="110"/>
      <c r="L289" s="110"/>
      <c r="M289" s="110"/>
      <c r="N289" s="110"/>
      <c r="P289" s="110"/>
      <c r="Q289" s="110"/>
      <c r="R289" s="110"/>
    </row>
    <row r="290" spans="11:18" ht="15.75" customHeight="1">
      <c r="K290" s="110"/>
      <c r="L290" s="110"/>
      <c r="M290" s="110"/>
      <c r="N290" s="110"/>
      <c r="P290" s="110"/>
      <c r="Q290" s="110"/>
      <c r="R290" s="110"/>
    </row>
    <row r="291" spans="11:18" ht="15.75" customHeight="1">
      <c r="K291" s="110"/>
      <c r="L291" s="110"/>
      <c r="M291" s="110"/>
      <c r="N291" s="110"/>
      <c r="P291" s="110"/>
      <c r="Q291" s="110"/>
      <c r="R291" s="110"/>
    </row>
    <row r="292" spans="11:18" ht="15.75" customHeight="1">
      <c r="K292" s="110"/>
      <c r="L292" s="110"/>
      <c r="M292" s="110"/>
      <c r="N292" s="110"/>
      <c r="P292" s="110"/>
      <c r="Q292" s="110"/>
      <c r="R292" s="110"/>
    </row>
    <row r="293" spans="11:18" ht="15.75" customHeight="1">
      <c r="K293" s="110"/>
      <c r="L293" s="110"/>
      <c r="M293" s="110"/>
      <c r="N293" s="110"/>
      <c r="P293" s="110"/>
      <c r="Q293" s="110"/>
      <c r="R293" s="110"/>
    </row>
    <row r="294" spans="11:18" ht="15.75" customHeight="1">
      <c r="K294" s="110"/>
      <c r="L294" s="110"/>
      <c r="M294" s="110"/>
      <c r="N294" s="110"/>
      <c r="P294" s="110"/>
      <c r="Q294" s="110"/>
      <c r="R294" s="110"/>
    </row>
    <row r="295" spans="11:18" ht="15.75" customHeight="1">
      <c r="K295" s="110"/>
      <c r="L295" s="110"/>
      <c r="M295" s="110"/>
      <c r="N295" s="110"/>
      <c r="P295" s="110"/>
      <c r="Q295" s="110"/>
      <c r="R295" s="110"/>
    </row>
    <row r="296" spans="11:18" ht="15.75" customHeight="1">
      <c r="K296" s="110"/>
      <c r="L296" s="110"/>
      <c r="M296" s="110"/>
      <c r="N296" s="110"/>
      <c r="P296" s="110"/>
      <c r="Q296" s="110"/>
      <c r="R296" s="110"/>
    </row>
    <row r="297" spans="11:18" ht="15.75" customHeight="1">
      <c r="K297" s="110"/>
      <c r="L297" s="110"/>
      <c r="M297" s="110"/>
      <c r="N297" s="110"/>
      <c r="P297" s="110"/>
      <c r="Q297" s="110"/>
      <c r="R297" s="110"/>
    </row>
    <row r="298" spans="11:18" ht="15.75" customHeight="1">
      <c r="K298" s="110"/>
      <c r="L298" s="110"/>
      <c r="M298" s="110"/>
      <c r="N298" s="110"/>
      <c r="P298" s="110"/>
      <c r="Q298" s="110"/>
      <c r="R298" s="110"/>
    </row>
    <row r="299" spans="11:18" ht="15.75" customHeight="1">
      <c r="K299" s="110"/>
      <c r="L299" s="110"/>
      <c r="M299" s="110"/>
      <c r="N299" s="110"/>
      <c r="P299" s="110"/>
      <c r="Q299" s="110"/>
      <c r="R299" s="110"/>
    </row>
    <row r="300" spans="11:18" ht="15.75" customHeight="1">
      <c r="K300" s="110"/>
      <c r="L300" s="110"/>
      <c r="M300" s="110"/>
      <c r="N300" s="110"/>
      <c r="P300" s="110"/>
      <c r="Q300" s="110"/>
      <c r="R300" s="110"/>
    </row>
    <row r="301" spans="11:18" ht="15.75" customHeight="1">
      <c r="K301" s="110"/>
      <c r="L301" s="110"/>
      <c r="M301" s="110"/>
      <c r="N301" s="110"/>
      <c r="P301" s="110"/>
      <c r="Q301" s="110"/>
      <c r="R301" s="110"/>
    </row>
    <row r="302" spans="11:18" ht="15.75" customHeight="1">
      <c r="K302" s="110"/>
      <c r="L302" s="110"/>
      <c r="M302" s="110"/>
      <c r="N302" s="110"/>
      <c r="P302" s="110"/>
      <c r="Q302" s="110"/>
      <c r="R302" s="110"/>
    </row>
    <row r="303" spans="11:18" ht="15.75" customHeight="1">
      <c r="K303" s="110"/>
      <c r="L303" s="110"/>
      <c r="M303" s="110"/>
      <c r="N303" s="110"/>
      <c r="P303" s="110"/>
      <c r="Q303" s="110"/>
      <c r="R303" s="110"/>
    </row>
    <row r="304" spans="11:18" ht="15.75" customHeight="1">
      <c r="K304" s="110"/>
      <c r="L304" s="110"/>
      <c r="M304" s="110"/>
      <c r="N304" s="110"/>
      <c r="P304" s="110"/>
      <c r="Q304" s="110"/>
      <c r="R304" s="110"/>
    </row>
    <row r="305" spans="11:18" ht="15.75" customHeight="1">
      <c r="K305" s="110"/>
      <c r="L305" s="110"/>
      <c r="M305" s="110"/>
      <c r="N305" s="110"/>
      <c r="P305" s="110"/>
      <c r="Q305" s="110"/>
      <c r="R305" s="110"/>
    </row>
    <row r="306" spans="11:18" ht="15.75" customHeight="1">
      <c r="K306" s="110"/>
      <c r="L306" s="110"/>
      <c r="M306" s="110"/>
      <c r="N306" s="110"/>
      <c r="P306" s="110"/>
      <c r="Q306" s="110"/>
      <c r="R306" s="110"/>
    </row>
    <row r="307" spans="11:18" ht="15.75" customHeight="1">
      <c r="K307" s="110"/>
      <c r="L307" s="110"/>
      <c r="M307" s="110"/>
      <c r="N307" s="110"/>
      <c r="P307" s="110"/>
      <c r="Q307" s="110"/>
      <c r="R307" s="110"/>
    </row>
    <row r="308" spans="11:18" ht="15.75" customHeight="1">
      <c r="K308" s="110"/>
      <c r="L308" s="110"/>
      <c r="M308" s="110"/>
      <c r="N308" s="110"/>
      <c r="P308" s="110"/>
      <c r="Q308" s="110"/>
      <c r="R308" s="110"/>
    </row>
    <row r="309" spans="11:18" ht="15.75" customHeight="1">
      <c r="K309" s="110"/>
      <c r="L309" s="110"/>
      <c r="M309" s="110"/>
      <c r="N309" s="110"/>
      <c r="P309" s="110"/>
      <c r="Q309" s="110"/>
      <c r="R309" s="110"/>
    </row>
    <row r="310" spans="11:18" ht="15.75" customHeight="1">
      <c r="K310" s="110"/>
      <c r="L310" s="110"/>
      <c r="M310" s="110"/>
      <c r="N310" s="110"/>
      <c r="P310" s="110"/>
      <c r="Q310" s="110"/>
      <c r="R310" s="110"/>
    </row>
    <row r="311" spans="11:18" ht="15.75" customHeight="1">
      <c r="K311" s="110"/>
      <c r="L311" s="110"/>
      <c r="M311" s="110"/>
      <c r="N311" s="110"/>
      <c r="P311" s="110"/>
      <c r="Q311" s="110"/>
      <c r="R311" s="110"/>
    </row>
    <row r="312" spans="11:18" ht="15.75" customHeight="1">
      <c r="K312" s="110"/>
      <c r="L312" s="110"/>
      <c r="M312" s="110"/>
      <c r="N312" s="110"/>
      <c r="P312" s="110"/>
      <c r="Q312" s="110"/>
      <c r="R312" s="110"/>
    </row>
    <row r="313" spans="11:18" ht="15.75" customHeight="1">
      <c r="K313" s="110"/>
      <c r="L313" s="110"/>
      <c r="M313" s="110"/>
      <c r="N313" s="110"/>
      <c r="P313" s="110"/>
      <c r="Q313" s="110"/>
      <c r="R313" s="110"/>
    </row>
    <row r="314" spans="11:18" ht="15.75" customHeight="1">
      <c r="K314" s="110"/>
      <c r="L314" s="110"/>
      <c r="M314" s="110"/>
      <c r="N314" s="110"/>
      <c r="P314" s="110"/>
      <c r="Q314" s="110"/>
      <c r="R314" s="110"/>
    </row>
    <row r="315" spans="11:18" ht="15.75" customHeight="1">
      <c r="K315" s="110"/>
      <c r="L315" s="110"/>
      <c r="M315" s="110"/>
      <c r="N315" s="110"/>
      <c r="P315" s="110"/>
      <c r="Q315" s="110"/>
      <c r="R315" s="110"/>
    </row>
    <row r="316" spans="11:18" ht="15.75" customHeight="1">
      <c r="K316" s="110"/>
      <c r="L316" s="110"/>
      <c r="M316" s="110"/>
      <c r="N316" s="110"/>
      <c r="P316" s="110"/>
      <c r="Q316" s="110"/>
      <c r="R316" s="110"/>
    </row>
    <row r="317" spans="11:18" ht="15.75" customHeight="1">
      <c r="K317" s="110"/>
      <c r="L317" s="110"/>
      <c r="M317" s="110"/>
      <c r="N317" s="110"/>
      <c r="P317" s="110"/>
      <c r="Q317" s="110"/>
      <c r="R317" s="110"/>
    </row>
    <row r="318" spans="11:18" ht="15.75" customHeight="1">
      <c r="K318" s="110"/>
      <c r="L318" s="110"/>
      <c r="M318" s="110"/>
      <c r="N318" s="110"/>
      <c r="P318" s="110"/>
      <c r="Q318" s="110"/>
      <c r="R318" s="110"/>
    </row>
    <row r="319" spans="11:18" ht="15.75" customHeight="1">
      <c r="K319" s="110"/>
      <c r="L319" s="110"/>
      <c r="M319" s="110"/>
      <c r="N319" s="110"/>
      <c r="P319" s="110"/>
      <c r="Q319" s="110"/>
      <c r="R319" s="110"/>
    </row>
    <row r="320" spans="11:18" ht="15.75" customHeight="1">
      <c r="K320" s="110"/>
      <c r="L320" s="110"/>
      <c r="M320" s="110"/>
      <c r="N320" s="110"/>
      <c r="P320" s="110"/>
      <c r="Q320" s="110"/>
      <c r="R320" s="110"/>
    </row>
    <row r="321" spans="11:18" ht="15.75" customHeight="1">
      <c r="K321" s="110"/>
      <c r="L321" s="110"/>
      <c r="M321" s="110"/>
      <c r="N321" s="110"/>
      <c r="P321" s="110"/>
      <c r="Q321" s="110"/>
      <c r="R321" s="110"/>
    </row>
    <row r="322" spans="11:18" ht="15.75" customHeight="1">
      <c r="K322" s="110"/>
      <c r="L322" s="110"/>
      <c r="M322" s="110"/>
      <c r="N322" s="110"/>
      <c r="P322" s="110"/>
      <c r="Q322" s="110"/>
      <c r="R322" s="110"/>
    </row>
    <row r="323" spans="11:18" ht="15.75" customHeight="1">
      <c r="K323" s="110"/>
      <c r="L323" s="110"/>
      <c r="M323" s="110"/>
      <c r="N323" s="110"/>
      <c r="P323" s="110"/>
      <c r="Q323" s="110"/>
      <c r="R323" s="110"/>
    </row>
    <row r="324" spans="11:18" ht="15.75" customHeight="1">
      <c r="K324" s="110"/>
      <c r="L324" s="110"/>
      <c r="M324" s="110"/>
      <c r="N324" s="110"/>
      <c r="P324" s="110"/>
      <c r="Q324" s="110"/>
      <c r="R324" s="110"/>
    </row>
    <row r="325" spans="11:18" ht="15.75" customHeight="1">
      <c r="K325" s="110"/>
      <c r="L325" s="110"/>
      <c r="M325" s="110"/>
      <c r="N325" s="110"/>
      <c r="P325" s="110"/>
      <c r="Q325" s="110"/>
      <c r="R325" s="110"/>
    </row>
    <row r="326" spans="11:18" ht="15.75" customHeight="1">
      <c r="K326" s="110"/>
      <c r="L326" s="110"/>
      <c r="M326" s="110"/>
      <c r="N326" s="110"/>
      <c r="P326" s="110"/>
      <c r="Q326" s="110"/>
      <c r="R326" s="110"/>
    </row>
    <row r="327" spans="11:18" ht="15.75" customHeight="1">
      <c r="K327" s="110"/>
      <c r="L327" s="110"/>
      <c r="M327" s="110"/>
      <c r="N327" s="110"/>
      <c r="P327" s="110"/>
      <c r="Q327" s="110"/>
      <c r="R327" s="110"/>
    </row>
    <row r="328" spans="11:18" ht="15.75" customHeight="1">
      <c r="K328" s="110"/>
      <c r="L328" s="110"/>
      <c r="M328" s="110"/>
      <c r="N328" s="110"/>
      <c r="P328" s="110"/>
      <c r="Q328" s="110"/>
      <c r="R328" s="110"/>
    </row>
    <row r="329" spans="11:18" ht="15.75" customHeight="1">
      <c r="K329" s="110"/>
      <c r="L329" s="110"/>
      <c r="M329" s="110"/>
      <c r="N329" s="110"/>
      <c r="P329" s="110"/>
      <c r="Q329" s="110"/>
      <c r="R329" s="110"/>
    </row>
    <row r="330" spans="11:18" ht="15.75" customHeight="1">
      <c r="K330" s="110"/>
      <c r="L330" s="110"/>
      <c r="M330" s="110"/>
      <c r="N330" s="110"/>
      <c r="P330" s="110"/>
      <c r="Q330" s="110"/>
      <c r="R330" s="110"/>
    </row>
    <row r="331" spans="11:18" ht="15.75" customHeight="1">
      <c r="K331" s="110"/>
      <c r="L331" s="110"/>
      <c r="M331" s="110"/>
      <c r="N331" s="110"/>
      <c r="P331" s="110"/>
      <c r="Q331" s="110"/>
      <c r="R331" s="110"/>
    </row>
    <row r="332" spans="11:18" ht="15.75" customHeight="1">
      <c r="K332" s="110"/>
      <c r="L332" s="110"/>
      <c r="M332" s="110"/>
      <c r="N332" s="110"/>
      <c r="P332" s="110"/>
      <c r="Q332" s="110"/>
      <c r="R332" s="110"/>
    </row>
    <row r="333" spans="11:18" ht="15.75" customHeight="1">
      <c r="K333" s="110"/>
      <c r="L333" s="110"/>
      <c r="M333" s="110"/>
      <c r="N333" s="110"/>
      <c r="P333" s="110"/>
      <c r="Q333" s="110"/>
      <c r="R333" s="110"/>
    </row>
    <row r="334" spans="11:18" ht="15.75" customHeight="1">
      <c r="K334" s="110"/>
      <c r="L334" s="110"/>
      <c r="M334" s="110"/>
      <c r="N334" s="110"/>
      <c r="P334" s="110"/>
      <c r="Q334" s="110"/>
      <c r="R334" s="110"/>
    </row>
    <row r="335" spans="11:18" ht="15.75" customHeight="1">
      <c r="K335" s="110"/>
      <c r="L335" s="110"/>
      <c r="M335" s="110"/>
      <c r="N335" s="110"/>
      <c r="P335" s="110"/>
      <c r="Q335" s="110"/>
      <c r="R335" s="110"/>
    </row>
    <row r="336" spans="11:18" ht="15.75" customHeight="1">
      <c r="K336" s="110"/>
      <c r="L336" s="110"/>
      <c r="M336" s="110"/>
      <c r="N336" s="110"/>
      <c r="P336" s="110"/>
      <c r="Q336" s="110"/>
      <c r="R336" s="110"/>
    </row>
    <row r="337" spans="11:18" ht="15.75" customHeight="1">
      <c r="K337" s="110"/>
      <c r="L337" s="110"/>
      <c r="M337" s="110"/>
      <c r="N337" s="110"/>
      <c r="P337" s="110"/>
      <c r="Q337" s="110"/>
      <c r="R337" s="110"/>
    </row>
    <row r="338" spans="11:18" ht="15.75" customHeight="1">
      <c r="K338" s="110"/>
      <c r="L338" s="110"/>
      <c r="M338" s="110"/>
      <c r="N338" s="110"/>
      <c r="P338" s="110"/>
      <c r="Q338" s="110"/>
      <c r="R338" s="110"/>
    </row>
    <row r="339" spans="11:18" ht="15.75" customHeight="1">
      <c r="K339" s="110"/>
      <c r="L339" s="110"/>
      <c r="M339" s="110"/>
      <c r="N339" s="110"/>
      <c r="P339" s="110"/>
      <c r="Q339" s="110"/>
      <c r="R339" s="110"/>
    </row>
    <row r="340" spans="11:18" ht="15.75" customHeight="1">
      <c r="K340" s="110"/>
      <c r="L340" s="110"/>
      <c r="M340" s="110"/>
      <c r="N340" s="110"/>
      <c r="P340" s="110"/>
      <c r="Q340" s="110"/>
      <c r="R340" s="110"/>
    </row>
    <row r="341" spans="11:18" ht="15.75" customHeight="1">
      <c r="K341" s="110"/>
      <c r="L341" s="110"/>
      <c r="M341" s="110"/>
      <c r="N341" s="110"/>
      <c r="P341" s="110"/>
      <c r="Q341" s="110"/>
      <c r="R341" s="110"/>
    </row>
    <row r="342" spans="11:18" ht="15.75" customHeight="1">
      <c r="K342" s="110"/>
      <c r="L342" s="110"/>
      <c r="M342" s="110"/>
      <c r="N342" s="110"/>
      <c r="P342" s="110"/>
      <c r="Q342" s="110"/>
      <c r="R342" s="110"/>
    </row>
    <row r="343" spans="11:18" ht="15.75" customHeight="1">
      <c r="K343" s="110"/>
      <c r="L343" s="110"/>
      <c r="M343" s="110"/>
      <c r="N343" s="110"/>
      <c r="P343" s="110"/>
      <c r="Q343" s="110"/>
      <c r="R343" s="110"/>
    </row>
    <row r="344" spans="11:18" ht="15.75" customHeight="1">
      <c r="K344" s="110"/>
      <c r="L344" s="110"/>
      <c r="M344" s="110"/>
      <c r="N344" s="110"/>
      <c r="P344" s="110"/>
      <c r="Q344" s="110"/>
      <c r="R344" s="110"/>
    </row>
    <row r="345" spans="11:18" ht="15.75" customHeight="1">
      <c r="K345" s="110"/>
      <c r="L345" s="110"/>
      <c r="M345" s="110"/>
      <c r="N345" s="110"/>
      <c r="P345" s="110"/>
      <c r="Q345" s="110"/>
      <c r="R345" s="110"/>
    </row>
    <row r="346" spans="11:18" ht="15.75" customHeight="1">
      <c r="K346" s="110"/>
      <c r="L346" s="110"/>
      <c r="M346" s="110"/>
      <c r="N346" s="110"/>
      <c r="P346" s="110"/>
      <c r="Q346" s="110"/>
      <c r="R346" s="110"/>
    </row>
    <row r="347" spans="11:18" ht="15.75" customHeight="1">
      <c r="K347" s="110"/>
      <c r="L347" s="110"/>
      <c r="M347" s="110"/>
      <c r="N347" s="110"/>
      <c r="P347" s="110"/>
      <c r="Q347" s="110"/>
      <c r="R347" s="110"/>
    </row>
    <row r="348" spans="11:18" ht="15.75" customHeight="1">
      <c r="K348" s="110"/>
      <c r="L348" s="110"/>
      <c r="M348" s="110"/>
      <c r="N348" s="110"/>
      <c r="P348" s="110"/>
      <c r="Q348" s="110"/>
      <c r="R348" s="110"/>
    </row>
    <row r="349" spans="11:18" ht="15.75" customHeight="1">
      <c r="K349" s="110"/>
      <c r="L349" s="110"/>
      <c r="M349" s="110"/>
      <c r="N349" s="110"/>
      <c r="P349" s="110"/>
      <c r="Q349" s="110"/>
      <c r="R349" s="110"/>
    </row>
    <row r="350" spans="11:18" ht="15.75" customHeight="1">
      <c r="K350" s="110"/>
      <c r="L350" s="110"/>
      <c r="M350" s="110"/>
      <c r="N350" s="110"/>
      <c r="P350" s="110"/>
      <c r="Q350" s="110"/>
      <c r="R350" s="110"/>
    </row>
    <row r="351" spans="11:18" ht="15.75" customHeight="1">
      <c r="K351" s="110"/>
      <c r="L351" s="110"/>
      <c r="M351" s="110"/>
      <c r="N351" s="110"/>
      <c r="P351" s="110"/>
      <c r="Q351" s="110"/>
      <c r="R351" s="110"/>
    </row>
    <row r="352" spans="11:18" ht="15.75" customHeight="1">
      <c r="K352" s="110"/>
      <c r="L352" s="110"/>
      <c r="M352" s="110"/>
      <c r="N352" s="110"/>
      <c r="P352" s="110"/>
      <c r="Q352" s="110"/>
      <c r="R352" s="110"/>
    </row>
    <row r="353" spans="11:18" ht="15.75" customHeight="1">
      <c r="K353" s="110"/>
      <c r="L353" s="110"/>
      <c r="M353" s="110"/>
      <c r="N353" s="110"/>
      <c r="P353" s="110"/>
      <c r="Q353" s="110"/>
      <c r="R353" s="110"/>
    </row>
    <row r="354" spans="11:18" ht="15.75" customHeight="1">
      <c r="K354" s="110"/>
      <c r="L354" s="110"/>
      <c r="M354" s="110"/>
      <c r="N354" s="110"/>
      <c r="P354" s="110"/>
      <c r="Q354" s="110"/>
      <c r="R354" s="110"/>
    </row>
    <row r="355" spans="11:18" ht="15.75" customHeight="1">
      <c r="K355" s="110"/>
      <c r="L355" s="110"/>
      <c r="M355" s="110"/>
      <c r="N355" s="110"/>
      <c r="P355" s="110"/>
      <c r="Q355" s="110"/>
      <c r="R355" s="110"/>
    </row>
    <row r="356" spans="11:18" ht="15.75" customHeight="1">
      <c r="K356" s="110"/>
      <c r="L356" s="110"/>
      <c r="M356" s="110"/>
      <c r="N356" s="110"/>
      <c r="P356" s="110"/>
      <c r="Q356" s="110"/>
      <c r="R356" s="110"/>
    </row>
    <row r="357" spans="11:18" ht="15.75" customHeight="1">
      <c r="K357" s="110"/>
      <c r="L357" s="110"/>
      <c r="M357" s="110"/>
      <c r="N357" s="110"/>
      <c r="P357" s="110"/>
      <c r="Q357" s="110"/>
      <c r="R357" s="110"/>
    </row>
    <row r="358" spans="11:18" ht="15.75" customHeight="1">
      <c r="K358" s="110"/>
      <c r="L358" s="110"/>
      <c r="M358" s="110"/>
      <c r="N358" s="110"/>
      <c r="P358" s="110"/>
      <c r="Q358" s="110"/>
      <c r="R358" s="110"/>
    </row>
    <row r="359" spans="11:18" ht="15.75" customHeight="1">
      <c r="K359" s="110"/>
      <c r="L359" s="110"/>
      <c r="M359" s="110"/>
      <c r="N359" s="110"/>
      <c r="P359" s="110"/>
      <c r="Q359" s="110"/>
      <c r="R359" s="110"/>
    </row>
    <row r="360" spans="11:18" ht="15.75" customHeight="1">
      <c r="K360" s="110"/>
      <c r="L360" s="110"/>
      <c r="M360" s="110"/>
      <c r="N360" s="110"/>
      <c r="P360" s="110"/>
      <c r="Q360" s="110"/>
      <c r="R360" s="110"/>
    </row>
    <row r="361" spans="11:18" ht="15.75" customHeight="1">
      <c r="K361" s="110"/>
      <c r="L361" s="110"/>
      <c r="M361" s="110"/>
      <c r="N361" s="110"/>
      <c r="P361" s="110"/>
      <c r="Q361" s="110"/>
      <c r="R361" s="110"/>
    </row>
    <row r="362" spans="11:18" ht="15.75" customHeight="1">
      <c r="K362" s="110"/>
      <c r="L362" s="110"/>
      <c r="M362" s="110"/>
      <c r="N362" s="110"/>
      <c r="P362" s="110"/>
      <c r="Q362" s="110"/>
      <c r="R362" s="110"/>
    </row>
    <row r="363" spans="11:18" ht="15.75" customHeight="1">
      <c r="K363" s="110"/>
      <c r="L363" s="110"/>
      <c r="M363" s="110"/>
      <c r="N363" s="110"/>
      <c r="P363" s="110"/>
      <c r="Q363" s="110"/>
      <c r="R363" s="110"/>
    </row>
    <row r="364" spans="11:18" ht="15.75" customHeight="1">
      <c r="K364" s="110"/>
      <c r="L364" s="110"/>
      <c r="M364" s="110"/>
      <c r="N364" s="110"/>
      <c r="P364" s="110"/>
      <c r="Q364" s="110"/>
      <c r="R364" s="110"/>
    </row>
    <row r="365" spans="11:18" ht="15.75" customHeight="1">
      <c r="K365" s="110"/>
      <c r="L365" s="110"/>
      <c r="M365" s="110"/>
      <c r="N365" s="110"/>
      <c r="P365" s="110"/>
      <c r="Q365" s="110"/>
      <c r="R365" s="110"/>
    </row>
    <row r="366" spans="11:18" ht="15.75" customHeight="1">
      <c r="K366" s="110"/>
      <c r="L366" s="110"/>
      <c r="M366" s="110"/>
      <c r="N366" s="110"/>
      <c r="P366" s="110"/>
      <c r="Q366" s="110"/>
      <c r="R366" s="110"/>
    </row>
    <row r="367" spans="11:18" ht="15.75" customHeight="1">
      <c r="K367" s="110"/>
      <c r="L367" s="110"/>
      <c r="M367" s="110"/>
      <c r="N367" s="110"/>
      <c r="P367" s="110"/>
      <c r="Q367" s="110"/>
      <c r="R367" s="110"/>
    </row>
    <row r="368" spans="11:18" ht="15.75" customHeight="1">
      <c r="K368" s="110"/>
      <c r="L368" s="110"/>
      <c r="M368" s="110"/>
      <c r="N368" s="110"/>
      <c r="P368" s="110"/>
      <c r="Q368" s="110"/>
      <c r="R368" s="110"/>
    </row>
    <row r="369" spans="11:18" ht="15.75" customHeight="1">
      <c r="K369" s="110"/>
      <c r="L369" s="110"/>
      <c r="M369" s="110"/>
      <c r="N369" s="110"/>
      <c r="P369" s="110"/>
      <c r="Q369" s="110"/>
      <c r="R369" s="110"/>
    </row>
    <row r="370" spans="11:18" ht="15.75" customHeight="1">
      <c r="K370" s="110"/>
      <c r="L370" s="110"/>
      <c r="M370" s="110"/>
      <c r="N370" s="110"/>
      <c r="P370" s="110"/>
      <c r="Q370" s="110"/>
      <c r="R370" s="110"/>
    </row>
    <row r="371" spans="11:18" ht="15.75" customHeight="1">
      <c r="K371" s="110"/>
      <c r="L371" s="110"/>
      <c r="M371" s="110"/>
      <c r="N371" s="110"/>
      <c r="P371" s="110"/>
      <c r="Q371" s="110"/>
      <c r="R371" s="110"/>
    </row>
    <row r="372" spans="11:18" ht="15.75" customHeight="1">
      <c r="K372" s="110"/>
      <c r="L372" s="110"/>
      <c r="M372" s="110"/>
      <c r="N372" s="110"/>
      <c r="P372" s="110"/>
      <c r="Q372" s="110"/>
      <c r="R372" s="110"/>
    </row>
    <row r="373" spans="11:18" ht="15.75" customHeight="1">
      <c r="K373" s="110"/>
      <c r="L373" s="110"/>
      <c r="M373" s="110"/>
      <c r="N373" s="110"/>
      <c r="P373" s="110"/>
      <c r="Q373" s="110"/>
      <c r="R373" s="110"/>
    </row>
    <row r="374" spans="11:18" ht="15.75" customHeight="1">
      <c r="K374" s="110"/>
      <c r="L374" s="110"/>
      <c r="M374" s="110"/>
      <c r="N374" s="110"/>
      <c r="P374" s="110"/>
      <c r="Q374" s="110"/>
      <c r="R374" s="110"/>
    </row>
    <row r="375" spans="11:18" ht="15.75" customHeight="1">
      <c r="K375" s="110"/>
      <c r="L375" s="110"/>
      <c r="M375" s="110"/>
      <c r="N375" s="110"/>
      <c r="P375" s="110"/>
      <c r="Q375" s="110"/>
      <c r="R375" s="110"/>
    </row>
    <row r="376" spans="11:18" ht="15.75" customHeight="1">
      <c r="K376" s="110"/>
      <c r="L376" s="110"/>
      <c r="M376" s="110"/>
      <c r="N376" s="110"/>
      <c r="P376" s="110"/>
      <c r="Q376" s="110"/>
      <c r="R376" s="110"/>
    </row>
    <row r="377" spans="11:18" ht="15.75" customHeight="1">
      <c r="K377" s="110"/>
      <c r="L377" s="110"/>
      <c r="M377" s="110"/>
      <c r="N377" s="110"/>
      <c r="P377" s="110"/>
      <c r="Q377" s="110"/>
      <c r="R377" s="110"/>
    </row>
    <row r="378" spans="11:18" ht="15.75" customHeight="1">
      <c r="K378" s="110"/>
      <c r="L378" s="110"/>
      <c r="M378" s="110"/>
      <c r="N378" s="110"/>
      <c r="P378" s="110"/>
      <c r="Q378" s="110"/>
      <c r="R378" s="110"/>
    </row>
    <row r="379" spans="11:18" ht="15.75" customHeight="1">
      <c r="K379" s="110"/>
      <c r="L379" s="110"/>
      <c r="M379" s="110"/>
      <c r="N379" s="110"/>
      <c r="P379" s="110"/>
      <c r="Q379" s="110"/>
      <c r="R379" s="110"/>
    </row>
    <row r="380" spans="11:18" ht="15.75" customHeight="1">
      <c r="K380" s="110"/>
      <c r="L380" s="110"/>
      <c r="M380" s="110"/>
      <c r="N380" s="110"/>
      <c r="P380" s="110"/>
      <c r="Q380" s="110"/>
      <c r="R380" s="110"/>
    </row>
    <row r="381" spans="11:18" ht="15.75" customHeight="1">
      <c r="K381" s="110"/>
      <c r="L381" s="110"/>
      <c r="M381" s="110"/>
      <c r="N381" s="110"/>
      <c r="P381" s="110"/>
      <c r="Q381" s="110"/>
      <c r="R381" s="110"/>
    </row>
    <row r="382" spans="11:18" ht="15.75" customHeight="1">
      <c r="K382" s="110"/>
      <c r="L382" s="110"/>
      <c r="M382" s="110"/>
      <c r="N382" s="110"/>
      <c r="P382" s="110"/>
      <c r="Q382" s="110"/>
      <c r="R382" s="110"/>
    </row>
    <row r="383" spans="11:18" ht="15.75" customHeight="1">
      <c r="K383" s="110"/>
      <c r="L383" s="110"/>
      <c r="M383" s="110"/>
      <c r="N383" s="110"/>
      <c r="P383" s="110"/>
      <c r="Q383" s="110"/>
      <c r="R383" s="110"/>
    </row>
    <row r="384" spans="11:18" ht="15.75" customHeight="1">
      <c r="K384" s="110"/>
      <c r="L384" s="110"/>
      <c r="M384" s="110"/>
      <c r="N384" s="110"/>
      <c r="P384" s="110"/>
      <c r="Q384" s="110"/>
      <c r="R384" s="110"/>
    </row>
    <row r="385" spans="11:18" ht="15.75" customHeight="1">
      <c r="K385" s="110"/>
      <c r="L385" s="110"/>
      <c r="M385" s="110"/>
      <c r="N385" s="110"/>
      <c r="P385" s="110"/>
      <c r="Q385" s="110"/>
      <c r="R385" s="110"/>
    </row>
    <row r="386" spans="11:18" ht="15.75" customHeight="1">
      <c r="K386" s="110"/>
      <c r="L386" s="110"/>
      <c r="M386" s="110"/>
      <c r="N386" s="110"/>
      <c r="P386" s="110"/>
      <c r="Q386" s="110"/>
      <c r="R386" s="110"/>
    </row>
    <row r="387" spans="11:18" ht="15.75" customHeight="1">
      <c r="K387" s="110"/>
      <c r="L387" s="110"/>
      <c r="M387" s="110"/>
      <c r="N387" s="110"/>
      <c r="P387" s="110"/>
      <c r="Q387" s="110"/>
      <c r="R387" s="110"/>
    </row>
    <row r="388" spans="11:18" ht="15.75" customHeight="1">
      <c r="K388" s="110"/>
      <c r="L388" s="110"/>
      <c r="M388" s="110"/>
      <c r="N388" s="110"/>
      <c r="P388" s="110"/>
      <c r="Q388" s="110"/>
      <c r="R388" s="110"/>
    </row>
    <row r="389" spans="11:18" ht="15.75" customHeight="1">
      <c r="K389" s="110"/>
      <c r="L389" s="110"/>
      <c r="M389" s="110"/>
      <c r="N389" s="110"/>
      <c r="P389" s="110"/>
      <c r="Q389" s="110"/>
      <c r="R389" s="110"/>
    </row>
    <row r="390" spans="11:18" ht="15.75" customHeight="1">
      <c r="K390" s="110"/>
      <c r="L390" s="110"/>
      <c r="M390" s="110"/>
      <c r="N390" s="110"/>
      <c r="P390" s="110"/>
      <c r="Q390" s="110"/>
      <c r="R390" s="110"/>
    </row>
    <row r="391" spans="11:18" ht="15.75" customHeight="1">
      <c r="K391" s="110"/>
      <c r="L391" s="110"/>
      <c r="M391" s="110"/>
      <c r="N391" s="110"/>
      <c r="P391" s="110"/>
      <c r="Q391" s="110"/>
      <c r="R391" s="110"/>
    </row>
    <row r="392" spans="11:18" ht="15.75" customHeight="1">
      <c r="K392" s="110"/>
      <c r="L392" s="110"/>
      <c r="M392" s="110"/>
      <c r="N392" s="110"/>
      <c r="P392" s="110"/>
      <c r="Q392" s="110"/>
      <c r="R392" s="110"/>
    </row>
    <row r="393" spans="11:18" ht="15.75" customHeight="1">
      <c r="K393" s="110"/>
      <c r="L393" s="110"/>
      <c r="M393" s="110"/>
      <c r="N393" s="110"/>
      <c r="P393" s="110"/>
      <c r="Q393" s="110"/>
      <c r="R393" s="110"/>
    </row>
    <row r="394" spans="11:18" ht="15.75" customHeight="1">
      <c r="K394" s="110"/>
      <c r="L394" s="110"/>
      <c r="M394" s="110"/>
      <c r="N394" s="110"/>
      <c r="P394" s="110"/>
      <c r="Q394" s="110"/>
      <c r="R394" s="110"/>
    </row>
    <row r="395" spans="11:18" ht="15.75" customHeight="1">
      <c r="K395" s="110"/>
      <c r="L395" s="110"/>
      <c r="M395" s="110"/>
      <c r="N395" s="110"/>
      <c r="P395" s="110"/>
      <c r="Q395" s="110"/>
      <c r="R395" s="110"/>
    </row>
    <row r="396" spans="11:18" ht="15.75" customHeight="1">
      <c r="K396" s="110"/>
      <c r="L396" s="110"/>
      <c r="M396" s="110"/>
      <c r="N396" s="110"/>
      <c r="P396" s="110"/>
      <c r="Q396" s="110"/>
      <c r="R396" s="110"/>
    </row>
    <row r="397" spans="11:18" ht="15.75" customHeight="1">
      <c r="K397" s="110"/>
      <c r="L397" s="110"/>
      <c r="M397" s="110"/>
      <c r="N397" s="110"/>
      <c r="P397" s="110"/>
      <c r="Q397" s="110"/>
      <c r="R397" s="110"/>
    </row>
    <row r="398" spans="11:18" ht="15.75" customHeight="1">
      <c r="K398" s="110"/>
      <c r="L398" s="110"/>
      <c r="M398" s="110"/>
      <c r="N398" s="110"/>
      <c r="P398" s="110"/>
      <c r="Q398" s="110"/>
      <c r="R398" s="110"/>
    </row>
    <row r="399" spans="11:18" ht="15.75" customHeight="1">
      <c r="K399" s="110"/>
      <c r="L399" s="110"/>
      <c r="M399" s="110"/>
      <c r="N399" s="110"/>
      <c r="P399" s="110"/>
      <c r="Q399" s="110"/>
      <c r="R399" s="110"/>
    </row>
    <row r="400" spans="11:18" ht="15.75" customHeight="1">
      <c r="K400" s="110"/>
      <c r="L400" s="110"/>
      <c r="M400" s="110"/>
      <c r="N400" s="110"/>
      <c r="P400" s="110"/>
      <c r="Q400" s="110"/>
      <c r="R400" s="110"/>
    </row>
    <row r="401" spans="11:18" ht="15.75" customHeight="1">
      <c r="K401" s="110"/>
      <c r="L401" s="110"/>
      <c r="M401" s="110"/>
      <c r="N401" s="110"/>
      <c r="P401" s="110"/>
      <c r="Q401" s="110"/>
      <c r="R401" s="110"/>
    </row>
    <row r="402" spans="11:18" ht="15.75" customHeight="1">
      <c r="K402" s="110"/>
      <c r="L402" s="110"/>
      <c r="M402" s="110"/>
      <c r="N402" s="110"/>
      <c r="P402" s="110"/>
      <c r="Q402" s="110"/>
      <c r="R402" s="110"/>
    </row>
    <row r="403" spans="11:18" ht="15.75" customHeight="1">
      <c r="K403" s="110"/>
      <c r="L403" s="110"/>
      <c r="M403" s="110"/>
      <c r="N403" s="110"/>
      <c r="P403" s="110"/>
      <c r="Q403" s="110"/>
      <c r="R403" s="110"/>
    </row>
    <row r="404" spans="11:18" ht="15.75" customHeight="1">
      <c r="K404" s="110"/>
      <c r="L404" s="110"/>
      <c r="M404" s="110"/>
      <c r="N404" s="110"/>
      <c r="P404" s="110"/>
      <c r="Q404" s="110"/>
      <c r="R404" s="110"/>
    </row>
    <row r="405" spans="11:18" ht="15.75" customHeight="1">
      <c r="K405" s="110"/>
      <c r="L405" s="110"/>
      <c r="M405" s="110"/>
      <c r="N405" s="110"/>
      <c r="P405" s="110"/>
      <c r="Q405" s="110"/>
      <c r="R405" s="110"/>
    </row>
    <row r="406" spans="11:18" ht="15.75" customHeight="1">
      <c r="K406" s="110"/>
      <c r="L406" s="110"/>
      <c r="M406" s="110"/>
      <c r="N406" s="110"/>
      <c r="P406" s="110"/>
      <c r="Q406" s="110"/>
      <c r="R406" s="110"/>
    </row>
    <row r="407" spans="11:18" ht="15.75" customHeight="1">
      <c r="K407" s="110"/>
      <c r="L407" s="110"/>
      <c r="M407" s="110"/>
      <c r="N407" s="110"/>
      <c r="P407" s="110"/>
      <c r="Q407" s="110"/>
      <c r="R407" s="110"/>
    </row>
    <row r="408" spans="11:18" ht="15.75" customHeight="1">
      <c r="K408" s="110"/>
      <c r="L408" s="110"/>
      <c r="M408" s="110"/>
      <c r="N408" s="110"/>
      <c r="P408" s="110"/>
      <c r="Q408" s="110"/>
      <c r="R408" s="110"/>
    </row>
    <row r="409" spans="11:18" ht="15.75" customHeight="1">
      <c r="K409" s="110"/>
      <c r="L409" s="110"/>
      <c r="M409" s="110"/>
      <c r="N409" s="110"/>
      <c r="P409" s="110"/>
      <c r="Q409" s="110"/>
      <c r="R409" s="110"/>
    </row>
    <row r="410" spans="11:18" ht="15.75" customHeight="1">
      <c r="K410" s="110"/>
      <c r="L410" s="110"/>
      <c r="M410" s="110"/>
      <c r="N410" s="110"/>
      <c r="P410" s="110"/>
      <c r="Q410" s="110"/>
      <c r="R410" s="110"/>
    </row>
    <row r="411" spans="11:18" ht="15.75" customHeight="1">
      <c r="K411" s="110"/>
      <c r="L411" s="110"/>
      <c r="M411" s="110"/>
      <c r="N411" s="110"/>
      <c r="P411" s="110"/>
      <c r="Q411" s="110"/>
      <c r="R411" s="110"/>
    </row>
    <row r="412" spans="11:18" ht="15.75" customHeight="1">
      <c r="K412" s="110"/>
      <c r="L412" s="110"/>
      <c r="M412" s="110"/>
      <c r="N412" s="110"/>
      <c r="P412" s="110"/>
      <c r="Q412" s="110"/>
      <c r="R412" s="110"/>
    </row>
    <row r="413" spans="11:18" ht="15.75" customHeight="1">
      <c r="K413" s="110"/>
      <c r="L413" s="110"/>
      <c r="M413" s="110"/>
      <c r="N413" s="110"/>
      <c r="P413" s="110"/>
      <c r="Q413" s="110"/>
      <c r="R413" s="110"/>
    </row>
    <row r="414" spans="11:18" ht="15.75" customHeight="1">
      <c r="K414" s="110"/>
      <c r="L414" s="110"/>
      <c r="M414" s="110"/>
      <c r="N414" s="110"/>
      <c r="P414" s="110"/>
      <c r="Q414" s="110"/>
      <c r="R414" s="110"/>
    </row>
    <row r="415" spans="11:18" ht="15.75" customHeight="1">
      <c r="K415" s="110"/>
      <c r="L415" s="110"/>
      <c r="M415" s="110"/>
      <c r="N415" s="110"/>
      <c r="P415" s="110"/>
      <c r="Q415" s="110"/>
      <c r="R415" s="110"/>
    </row>
    <row r="416" spans="11:18" ht="15.75" customHeight="1">
      <c r="K416" s="110"/>
      <c r="L416" s="110"/>
      <c r="M416" s="110"/>
      <c r="N416" s="110"/>
      <c r="P416" s="110"/>
      <c r="Q416" s="110"/>
      <c r="R416" s="110"/>
    </row>
    <row r="417" spans="11:18" ht="15.75" customHeight="1">
      <c r="K417" s="110"/>
      <c r="L417" s="110"/>
      <c r="M417" s="110"/>
      <c r="N417" s="110"/>
      <c r="P417" s="110"/>
      <c r="Q417" s="110"/>
      <c r="R417" s="110"/>
    </row>
    <row r="418" spans="11:18" ht="15.75" customHeight="1">
      <c r="K418" s="110"/>
      <c r="L418" s="110"/>
      <c r="M418" s="110"/>
      <c r="N418" s="110"/>
      <c r="P418" s="110"/>
      <c r="Q418" s="110"/>
      <c r="R418" s="110"/>
    </row>
    <row r="419" spans="11:18" ht="15.75" customHeight="1">
      <c r="K419" s="110"/>
      <c r="L419" s="110"/>
      <c r="M419" s="110"/>
      <c r="N419" s="110"/>
      <c r="P419" s="110"/>
      <c r="Q419" s="110"/>
      <c r="R419" s="110"/>
    </row>
    <row r="420" spans="11:18" ht="15.75" customHeight="1">
      <c r="K420" s="110"/>
      <c r="L420" s="110"/>
      <c r="M420" s="110"/>
      <c r="N420" s="110"/>
      <c r="P420" s="110"/>
      <c r="Q420" s="110"/>
      <c r="R420" s="110"/>
    </row>
    <row r="421" spans="11:18" ht="15.75" customHeight="1">
      <c r="K421" s="110"/>
      <c r="L421" s="110"/>
      <c r="M421" s="110"/>
      <c r="N421" s="110"/>
      <c r="P421" s="110"/>
      <c r="Q421" s="110"/>
      <c r="R421" s="110"/>
    </row>
    <row r="422" spans="11:18" ht="15.75" customHeight="1">
      <c r="K422" s="110"/>
      <c r="L422" s="110"/>
      <c r="M422" s="110"/>
      <c r="N422" s="110"/>
      <c r="P422" s="110"/>
      <c r="Q422" s="110"/>
      <c r="R422" s="110"/>
    </row>
    <row r="423" spans="11:18" ht="15.75" customHeight="1">
      <c r="K423" s="110"/>
      <c r="L423" s="110"/>
      <c r="M423" s="110"/>
      <c r="N423" s="110"/>
      <c r="P423" s="110"/>
      <c r="Q423" s="110"/>
      <c r="R423" s="110"/>
    </row>
    <row r="424" spans="11:18" ht="15.75" customHeight="1">
      <c r="K424" s="110"/>
      <c r="L424" s="110"/>
      <c r="M424" s="110"/>
      <c r="N424" s="110"/>
      <c r="P424" s="110"/>
      <c r="Q424" s="110"/>
      <c r="R424" s="110"/>
    </row>
    <row r="425" spans="11:18" ht="15.75" customHeight="1">
      <c r="K425" s="110"/>
      <c r="L425" s="110"/>
      <c r="M425" s="110"/>
      <c r="N425" s="110"/>
      <c r="P425" s="110"/>
      <c r="Q425" s="110"/>
      <c r="R425" s="110"/>
    </row>
    <row r="426" spans="11:18" ht="15.75" customHeight="1">
      <c r="K426" s="110"/>
      <c r="L426" s="110"/>
      <c r="M426" s="110"/>
      <c r="N426" s="110"/>
      <c r="P426" s="110"/>
      <c r="Q426" s="110"/>
      <c r="R426" s="110"/>
    </row>
    <row r="427" spans="11:18" ht="15.75" customHeight="1">
      <c r="K427" s="110"/>
      <c r="L427" s="110"/>
      <c r="M427" s="110"/>
      <c r="N427" s="110"/>
      <c r="P427" s="110"/>
      <c r="Q427" s="110"/>
      <c r="R427" s="110"/>
    </row>
    <row r="428" spans="11:18" ht="15.75" customHeight="1">
      <c r="K428" s="110"/>
      <c r="L428" s="110"/>
      <c r="M428" s="110"/>
      <c r="N428" s="110"/>
      <c r="P428" s="110"/>
      <c r="Q428" s="110"/>
      <c r="R428" s="110"/>
    </row>
    <row r="429" spans="11:18" ht="15.75" customHeight="1">
      <c r="K429" s="110"/>
      <c r="L429" s="110"/>
      <c r="M429" s="110"/>
      <c r="N429" s="110"/>
      <c r="P429" s="110"/>
      <c r="Q429" s="110"/>
      <c r="R429" s="110"/>
    </row>
    <row r="430" spans="11:18" ht="15.75" customHeight="1">
      <c r="K430" s="110"/>
      <c r="L430" s="110"/>
      <c r="M430" s="110"/>
      <c r="N430" s="110"/>
      <c r="P430" s="110"/>
      <c r="Q430" s="110"/>
      <c r="R430" s="110"/>
    </row>
    <row r="431" spans="11:18" ht="15.75" customHeight="1">
      <c r="K431" s="110"/>
      <c r="L431" s="110"/>
      <c r="M431" s="110"/>
      <c r="N431" s="110"/>
      <c r="P431" s="110"/>
      <c r="Q431" s="110"/>
      <c r="R431" s="110"/>
    </row>
    <row r="432" spans="11:18" ht="15.75" customHeight="1">
      <c r="K432" s="110"/>
      <c r="L432" s="110"/>
      <c r="M432" s="110"/>
      <c r="N432" s="110"/>
      <c r="P432" s="110"/>
      <c r="Q432" s="110"/>
      <c r="R432" s="110"/>
    </row>
    <row r="433" spans="11:18" ht="15.75" customHeight="1">
      <c r="K433" s="110"/>
      <c r="L433" s="110"/>
      <c r="M433" s="110"/>
      <c r="N433" s="110"/>
      <c r="P433" s="110"/>
      <c r="Q433" s="110"/>
      <c r="R433" s="110"/>
    </row>
    <row r="434" spans="11:18" ht="15.75" customHeight="1">
      <c r="K434" s="110"/>
      <c r="L434" s="110"/>
      <c r="M434" s="110"/>
      <c r="N434" s="110"/>
      <c r="P434" s="110"/>
      <c r="Q434" s="110"/>
      <c r="R434" s="110"/>
    </row>
    <row r="435" spans="11:18" ht="15.75" customHeight="1">
      <c r="K435" s="110"/>
      <c r="L435" s="110"/>
      <c r="M435" s="110"/>
      <c r="N435" s="110"/>
      <c r="P435" s="110"/>
      <c r="Q435" s="110"/>
      <c r="R435" s="110"/>
    </row>
    <row r="436" spans="11:18" ht="15.75" customHeight="1">
      <c r="K436" s="110"/>
      <c r="L436" s="110"/>
      <c r="M436" s="110"/>
      <c r="N436" s="110"/>
      <c r="P436" s="110"/>
      <c r="Q436" s="110"/>
      <c r="R436" s="110"/>
    </row>
    <row r="437" spans="11:18" ht="15.75" customHeight="1">
      <c r="K437" s="110"/>
      <c r="L437" s="110"/>
      <c r="M437" s="110"/>
      <c r="N437" s="110"/>
      <c r="P437" s="110"/>
      <c r="Q437" s="110"/>
      <c r="R437" s="110"/>
    </row>
    <row r="438" spans="11:18" ht="15.75" customHeight="1">
      <c r="K438" s="110"/>
      <c r="L438" s="110"/>
      <c r="M438" s="110"/>
      <c r="N438" s="110"/>
      <c r="P438" s="110"/>
      <c r="Q438" s="110"/>
      <c r="R438" s="110"/>
    </row>
    <row r="439" spans="11:18" ht="15.75" customHeight="1">
      <c r="K439" s="110"/>
      <c r="L439" s="110"/>
      <c r="M439" s="110"/>
      <c r="N439" s="110"/>
      <c r="P439" s="110"/>
      <c r="Q439" s="110"/>
      <c r="R439" s="110"/>
    </row>
    <row r="440" spans="11:18" ht="15.75" customHeight="1">
      <c r="K440" s="110"/>
      <c r="L440" s="110"/>
      <c r="M440" s="110"/>
      <c r="N440" s="110"/>
      <c r="P440" s="110"/>
      <c r="Q440" s="110"/>
      <c r="R440" s="110"/>
    </row>
    <row r="441" spans="11:18" ht="15.75" customHeight="1">
      <c r="K441" s="110"/>
      <c r="L441" s="110"/>
      <c r="M441" s="110"/>
      <c r="N441" s="110"/>
      <c r="P441" s="110"/>
      <c r="Q441" s="110"/>
      <c r="R441" s="110"/>
    </row>
    <row r="442" spans="11:18" ht="15.75" customHeight="1">
      <c r="K442" s="110"/>
      <c r="L442" s="110"/>
      <c r="M442" s="110"/>
      <c r="N442" s="110"/>
      <c r="P442" s="110"/>
      <c r="Q442" s="110"/>
      <c r="R442" s="110"/>
    </row>
    <row r="443" spans="11:18" ht="15.75" customHeight="1">
      <c r="K443" s="110"/>
      <c r="L443" s="110"/>
      <c r="M443" s="110"/>
      <c r="N443" s="110"/>
      <c r="P443" s="110"/>
      <c r="Q443" s="110"/>
      <c r="R443" s="110"/>
    </row>
    <row r="444" spans="11:18" ht="15.75" customHeight="1">
      <c r="K444" s="110"/>
      <c r="L444" s="110"/>
      <c r="M444" s="110"/>
      <c r="N444" s="110"/>
      <c r="P444" s="110"/>
      <c r="Q444" s="110"/>
      <c r="R444" s="110"/>
    </row>
    <row r="445" spans="11:18" ht="15.75" customHeight="1">
      <c r="K445" s="110"/>
      <c r="L445" s="110"/>
      <c r="M445" s="110"/>
      <c r="N445" s="110"/>
      <c r="P445" s="110"/>
      <c r="Q445" s="110"/>
      <c r="R445" s="110"/>
    </row>
    <row r="446" spans="11:18" ht="15.75" customHeight="1">
      <c r="K446" s="110"/>
      <c r="L446" s="110"/>
      <c r="M446" s="110"/>
      <c r="N446" s="110"/>
      <c r="P446" s="110"/>
      <c r="Q446" s="110"/>
      <c r="R446" s="110"/>
    </row>
    <row r="447" spans="11:18" ht="15.75" customHeight="1">
      <c r="K447" s="110"/>
      <c r="L447" s="110"/>
      <c r="M447" s="110"/>
      <c r="N447" s="110"/>
      <c r="P447" s="110"/>
      <c r="Q447" s="110"/>
      <c r="R447" s="110"/>
    </row>
    <row r="448" spans="11:18" ht="15.75" customHeight="1">
      <c r="K448" s="110"/>
      <c r="L448" s="110"/>
      <c r="M448" s="110"/>
      <c r="N448" s="110"/>
      <c r="P448" s="110"/>
      <c r="Q448" s="110"/>
      <c r="R448" s="110"/>
    </row>
    <row r="449" spans="11:18" ht="15.75" customHeight="1">
      <c r="K449" s="110"/>
      <c r="L449" s="110"/>
      <c r="M449" s="110"/>
      <c r="N449" s="110"/>
      <c r="P449" s="110"/>
      <c r="Q449" s="110"/>
      <c r="R449" s="110"/>
    </row>
    <row r="450" spans="11:18" ht="15.75" customHeight="1">
      <c r="K450" s="110"/>
      <c r="L450" s="110"/>
      <c r="M450" s="110"/>
      <c r="N450" s="110"/>
      <c r="P450" s="110"/>
      <c r="Q450" s="110"/>
      <c r="R450" s="110"/>
    </row>
    <row r="451" spans="11:18" ht="15.75" customHeight="1">
      <c r="K451" s="110"/>
      <c r="L451" s="110"/>
      <c r="M451" s="110"/>
      <c r="N451" s="110"/>
      <c r="P451" s="110"/>
      <c r="Q451" s="110"/>
      <c r="R451" s="110"/>
    </row>
    <row r="452" spans="11:18" ht="15.75" customHeight="1">
      <c r="K452" s="110"/>
      <c r="L452" s="110"/>
      <c r="M452" s="110"/>
      <c r="N452" s="110"/>
      <c r="P452" s="110"/>
      <c r="Q452" s="110"/>
      <c r="R452" s="110"/>
    </row>
    <row r="453" spans="11:18" ht="15.75" customHeight="1">
      <c r="K453" s="110"/>
      <c r="L453" s="110"/>
      <c r="M453" s="110"/>
      <c r="N453" s="110"/>
      <c r="P453" s="110"/>
      <c r="Q453" s="110"/>
      <c r="R453" s="110"/>
    </row>
    <row r="454" spans="11:18" ht="15.75" customHeight="1">
      <c r="K454" s="110"/>
      <c r="L454" s="110"/>
      <c r="M454" s="110"/>
      <c r="N454" s="110"/>
      <c r="P454" s="110"/>
      <c r="Q454" s="110"/>
      <c r="R454" s="110"/>
    </row>
    <row r="455" spans="11:18" ht="15.75" customHeight="1">
      <c r="K455" s="110"/>
      <c r="L455" s="110"/>
      <c r="M455" s="110"/>
      <c r="N455" s="110"/>
      <c r="P455" s="110"/>
      <c r="Q455" s="110"/>
      <c r="R455" s="110"/>
    </row>
    <row r="456" spans="11:18" ht="15.75" customHeight="1">
      <c r="K456" s="110"/>
      <c r="L456" s="110"/>
      <c r="M456" s="110"/>
      <c r="N456" s="110"/>
      <c r="P456" s="110"/>
      <c r="Q456" s="110"/>
      <c r="R456" s="110"/>
    </row>
    <row r="457" spans="11:18" ht="15.75" customHeight="1">
      <c r="K457" s="110"/>
      <c r="L457" s="110"/>
      <c r="M457" s="110"/>
      <c r="N457" s="110"/>
      <c r="P457" s="110"/>
      <c r="Q457" s="110"/>
      <c r="R457" s="110"/>
    </row>
    <row r="458" spans="11:18" ht="15.75" customHeight="1">
      <c r="K458" s="110"/>
      <c r="L458" s="110"/>
      <c r="M458" s="110"/>
      <c r="N458" s="110"/>
      <c r="P458" s="110"/>
      <c r="Q458" s="110"/>
      <c r="R458" s="110"/>
    </row>
    <row r="459" spans="11:18" ht="15.75" customHeight="1">
      <c r="K459" s="110"/>
      <c r="L459" s="110"/>
      <c r="M459" s="110"/>
      <c r="N459" s="110"/>
      <c r="P459" s="110"/>
      <c r="Q459" s="110"/>
      <c r="R459" s="110"/>
    </row>
    <row r="460" spans="11:18" ht="15.75" customHeight="1">
      <c r="K460" s="110"/>
      <c r="L460" s="110"/>
      <c r="M460" s="110"/>
      <c r="N460" s="110"/>
      <c r="P460" s="110"/>
      <c r="Q460" s="110"/>
      <c r="R460" s="110"/>
    </row>
    <row r="461" spans="11:18" ht="15.75" customHeight="1">
      <c r="K461" s="110"/>
      <c r="L461" s="110"/>
      <c r="M461" s="110"/>
      <c r="N461" s="110"/>
      <c r="P461" s="110"/>
      <c r="Q461" s="110"/>
      <c r="R461" s="110"/>
    </row>
    <row r="462" spans="11:18" ht="15.75" customHeight="1">
      <c r="K462" s="110"/>
      <c r="L462" s="110"/>
      <c r="M462" s="110"/>
      <c r="N462" s="110"/>
      <c r="P462" s="110"/>
      <c r="Q462" s="110"/>
      <c r="R462" s="110"/>
    </row>
    <row r="463" spans="11:18" ht="15.75" customHeight="1">
      <c r="K463" s="110"/>
      <c r="L463" s="110"/>
      <c r="M463" s="110"/>
      <c r="N463" s="110"/>
      <c r="P463" s="110"/>
      <c r="Q463" s="110"/>
      <c r="R463" s="110"/>
    </row>
    <row r="464" spans="11:18" ht="15.75" customHeight="1">
      <c r="K464" s="110"/>
      <c r="L464" s="110"/>
      <c r="M464" s="110"/>
      <c r="N464" s="110"/>
      <c r="P464" s="110"/>
      <c r="Q464" s="110"/>
      <c r="R464" s="110"/>
    </row>
    <row r="465" spans="11:18" ht="15.75" customHeight="1">
      <c r="K465" s="110"/>
      <c r="L465" s="110"/>
      <c r="M465" s="110"/>
      <c r="N465" s="110"/>
      <c r="P465" s="110"/>
      <c r="Q465" s="110"/>
      <c r="R465" s="110"/>
    </row>
    <row r="466" spans="11:18" ht="15.75" customHeight="1">
      <c r="K466" s="110"/>
      <c r="L466" s="110"/>
      <c r="M466" s="110"/>
      <c r="N466" s="110"/>
      <c r="P466" s="110"/>
      <c r="Q466" s="110"/>
      <c r="R466" s="110"/>
    </row>
    <row r="467" spans="11:18" ht="15.75" customHeight="1">
      <c r="K467" s="110"/>
      <c r="L467" s="110"/>
      <c r="M467" s="110"/>
      <c r="N467" s="110"/>
      <c r="P467" s="110"/>
      <c r="Q467" s="110"/>
      <c r="R467" s="110"/>
    </row>
    <row r="468" spans="11:18" ht="15.75" customHeight="1">
      <c r="K468" s="110"/>
      <c r="L468" s="110"/>
      <c r="M468" s="110"/>
      <c r="N468" s="110"/>
      <c r="P468" s="110"/>
      <c r="Q468" s="110"/>
      <c r="R468" s="110"/>
    </row>
    <row r="469" spans="11:18" ht="15.75" customHeight="1">
      <c r="K469" s="110"/>
      <c r="L469" s="110"/>
      <c r="M469" s="110"/>
      <c r="N469" s="110"/>
      <c r="P469" s="110"/>
      <c r="Q469" s="110"/>
      <c r="R469" s="110"/>
    </row>
    <row r="470" spans="11:18" ht="15.75" customHeight="1">
      <c r="K470" s="110"/>
      <c r="L470" s="110"/>
      <c r="M470" s="110"/>
      <c r="N470" s="110"/>
      <c r="P470" s="110"/>
      <c r="Q470" s="110"/>
      <c r="R470" s="110"/>
    </row>
    <row r="471" spans="11:18" ht="15.75" customHeight="1">
      <c r="K471" s="110"/>
      <c r="L471" s="110"/>
      <c r="M471" s="110"/>
      <c r="N471" s="110"/>
      <c r="P471" s="110"/>
      <c r="Q471" s="110"/>
      <c r="R471" s="110"/>
    </row>
    <row r="472" spans="11:18" ht="15.75" customHeight="1">
      <c r="K472" s="110"/>
      <c r="L472" s="110"/>
      <c r="M472" s="110"/>
      <c r="N472" s="110"/>
      <c r="P472" s="110"/>
      <c r="Q472" s="110"/>
      <c r="R472" s="110"/>
    </row>
    <row r="473" spans="11:18" ht="15.75" customHeight="1">
      <c r="K473" s="110"/>
      <c r="L473" s="110"/>
      <c r="M473" s="110"/>
      <c r="N473" s="110"/>
      <c r="P473" s="110"/>
      <c r="Q473" s="110"/>
      <c r="R473" s="110"/>
    </row>
    <row r="474" spans="11:18" ht="15.75" customHeight="1">
      <c r="K474" s="110"/>
      <c r="L474" s="110"/>
      <c r="M474" s="110"/>
      <c r="N474" s="110"/>
      <c r="P474" s="110"/>
      <c r="Q474" s="110"/>
      <c r="R474" s="110"/>
    </row>
    <row r="475" spans="11:18" ht="15.75" customHeight="1">
      <c r="K475" s="110"/>
      <c r="L475" s="110"/>
      <c r="M475" s="110"/>
      <c r="N475" s="110"/>
      <c r="P475" s="110"/>
      <c r="Q475" s="110"/>
      <c r="R475" s="110"/>
    </row>
    <row r="476" spans="11:18" ht="15.75" customHeight="1">
      <c r="K476" s="110"/>
      <c r="L476" s="110"/>
      <c r="M476" s="110"/>
      <c r="N476" s="110"/>
      <c r="P476" s="110"/>
      <c r="Q476" s="110"/>
      <c r="R476" s="110"/>
    </row>
    <row r="477" spans="11:18" ht="15.75" customHeight="1">
      <c r="K477" s="110"/>
      <c r="L477" s="110"/>
      <c r="M477" s="110"/>
      <c r="N477" s="110"/>
      <c r="P477" s="110"/>
      <c r="Q477" s="110"/>
      <c r="R477" s="110"/>
    </row>
    <row r="478" spans="11:18" ht="15.75" customHeight="1">
      <c r="K478" s="110"/>
      <c r="L478" s="110"/>
      <c r="M478" s="110"/>
      <c r="N478" s="110"/>
      <c r="P478" s="110"/>
      <c r="Q478" s="110"/>
      <c r="R478" s="110"/>
    </row>
    <row r="479" spans="11:18" ht="15.75" customHeight="1">
      <c r="K479" s="110"/>
      <c r="L479" s="110"/>
      <c r="M479" s="110"/>
      <c r="N479" s="110"/>
      <c r="P479" s="110"/>
      <c r="Q479" s="110"/>
      <c r="R479" s="110"/>
    </row>
    <row r="480" spans="11:18" ht="15.75" customHeight="1">
      <c r="K480" s="110"/>
      <c r="L480" s="110"/>
      <c r="M480" s="110"/>
      <c r="N480" s="110"/>
      <c r="P480" s="110"/>
      <c r="Q480" s="110"/>
      <c r="R480" s="110"/>
    </row>
    <row r="481" spans="11:18" ht="15.75" customHeight="1">
      <c r="K481" s="110"/>
      <c r="L481" s="110"/>
      <c r="M481" s="110"/>
      <c r="N481" s="110"/>
      <c r="P481" s="110"/>
      <c r="Q481" s="110"/>
      <c r="R481" s="110"/>
    </row>
    <row r="482" spans="11:18" ht="15.75" customHeight="1">
      <c r="K482" s="110"/>
      <c r="L482" s="110"/>
      <c r="M482" s="110"/>
      <c r="N482" s="110"/>
      <c r="P482" s="110"/>
      <c r="Q482" s="110"/>
      <c r="R482" s="110"/>
    </row>
    <row r="483" spans="11:18" ht="15.75" customHeight="1">
      <c r="K483" s="110"/>
      <c r="L483" s="110"/>
      <c r="M483" s="110"/>
      <c r="N483" s="110"/>
      <c r="P483" s="110"/>
      <c r="Q483" s="110"/>
      <c r="R483" s="110"/>
    </row>
    <row r="484" spans="11:18" ht="15.75" customHeight="1">
      <c r="K484" s="110"/>
      <c r="L484" s="110"/>
      <c r="M484" s="110"/>
      <c r="N484" s="110"/>
      <c r="P484" s="110"/>
      <c r="Q484" s="110"/>
      <c r="R484" s="110"/>
    </row>
    <row r="485" spans="11:18" ht="15.75" customHeight="1">
      <c r="K485" s="110"/>
      <c r="L485" s="110"/>
      <c r="M485" s="110"/>
      <c r="N485" s="110"/>
      <c r="P485" s="110"/>
      <c r="Q485" s="110"/>
      <c r="R485" s="110"/>
    </row>
    <row r="486" spans="11:18" ht="15.75" customHeight="1">
      <c r="K486" s="110"/>
      <c r="L486" s="110"/>
      <c r="M486" s="110"/>
      <c r="N486" s="110"/>
      <c r="P486" s="110"/>
      <c r="Q486" s="110"/>
      <c r="R486" s="110"/>
    </row>
    <row r="487" spans="11:18" ht="15.75" customHeight="1">
      <c r="K487" s="110"/>
      <c r="L487" s="110"/>
      <c r="M487" s="110"/>
      <c r="N487" s="110"/>
      <c r="P487" s="110"/>
      <c r="Q487" s="110"/>
      <c r="R487" s="110"/>
    </row>
    <row r="488" spans="11:18" ht="15.75" customHeight="1">
      <c r="K488" s="110"/>
      <c r="L488" s="110"/>
      <c r="M488" s="110"/>
      <c r="N488" s="110"/>
      <c r="P488" s="110"/>
      <c r="Q488" s="110"/>
      <c r="R488" s="110"/>
    </row>
    <row r="489" spans="11:18" ht="15.75" customHeight="1">
      <c r="K489" s="110"/>
      <c r="L489" s="110"/>
      <c r="M489" s="110"/>
      <c r="N489" s="110"/>
      <c r="P489" s="110"/>
      <c r="Q489" s="110"/>
      <c r="R489" s="110"/>
    </row>
    <row r="490" spans="11:18" ht="15.75" customHeight="1">
      <c r="K490" s="110"/>
      <c r="L490" s="110"/>
      <c r="M490" s="110"/>
      <c r="N490" s="110"/>
      <c r="P490" s="110"/>
      <c r="Q490" s="110"/>
      <c r="R490" s="110"/>
    </row>
    <row r="491" spans="11:18" ht="15.75" customHeight="1">
      <c r="K491" s="110"/>
      <c r="L491" s="110"/>
      <c r="M491" s="110"/>
      <c r="N491" s="110"/>
      <c r="P491" s="110"/>
      <c r="Q491" s="110"/>
      <c r="R491" s="110"/>
    </row>
    <row r="492" spans="11:18" ht="15.75" customHeight="1">
      <c r="K492" s="110"/>
      <c r="L492" s="110"/>
      <c r="M492" s="110"/>
      <c r="N492" s="110"/>
      <c r="P492" s="110"/>
      <c r="Q492" s="110"/>
      <c r="R492" s="110"/>
    </row>
    <row r="493" spans="11:18" ht="15.75" customHeight="1">
      <c r="K493" s="110"/>
      <c r="L493" s="110"/>
      <c r="M493" s="110"/>
      <c r="N493" s="110"/>
      <c r="P493" s="110"/>
      <c r="Q493" s="110"/>
      <c r="R493" s="110"/>
    </row>
    <row r="494" spans="11:18" ht="15.75" customHeight="1">
      <c r="K494" s="110"/>
      <c r="L494" s="110"/>
      <c r="M494" s="110"/>
      <c r="N494" s="110"/>
      <c r="P494" s="110"/>
      <c r="Q494" s="110"/>
      <c r="R494" s="110"/>
    </row>
    <row r="495" spans="11:18" ht="15.75" customHeight="1">
      <c r="K495" s="110"/>
      <c r="L495" s="110"/>
      <c r="M495" s="110"/>
      <c r="N495" s="110"/>
      <c r="P495" s="110"/>
      <c r="Q495" s="110"/>
      <c r="R495" s="110"/>
    </row>
    <row r="496" spans="11:18" ht="15.75" customHeight="1">
      <c r="K496" s="110"/>
      <c r="L496" s="110"/>
      <c r="M496" s="110"/>
      <c r="N496" s="110"/>
      <c r="P496" s="110"/>
      <c r="Q496" s="110"/>
      <c r="R496" s="110"/>
    </row>
    <row r="497" spans="11:18" ht="15.75" customHeight="1">
      <c r="K497" s="110"/>
      <c r="L497" s="110"/>
      <c r="M497" s="110"/>
      <c r="N497" s="110"/>
      <c r="P497" s="110"/>
      <c r="Q497" s="110"/>
      <c r="R497" s="110"/>
    </row>
    <row r="498" spans="11:18" ht="15.75" customHeight="1">
      <c r="K498" s="110"/>
      <c r="L498" s="110"/>
      <c r="M498" s="110"/>
      <c r="N498" s="110"/>
      <c r="P498" s="110"/>
      <c r="Q498" s="110"/>
      <c r="R498" s="110"/>
    </row>
    <row r="499" spans="11:18" ht="15.75" customHeight="1">
      <c r="K499" s="110"/>
      <c r="L499" s="110"/>
      <c r="M499" s="110"/>
      <c r="N499" s="110"/>
      <c r="P499" s="110"/>
      <c r="Q499" s="110"/>
      <c r="R499" s="110"/>
    </row>
    <row r="500" spans="11:18" ht="15.75" customHeight="1">
      <c r="K500" s="110"/>
      <c r="L500" s="110"/>
      <c r="M500" s="110"/>
      <c r="N500" s="110"/>
      <c r="P500" s="110"/>
      <c r="Q500" s="110"/>
      <c r="R500" s="110"/>
    </row>
    <row r="501" spans="11:18" ht="15.75" customHeight="1">
      <c r="K501" s="110"/>
      <c r="L501" s="110"/>
      <c r="M501" s="110"/>
      <c r="N501" s="110"/>
      <c r="P501" s="110"/>
      <c r="Q501" s="110"/>
      <c r="R501" s="110"/>
    </row>
    <row r="502" spans="11:18" ht="15.75" customHeight="1">
      <c r="K502" s="110"/>
      <c r="L502" s="110"/>
      <c r="M502" s="110"/>
      <c r="N502" s="110"/>
      <c r="P502" s="110"/>
      <c r="Q502" s="110"/>
      <c r="R502" s="110"/>
    </row>
    <row r="503" spans="11:18" ht="15.75" customHeight="1">
      <c r="K503" s="110"/>
      <c r="L503" s="110"/>
      <c r="M503" s="110"/>
      <c r="N503" s="110"/>
      <c r="P503" s="110"/>
      <c r="Q503" s="110"/>
      <c r="R503" s="110"/>
    </row>
    <row r="504" spans="11:18" ht="15.75" customHeight="1">
      <c r="K504" s="110"/>
      <c r="L504" s="110"/>
      <c r="M504" s="110"/>
      <c r="N504" s="110"/>
      <c r="P504" s="110"/>
      <c r="Q504" s="110"/>
      <c r="R504" s="110"/>
    </row>
    <row r="505" spans="11:18" ht="15.75" customHeight="1">
      <c r="K505" s="110"/>
      <c r="L505" s="110"/>
      <c r="M505" s="110"/>
      <c r="N505" s="110"/>
      <c r="P505" s="110"/>
      <c r="Q505" s="110"/>
      <c r="R505" s="110"/>
    </row>
    <row r="506" spans="11:18" ht="15.75" customHeight="1">
      <c r="K506" s="110"/>
      <c r="L506" s="110"/>
      <c r="M506" s="110"/>
      <c r="N506" s="110"/>
      <c r="P506" s="110"/>
      <c r="Q506" s="110"/>
      <c r="R506" s="110"/>
    </row>
    <row r="507" spans="11:18" ht="15.75" customHeight="1">
      <c r="K507" s="110"/>
      <c r="L507" s="110"/>
      <c r="M507" s="110"/>
      <c r="N507" s="110"/>
      <c r="P507" s="110"/>
      <c r="Q507" s="110"/>
      <c r="R507" s="110"/>
    </row>
    <row r="508" spans="11:18" ht="15.75" customHeight="1">
      <c r="K508" s="110"/>
      <c r="L508" s="110"/>
      <c r="M508" s="110"/>
      <c r="N508" s="110"/>
      <c r="P508" s="110"/>
      <c r="Q508" s="110"/>
      <c r="R508" s="110"/>
    </row>
    <row r="509" spans="11:18" ht="15.75" customHeight="1">
      <c r="K509" s="110"/>
      <c r="L509" s="110"/>
      <c r="M509" s="110"/>
      <c r="N509" s="110"/>
      <c r="P509" s="110"/>
      <c r="Q509" s="110"/>
      <c r="R509" s="110"/>
    </row>
    <row r="510" spans="11:18" ht="15.75" customHeight="1">
      <c r="K510" s="110"/>
      <c r="L510" s="110"/>
      <c r="M510" s="110"/>
      <c r="N510" s="110"/>
      <c r="P510" s="110"/>
      <c r="Q510" s="110"/>
      <c r="R510" s="110"/>
    </row>
    <row r="511" spans="11:18" ht="15.75" customHeight="1">
      <c r="K511" s="110"/>
      <c r="L511" s="110"/>
      <c r="M511" s="110"/>
      <c r="N511" s="110"/>
      <c r="P511" s="110"/>
      <c r="Q511" s="110"/>
      <c r="R511" s="110"/>
    </row>
    <row r="512" spans="11:18" ht="15.75" customHeight="1">
      <c r="K512" s="110"/>
      <c r="L512" s="110"/>
      <c r="M512" s="110"/>
      <c r="N512" s="110"/>
      <c r="P512" s="110"/>
      <c r="Q512" s="110"/>
      <c r="R512" s="110"/>
    </row>
    <row r="513" spans="11:18" ht="15.75" customHeight="1">
      <c r="K513" s="110"/>
      <c r="L513" s="110"/>
      <c r="M513" s="110"/>
      <c r="N513" s="110"/>
      <c r="P513" s="110"/>
      <c r="Q513" s="110"/>
      <c r="R513" s="110"/>
    </row>
    <row r="514" spans="11:18" ht="15.75" customHeight="1">
      <c r="K514" s="110"/>
      <c r="L514" s="110"/>
      <c r="M514" s="110"/>
      <c r="N514" s="110"/>
      <c r="P514" s="110"/>
      <c r="Q514" s="110"/>
      <c r="R514" s="110"/>
    </row>
    <row r="515" spans="11:18" ht="15.75" customHeight="1">
      <c r="K515" s="110"/>
      <c r="L515" s="110"/>
      <c r="M515" s="110"/>
      <c r="N515" s="110"/>
      <c r="P515" s="110"/>
      <c r="Q515" s="110"/>
      <c r="R515" s="110"/>
    </row>
    <row r="516" spans="11:18" ht="15.75" customHeight="1">
      <c r="K516" s="110"/>
      <c r="L516" s="110"/>
      <c r="M516" s="110"/>
      <c r="N516" s="110"/>
      <c r="P516" s="110"/>
      <c r="Q516" s="110"/>
      <c r="R516" s="110"/>
    </row>
    <row r="517" spans="11:18" ht="15.75" customHeight="1">
      <c r="K517" s="110"/>
      <c r="L517" s="110"/>
      <c r="M517" s="110"/>
      <c r="N517" s="110"/>
      <c r="P517" s="110"/>
      <c r="Q517" s="110"/>
      <c r="R517" s="110"/>
    </row>
    <row r="518" spans="11:18" ht="15.75" customHeight="1">
      <c r="K518" s="110"/>
      <c r="L518" s="110"/>
      <c r="M518" s="110"/>
      <c r="N518" s="110"/>
      <c r="P518" s="110"/>
      <c r="Q518" s="110"/>
      <c r="R518" s="110"/>
    </row>
    <row r="519" spans="11:18" ht="15.75" customHeight="1">
      <c r="K519" s="110"/>
      <c r="L519" s="110"/>
      <c r="M519" s="110"/>
      <c r="N519" s="110"/>
      <c r="P519" s="110"/>
      <c r="Q519" s="110"/>
      <c r="R519" s="110"/>
    </row>
    <row r="520" spans="11:18" ht="15.75" customHeight="1">
      <c r="K520" s="110"/>
      <c r="L520" s="110"/>
      <c r="M520" s="110"/>
      <c r="N520" s="110"/>
      <c r="P520" s="110"/>
      <c r="Q520" s="110"/>
      <c r="R520" s="110"/>
    </row>
    <row r="521" spans="11:18" ht="15.75" customHeight="1">
      <c r="K521" s="110"/>
      <c r="L521" s="110"/>
      <c r="M521" s="110"/>
      <c r="N521" s="110"/>
      <c r="P521" s="110"/>
      <c r="Q521" s="110"/>
      <c r="R521" s="110"/>
    </row>
    <row r="522" spans="11:18" ht="15.75" customHeight="1">
      <c r="K522" s="110"/>
      <c r="L522" s="110"/>
      <c r="M522" s="110"/>
      <c r="N522" s="110"/>
      <c r="P522" s="110"/>
      <c r="Q522" s="110"/>
      <c r="R522" s="110"/>
    </row>
    <row r="523" spans="11:18" ht="15.75" customHeight="1">
      <c r="K523" s="110"/>
      <c r="L523" s="110"/>
      <c r="M523" s="110"/>
      <c r="N523" s="110"/>
      <c r="P523" s="110"/>
      <c r="Q523" s="110"/>
      <c r="R523" s="110"/>
    </row>
    <row r="524" spans="11:18" ht="15.75" customHeight="1">
      <c r="K524" s="110"/>
      <c r="L524" s="110"/>
      <c r="M524" s="110"/>
      <c r="N524" s="110"/>
      <c r="P524" s="110"/>
      <c r="Q524" s="110"/>
      <c r="R524" s="110"/>
    </row>
    <row r="525" spans="11:18" ht="15.75" customHeight="1">
      <c r="K525" s="110"/>
      <c r="L525" s="110"/>
      <c r="M525" s="110"/>
      <c r="N525" s="110"/>
      <c r="P525" s="110"/>
      <c r="Q525" s="110"/>
      <c r="R525" s="110"/>
    </row>
    <row r="526" spans="11:18" ht="15.75" customHeight="1">
      <c r="K526" s="110"/>
      <c r="L526" s="110"/>
      <c r="M526" s="110"/>
      <c r="N526" s="110"/>
      <c r="P526" s="110"/>
      <c r="Q526" s="110"/>
      <c r="R526" s="110"/>
    </row>
    <row r="527" spans="11:18" ht="15.75" customHeight="1">
      <c r="K527" s="110"/>
      <c r="L527" s="110"/>
      <c r="M527" s="110"/>
      <c r="N527" s="110"/>
      <c r="P527" s="110"/>
      <c r="Q527" s="110"/>
      <c r="R527" s="110"/>
    </row>
    <row r="528" spans="11:18" ht="15.75" customHeight="1">
      <c r="K528" s="110"/>
      <c r="L528" s="110"/>
      <c r="M528" s="110"/>
      <c r="N528" s="110"/>
      <c r="P528" s="110"/>
      <c r="Q528" s="110"/>
      <c r="R528" s="110"/>
    </row>
    <row r="529" spans="11:18" ht="15.75" customHeight="1">
      <c r="K529" s="110"/>
      <c r="L529" s="110"/>
      <c r="M529" s="110"/>
      <c r="N529" s="110"/>
      <c r="P529" s="110"/>
      <c r="Q529" s="110"/>
      <c r="R529" s="110"/>
    </row>
    <row r="530" spans="11:18" ht="15.75" customHeight="1">
      <c r="K530" s="110"/>
      <c r="L530" s="110"/>
      <c r="M530" s="110"/>
      <c r="N530" s="110"/>
      <c r="P530" s="110"/>
      <c r="Q530" s="110"/>
      <c r="R530" s="110"/>
    </row>
    <row r="531" spans="11:18" ht="15.75" customHeight="1">
      <c r="K531" s="110"/>
      <c r="L531" s="110"/>
      <c r="M531" s="110"/>
      <c r="N531" s="110"/>
      <c r="P531" s="110"/>
      <c r="Q531" s="110"/>
      <c r="R531" s="110"/>
    </row>
    <row r="532" spans="11:18" ht="15.75" customHeight="1">
      <c r="K532" s="110"/>
      <c r="L532" s="110"/>
      <c r="M532" s="110"/>
      <c r="N532" s="110"/>
      <c r="P532" s="110"/>
      <c r="Q532" s="110"/>
      <c r="R532" s="110"/>
    </row>
    <row r="533" spans="11:18" ht="15.75" customHeight="1">
      <c r="K533" s="110"/>
      <c r="L533" s="110"/>
      <c r="M533" s="110"/>
      <c r="N533" s="110"/>
      <c r="P533" s="110"/>
      <c r="Q533" s="110"/>
      <c r="R533" s="110"/>
    </row>
    <row r="534" spans="11:18" ht="15.75" customHeight="1">
      <c r="K534" s="110"/>
      <c r="L534" s="110"/>
      <c r="M534" s="110"/>
      <c r="N534" s="110"/>
      <c r="P534" s="110"/>
      <c r="Q534" s="110"/>
      <c r="R534" s="110"/>
    </row>
    <row r="535" spans="11:18" ht="15.75" customHeight="1">
      <c r="K535" s="110"/>
      <c r="L535" s="110"/>
      <c r="M535" s="110"/>
      <c r="N535" s="110"/>
      <c r="P535" s="110"/>
      <c r="Q535" s="110"/>
      <c r="R535" s="110"/>
    </row>
    <row r="536" spans="11:18" ht="15.75" customHeight="1">
      <c r="K536" s="110"/>
      <c r="L536" s="110"/>
      <c r="M536" s="110"/>
      <c r="N536" s="110"/>
      <c r="P536" s="110"/>
      <c r="Q536" s="110"/>
      <c r="R536" s="110"/>
    </row>
    <row r="537" spans="11:18" ht="15.75" customHeight="1">
      <c r="K537" s="110"/>
      <c r="L537" s="110"/>
      <c r="M537" s="110"/>
      <c r="N537" s="110"/>
      <c r="P537" s="110"/>
      <c r="Q537" s="110"/>
      <c r="R537" s="110"/>
    </row>
    <row r="538" spans="11:18" ht="15.75" customHeight="1">
      <c r="K538" s="110"/>
      <c r="L538" s="110"/>
      <c r="M538" s="110"/>
      <c r="N538" s="110"/>
      <c r="P538" s="110"/>
      <c r="Q538" s="110"/>
      <c r="R538" s="110"/>
    </row>
    <row r="539" spans="11:18" ht="15.75" customHeight="1">
      <c r="K539" s="110"/>
      <c r="L539" s="110"/>
      <c r="M539" s="110"/>
      <c r="N539" s="110"/>
      <c r="P539" s="110"/>
      <c r="Q539" s="110"/>
      <c r="R539" s="110"/>
    </row>
    <row r="540" spans="11:18" ht="15.75" customHeight="1">
      <c r="K540" s="110"/>
      <c r="L540" s="110"/>
      <c r="M540" s="110"/>
      <c r="N540" s="110"/>
      <c r="P540" s="110"/>
      <c r="Q540" s="110"/>
      <c r="R540" s="110"/>
    </row>
    <row r="541" spans="11:18" ht="15.75" customHeight="1">
      <c r="K541" s="110"/>
      <c r="L541" s="110"/>
      <c r="M541" s="110"/>
      <c r="N541" s="110"/>
      <c r="P541" s="110"/>
      <c r="Q541" s="110"/>
      <c r="R541" s="110"/>
    </row>
    <row r="542" spans="11:18" ht="15.75" customHeight="1">
      <c r="K542" s="110"/>
      <c r="L542" s="110"/>
      <c r="M542" s="110"/>
      <c r="N542" s="110"/>
      <c r="P542" s="110"/>
      <c r="Q542" s="110"/>
      <c r="R542" s="110"/>
    </row>
    <row r="543" spans="11:18" ht="15.75" customHeight="1">
      <c r="K543" s="110"/>
      <c r="L543" s="110"/>
      <c r="M543" s="110"/>
      <c r="N543" s="110"/>
      <c r="P543" s="110"/>
      <c r="Q543" s="110"/>
      <c r="R543" s="110"/>
    </row>
    <row r="544" spans="11:18" ht="15.75" customHeight="1">
      <c r="K544" s="110"/>
      <c r="L544" s="110"/>
      <c r="M544" s="110"/>
      <c r="N544" s="110"/>
      <c r="P544" s="110"/>
      <c r="Q544" s="110"/>
      <c r="R544" s="110"/>
    </row>
    <row r="545" spans="11:18" ht="15.75" customHeight="1">
      <c r="K545" s="110"/>
      <c r="L545" s="110"/>
      <c r="M545" s="110"/>
      <c r="N545" s="110"/>
      <c r="P545" s="110"/>
      <c r="Q545" s="110"/>
      <c r="R545" s="110"/>
    </row>
    <row r="546" spans="11:18" ht="15.75" customHeight="1">
      <c r="K546" s="110"/>
      <c r="L546" s="110"/>
      <c r="M546" s="110"/>
      <c r="N546" s="110"/>
      <c r="P546" s="110"/>
      <c r="Q546" s="110"/>
      <c r="R546" s="110"/>
    </row>
    <row r="547" spans="11:18" ht="15.75" customHeight="1">
      <c r="K547" s="110"/>
      <c r="L547" s="110"/>
      <c r="M547" s="110"/>
      <c r="N547" s="110"/>
      <c r="P547" s="110"/>
      <c r="Q547" s="110"/>
      <c r="R547" s="110"/>
    </row>
    <row r="548" spans="11:18" ht="15.75" customHeight="1">
      <c r="K548" s="110"/>
      <c r="L548" s="110"/>
      <c r="M548" s="110"/>
      <c r="N548" s="110"/>
      <c r="P548" s="110"/>
      <c r="Q548" s="110"/>
      <c r="R548" s="110"/>
    </row>
    <row r="549" spans="11:18" ht="15.75" customHeight="1">
      <c r="K549" s="110"/>
      <c r="L549" s="110"/>
      <c r="M549" s="110"/>
      <c r="N549" s="110"/>
      <c r="P549" s="110"/>
      <c r="Q549" s="110"/>
      <c r="R549" s="110"/>
    </row>
    <row r="550" spans="11:18" ht="15.75" customHeight="1">
      <c r="K550" s="110"/>
      <c r="L550" s="110"/>
      <c r="M550" s="110"/>
      <c r="N550" s="110"/>
      <c r="P550" s="110"/>
      <c r="Q550" s="110"/>
      <c r="R550" s="110"/>
    </row>
    <row r="551" spans="11:18" ht="15.75" customHeight="1">
      <c r="K551" s="110"/>
      <c r="L551" s="110"/>
      <c r="M551" s="110"/>
      <c r="N551" s="110"/>
      <c r="P551" s="110"/>
      <c r="Q551" s="110"/>
      <c r="R551" s="110"/>
    </row>
    <row r="552" spans="11:18" ht="15.75" customHeight="1">
      <c r="K552" s="110"/>
      <c r="L552" s="110"/>
      <c r="M552" s="110"/>
      <c r="N552" s="110"/>
      <c r="P552" s="110"/>
      <c r="Q552" s="110"/>
      <c r="R552" s="110"/>
    </row>
    <row r="553" spans="11:18" ht="15.75" customHeight="1">
      <c r="K553" s="110"/>
      <c r="L553" s="110"/>
      <c r="M553" s="110"/>
      <c r="N553" s="110"/>
      <c r="P553" s="110"/>
      <c r="Q553" s="110"/>
      <c r="R553" s="110"/>
    </row>
    <row r="554" spans="11:18" ht="15.75" customHeight="1">
      <c r="K554" s="110"/>
      <c r="L554" s="110"/>
      <c r="M554" s="110"/>
      <c r="N554" s="110"/>
      <c r="P554" s="110"/>
      <c r="Q554" s="110"/>
      <c r="R554" s="110"/>
    </row>
    <row r="555" spans="11:18" ht="15.75" customHeight="1">
      <c r="K555" s="110"/>
      <c r="L555" s="110"/>
      <c r="M555" s="110"/>
      <c r="N555" s="110"/>
      <c r="P555" s="110"/>
      <c r="Q555" s="110"/>
      <c r="R555" s="110"/>
    </row>
    <row r="556" spans="11:18" ht="15.75" customHeight="1">
      <c r="K556" s="110"/>
      <c r="L556" s="110"/>
      <c r="M556" s="110"/>
      <c r="N556" s="110"/>
      <c r="P556" s="110"/>
      <c r="Q556" s="110"/>
      <c r="R556" s="110"/>
    </row>
    <row r="557" spans="11:18" ht="15.75" customHeight="1">
      <c r="K557" s="110"/>
      <c r="L557" s="110"/>
      <c r="M557" s="110"/>
      <c r="N557" s="110"/>
      <c r="P557" s="110"/>
      <c r="Q557" s="110"/>
      <c r="R557" s="110"/>
    </row>
    <row r="558" spans="11:18" ht="15.75" customHeight="1">
      <c r="K558" s="110"/>
      <c r="L558" s="110"/>
      <c r="M558" s="110"/>
      <c r="N558" s="110"/>
      <c r="P558" s="110"/>
      <c r="Q558" s="110"/>
      <c r="R558" s="110"/>
    </row>
    <row r="559" spans="11:18" ht="15.75" customHeight="1">
      <c r="K559" s="110"/>
      <c r="L559" s="110"/>
      <c r="M559" s="110"/>
      <c r="N559" s="110"/>
      <c r="P559" s="110"/>
      <c r="Q559" s="110"/>
      <c r="R559" s="110"/>
    </row>
    <row r="560" spans="11:18" ht="15.75" customHeight="1">
      <c r="K560" s="110"/>
      <c r="L560" s="110"/>
      <c r="M560" s="110"/>
      <c r="N560" s="110"/>
      <c r="P560" s="110"/>
      <c r="Q560" s="110"/>
      <c r="R560" s="110"/>
    </row>
    <row r="561" spans="11:18" ht="15.75" customHeight="1">
      <c r="K561" s="110"/>
      <c r="L561" s="110"/>
      <c r="M561" s="110"/>
      <c r="N561" s="110"/>
      <c r="P561" s="110"/>
      <c r="Q561" s="110"/>
      <c r="R561" s="110"/>
    </row>
    <row r="562" spans="11:18" ht="15.75" customHeight="1">
      <c r="K562" s="110"/>
      <c r="L562" s="110"/>
      <c r="M562" s="110"/>
      <c r="N562" s="110"/>
      <c r="P562" s="110"/>
      <c r="Q562" s="110"/>
      <c r="R562" s="110"/>
    </row>
    <row r="563" spans="11:18" ht="15.75" customHeight="1">
      <c r="K563" s="110"/>
      <c r="L563" s="110"/>
      <c r="M563" s="110"/>
      <c r="N563" s="110"/>
      <c r="P563" s="110"/>
      <c r="Q563" s="110"/>
      <c r="R563" s="110"/>
    </row>
    <row r="564" spans="11:18" ht="15.75" customHeight="1">
      <c r="K564" s="110"/>
      <c r="L564" s="110"/>
      <c r="M564" s="110"/>
      <c r="N564" s="110"/>
      <c r="P564" s="110"/>
      <c r="Q564" s="110"/>
      <c r="R564" s="110"/>
    </row>
    <row r="565" spans="11:18" ht="15.75" customHeight="1">
      <c r="K565" s="110"/>
      <c r="L565" s="110"/>
      <c r="M565" s="110"/>
      <c r="N565" s="110"/>
      <c r="P565" s="110"/>
      <c r="Q565" s="110"/>
      <c r="R565" s="110"/>
    </row>
    <row r="566" spans="11:18" ht="15.75" customHeight="1">
      <c r="K566" s="110"/>
      <c r="L566" s="110"/>
      <c r="M566" s="110"/>
      <c r="N566" s="110"/>
      <c r="P566" s="110"/>
      <c r="Q566" s="110"/>
      <c r="R566" s="110"/>
    </row>
    <row r="567" spans="11:18" ht="15.75" customHeight="1">
      <c r="K567" s="110"/>
      <c r="L567" s="110"/>
      <c r="M567" s="110"/>
      <c r="N567" s="110"/>
      <c r="P567" s="110"/>
      <c r="Q567" s="110"/>
      <c r="R567" s="110"/>
    </row>
    <row r="568" spans="11:18" ht="15.75" customHeight="1">
      <c r="K568" s="110"/>
      <c r="L568" s="110"/>
      <c r="M568" s="110"/>
      <c r="N568" s="110"/>
      <c r="P568" s="110"/>
      <c r="Q568" s="110"/>
      <c r="R568" s="110"/>
    </row>
    <row r="569" spans="11:18" ht="15.75" customHeight="1">
      <c r="K569" s="110"/>
      <c r="L569" s="110"/>
      <c r="M569" s="110"/>
      <c r="N569" s="110"/>
      <c r="P569" s="110"/>
      <c r="Q569" s="110"/>
      <c r="R569" s="110"/>
    </row>
    <row r="570" spans="11:18" ht="15.75" customHeight="1">
      <c r="K570" s="110"/>
      <c r="L570" s="110"/>
      <c r="M570" s="110"/>
      <c r="N570" s="110"/>
      <c r="P570" s="110"/>
      <c r="Q570" s="110"/>
      <c r="R570" s="110"/>
    </row>
    <row r="571" spans="11:18" ht="15.75" customHeight="1">
      <c r="K571" s="110"/>
      <c r="L571" s="110"/>
      <c r="M571" s="110"/>
      <c r="N571" s="110"/>
      <c r="P571" s="110"/>
      <c r="Q571" s="110"/>
      <c r="R571" s="110"/>
    </row>
    <row r="572" spans="11:18" ht="15.75" customHeight="1">
      <c r="K572" s="110"/>
      <c r="L572" s="110"/>
      <c r="M572" s="110"/>
      <c r="N572" s="110"/>
      <c r="P572" s="110"/>
      <c r="Q572" s="110"/>
      <c r="R572" s="110"/>
    </row>
    <row r="573" spans="11:18" ht="15.75" customHeight="1">
      <c r="K573" s="110"/>
      <c r="L573" s="110"/>
      <c r="M573" s="110"/>
      <c r="N573" s="110"/>
      <c r="P573" s="110"/>
      <c r="Q573" s="110"/>
      <c r="R573" s="110"/>
    </row>
    <row r="574" spans="11:18" ht="15.75" customHeight="1">
      <c r="K574" s="110"/>
      <c r="L574" s="110"/>
      <c r="M574" s="110"/>
      <c r="N574" s="110"/>
      <c r="P574" s="110"/>
      <c r="Q574" s="110"/>
      <c r="R574" s="110"/>
    </row>
    <row r="575" spans="11:18" ht="15.75" customHeight="1">
      <c r="K575" s="110"/>
      <c r="L575" s="110"/>
      <c r="M575" s="110"/>
      <c r="N575" s="110"/>
      <c r="P575" s="110"/>
      <c r="Q575" s="110"/>
      <c r="R575" s="110"/>
    </row>
    <row r="576" spans="11:18" ht="15.75" customHeight="1">
      <c r="K576" s="110"/>
      <c r="L576" s="110"/>
      <c r="M576" s="110"/>
      <c r="N576" s="110"/>
      <c r="P576" s="110"/>
      <c r="Q576" s="110"/>
      <c r="R576" s="110"/>
    </row>
    <row r="577" spans="11:18" ht="15.75" customHeight="1">
      <c r="K577" s="110"/>
      <c r="L577" s="110"/>
      <c r="M577" s="110"/>
      <c r="N577" s="110"/>
      <c r="P577" s="110"/>
      <c r="Q577" s="110"/>
      <c r="R577" s="110"/>
    </row>
    <row r="578" spans="11:18" ht="15.75" customHeight="1">
      <c r="K578" s="110"/>
      <c r="L578" s="110"/>
      <c r="M578" s="110"/>
      <c r="N578" s="110"/>
      <c r="P578" s="110"/>
      <c r="Q578" s="110"/>
      <c r="R578" s="110"/>
    </row>
    <row r="579" spans="11:18" ht="15.75" customHeight="1">
      <c r="K579" s="110"/>
      <c r="L579" s="110"/>
      <c r="M579" s="110"/>
      <c r="N579" s="110"/>
      <c r="P579" s="110"/>
      <c r="Q579" s="110"/>
      <c r="R579" s="110"/>
    </row>
    <row r="580" spans="11:18" ht="15.75" customHeight="1">
      <c r="K580" s="110"/>
      <c r="L580" s="110"/>
      <c r="M580" s="110"/>
      <c r="N580" s="110"/>
      <c r="P580" s="110"/>
      <c r="Q580" s="110"/>
      <c r="R580" s="110"/>
    </row>
    <row r="581" spans="11:18" ht="15.75" customHeight="1">
      <c r="K581" s="110"/>
      <c r="L581" s="110"/>
      <c r="M581" s="110"/>
      <c r="N581" s="110"/>
      <c r="P581" s="110"/>
      <c r="Q581" s="110"/>
      <c r="R581" s="110"/>
    </row>
    <row r="582" spans="11:18" ht="15.75" customHeight="1">
      <c r="K582" s="110"/>
      <c r="L582" s="110"/>
      <c r="M582" s="110"/>
      <c r="N582" s="110"/>
      <c r="P582" s="110"/>
      <c r="Q582" s="110"/>
      <c r="R582" s="110"/>
    </row>
    <row r="583" spans="11:18" ht="15.75" customHeight="1">
      <c r="K583" s="110"/>
      <c r="L583" s="110"/>
      <c r="M583" s="110"/>
      <c r="N583" s="110"/>
      <c r="P583" s="110"/>
      <c r="Q583" s="110"/>
      <c r="R583" s="110"/>
    </row>
    <row r="584" spans="11:18" ht="15.75" customHeight="1">
      <c r="K584" s="110"/>
      <c r="L584" s="110"/>
      <c r="M584" s="110"/>
      <c r="N584" s="110"/>
      <c r="P584" s="110"/>
      <c r="Q584" s="110"/>
      <c r="R584" s="110"/>
    </row>
    <row r="585" spans="11:18" ht="15.75" customHeight="1">
      <c r="K585" s="110"/>
      <c r="L585" s="110"/>
      <c r="M585" s="110"/>
      <c r="N585" s="110"/>
      <c r="P585" s="110"/>
      <c r="Q585" s="110"/>
      <c r="R585" s="110"/>
    </row>
    <row r="586" spans="11:18" ht="15.75" customHeight="1">
      <c r="K586" s="110"/>
      <c r="L586" s="110"/>
      <c r="M586" s="110"/>
      <c r="N586" s="110"/>
      <c r="P586" s="110"/>
      <c r="Q586" s="110"/>
      <c r="R586" s="110"/>
    </row>
    <row r="587" spans="11:18" ht="15.75" customHeight="1">
      <c r="K587" s="110"/>
      <c r="L587" s="110"/>
      <c r="M587" s="110"/>
      <c r="N587" s="110"/>
      <c r="P587" s="110"/>
      <c r="Q587" s="110"/>
      <c r="R587" s="110"/>
    </row>
    <row r="588" spans="11:18" ht="15.75" customHeight="1">
      <c r="K588" s="110"/>
      <c r="L588" s="110"/>
      <c r="M588" s="110"/>
      <c r="N588" s="110"/>
      <c r="P588" s="110"/>
      <c r="Q588" s="110"/>
      <c r="R588" s="110"/>
    </row>
    <row r="589" spans="11:18" ht="15.75" customHeight="1">
      <c r="K589" s="110"/>
      <c r="L589" s="110"/>
      <c r="M589" s="110"/>
      <c r="N589" s="110"/>
      <c r="P589" s="110"/>
      <c r="Q589" s="110"/>
      <c r="R589" s="110"/>
    </row>
    <row r="590" spans="11:18" ht="15.75" customHeight="1">
      <c r="K590" s="110"/>
      <c r="L590" s="110"/>
      <c r="M590" s="110"/>
      <c r="N590" s="110"/>
      <c r="P590" s="110"/>
      <c r="Q590" s="110"/>
      <c r="R590" s="110"/>
    </row>
    <row r="591" spans="11:18" ht="15.75" customHeight="1">
      <c r="K591" s="110"/>
      <c r="L591" s="110"/>
      <c r="M591" s="110"/>
      <c r="N591" s="110"/>
      <c r="P591" s="110"/>
      <c r="Q591" s="110"/>
      <c r="R591" s="110"/>
    </row>
    <row r="592" spans="11:18" ht="15.75" customHeight="1">
      <c r="K592" s="110"/>
      <c r="L592" s="110"/>
      <c r="M592" s="110"/>
      <c r="N592" s="110"/>
      <c r="P592" s="110"/>
      <c r="Q592" s="110"/>
      <c r="R592" s="110"/>
    </row>
    <row r="593" spans="11:18" ht="15.75" customHeight="1">
      <c r="K593" s="110"/>
      <c r="L593" s="110"/>
      <c r="M593" s="110"/>
      <c r="N593" s="110"/>
      <c r="P593" s="110"/>
      <c r="Q593" s="110"/>
      <c r="R593" s="110"/>
    </row>
    <row r="594" spans="11:18" ht="15.75" customHeight="1">
      <c r="K594" s="110"/>
      <c r="L594" s="110"/>
      <c r="M594" s="110"/>
      <c r="N594" s="110"/>
      <c r="P594" s="110"/>
      <c r="Q594" s="110"/>
      <c r="R594" s="110"/>
    </row>
    <row r="595" spans="11:18" ht="15.75" customHeight="1">
      <c r="K595" s="110"/>
      <c r="L595" s="110"/>
      <c r="M595" s="110"/>
      <c r="N595" s="110"/>
      <c r="P595" s="110"/>
      <c r="Q595" s="110"/>
      <c r="R595" s="110"/>
    </row>
    <row r="596" spans="11:18" ht="15.75" customHeight="1">
      <c r="K596" s="110"/>
      <c r="L596" s="110"/>
      <c r="M596" s="110"/>
      <c r="N596" s="110"/>
      <c r="P596" s="110"/>
      <c r="Q596" s="110"/>
      <c r="R596" s="110"/>
    </row>
    <row r="597" spans="11:18" ht="15.75" customHeight="1">
      <c r="K597" s="110"/>
      <c r="L597" s="110"/>
      <c r="M597" s="110"/>
      <c r="N597" s="110"/>
      <c r="P597" s="110"/>
      <c r="Q597" s="110"/>
      <c r="R597" s="110"/>
    </row>
    <row r="598" spans="11:18" ht="15.75" customHeight="1">
      <c r="K598" s="110"/>
      <c r="L598" s="110"/>
      <c r="M598" s="110"/>
      <c r="N598" s="110"/>
      <c r="P598" s="110"/>
      <c r="Q598" s="110"/>
      <c r="R598" s="110"/>
    </row>
    <row r="599" spans="11:18" ht="15.75" customHeight="1">
      <c r="K599" s="110"/>
      <c r="L599" s="110"/>
      <c r="M599" s="110"/>
      <c r="N599" s="110"/>
      <c r="P599" s="110"/>
      <c r="Q599" s="110"/>
      <c r="R599" s="110"/>
    </row>
    <row r="600" spans="11:18" ht="15.75" customHeight="1">
      <c r="K600" s="110"/>
      <c r="L600" s="110"/>
      <c r="M600" s="110"/>
      <c r="N600" s="110"/>
      <c r="P600" s="110"/>
      <c r="Q600" s="110"/>
      <c r="R600" s="110"/>
    </row>
    <row r="601" spans="11:18" ht="15.75" customHeight="1">
      <c r="K601" s="110"/>
      <c r="L601" s="110"/>
      <c r="M601" s="110"/>
      <c r="N601" s="110"/>
      <c r="P601" s="110"/>
      <c r="Q601" s="110"/>
      <c r="R601" s="110"/>
    </row>
    <row r="602" spans="11:18" ht="15.75" customHeight="1">
      <c r="K602" s="110"/>
      <c r="L602" s="110"/>
      <c r="M602" s="110"/>
      <c r="N602" s="110"/>
      <c r="P602" s="110"/>
      <c r="Q602" s="110"/>
      <c r="R602" s="110"/>
    </row>
    <row r="603" spans="11:18" ht="15.75" customHeight="1">
      <c r="K603" s="110"/>
      <c r="L603" s="110"/>
      <c r="M603" s="110"/>
      <c r="N603" s="110"/>
      <c r="P603" s="110"/>
      <c r="Q603" s="110"/>
      <c r="R603" s="110"/>
    </row>
    <row r="604" spans="11:18" ht="15.75" customHeight="1">
      <c r="K604" s="110"/>
      <c r="L604" s="110"/>
      <c r="M604" s="110"/>
      <c r="N604" s="110"/>
      <c r="P604" s="110"/>
      <c r="Q604" s="110"/>
      <c r="R604" s="110"/>
    </row>
    <row r="605" spans="11:18" ht="15.75" customHeight="1">
      <c r="K605" s="110"/>
      <c r="L605" s="110"/>
      <c r="M605" s="110"/>
      <c r="N605" s="110"/>
      <c r="P605" s="110"/>
      <c r="Q605" s="110"/>
      <c r="R605" s="110"/>
    </row>
    <row r="606" spans="11:18" ht="15.75" customHeight="1">
      <c r="K606" s="110"/>
      <c r="L606" s="110"/>
      <c r="M606" s="110"/>
      <c r="N606" s="110"/>
      <c r="P606" s="110"/>
      <c r="Q606" s="110"/>
      <c r="R606" s="110"/>
    </row>
    <row r="607" spans="11:18" ht="15.75" customHeight="1">
      <c r="K607" s="110"/>
      <c r="L607" s="110"/>
      <c r="M607" s="110"/>
      <c r="N607" s="110"/>
      <c r="P607" s="110"/>
      <c r="Q607" s="110"/>
      <c r="R607" s="110"/>
    </row>
    <row r="608" spans="11:18" ht="15.75" customHeight="1">
      <c r="K608" s="110"/>
      <c r="L608" s="110"/>
      <c r="M608" s="110"/>
      <c r="N608" s="110"/>
      <c r="P608" s="110"/>
      <c r="Q608" s="110"/>
      <c r="R608" s="110"/>
    </row>
    <row r="609" spans="11:18" ht="15.75" customHeight="1">
      <c r="K609" s="110"/>
      <c r="L609" s="110"/>
      <c r="M609" s="110"/>
      <c r="N609" s="110"/>
      <c r="P609" s="110"/>
      <c r="Q609" s="110"/>
      <c r="R609" s="110"/>
    </row>
    <row r="610" spans="11:18" ht="15.75" customHeight="1">
      <c r="K610" s="110"/>
      <c r="L610" s="110"/>
      <c r="M610" s="110"/>
      <c r="N610" s="110"/>
      <c r="P610" s="110"/>
      <c r="Q610" s="110"/>
      <c r="R610" s="110"/>
    </row>
    <row r="611" spans="11:18" ht="15.75" customHeight="1">
      <c r="K611" s="110"/>
      <c r="L611" s="110"/>
      <c r="M611" s="110"/>
      <c r="N611" s="110"/>
      <c r="P611" s="110"/>
      <c r="Q611" s="110"/>
      <c r="R611" s="110"/>
    </row>
    <row r="612" spans="11:18" ht="15.75" customHeight="1">
      <c r="K612" s="110"/>
      <c r="L612" s="110"/>
      <c r="M612" s="110"/>
      <c r="N612" s="110"/>
      <c r="P612" s="110"/>
      <c r="Q612" s="110"/>
      <c r="R612" s="110"/>
    </row>
    <row r="613" spans="11:18" ht="15.75" customHeight="1">
      <c r="K613" s="110"/>
      <c r="L613" s="110"/>
      <c r="M613" s="110"/>
      <c r="N613" s="110"/>
      <c r="P613" s="110"/>
      <c r="Q613" s="110"/>
      <c r="R613" s="110"/>
    </row>
    <row r="614" spans="11:18" ht="15.75" customHeight="1">
      <c r="K614" s="110"/>
      <c r="L614" s="110"/>
      <c r="M614" s="110"/>
      <c r="N614" s="110"/>
      <c r="P614" s="110"/>
      <c r="Q614" s="110"/>
      <c r="R614" s="110"/>
    </row>
    <row r="615" spans="11:18" ht="15.75" customHeight="1">
      <c r="K615" s="110"/>
      <c r="L615" s="110"/>
      <c r="M615" s="110"/>
      <c r="N615" s="110"/>
      <c r="P615" s="110"/>
      <c r="Q615" s="110"/>
      <c r="R615" s="110"/>
    </row>
    <row r="616" spans="11:18" ht="15.75" customHeight="1">
      <c r="K616" s="110"/>
      <c r="L616" s="110"/>
      <c r="M616" s="110"/>
      <c r="N616" s="110"/>
      <c r="P616" s="110"/>
      <c r="Q616" s="110"/>
      <c r="R616" s="110"/>
    </row>
    <row r="617" spans="11:18" ht="15.75" customHeight="1">
      <c r="K617" s="110"/>
      <c r="L617" s="110"/>
      <c r="M617" s="110"/>
      <c r="N617" s="110"/>
      <c r="P617" s="110"/>
      <c r="Q617" s="110"/>
      <c r="R617" s="110"/>
    </row>
    <row r="618" spans="11:18" ht="15.75" customHeight="1">
      <c r="K618" s="110"/>
      <c r="L618" s="110"/>
      <c r="M618" s="110"/>
      <c r="N618" s="110"/>
      <c r="P618" s="110"/>
      <c r="Q618" s="110"/>
      <c r="R618" s="110"/>
    </row>
    <row r="619" spans="11:18" ht="15.75" customHeight="1">
      <c r="K619" s="110"/>
      <c r="L619" s="110"/>
      <c r="M619" s="110"/>
      <c r="N619" s="110"/>
      <c r="P619" s="110"/>
      <c r="Q619" s="110"/>
      <c r="R619" s="110"/>
    </row>
    <row r="620" spans="11:18" ht="15.75" customHeight="1">
      <c r="K620" s="110"/>
      <c r="L620" s="110"/>
      <c r="M620" s="110"/>
      <c r="N620" s="110"/>
      <c r="P620" s="110"/>
      <c r="Q620" s="110"/>
      <c r="R620" s="110"/>
    </row>
    <row r="621" spans="11:18" ht="15.75" customHeight="1">
      <c r="K621" s="110"/>
      <c r="L621" s="110"/>
      <c r="M621" s="110"/>
      <c r="N621" s="110"/>
      <c r="P621" s="110"/>
      <c r="Q621" s="110"/>
      <c r="R621" s="110"/>
    </row>
    <row r="622" spans="11:18" ht="15.75" customHeight="1">
      <c r="K622" s="110"/>
      <c r="L622" s="110"/>
      <c r="M622" s="110"/>
      <c r="N622" s="110"/>
      <c r="P622" s="110"/>
      <c r="Q622" s="110"/>
      <c r="R622" s="110"/>
    </row>
    <row r="623" spans="11:18" ht="15.75" customHeight="1">
      <c r="K623" s="110"/>
      <c r="L623" s="110"/>
      <c r="M623" s="110"/>
      <c r="N623" s="110"/>
      <c r="P623" s="110"/>
      <c r="Q623" s="110"/>
      <c r="R623" s="110"/>
    </row>
    <row r="624" spans="11:18" ht="15.75" customHeight="1">
      <c r="K624" s="110"/>
      <c r="L624" s="110"/>
      <c r="M624" s="110"/>
      <c r="N624" s="110"/>
      <c r="P624" s="110"/>
      <c r="Q624" s="110"/>
      <c r="R624" s="110"/>
    </row>
    <row r="625" spans="11:18" ht="15.75" customHeight="1">
      <c r="K625" s="110"/>
      <c r="L625" s="110"/>
      <c r="M625" s="110"/>
      <c r="N625" s="110"/>
      <c r="P625" s="110"/>
      <c r="Q625" s="110"/>
      <c r="R625" s="110"/>
    </row>
    <row r="626" spans="11:18" ht="15.75" customHeight="1">
      <c r="K626" s="110"/>
      <c r="L626" s="110"/>
      <c r="M626" s="110"/>
      <c r="N626" s="110"/>
      <c r="P626" s="110"/>
      <c r="Q626" s="110"/>
      <c r="R626" s="110"/>
    </row>
    <row r="627" spans="11:18" ht="15.75" customHeight="1">
      <c r="K627" s="110"/>
      <c r="L627" s="110"/>
      <c r="M627" s="110"/>
      <c r="N627" s="110"/>
      <c r="P627" s="110"/>
      <c r="Q627" s="110"/>
      <c r="R627" s="110"/>
    </row>
    <row r="628" spans="11:18" ht="15.75" customHeight="1">
      <c r="K628" s="110"/>
      <c r="L628" s="110"/>
      <c r="M628" s="110"/>
      <c r="N628" s="110"/>
      <c r="P628" s="110"/>
      <c r="Q628" s="110"/>
      <c r="R628" s="110"/>
    </row>
    <row r="629" spans="11:18" ht="15.75" customHeight="1">
      <c r="K629" s="110"/>
      <c r="L629" s="110"/>
      <c r="M629" s="110"/>
      <c r="N629" s="110"/>
      <c r="P629" s="110"/>
      <c r="Q629" s="110"/>
      <c r="R629" s="110"/>
    </row>
    <row r="630" spans="11:18" ht="15.75" customHeight="1">
      <c r="K630" s="110"/>
      <c r="L630" s="110"/>
      <c r="M630" s="110"/>
      <c r="N630" s="110"/>
      <c r="P630" s="110"/>
      <c r="Q630" s="110"/>
      <c r="R630" s="110"/>
    </row>
    <row r="631" spans="11:18" ht="15.75" customHeight="1">
      <c r="K631" s="110"/>
      <c r="L631" s="110"/>
      <c r="M631" s="110"/>
      <c r="N631" s="110"/>
      <c r="P631" s="110"/>
      <c r="Q631" s="110"/>
      <c r="R631" s="110"/>
    </row>
    <row r="632" spans="11:18" ht="15.75" customHeight="1">
      <c r="K632" s="110"/>
      <c r="L632" s="110"/>
      <c r="M632" s="110"/>
      <c r="N632" s="110"/>
      <c r="P632" s="110"/>
      <c r="Q632" s="110"/>
      <c r="R632" s="110"/>
    </row>
    <row r="633" spans="11:18" ht="15.75" customHeight="1">
      <c r="K633" s="110"/>
      <c r="L633" s="110"/>
      <c r="M633" s="110"/>
      <c r="N633" s="110"/>
      <c r="P633" s="110"/>
      <c r="Q633" s="110"/>
      <c r="R633" s="110"/>
    </row>
    <row r="634" spans="11:18" ht="15.75" customHeight="1">
      <c r="K634" s="110"/>
      <c r="L634" s="110"/>
      <c r="M634" s="110"/>
      <c r="N634" s="110"/>
      <c r="P634" s="110"/>
      <c r="Q634" s="110"/>
      <c r="R634" s="110"/>
    </row>
    <row r="635" spans="11:18" ht="15.75" customHeight="1">
      <c r="K635" s="110"/>
      <c r="L635" s="110"/>
      <c r="M635" s="110"/>
      <c r="N635" s="110"/>
      <c r="P635" s="110"/>
      <c r="Q635" s="110"/>
      <c r="R635" s="110"/>
    </row>
    <row r="636" spans="11:18" ht="15.75" customHeight="1">
      <c r="K636" s="110"/>
      <c r="L636" s="110"/>
      <c r="M636" s="110"/>
      <c r="N636" s="110"/>
      <c r="P636" s="110"/>
      <c r="Q636" s="110"/>
      <c r="R636" s="110"/>
    </row>
    <row r="637" spans="11:18" ht="15.75" customHeight="1">
      <c r="K637" s="110"/>
      <c r="L637" s="110"/>
      <c r="M637" s="110"/>
      <c r="N637" s="110"/>
      <c r="P637" s="110"/>
      <c r="Q637" s="110"/>
      <c r="R637" s="110"/>
    </row>
    <row r="638" spans="11:18" ht="15.75" customHeight="1">
      <c r="K638" s="110"/>
      <c r="L638" s="110"/>
      <c r="M638" s="110"/>
      <c r="N638" s="110"/>
      <c r="P638" s="110"/>
      <c r="Q638" s="110"/>
      <c r="R638" s="110"/>
    </row>
    <row r="639" spans="11:18" ht="15.75" customHeight="1">
      <c r="K639" s="110"/>
      <c r="L639" s="110"/>
      <c r="M639" s="110"/>
      <c r="N639" s="110"/>
      <c r="P639" s="110"/>
      <c r="Q639" s="110"/>
      <c r="R639" s="110"/>
    </row>
    <row r="640" spans="11:18" ht="15.75" customHeight="1">
      <c r="K640" s="110"/>
      <c r="L640" s="110"/>
      <c r="M640" s="110"/>
      <c r="N640" s="110"/>
      <c r="P640" s="110"/>
      <c r="Q640" s="110"/>
      <c r="R640" s="110"/>
    </row>
    <row r="641" spans="11:18" ht="15.75" customHeight="1">
      <c r="K641" s="110"/>
      <c r="L641" s="110"/>
      <c r="M641" s="110"/>
      <c r="N641" s="110"/>
      <c r="P641" s="110"/>
      <c r="Q641" s="110"/>
      <c r="R641" s="110"/>
    </row>
    <row r="642" spans="11:18" ht="15.75" customHeight="1">
      <c r="K642" s="110"/>
      <c r="L642" s="110"/>
      <c r="M642" s="110"/>
      <c r="N642" s="110"/>
      <c r="P642" s="110"/>
      <c r="Q642" s="110"/>
      <c r="R642" s="110"/>
    </row>
    <row r="643" spans="11:18" ht="15.75" customHeight="1">
      <c r="K643" s="110"/>
      <c r="L643" s="110"/>
      <c r="M643" s="110"/>
      <c r="N643" s="110"/>
      <c r="P643" s="110"/>
      <c r="Q643" s="110"/>
      <c r="R643" s="110"/>
    </row>
    <row r="644" spans="11:18" ht="15.75" customHeight="1">
      <c r="K644" s="110"/>
      <c r="L644" s="110"/>
      <c r="M644" s="110"/>
      <c r="N644" s="110"/>
      <c r="P644" s="110"/>
      <c r="Q644" s="110"/>
      <c r="R644" s="110"/>
    </row>
    <row r="645" spans="11:18" ht="15.75" customHeight="1">
      <c r="K645" s="110"/>
      <c r="L645" s="110"/>
      <c r="M645" s="110"/>
      <c r="N645" s="110"/>
      <c r="P645" s="110"/>
      <c r="Q645" s="110"/>
      <c r="R645" s="110"/>
    </row>
    <row r="646" spans="11:18" ht="15.75" customHeight="1">
      <c r="K646" s="110"/>
      <c r="L646" s="110"/>
      <c r="M646" s="110"/>
      <c r="N646" s="110"/>
      <c r="P646" s="110"/>
      <c r="Q646" s="110"/>
      <c r="R646" s="110"/>
    </row>
    <row r="647" spans="11:18" ht="15.75" customHeight="1">
      <c r="K647" s="110"/>
      <c r="L647" s="110"/>
      <c r="M647" s="110"/>
      <c r="N647" s="110"/>
      <c r="P647" s="110"/>
      <c r="Q647" s="110"/>
      <c r="R647" s="110"/>
    </row>
    <row r="648" spans="11:18" ht="15.75" customHeight="1">
      <c r="K648" s="110"/>
      <c r="L648" s="110"/>
      <c r="M648" s="110"/>
      <c r="N648" s="110"/>
      <c r="P648" s="110"/>
      <c r="Q648" s="110"/>
      <c r="R648" s="110"/>
    </row>
    <row r="649" spans="11:18" ht="15.75" customHeight="1">
      <c r="K649" s="110"/>
      <c r="L649" s="110"/>
      <c r="M649" s="110"/>
      <c r="N649" s="110"/>
      <c r="P649" s="110"/>
      <c r="Q649" s="110"/>
      <c r="R649" s="110"/>
    </row>
    <row r="650" spans="11:18" ht="15.75" customHeight="1">
      <c r="K650" s="110"/>
      <c r="L650" s="110"/>
      <c r="M650" s="110"/>
      <c r="N650" s="110"/>
      <c r="P650" s="110"/>
      <c r="Q650" s="110"/>
      <c r="R650" s="110"/>
    </row>
    <row r="651" spans="11:18" ht="15.75" customHeight="1">
      <c r="K651" s="110"/>
      <c r="L651" s="110"/>
      <c r="M651" s="110"/>
      <c r="N651" s="110"/>
      <c r="P651" s="110"/>
      <c r="Q651" s="110"/>
      <c r="R651" s="110"/>
    </row>
    <row r="652" spans="11:18" ht="15.75" customHeight="1">
      <c r="K652" s="110"/>
      <c r="L652" s="110"/>
      <c r="M652" s="110"/>
      <c r="N652" s="110"/>
      <c r="P652" s="110"/>
      <c r="Q652" s="110"/>
      <c r="R652" s="110"/>
    </row>
    <row r="653" spans="11:18" ht="15.75" customHeight="1">
      <c r="K653" s="110"/>
      <c r="L653" s="110"/>
      <c r="M653" s="110"/>
      <c r="N653" s="110"/>
      <c r="P653" s="110"/>
      <c r="Q653" s="110"/>
      <c r="R653" s="110"/>
    </row>
    <row r="654" spans="11:18" ht="15.75" customHeight="1">
      <c r="K654" s="110"/>
      <c r="L654" s="110"/>
      <c r="M654" s="110"/>
      <c r="N654" s="110"/>
      <c r="P654" s="110"/>
      <c r="Q654" s="110"/>
      <c r="R654" s="110"/>
    </row>
    <row r="655" spans="11:18" ht="15.75" customHeight="1">
      <c r="K655" s="110"/>
      <c r="L655" s="110"/>
      <c r="M655" s="110"/>
      <c r="N655" s="110"/>
      <c r="P655" s="110"/>
      <c r="Q655" s="110"/>
      <c r="R655" s="110"/>
    </row>
    <row r="656" spans="11:18" ht="15.75" customHeight="1">
      <c r="K656" s="110"/>
      <c r="L656" s="110"/>
      <c r="M656" s="110"/>
      <c r="N656" s="110"/>
      <c r="P656" s="110"/>
      <c r="Q656" s="110"/>
      <c r="R656" s="110"/>
    </row>
    <row r="657" spans="11:18" ht="15.75" customHeight="1">
      <c r="K657" s="110"/>
      <c r="L657" s="110"/>
      <c r="M657" s="110"/>
      <c r="N657" s="110"/>
      <c r="P657" s="110"/>
      <c r="Q657" s="110"/>
      <c r="R657" s="110"/>
    </row>
    <row r="658" spans="11:18" ht="15.75" customHeight="1">
      <c r="K658" s="110"/>
      <c r="L658" s="110"/>
      <c r="M658" s="110"/>
      <c r="N658" s="110"/>
      <c r="P658" s="110"/>
      <c r="Q658" s="110"/>
      <c r="R658" s="110"/>
    </row>
    <row r="659" spans="11:18" ht="15.75" customHeight="1">
      <c r="K659" s="110"/>
      <c r="L659" s="110"/>
      <c r="M659" s="110"/>
      <c r="N659" s="110"/>
      <c r="P659" s="110"/>
      <c r="Q659" s="110"/>
      <c r="R659" s="110"/>
    </row>
    <row r="660" spans="11:18" ht="15.75" customHeight="1">
      <c r="K660" s="110"/>
      <c r="L660" s="110"/>
      <c r="M660" s="110"/>
      <c r="N660" s="110"/>
      <c r="P660" s="110"/>
      <c r="Q660" s="110"/>
      <c r="R660" s="110"/>
    </row>
    <row r="661" spans="11:18" ht="15.75" customHeight="1">
      <c r="K661" s="110"/>
      <c r="L661" s="110"/>
      <c r="M661" s="110"/>
      <c r="N661" s="110"/>
      <c r="P661" s="110"/>
      <c r="Q661" s="110"/>
      <c r="R661" s="110"/>
    </row>
    <row r="662" spans="11:18" ht="15.75" customHeight="1">
      <c r="K662" s="110"/>
      <c r="L662" s="110"/>
      <c r="M662" s="110"/>
      <c r="N662" s="110"/>
      <c r="P662" s="110"/>
      <c r="Q662" s="110"/>
      <c r="R662" s="110"/>
    </row>
    <row r="663" spans="11:18" ht="15.75" customHeight="1">
      <c r="K663" s="110"/>
      <c r="L663" s="110"/>
      <c r="M663" s="110"/>
      <c r="N663" s="110"/>
      <c r="P663" s="110"/>
      <c r="Q663" s="110"/>
      <c r="R663" s="110"/>
    </row>
    <row r="664" spans="11:18" ht="15.75" customHeight="1">
      <c r="K664" s="110"/>
      <c r="L664" s="110"/>
      <c r="M664" s="110"/>
      <c r="N664" s="110"/>
      <c r="P664" s="110"/>
      <c r="Q664" s="110"/>
      <c r="R664" s="110"/>
    </row>
    <row r="665" spans="11:18" ht="15.75" customHeight="1">
      <c r="K665" s="110"/>
      <c r="L665" s="110"/>
      <c r="M665" s="110"/>
      <c r="N665" s="110"/>
      <c r="P665" s="110"/>
      <c r="Q665" s="110"/>
      <c r="R665" s="110"/>
    </row>
    <row r="666" spans="11:18" ht="15.75" customHeight="1">
      <c r="K666" s="110"/>
      <c r="L666" s="110"/>
      <c r="M666" s="110"/>
      <c r="N666" s="110"/>
      <c r="P666" s="110"/>
      <c r="Q666" s="110"/>
      <c r="R666" s="110"/>
    </row>
    <row r="667" spans="11:18" ht="15.75" customHeight="1">
      <c r="K667" s="110"/>
      <c r="L667" s="110"/>
      <c r="M667" s="110"/>
      <c r="N667" s="110"/>
      <c r="P667" s="110"/>
      <c r="Q667" s="110"/>
      <c r="R667" s="110"/>
    </row>
    <row r="668" spans="11:18" ht="15.75" customHeight="1">
      <c r="K668" s="110"/>
      <c r="L668" s="110"/>
      <c r="M668" s="110"/>
      <c r="N668" s="110"/>
      <c r="P668" s="110"/>
      <c r="Q668" s="110"/>
      <c r="R668" s="110"/>
    </row>
    <row r="669" spans="11:18" ht="15.75" customHeight="1">
      <c r="K669" s="110"/>
      <c r="L669" s="110"/>
      <c r="M669" s="110"/>
      <c r="N669" s="110"/>
      <c r="P669" s="110"/>
      <c r="Q669" s="110"/>
      <c r="R669" s="110"/>
    </row>
    <row r="670" spans="11:18" ht="15.75" customHeight="1">
      <c r="K670" s="110"/>
      <c r="L670" s="110"/>
      <c r="M670" s="110"/>
      <c r="N670" s="110"/>
      <c r="P670" s="110"/>
      <c r="Q670" s="110"/>
      <c r="R670" s="110"/>
    </row>
    <row r="671" spans="11:18" ht="15.75" customHeight="1">
      <c r="K671" s="110"/>
      <c r="L671" s="110"/>
      <c r="M671" s="110"/>
      <c r="N671" s="110"/>
      <c r="P671" s="110"/>
      <c r="Q671" s="110"/>
      <c r="R671" s="110"/>
    </row>
    <row r="672" spans="11:18" ht="15.75" customHeight="1">
      <c r="K672" s="110"/>
      <c r="L672" s="110"/>
      <c r="M672" s="110"/>
      <c r="N672" s="110"/>
      <c r="P672" s="110"/>
      <c r="Q672" s="110"/>
      <c r="R672" s="110"/>
    </row>
    <row r="673" spans="11:18" ht="15.75" customHeight="1">
      <c r="K673" s="110"/>
      <c r="L673" s="110"/>
      <c r="M673" s="110"/>
      <c r="N673" s="110"/>
      <c r="P673" s="110"/>
      <c r="Q673" s="110"/>
      <c r="R673" s="110"/>
    </row>
    <row r="674" spans="11:18" ht="15.75" customHeight="1">
      <c r="K674" s="110"/>
      <c r="L674" s="110"/>
      <c r="M674" s="110"/>
      <c r="N674" s="110"/>
      <c r="P674" s="110"/>
      <c r="Q674" s="110"/>
      <c r="R674" s="110"/>
    </row>
    <row r="675" spans="11:18" ht="15.75" customHeight="1">
      <c r="K675" s="110"/>
      <c r="L675" s="110"/>
      <c r="M675" s="110"/>
      <c r="N675" s="110"/>
      <c r="P675" s="110"/>
      <c r="Q675" s="110"/>
      <c r="R675" s="110"/>
    </row>
    <row r="676" spans="11:18" ht="15.75" customHeight="1">
      <c r="K676" s="110"/>
      <c r="L676" s="110"/>
      <c r="M676" s="110"/>
      <c r="N676" s="110"/>
      <c r="P676" s="110"/>
      <c r="Q676" s="110"/>
      <c r="R676" s="110"/>
    </row>
    <row r="677" spans="11:18" ht="15.75" customHeight="1">
      <c r="K677" s="110"/>
      <c r="L677" s="110"/>
      <c r="M677" s="110"/>
      <c r="N677" s="110"/>
      <c r="P677" s="110"/>
      <c r="Q677" s="110"/>
      <c r="R677" s="110"/>
    </row>
    <row r="678" spans="11:18" ht="15.75" customHeight="1">
      <c r="K678" s="110"/>
      <c r="L678" s="110"/>
      <c r="M678" s="110"/>
      <c r="N678" s="110"/>
      <c r="P678" s="110"/>
      <c r="Q678" s="110"/>
      <c r="R678" s="110"/>
    </row>
    <row r="679" spans="11:18" ht="15.75" customHeight="1">
      <c r="K679" s="110"/>
      <c r="L679" s="110"/>
      <c r="M679" s="110"/>
      <c r="N679" s="110"/>
      <c r="P679" s="110"/>
      <c r="Q679" s="110"/>
      <c r="R679" s="110"/>
    </row>
    <row r="680" spans="11:18" ht="15.75" customHeight="1">
      <c r="K680" s="110"/>
      <c r="L680" s="110"/>
      <c r="M680" s="110"/>
      <c r="N680" s="110"/>
      <c r="P680" s="110"/>
      <c r="Q680" s="110"/>
      <c r="R680" s="110"/>
    </row>
    <row r="681" spans="11:18" ht="15.75" customHeight="1">
      <c r="K681" s="110"/>
      <c r="L681" s="110"/>
      <c r="M681" s="110"/>
      <c r="N681" s="110"/>
      <c r="P681" s="110"/>
      <c r="Q681" s="110"/>
      <c r="R681" s="110"/>
    </row>
    <row r="682" spans="11:18" ht="15.75" customHeight="1">
      <c r="K682" s="110"/>
      <c r="L682" s="110"/>
      <c r="M682" s="110"/>
      <c r="N682" s="110"/>
      <c r="P682" s="110"/>
      <c r="Q682" s="110"/>
      <c r="R682" s="110"/>
    </row>
    <row r="683" spans="11:18" ht="15.75" customHeight="1">
      <c r="K683" s="110"/>
      <c r="L683" s="110"/>
      <c r="M683" s="110"/>
      <c r="N683" s="110"/>
      <c r="P683" s="110"/>
      <c r="Q683" s="110"/>
      <c r="R683" s="110"/>
    </row>
    <row r="684" spans="11:18" ht="15.75" customHeight="1">
      <c r="K684" s="110"/>
      <c r="L684" s="110"/>
      <c r="M684" s="110"/>
      <c r="N684" s="110"/>
      <c r="P684" s="110"/>
      <c r="Q684" s="110"/>
      <c r="R684" s="110"/>
    </row>
    <row r="685" spans="11:18" ht="15.75" customHeight="1">
      <c r="K685" s="110"/>
      <c r="L685" s="110"/>
      <c r="M685" s="110"/>
      <c r="N685" s="110"/>
      <c r="P685" s="110"/>
      <c r="Q685" s="110"/>
      <c r="R685" s="110"/>
    </row>
    <row r="686" spans="11:18" ht="15.75" customHeight="1">
      <c r="K686" s="110"/>
      <c r="L686" s="110"/>
      <c r="M686" s="110"/>
      <c r="N686" s="110"/>
      <c r="P686" s="110"/>
      <c r="Q686" s="110"/>
      <c r="R686" s="110"/>
    </row>
    <row r="687" spans="11:18" ht="15.75" customHeight="1">
      <c r="K687" s="110"/>
      <c r="L687" s="110"/>
      <c r="M687" s="110"/>
      <c r="N687" s="110"/>
      <c r="P687" s="110"/>
      <c r="Q687" s="110"/>
      <c r="R687" s="110"/>
    </row>
    <row r="688" spans="11:18" ht="15.75" customHeight="1">
      <c r="K688" s="110"/>
      <c r="L688" s="110"/>
      <c r="M688" s="110"/>
      <c r="N688" s="110"/>
      <c r="P688" s="110"/>
      <c r="Q688" s="110"/>
      <c r="R688" s="110"/>
    </row>
    <row r="689" spans="11:18" ht="15.75" customHeight="1">
      <c r="K689" s="110"/>
      <c r="L689" s="110"/>
      <c r="M689" s="110"/>
      <c r="N689" s="110"/>
      <c r="P689" s="110"/>
      <c r="Q689" s="110"/>
      <c r="R689" s="110"/>
    </row>
    <row r="690" spans="11:18" ht="15.75" customHeight="1">
      <c r="K690" s="110"/>
      <c r="L690" s="110"/>
      <c r="M690" s="110"/>
      <c r="N690" s="110"/>
      <c r="P690" s="110"/>
      <c r="Q690" s="110"/>
      <c r="R690" s="110"/>
    </row>
    <row r="691" spans="11:18" ht="15.75" customHeight="1">
      <c r="K691" s="110"/>
      <c r="L691" s="110"/>
      <c r="M691" s="110"/>
      <c r="N691" s="110"/>
      <c r="P691" s="110"/>
      <c r="Q691" s="110"/>
      <c r="R691" s="110"/>
    </row>
    <row r="692" spans="11:18" ht="15.75" customHeight="1">
      <c r="K692" s="110"/>
      <c r="L692" s="110"/>
      <c r="M692" s="110"/>
      <c r="N692" s="110"/>
      <c r="P692" s="110"/>
      <c r="Q692" s="110"/>
      <c r="R692" s="110"/>
    </row>
    <row r="693" spans="11:18" ht="15.75" customHeight="1">
      <c r="K693" s="110"/>
      <c r="L693" s="110"/>
      <c r="M693" s="110"/>
      <c r="N693" s="110"/>
      <c r="P693" s="110"/>
      <c r="Q693" s="110"/>
      <c r="R693" s="110"/>
    </row>
    <row r="694" spans="11:18" ht="15.75" customHeight="1">
      <c r="K694" s="110"/>
      <c r="L694" s="110"/>
      <c r="M694" s="110"/>
      <c r="N694" s="110"/>
      <c r="P694" s="110"/>
      <c r="Q694" s="110"/>
      <c r="R694" s="110"/>
    </row>
    <row r="695" spans="11:18" ht="15.75" customHeight="1">
      <c r="K695" s="110"/>
      <c r="L695" s="110"/>
      <c r="M695" s="110"/>
      <c r="N695" s="110"/>
      <c r="P695" s="110"/>
      <c r="Q695" s="110"/>
      <c r="R695" s="110"/>
    </row>
    <row r="696" spans="11:18" ht="15.75" customHeight="1">
      <c r="K696" s="110"/>
      <c r="L696" s="110"/>
      <c r="M696" s="110"/>
      <c r="N696" s="110"/>
      <c r="P696" s="110"/>
      <c r="Q696" s="110"/>
      <c r="R696" s="110"/>
    </row>
    <row r="697" spans="11:18" ht="15.75" customHeight="1">
      <c r="K697" s="110"/>
      <c r="L697" s="110"/>
      <c r="M697" s="110"/>
      <c r="N697" s="110"/>
      <c r="P697" s="110"/>
      <c r="Q697" s="110"/>
      <c r="R697" s="110"/>
    </row>
    <row r="698" spans="11:18" ht="15.75" customHeight="1">
      <c r="K698" s="110"/>
      <c r="L698" s="110"/>
      <c r="M698" s="110"/>
      <c r="N698" s="110"/>
      <c r="P698" s="110"/>
      <c r="Q698" s="110"/>
      <c r="R698" s="110"/>
    </row>
    <row r="699" spans="11:18" ht="15.75" customHeight="1">
      <c r="K699" s="110"/>
      <c r="L699" s="110"/>
      <c r="M699" s="110"/>
      <c r="N699" s="110"/>
      <c r="P699" s="110"/>
      <c r="Q699" s="110"/>
      <c r="R699" s="110"/>
    </row>
    <row r="700" spans="11:18" ht="15.75" customHeight="1">
      <c r="K700" s="110"/>
      <c r="L700" s="110"/>
      <c r="M700" s="110"/>
      <c r="N700" s="110"/>
      <c r="P700" s="110"/>
      <c r="Q700" s="110"/>
      <c r="R700" s="110"/>
    </row>
    <row r="701" spans="11:18" ht="15.75" customHeight="1">
      <c r="K701" s="110"/>
      <c r="L701" s="110"/>
      <c r="M701" s="110"/>
      <c r="N701" s="110"/>
      <c r="P701" s="110"/>
      <c r="Q701" s="110"/>
      <c r="R701" s="110"/>
    </row>
    <row r="702" spans="11:18" ht="15.75" customHeight="1">
      <c r="K702" s="110"/>
      <c r="L702" s="110"/>
      <c r="M702" s="110"/>
      <c r="N702" s="110"/>
      <c r="P702" s="110"/>
      <c r="Q702" s="110"/>
      <c r="R702" s="110"/>
    </row>
    <row r="703" spans="11:18" ht="15.75" customHeight="1">
      <c r="K703" s="110"/>
      <c r="L703" s="110"/>
      <c r="M703" s="110"/>
      <c r="N703" s="110"/>
      <c r="P703" s="110"/>
      <c r="Q703" s="110"/>
      <c r="R703" s="110"/>
    </row>
    <row r="704" spans="11:18" ht="15.75" customHeight="1">
      <c r="K704" s="110"/>
      <c r="L704" s="110"/>
      <c r="M704" s="110"/>
      <c r="N704" s="110"/>
      <c r="P704" s="110"/>
      <c r="Q704" s="110"/>
      <c r="R704" s="110"/>
    </row>
    <row r="705" spans="11:18" ht="15.75" customHeight="1">
      <c r="K705" s="110"/>
      <c r="L705" s="110"/>
      <c r="M705" s="110"/>
      <c r="N705" s="110"/>
      <c r="P705" s="110"/>
      <c r="Q705" s="110"/>
      <c r="R705" s="110"/>
    </row>
    <row r="706" spans="11:18" ht="15.75" customHeight="1">
      <c r="K706" s="110"/>
      <c r="L706" s="110"/>
      <c r="M706" s="110"/>
      <c r="N706" s="110"/>
      <c r="P706" s="110"/>
      <c r="Q706" s="110"/>
      <c r="R706" s="110"/>
    </row>
    <row r="707" spans="11:18" ht="15.75" customHeight="1">
      <c r="K707" s="110"/>
      <c r="L707" s="110"/>
      <c r="M707" s="110"/>
      <c r="N707" s="110"/>
      <c r="P707" s="110"/>
      <c r="Q707" s="110"/>
      <c r="R707" s="110"/>
    </row>
    <row r="708" spans="11:18" ht="15.75" customHeight="1">
      <c r="K708" s="110"/>
      <c r="L708" s="110"/>
      <c r="M708" s="110"/>
      <c r="N708" s="110"/>
      <c r="P708" s="110"/>
      <c r="Q708" s="110"/>
      <c r="R708" s="110"/>
    </row>
    <row r="709" spans="11:18" ht="15.75" customHeight="1">
      <c r="K709" s="110"/>
      <c r="L709" s="110"/>
      <c r="M709" s="110"/>
      <c r="N709" s="110"/>
      <c r="P709" s="110"/>
      <c r="Q709" s="110"/>
      <c r="R709" s="110"/>
    </row>
    <row r="710" spans="11:18" ht="15.75" customHeight="1">
      <c r="K710" s="110"/>
      <c r="L710" s="110"/>
      <c r="M710" s="110"/>
      <c r="N710" s="110"/>
      <c r="P710" s="110"/>
      <c r="Q710" s="110"/>
      <c r="R710" s="110"/>
    </row>
    <row r="711" spans="11:18" ht="15.75" customHeight="1">
      <c r="K711" s="110"/>
      <c r="L711" s="110"/>
      <c r="M711" s="110"/>
      <c r="N711" s="110"/>
      <c r="P711" s="110"/>
      <c r="Q711" s="110"/>
      <c r="R711" s="110"/>
    </row>
    <row r="712" spans="11:18" ht="15.75" customHeight="1">
      <c r="K712" s="110"/>
      <c r="L712" s="110"/>
      <c r="M712" s="110"/>
      <c r="N712" s="110"/>
      <c r="P712" s="110"/>
      <c r="Q712" s="110"/>
      <c r="R712" s="110"/>
    </row>
    <row r="713" spans="11:18" ht="15.75" customHeight="1">
      <c r="K713" s="110"/>
      <c r="L713" s="110"/>
      <c r="M713" s="110"/>
      <c r="N713" s="110"/>
      <c r="P713" s="110"/>
      <c r="Q713" s="110"/>
      <c r="R713" s="110"/>
    </row>
    <row r="714" spans="11:18" ht="15.75" customHeight="1">
      <c r="K714" s="110"/>
      <c r="L714" s="110"/>
      <c r="M714" s="110"/>
      <c r="N714" s="110"/>
      <c r="P714" s="110"/>
      <c r="Q714" s="110"/>
      <c r="R714" s="110"/>
    </row>
    <row r="715" spans="11:18" ht="15.75" customHeight="1">
      <c r="K715" s="110"/>
      <c r="L715" s="110"/>
      <c r="M715" s="110"/>
      <c r="N715" s="110"/>
      <c r="P715" s="110"/>
      <c r="Q715" s="110"/>
      <c r="R715" s="110"/>
    </row>
    <row r="716" spans="11:18" ht="15.75" customHeight="1">
      <c r="K716" s="110"/>
      <c r="L716" s="110"/>
      <c r="M716" s="110"/>
      <c r="N716" s="110"/>
      <c r="P716" s="110"/>
      <c r="Q716" s="110"/>
      <c r="R716" s="110"/>
    </row>
    <row r="717" spans="11:18" ht="15.75" customHeight="1">
      <c r="K717" s="110"/>
      <c r="L717" s="110"/>
      <c r="M717" s="110"/>
      <c r="N717" s="110"/>
      <c r="P717" s="110"/>
      <c r="Q717" s="110"/>
      <c r="R717" s="110"/>
    </row>
    <row r="718" spans="11:18" ht="15.75" customHeight="1">
      <c r="K718" s="110"/>
      <c r="L718" s="110"/>
      <c r="M718" s="110"/>
      <c r="N718" s="110"/>
      <c r="P718" s="110"/>
      <c r="Q718" s="110"/>
      <c r="R718" s="110"/>
    </row>
    <row r="719" spans="11:18" ht="15.75" customHeight="1">
      <c r="K719" s="110"/>
      <c r="L719" s="110"/>
      <c r="M719" s="110"/>
      <c r="N719" s="110"/>
      <c r="P719" s="110"/>
      <c r="Q719" s="110"/>
      <c r="R719" s="110"/>
    </row>
    <row r="720" spans="11:18" ht="15.75" customHeight="1">
      <c r="K720" s="110"/>
      <c r="L720" s="110"/>
      <c r="M720" s="110"/>
      <c r="N720" s="110"/>
      <c r="P720" s="110"/>
      <c r="Q720" s="110"/>
      <c r="R720" s="110"/>
    </row>
    <row r="721" spans="11:18" ht="15.75" customHeight="1">
      <c r="K721" s="110"/>
      <c r="L721" s="110"/>
      <c r="M721" s="110"/>
      <c r="N721" s="110"/>
      <c r="P721" s="110"/>
      <c r="Q721" s="110"/>
      <c r="R721" s="110"/>
    </row>
    <row r="722" spans="11:18" ht="15.75" customHeight="1">
      <c r="K722" s="110"/>
      <c r="L722" s="110"/>
      <c r="M722" s="110"/>
      <c r="N722" s="110"/>
      <c r="P722" s="110"/>
      <c r="Q722" s="110"/>
      <c r="R722" s="110"/>
    </row>
    <row r="723" spans="11:18" ht="15.75" customHeight="1">
      <c r="K723" s="110"/>
      <c r="L723" s="110"/>
      <c r="M723" s="110"/>
      <c r="N723" s="110"/>
      <c r="P723" s="110"/>
      <c r="Q723" s="110"/>
      <c r="R723" s="110"/>
    </row>
    <row r="724" spans="11:18" ht="15.75" customHeight="1">
      <c r="K724" s="110"/>
      <c r="L724" s="110"/>
      <c r="M724" s="110"/>
      <c r="N724" s="110"/>
      <c r="P724" s="110"/>
      <c r="Q724" s="110"/>
      <c r="R724" s="110"/>
    </row>
    <row r="725" spans="11:18" ht="15.75" customHeight="1">
      <c r="K725" s="110"/>
      <c r="L725" s="110"/>
      <c r="M725" s="110"/>
      <c r="N725" s="110"/>
      <c r="P725" s="110"/>
      <c r="Q725" s="110"/>
      <c r="R725" s="110"/>
    </row>
    <row r="726" spans="11:18" ht="15.75" customHeight="1">
      <c r="K726" s="110"/>
      <c r="L726" s="110"/>
      <c r="M726" s="110"/>
      <c r="N726" s="110"/>
      <c r="P726" s="110"/>
      <c r="Q726" s="110"/>
      <c r="R726" s="110"/>
    </row>
    <row r="727" spans="11:18" ht="15.75" customHeight="1">
      <c r="K727" s="110"/>
      <c r="L727" s="110"/>
      <c r="M727" s="110"/>
      <c r="N727" s="110"/>
      <c r="P727" s="110"/>
      <c r="Q727" s="110"/>
      <c r="R727" s="110"/>
    </row>
    <row r="728" spans="11:18" ht="15.75" customHeight="1">
      <c r="K728" s="110"/>
      <c r="L728" s="110"/>
      <c r="M728" s="110"/>
      <c r="N728" s="110"/>
      <c r="P728" s="110"/>
      <c r="Q728" s="110"/>
      <c r="R728" s="110"/>
    </row>
    <row r="729" spans="11:18" ht="15.75" customHeight="1">
      <c r="K729" s="110"/>
      <c r="L729" s="110"/>
      <c r="M729" s="110"/>
      <c r="N729" s="110"/>
      <c r="P729" s="110"/>
      <c r="Q729" s="110"/>
      <c r="R729" s="110"/>
    </row>
    <row r="730" spans="11:18" ht="15.75" customHeight="1">
      <c r="K730" s="110"/>
      <c r="L730" s="110"/>
      <c r="M730" s="110"/>
      <c r="N730" s="110"/>
      <c r="P730" s="110"/>
      <c r="Q730" s="110"/>
      <c r="R730" s="110"/>
    </row>
    <row r="731" spans="11:18" ht="15.75" customHeight="1">
      <c r="K731" s="110"/>
      <c r="L731" s="110"/>
      <c r="M731" s="110"/>
      <c r="N731" s="110"/>
      <c r="P731" s="110"/>
      <c r="Q731" s="110"/>
      <c r="R731" s="110"/>
    </row>
    <row r="732" spans="11:18" ht="15.75" customHeight="1">
      <c r="K732" s="110"/>
      <c r="L732" s="110"/>
      <c r="M732" s="110"/>
      <c r="N732" s="110"/>
      <c r="P732" s="110"/>
      <c r="Q732" s="110"/>
      <c r="R732" s="110"/>
    </row>
    <row r="733" spans="11:18" ht="15.75" customHeight="1">
      <c r="K733" s="110"/>
      <c r="L733" s="110"/>
      <c r="M733" s="110"/>
      <c r="N733" s="110"/>
      <c r="P733" s="110"/>
      <c r="Q733" s="110"/>
      <c r="R733" s="110"/>
    </row>
    <row r="734" spans="11:18" ht="15.75" customHeight="1">
      <c r="K734" s="110"/>
      <c r="L734" s="110"/>
      <c r="M734" s="110"/>
      <c r="N734" s="110"/>
      <c r="P734" s="110"/>
      <c r="Q734" s="110"/>
      <c r="R734" s="110"/>
    </row>
    <row r="735" spans="11:18" ht="15.75" customHeight="1">
      <c r="K735" s="110"/>
      <c r="L735" s="110"/>
      <c r="M735" s="110"/>
      <c r="N735" s="110"/>
      <c r="P735" s="110"/>
      <c r="Q735" s="110"/>
      <c r="R735" s="110"/>
    </row>
    <row r="736" spans="11:18" ht="15.75" customHeight="1">
      <c r="K736" s="110"/>
      <c r="L736" s="110"/>
      <c r="M736" s="110"/>
      <c r="N736" s="110"/>
      <c r="P736" s="110"/>
      <c r="Q736" s="110"/>
      <c r="R736" s="110"/>
    </row>
    <row r="737" spans="11:18" ht="15.75" customHeight="1">
      <c r="K737" s="110"/>
      <c r="L737" s="110"/>
      <c r="M737" s="110"/>
      <c r="N737" s="110"/>
      <c r="P737" s="110"/>
      <c r="Q737" s="110"/>
      <c r="R737" s="110"/>
    </row>
    <row r="738" spans="11:18" ht="15.75" customHeight="1">
      <c r="K738" s="110"/>
      <c r="L738" s="110"/>
      <c r="M738" s="110"/>
      <c r="N738" s="110"/>
      <c r="P738" s="110"/>
      <c r="Q738" s="110"/>
      <c r="R738" s="110"/>
    </row>
    <row r="739" spans="11:18" ht="15.75" customHeight="1">
      <c r="K739" s="110"/>
      <c r="L739" s="110"/>
      <c r="M739" s="110"/>
      <c r="N739" s="110"/>
      <c r="P739" s="110"/>
      <c r="Q739" s="110"/>
      <c r="R739" s="110"/>
    </row>
    <row r="740" spans="11:18" ht="15.75" customHeight="1">
      <c r="K740" s="110"/>
      <c r="L740" s="110"/>
      <c r="M740" s="110"/>
      <c r="N740" s="110"/>
      <c r="P740" s="110"/>
      <c r="Q740" s="110"/>
      <c r="R740" s="110"/>
    </row>
    <row r="741" spans="11:18" ht="15.75" customHeight="1">
      <c r="K741" s="110"/>
      <c r="L741" s="110"/>
      <c r="M741" s="110"/>
      <c r="N741" s="110"/>
      <c r="P741" s="110"/>
      <c r="Q741" s="110"/>
      <c r="R741" s="110"/>
    </row>
    <row r="742" spans="11:18" ht="15.75" customHeight="1">
      <c r="K742" s="110"/>
      <c r="L742" s="110"/>
      <c r="M742" s="110"/>
      <c r="N742" s="110"/>
      <c r="P742" s="110"/>
      <c r="Q742" s="110"/>
      <c r="R742" s="110"/>
    </row>
    <row r="743" spans="11:18" ht="15.75" customHeight="1">
      <c r="K743" s="110"/>
      <c r="L743" s="110"/>
      <c r="M743" s="110"/>
      <c r="N743" s="110"/>
      <c r="P743" s="110"/>
      <c r="Q743" s="110"/>
      <c r="R743" s="110"/>
    </row>
    <row r="744" spans="11:18" ht="15.75" customHeight="1">
      <c r="K744" s="110"/>
      <c r="L744" s="110"/>
      <c r="M744" s="110"/>
      <c r="N744" s="110"/>
      <c r="P744" s="110"/>
      <c r="Q744" s="110"/>
      <c r="R744" s="110"/>
    </row>
    <row r="745" spans="11:18" ht="15.75" customHeight="1">
      <c r="K745" s="110"/>
      <c r="L745" s="110"/>
      <c r="M745" s="110"/>
      <c r="N745" s="110"/>
      <c r="P745" s="110"/>
      <c r="Q745" s="110"/>
      <c r="R745" s="110"/>
    </row>
    <row r="746" spans="11:18" ht="15.75" customHeight="1">
      <c r="K746" s="110"/>
      <c r="L746" s="110"/>
      <c r="M746" s="110"/>
      <c r="N746" s="110"/>
      <c r="P746" s="110"/>
      <c r="Q746" s="110"/>
      <c r="R746" s="110"/>
    </row>
    <row r="747" spans="11:18" ht="15.75" customHeight="1">
      <c r="K747" s="110"/>
      <c r="L747" s="110"/>
      <c r="M747" s="110"/>
      <c r="N747" s="110"/>
      <c r="P747" s="110"/>
      <c r="Q747" s="110"/>
      <c r="R747" s="110"/>
    </row>
    <row r="748" spans="11:18" ht="15.75" customHeight="1">
      <c r="K748" s="110"/>
      <c r="L748" s="110"/>
      <c r="M748" s="110"/>
      <c r="N748" s="110"/>
      <c r="P748" s="110"/>
      <c r="Q748" s="110"/>
      <c r="R748" s="110"/>
    </row>
    <row r="749" spans="11:18" ht="15.75" customHeight="1">
      <c r="K749" s="110"/>
      <c r="L749" s="110"/>
      <c r="M749" s="110"/>
      <c r="N749" s="110"/>
      <c r="P749" s="110"/>
      <c r="Q749" s="110"/>
      <c r="R749" s="110"/>
    </row>
    <row r="750" spans="11:18" ht="15.75" customHeight="1">
      <c r="K750" s="110"/>
      <c r="L750" s="110"/>
      <c r="M750" s="110"/>
      <c r="N750" s="110"/>
      <c r="P750" s="110"/>
      <c r="Q750" s="110"/>
      <c r="R750" s="110"/>
    </row>
    <row r="751" spans="11:18" ht="15.75" customHeight="1">
      <c r="K751" s="110"/>
      <c r="L751" s="110"/>
      <c r="M751" s="110"/>
      <c r="N751" s="110"/>
      <c r="P751" s="110"/>
      <c r="Q751" s="110"/>
      <c r="R751" s="110"/>
    </row>
    <row r="752" spans="11:18" ht="15.75" customHeight="1">
      <c r="K752" s="110"/>
      <c r="L752" s="110"/>
      <c r="M752" s="110"/>
      <c r="N752" s="110"/>
      <c r="P752" s="110"/>
      <c r="Q752" s="110"/>
      <c r="R752" s="110"/>
    </row>
    <row r="753" spans="11:18" ht="15.75" customHeight="1">
      <c r="K753" s="110"/>
      <c r="L753" s="110"/>
      <c r="M753" s="110"/>
      <c r="N753" s="110"/>
      <c r="P753" s="110"/>
      <c r="Q753" s="110"/>
      <c r="R753" s="110"/>
    </row>
    <row r="754" spans="11:18" ht="15.75" customHeight="1">
      <c r="K754" s="110"/>
      <c r="L754" s="110"/>
      <c r="M754" s="110"/>
      <c r="N754" s="110"/>
      <c r="P754" s="110"/>
      <c r="Q754" s="110"/>
      <c r="R754" s="110"/>
    </row>
    <row r="755" spans="11:18" ht="15.75" customHeight="1">
      <c r="K755" s="110"/>
      <c r="L755" s="110"/>
      <c r="M755" s="110"/>
      <c r="N755" s="110"/>
      <c r="P755" s="110"/>
      <c r="Q755" s="110"/>
      <c r="R755" s="110"/>
    </row>
    <row r="756" spans="11:18" ht="15.75" customHeight="1">
      <c r="K756" s="110"/>
      <c r="L756" s="110"/>
      <c r="M756" s="110"/>
      <c r="N756" s="110"/>
      <c r="P756" s="110"/>
      <c r="Q756" s="110"/>
      <c r="R756" s="110"/>
    </row>
    <row r="757" spans="11:18" ht="15.75" customHeight="1">
      <c r="K757" s="110"/>
      <c r="L757" s="110"/>
      <c r="M757" s="110"/>
      <c r="N757" s="110"/>
      <c r="P757" s="110"/>
      <c r="Q757" s="110"/>
      <c r="R757" s="110"/>
    </row>
    <row r="758" spans="11:18" ht="15.75" customHeight="1">
      <c r="K758" s="110"/>
      <c r="L758" s="110"/>
      <c r="M758" s="110"/>
      <c r="N758" s="110"/>
      <c r="P758" s="110"/>
      <c r="Q758" s="110"/>
      <c r="R758" s="110"/>
    </row>
    <row r="759" spans="11:18" ht="15.75" customHeight="1">
      <c r="K759" s="110"/>
      <c r="L759" s="110"/>
      <c r="M759" s="110"/>
      <c r="N759" s="110"/>
      <c r="P759" s="110"/>
      <c r="Q759" s="110"/>
      <c r="R759" s="110"/>
    </row>
    <row r="760" spans="11:18" ht="15.75" customHeight="1">
      <c r="K760" s="110"/>
      <c r="L760" s="110"/>
      <c r="M760" s="110"/>
      <c r="N760" s="110"/>
      <c r="P760" s="110"/>
      <c r="Q760" s="110"/>
      <c r="R760" s="110"/>
    </row>
    <row r="761" spans="11:18" ht="15.75" customHeight="1">
      <c r="K761" s="110"/>
      <c r="L761" s="110"/>
      <c r="M761" s="110"/>
      <c r="N761" s="110"/>
      <c r="P761" s="110"/>
      <c r="Q761" s="110"/>
      <c r="R761" s="110"/>
    </row>
    <row r="762" spans="11:18" ht="15.75" customHeight="1">
      <c r="K762" s="110"/>
      <c r="L762" s="110"/>
      <c r="M762" s="110"/>
      <c r="N762" s="110"/>
      <c r="P762" s="110"/>
      <c r="Q762" s="110"/>
      <c r="R762" s="110"/>
    </row>
    <row r="763" spans="11:18" ht="15.75" customHeight="1">
      <c r="K763" s="110"/>
      <c r="L763" s="110"/>
      <c r="M763" s="110"/>
      <c r="N763" s="110"/>
      <c r="P763" s="110"/>
      <c r="Q763" s="110"/>
      <c r="R763" s="110"/>
    </row>
    <row r="764" spans="11:18" ht="15.75" customHeight="1">
      <c r="K764" s="110"/>
      <c r="L764" s="110"/>
      <c r="M764" s="110"/>
      <c r="N764" s="110"/>
      <c r="P764" s="110"/>
      <c r="Q764" s="110"/>
      <c r="R764" s="110"/>
    </row>
    <row r="765" spans="11:18" ht="15.75" customHeight="1">
      <c r="K765" s="110"/>
      <c r="L765" s="110"/>
      <c r="M765" s="110"/>
      <c r="N765" s="110"/>
      <c r="P765" s="110"/>
      <c r="Q765" s="110"/>
      <c r="R765" s="110"/>
    </row>
    <row r="766" spans="11:18" ht="15.75" customHeight="1">
      <c r="K766" s="110"/>
      <c r="L766" s="110"/>
      <c r="M766" s="110"/>
      <c r="N766" s="110"/>
      <c r="P766" s="110"/>
      <c r="Q766" s="110"/>
      <c r="R766" s="110"/>
    </row>
    <row r="767" spans="11:18" ht="15.75" customHeight="1">
      <c r="K767" s="110"/>
      <c r="L767" s="110"/>
      <c r="M767" s="110"/>
      <c r="N767" s="110"/>
      <c r="P767" s="110"/>
      <c r="Q767" s="110"/>
      <c r="R767" s="110"/>
    </row>
    <row r="768" spans="11:18" ht="15.75" customHeight="1">
      <c r="K768" s="110"/>
      <c r="L768" s="110"/>
      <c r="M768" s="110"/>
      <c r="N768" s="110"/>
      <c r="P768" s="110"/>
      <c r="Q768" s="110"/>
      <c r="R768" s="110"/>
    </row>
    <row r="769" spans="11:18" ht="15.75" customHeight="1">
      <c r="K769" s="110"/>
      <c r="L769" s="110"/>
      <c r="M769" s="110"/>
      <c r="N769" s="110"/>
      <c r="P769" s="110"/>
      <c r="Q769" s="110"/>
      <c r="R769" s="110"/>
    </row>
    <row r="770" spans="11:18" ht="15.75" customHeight="1">
      <c r="K770" s="110"/>
      <c r="L770" s="110"/>
      <c r="M770" s="110"/>
      <c r="N770" s="110"/>
      <c r="P770" s="110"/>
      <c r="Q770" s="110"/>
      <c r="R770" s="110"/>
    </row>
    <row r="771" spans="11:18" ht="15.75" customHeight="1">
      <c r="K771" s="110"/>
      <c r="L771" s="110"/>
      <c r="M771" s="110"/>
      <c r="N771" s="110"/>
      <c r="P771" s="110"/>
      <c r="Q771" s="110"/>
      <c r="R771" s="110"/>
    </row>
    <row r="772" spans="11:18" ht="15.75" customHeight="1">
      <c r="K772" s="110"/>
      <c r="L772" s="110"/>
      <c r="M772" s="110"/>
      <c r="N772" s="110"/>
      <c r="P772" s="110"/>
      <c r="Q772" s="110"/>
      <c r="R772" s="110"/>
    </row>
    <row r="773" spans="11:18" ht="15.75" customHeight="1">
      <c r="K773" s="110"/>
      <c r="L773" s="110"/>
      <c r="M773" s="110"/>
      <c r="N773" s="110"/>
      <c r="P773" s="110"/>
      <c r="Q773" s="110"/>
      <c r="R773" s="110"/>
    </row>
    <row r="774" spans="11:18" ht="15.75" customHeight="1">
      <c r="K774" s="110"/>
      <c r="L774" s="110"/>
      <c r="M774" s="110"/>
      <c r="N774" s="110"/>
      <c r="P774" s="110"/>
      <c r="Q774" s="110"/>
      <c r="R774" s="110"/>
    </row>
    <row r="775" spans="11:18" ht="15.75" customHeight="1">
      <c r="K775" s="110"/>
      <c r="L775" s="110"/>
      <c r="M775" s="110"/>
      <c r="N775" s="110"/>
      <c r="P775" s="110"/>
      <c r="Q775" s="110"/>
      <c r="R775" s="110"/>
    </row>
    <row r="776" spans="11:18" ht="15.75" customHeight="1">
      <c r="K776" s="110"/>
      <c r="L776" s="110"/>
      <c r="M776" s="110"/>
      <c r="N776" s="110"/>
      <c r="P776" s="110"/>
      <c r="Q776" s="110"/>
      <c r="R776" s="110"/>
    </row>
    <row r="777" spans="11:18" ht="15.75" customHeight="1">
      <c r="K777" s="110"/>
      <c r="L777" s="110"/>
      <c r="M777" s="110"/>
      <c r="N777" s="110"/>
      <c r="P777" s="110"/>
      <c r="Q777" s="110"/>
      <c r="R777" s="110"/>
    </row>
    <row r="778" spans="11:18" ht="15.75" customHeight="1">
      <c r="K778" s="110"/>
      <c r="L778" s="110"/>
      <c r="M778" s="110"/>
      <c r="N778" s="110"/>
      <c r="P778" s="110"/>
      <c r="Q778" s="110"/>
      <c r="R778" s="110"/>
    </row>
    <row r="779" spans="11:18" ht="15.75" customHeight="1">
      <c r="K779" s="110"/>
      <c r="L779" s="110"/>
      <c r="M779" s="110"/>
      <c r="N779" s="110"/>
      <c r="P779" s="110"/>
      <c r="Q779" s="110"/>
      <c r="R779" s="110"/>
    </row>
    <row r="780" spans="11:18" ht="15.75" customHeight="1">
      <c r="K780" s="110"/>
      <c r="L780" s="110"/>
      <c r="M780" s="110"/>
      <c r="N780" s="110"/>
      <c r="P780" s="110"/>
      <c r="Q780" s="110"/>
      <c r="R780" s="110"/>
    </row>
    <row r="781" spans="11:18" ht="15.75" customHeight="1">
      <c r="K781" s="110"/>
      <c r="L781" s="110"/>
      <c r="M781" s="110"/>
      <c r="N781" s="110"/>
      <c r="P781" s="110"/>
      <c r="Q781" s="110"/>
      <c r="R781" s="110"/>
    </row>
    <row r="782" spans="11:18" ht="15.75" customHeight="1">
      <c r="K782" s="110"/>
      <c r="L782" s="110"/>
      <c r="M782" s="110"/>
      <c r="N782" s="110"/>
      <c r="P782" s="110"/>
      <c r="Q782" s="110"/>
      <c r="R782" s="110"/>
    </row>
    <row r="783" spans="11:18" ht="15.75" customHeight="1">
      <c r="K783" s="110"/>
      <c r="L783" s="110"/>
      <c r="M783" s="110"/>
      <c r="N783" s="110"/>
      <c r="P783" s="110"/>
      <c r="Q783" s="110"/>
      <c r="R783" s="110"/>
    </row>
    <row r="784" spans="11:18" ht="15.75" customHeight="1">
      <c r="K784" s="110"/>
      <c r="L784" s="110"/>
      <c r="M784" s="110"/>
      <c r="N784" s="110"/>
      <c r="P784" s="110"/>
      <c r="Q784" s="110"/>
      <c r="R784" s="110"/>
    </row>
    <row r="785" spans="11:18" ht="15.75" customHeight="1">
      <c r="K785" s="110"/>
      <c r="L785" s="110"/>
      <c r="M785" s="110"/>
      <c r="N785" s="110"/>
      <c r="P785" s="110"/>
      <c r="Q785" s="110"/>
      <c r="R785" s="110"/>
    </row>
    <row r="786" spans="11:18" ht="15.75" customHeight="1">
      <c r="K786" s="110"/>
      <c r="L786" s="110"/>
      <c r="M786" s="110"/>
      <c r="N786" s="110"/>
      <c r="P786" s="110"/>
      <c r="Q786" s="110"/>
      <c r="R786" s="110"/>
    </row>
    <row r="787" spans="11:18" ht="15.75" customHeight="1">
      <c r="K787" s="110"/>
      <c r="L787" s="110"/>
      <c r="M787" s="110"/>
      <c r="N787" s="110"/>
      <c r="P787" s="110"/>
      <c r="Q787" s="110"/>
      <c r="R787" s="110"/>
    </row>
    <row r="788" spans="11:18" ht="15.75" customHeight="1">
      <c r="K788" s="110"/>
      <c r="L788" s="110"/>
      <c r="M788" s="110"/>
      <c r="N788" s="110"/>
      <c r="P788" s="110"/>
      <c r="Q788" s="110"/>
      <c r="R788" s="110"/>
    </row>
    <row r="789" spans="11:18" ht="15.75" customHeight="1">
      <c r="K789" s="110"/>
      <c r="L789" s="110"/>
      <c r="M789" s="110"/>
      <c r="N789" s="110"/>
      <c r="P789" s="110"/>
      <c r="Q789" s="110"/>
      <c r="R789" s="110"/>
    </row>
    <row r="790" spans="11:18" ht="15.75" customHeight="1">
      <c r="K790" s="110"/>
      <c r="L790" s="110"/>
      <c r="M790" s="110"/>
      <c r="N790" s="110"/>
      <c r="P790" s="110"/>
      <c r="Q790" s="110"/>
      <c r="R790" s="110"/>
    </row>
    <row r="791" spans="11:18" ht="15.75" customHeight="1">
      <c r="K791" s="110"/>
      <c r="L791" s="110"/>
      <c r="M791" s="110"/>
      <c r="N791" s="110"/>
      <c r="P791" s="110"/>
      <c r="Q791" s="110"/>
      <c r="R791" s="110"/>
    </row>
    <row r="792" spans="11:18" ht="15.75" customHeight="1">
      <c r="K792" s="110"/>
      <c r="L792" s="110"/>
      <c r="M792" s="110"/>
      <c r="N792" s="110"/>
      <c r="P792" s="110"/>
      <c r="Q792" s="110"/>
      <c r="R792" s="110"/>
    </row>
    <row r="793" spans="11:18" ht="15.75" customHeight="1">
      <c r="K793" s="110"/>
      <c r="L793" s="110"/>
      <c r="M793" s="110"/>
      <c r="N793" s="110"/>
      <c r="P793" s="110"/>
      <c r="Q793" s="110"/>
      <c r="R793" s="110"/>
    </row>
    <row r="794" spans="11:18" ht="15.75" customHeight="1">
      <c r="K794" s="110"/>
      <c r="L794" s="110"/>
      <c r="M794" s="110"/>
      <c r="N794" s="110"/>
      <c r="P794" s="110"/>
      <c r="Q794" s="110"/>
      <c r="R794" s="110"/>
    </row>
    <row r="795" spans="11:18" ht="15.75" customHeight="1">
      <c r="K795" s="110"/>
      <c r="L795" s="110"/>
      <c r="M795" s="110"/>
      <c r="N795" s="110"/>
      <c r="P795" s="110"/>
      <c r="Q795" s="110"/>
      <c r="R795" s="110"/>
    </row>
    <row r="796" spans="11:18" ht="15.75" customHeight="1">
      <c r="K796" s="110"/>
      <c r="L796" s="110"/>
      <c r="M796" s="110"/>
      <c r="N796" s="110"/>
      <c r="P796" s="110"/>
      <c r="Q796" s="110"/>
      <c r="R796" s="110"/>
    </row>
    <row r="797" spans="11:18" ht="15.75" customHeight="1">
      <c r="K797" s="110"/>
      <c r="L797" s="110"/>
      <c r="M797" s="110"/>
      <c r="N797" s="110"/>
      <c r="P797" s="110"/>
      <c r="Q797" s="110"/>
      <c r="R797" s="110"/>
    </row>
    <row r="798" spans="11:18" ht="15.75" customHeight="1">
      <c r="K798" s="110"/>
      <c r="L798" s="110"/>
      <c r="M798" s="110"/>
      <c r="N798" s="110"/>
      <c r="P798" s="110"/>
      <c r="Q798" s="110"/>
      <c r="R798" s="110"/>
    </row>
    <row r="799" spans="11:18" ht="15.75" customHeight="1">
      <c r="K799" s="110"/>
      <c r="L799" s="110"/>
      <c r="M799" s="110"/>
      <c r="N799" s="110"/>
      <c r="P799" s="110"/>
      <c r="Q799" s="110"/>
      <c r="R799" s="110"/>
    </row>
    <row r="800" spans="11:18" ht="15.75" customHeight="1">
      <c r="K800" s="110"/>
      <c r="L800" s="110"/>
      <c r="M800" s="110"/>
      <c r="N800" s="110"/>
      <c r="P800" s="110"/>
      <c r="Q800" s="110"/>
      <c r="R800" s="110"/>
    </row>
    <row r="801" spans="11:18" ht="15.75" customHeight="1">
      <c r="K801" s="110"/>
      <c r="L801" s="110"/>
      <c r="M801" s="110"/>
      <c r="N801" s="110"/>
      <c r="P801" s="110"/>
      <c r="Q801" s="110"/>
      <c r="R801" s="110"/>
    </row>
    <row r="802" spans="11:18" ht="15.75" customHeight="1">
      <c r="K802" s="110"/>
      <c r="L802" s="110"/>
      <c r="M802" s="110"/>
      <c r="N802" s="110"/>
      <c r="P802" s="110"/>
      <c r="Q802" s="110"/>
      <c r="R802" s="110"/>
    </row>
    <row r="803" spans="11:18" ht="15.75" customHeight="1">
      <c r="K803" s="110"/>
      <c r="L803" s="110"/>
      <c r="M803" s="110"/>
      <c r="N803" s="110"/>
      <c r="P803" s="110"/>
      <c r="Q803" s="110"/>
      <c r="R803" s="110"/>
    </row>
    <row r="804" spans="11:18" ht="15.75" customHeight="1">
      <c r="K804" s="110"/>
      <c r="L804" s="110"/>
      <c r="M804" s="110"/>
      <c r="N804" s="110"/>
      <c r="P804" s="110"/>
      <c r="Q804" s="110"/>
      <c r="R804" s="110"/>
    </row>
    <row r="805" spans="11:18" ht="15.75" customHeight="1">
      <c r="K805" s="110"/>
      <c r="L805" s="110"/>
      <c r="M805" s="110"/>
      <c r="N805" s="110"/>
      <c r="P805" s="110"/>
      <c r="Q805" s="110"/>
      <c r="R805" s="110"/>
    </row>
    <row r="806" spans="11:18" ht="15.75" customHeight="1">
      <c r="K806" s="110"/>
      <c r="L806" s="110"/>
      <c r="M806" s="110"/>
      <c r="N806" s="110"/>
      <c r="P806" s="110"/>
      <c r="Q806" s="110"/>
      <c r="R806" s="110"/>
    </row>
    <row r="807" spans="11:18" ht="15.75" customHeight="1">
      <c r="K807" s="110"/>
      <c r="L807" s="110"/>
      <c r="M807" s="110"/>
      <c r="N807" s="110"/>
      <c r="P807" s="110"/>
      <c r="Q807" s="110"/>
      <c r="R807" s="110"/>
    </row>
    <row r="808" spans="11:18" ht="15.75" customHeight="1">
      <c r="K808" s="110"/>
      <c r="L808" s="110"/>
      <c r="M808" s="110"/>
      <c r="N808" s="110"/>
      <c r="P808" s="110"/>
      <c r="Q808" s="110"/>
      <c r="R808" s="110"/>
    </row>
    <row r="809" spans="11:18" ht="15.75" customHeight="1">
      <c r="K809" s="110"/>
      <c r="L809" s="110"/>
      <c r="M809" s="110"/>
      <c r="N809" s="110"/>
      <c r="P809" s="110"/>
      <c r="Q809" s="110"/>
      <c r="R809" s="110"/>
    </row>
    <row r="810" spans="11:18" ht="15.75" customHeight="1">
      <c r="K810" s="110"/>
      <c r="L810" s="110"/>
      <c r="M810" s="110"/>
      <c r="N810" s="110"/>
      <c r="P810" s="110"/>
      <c r="Q810" s="110"/>
      <c r="R810" s="110"/>
    </row>
    <row r="811" spans="11:18" ht="15.75" customHeight="1">
      <c r="K811" s="110"/>
      <c r="L811" s="110"/>
      <c r="M811" s="110"/>
      <c r="N811" s="110"/>
      <c r="P811" s="110"/>
      <c r="Q811" s="110"/>
      <c r="R811" s="110"/>
    </row>
    <row r="812" spans="11:18" ht="15.75" customHeight="1">
      <c r="K812" s="110"/>
      <c r="L812" s="110"/>
      <c r="M812" s="110"/>
      <c r="N812" s="110"/>
      <c r="P812" s="110"/>
      <c r="Q812" s="110"/>
      <c r="R812" s="110"/>
    </row>
    <row r="813" spans="11:18" ht="15.75" customHeight="1">
      <c r="K813" s="110"/>
      <c r="L813" s="110"/>
      <c r="M813" s="110"/>
      <c r="N813" s="110"/>
      <c r="P813" s="110"/>
      <c r="Q813" s="110"/>
      <c r="R813" s="110"/>
    </row>
    <row r="814" spans="11:18" ht="15.75" customHeight="1">
      <c r="K814" s="110"/>
      <c r="L814" s="110"/>
      <c r="M814" s="110"/>
      <c r="N814" s="110"/>
      <c r="P814" s="110"/>
      <c r="Q814" s="110"/>
      <c r="R814" s="110"/>
    </row>
    <row r="815" spans="11:18" ht="15.75" customHeight="1">
      <c r="K815" s="110"/>
      <c r="L815" s="110"/>
      <c r="M815" s="110"/>
      <c r="N815" s="110"/>
      <c r="P815" s="110"/>
      <c r="Q815" s="110"/>
      <c r="R815" s="110"/>
    </row>
    <row r="816" spans="11:18" ht="15.75" customHeight="1">
      <c r="K816" s="110"/>
      <c r="L816" s="110"/>
      <c r="M816" s="110"/>
      <c r="N816" s="110"/>
      <c r="P816" s="110"/>
      <c r="Q816" s="110"/>
      <c r="R816" s="110"/>
    </row>
    <row r="817" spans="11:18" ht="15.75" customHeight="1">
      <c r="K817" s="110"/>
      <c r="L817" s="110"/>
      <c r="M817" s="110"/>
      <c r="N817" s="110"/>
      <c r="P817" s="110"/>
      <c r="Q817" s="110"/>
      <c r="R817" s="110"/>
    </row>
    <row r="818" spans="11:18" ht="15.75" customHeight="1">
      <c r="K818" s="110"/>
      <c r="L818" s="110"/>
      <c r="M818" s="110"/>
      <c r="N818" s="110"/>
      <c r="P818" s="110"/>
      <c r="Q818" s="110"/>
      <c r="R818" s="110"/>
    </row>
    <row r="819" spans="11:18" ht="15.75" customHeight="1">
      <c r="K819" s="110"/>
      <c r="L819" s="110"/>
      <c r="M819" s="110"/>
      <c r="N819" s="110"/>
      <c r="P819" s="110"/>
      <c r="Q819" s="110"/>
      <c r="R819" s="110"/>
    </row>
    <row r="820" spans="11:18" ht="15.75" customHeight="1">
      <c r="K820" s="110"/>
      <c r="L820" s="110"/>
      <c r="M820" s="110"/>
      <c r="N820" s="110"/>
      <c r="P820" s="110"/>
      <c r="Q820" s="110"/>
      <c r="R820" s="110"/>
    </row>
    <row r="821" spans="11:18" ht="15.75" customHeight="1">
      <c r="K821" s="110"/>
      <c r="L821" s="110"/>
      <c r="M821" s="110"/>
      <c r="N821" s="110"/>
      <c r="P821" s="110"/>
      <c r="Q821" s="110"/>
      <c r="R821" s="110"/>
    </row>
    <row r="822" spans="11:18" ht="15.75" customHeight="1">
      <c r="K822" s="110"/>
      <c r="L822" s="110"/>
      <c r="M822" s="110"/>
      <c r="N822" s="110"/>
      <c r="P822" s="110"/>
      <c r="Q822" s="110"/>
      <c r="R822" s="110"/>
    </row>
    <row r="823" spans="11:18" ht="15.75" customHeight="1">
      <c r="K823" s="110"/>
      <c r="L823" s="110"/>
      <c r="M823" s="110"/>
      <c r="N823" s="110"/>
      <c r="P823" s="110"/>
      <c r="Q823" s="110"/>
      <c r="R823" s="110"/>
    </row>
    <row r="824" spans="11:18" ht="15.75" customHeight="1">
      <c r="K824" s="110"/>
      <c r="L824" s="110"/>
      <c r="M824" s="110"/>
      <c r="N824" s="110"/>
      <c r="P824" s="110"/>
      <c r="Q824" s="110"/>
      <c r="R824" s="110"/>
    </row>
    <row r="825" spans="11:18" ht="15.75" customHeight="1">
      <c r="K825" s="110"/>
      <c r="L825" s="110"/>
      <c r="M825" s="110"/>
      <c r="N825" s="110"/>
      <c r="P825" s="110"/>
      <c r="Q825" s="110"/>
      <c r="R825" s="110"/>
    </row>
    <row r="826" spans="11:18" ht="15.75" customHeight="1">
      <c r="K826" s="110"/>
      <c r="L826" s="110"/>
      <c r="M826" s="110"/>
      <c r="N826" s="110"/>
      <c r="P826" s="110"/>
      <c r="Q826" s="110"/>
      <c r="R826" s="110"/>
    </row>
    <row r="827" spans="11:18" ht="15.75" customHeight="1">
      <c r="K827" s="110"/>
      <c r="L827" s="110"/>
      <c r="M827" s="110"/>
      <c r="N827" s="110"/>
      <c r="P827" s="110"/>
      <c r="Q827" s="110"/>
      <c r="R827" s="110"/>
    </row>
    <row r="828" spans="11:18" ht="15.75" customHeight="1">
      <c r="K828" s="110"/>
      <c r="L828" s="110"/>
      <c r="M828" s="110"/>
      <c r="N828" s="110"/>
      <c r="P828" s="110"/>
      <c r="Q828" s="110"/>
      <c r="R828" s="110"/>
    </row>
    <row r="829" spans="11:18" ht="15.75" customHeight="1">
      <c r="K829" s="110"/>
      <c r="L829" s="110"/>
      <c r="M829" s="110"/>
      <c r="N829" s="110"/>
      <c r="P829" s="110"/>
      <c r="Q829" s="110"/>
      <c r="R829" s="110"/>
    </row>
    <row r="830" spans="11:18" ht="15.75" customHeight="1">
      <c r="K830" s="110"/>
      <c r="L830" s="110"/>
      <c r="M830" s="110"/>
      <c r="N830" s="110"/>
      <c r="P830" s="110"/>
      <c r="Q830" s="110"/>
      <c r="R830" s="110"/>
    </row>
    <row r="831" spans="11:18" ht="15.75" customHeight="1">
      <c r="K831" s="110"/>
      <c r="L831" s="110"/>
      <c r="M831" s="110"/>
      <c r="N831" s="110"/>
      <c r="P831" s="110"/>
      <c r="Q831" s="110"/>
      <c r="R831" s="110"/>
    </row>
    <row r="832" spans="11:18" ht="15.75" customHeight="1">
      <c r="K832" s="110"/>
      <c r="L832" s="110"/>
      <c r="M832" s="110"/>
      <c r="N832" s="110"/>
      <c r="P832" s="110"/>
      <c r="Q832" s="110"/>
      <c r="R832" s="110"/>
    </row>
    <row r="833" spans="11:18" ht="15.75" customHeight="1">
      <c r="K833" s="110"/>
      <c r="L833" s="110"/>
      <c r="M833" s="110"/>
      <c r="N833" s="110"/>
      <c r="P833" s="110"/>
      <c r="Q833" s="110"/>
      <c r="R833" s="110"/>
    </row>
    <row r="834" spans="11:18" ht="15.75" customHeight="1">
      <c r="K834" s="110"/>
      <c r="L834" s="110"/>
      <c r="M834" s="110"/>
      <c r="N834" s="110"/>
      <c r="P834" s="110"/>
      <c r="Q834" s="110"/>
      <c r="R834" s="110"/>
    </row>
    <row r="835" spans="11:18" ht="15.75" customHeight="1">
      <c r="K835" s="110"/>
      <c r="L835" s="110"/>
      <c r="M835" s="110"/>
      <c r="N835" s="110"/>
      <c r="P835" s="110"/>
      <c r="Q835" s="110"/>
      <c r="R835" s="110"/>
    </row>
    <row r="836" spans="11:18" ht="15.75" customHeight="1">
      <c r="K836" s="110"/>
      <c r="L836" s="110"/>
      <c r="M836" s="110"/>
      <c r="N836" s="110"/>
      <c r="P836" s="110"/>
      <c r="Q836" s="110"/>
      <c r="R836" s="110"/>
    </row>
    <row r="837" spans="11:18" ht="15.75" customHeight="1">
      <c r="K837" s="110"/>
      <c r="L837" s="110"/>
      <c r="M837" s="110"/>
      <c r="N837" s="110"/>
      <c r="P837" s="110"/>
      <c r="Q837" s="110"/>
      <c r="R837" s="110"/>
    </row>
    <row r="838" spans="11:18" ht="15.75" customHeight="1">
      <c r="K838" s="110"/>
      <c r="L838" s="110"/>
      <c r="M838" s="110"/>
      <c r="N838" s="110"/>
      <c r="P838" s="110"/>
      <c r="Q838" s="110"/>
      <c r="R838" s="110"/>
    </row>
    <row r="839" spans="11:18" ht="15.75" customHeight="1">
      <c r="K839" s="110"/>
      <c r="L839" s="110"/>
      <c r="M839" s="110"/>
      <c r="N839" s="110"/>
      <c r="P839" s="110"/>
      <c r="Q839" s="110"/>
      <c r="R839" s="110"/>
    </row>
    <row r="840" spans="11:18" ht="15.75" customHeight="1">
      <c r="K840" s="110"/>
      <c r="L840" s="110"/>
      <c r="M840" s="110"/>
      <c r="N840" s="110"/>
      <c r="P840" s="110"/>
      <c r="Q840" s="110"/>
      <c r="R840" s="110"/>
    </row>
    <row r="841" spans="11:18" ht="15.75" customHeight="1">
      <c r="K841" s="110"/>
      <c r="L841" s="110"/>
      <c r="M841" s="110"/>
      <c r="N841" s="110"/>
      <c r="P841" s="110"/>
      <c r="Q841" s="110"/>
      <c r="R841" s="110"/>
    </row>
    <row r="842" spans="11:18" ht="15.75" customHeight="1">
      <c r="K842" s="110"/>
      <c r="L842" s="110"/>
      <c r="M842" s="110"/>
      <c r="N842" s="110"/>
      <c r="P842" s="110"/>
      <c r="Q842" s="110"/>
      <c r="R842" s="110"/>
    </row>
    <row r="843" spans="11:18" ht="15.75" customHeight="1">
      <c r="K843" s="110"/>
      <c r="L843" s="110"/>
      <c r="M843" s="110"/>
      <c r="N843" s="110"/>
      <c r="P843" s="110"/>
      <c r="Q843" s="110"/>
      <c r="R843" s="110"/>
    </row>
    <row r="844" spans="11:18" ht="15.75" customHeight="1">
      <c r="K844" s="110"/>
      <c r="L844" s="110"/>
      <c r="M844" s="110"/>
      <c r="N844" s="110"/>
      <c r="P844" s="110"/>
      <c r="Q844" s="110"/>
      <c r="R844" s="110"/>
    </row>
    <row r="845" spans="11:18" ht="15.75" customHeight="1">
      <c r="K845" s="110"/>
      <c r="L845" s="110"/>
      <c r="M845" s="110"/>
      <c r="N845" s="110"/>
      <c r="P845" s="110"/>
      <c r="Q845" s="110"/>
      <c r="R845" s="110"/>
    </row>
    <row r="846" spans="11:18" ht="15.75" customHeight="1">
      <c r="K846" s="110"/>
      <c r="L846" s="110"/>
      <c r="M846" s="110"/>
      <c r="N846" s="110"/>
      <c r="P846" s="110"/>
      <c r="Q846" s="110"/>
      <c r="R846" s="110"/>
    </row>
    <row r="847" spans="11:18" ht="15.75" customHeight="1">
      <c r="K847" s="110"/>
      <c r="L847" s="110"/>
      <c r="M847" s="110"/>
      <c r="N847" s="110"/>
      <c r="P847" s="110"/>
      <c r="Q847" s="110"/>
      <c r="R847" s="110"/>
    </row>
    <row r="848" spans="11:18" ht="15.75" customHeight="1">
      <c r="K848" s="110"/>
      <c r="L848" s="110"/>
      <c r="M848" s="110"/>
      <c r="N848" s="110"/>
      <c r="P848" s="110"/>
      <c r="Q848" s="110"/>
      <c r="R848" s="110"/>
    </row>
    <row r="849" spans="11:18" ht="15.75" customHeight="1">
      <c r="K849" s="110"/>
      <c r="L849" s="110"/>
      <c r="M849" s="110"/>
      <c r="N849" s="110"/>
      <c r="P849" s="110"/>
      <c r="Q849" s="110"/>
      <c r="R849" s="110"/>
    </row>
    <row r="850" spans="11:18" ht="15.75" customHeight="1">
      <c r="K850" s="110"/>
      <c r="L850" s="110"/>
      <c r="M850" s="110"/>
      <c r="N850" s="110"/>
      <c r="P850" s="110"/>
      <c r="Q850" s="110"/>
      <c r="R850" s="110"/>
    </row>
    <row r="851" spans="11:18" ht="15.75" customHeight="1">
      <c r="K851" s="110"/>
      <c r="L851" s="110"/>
      <c r="M851" s="110"/>
      <c r="N851" s="110"/>
      <c r="P851" s="110"/>
      <c r="Q851" s="110"/>
      <c r="R851" s="110"/>
    </row>
    <row r="852" spans="11:18" ht="15.75" customHeight="1">
      <c r="K852" s="110"/>
      <c r="L852" s="110"/>
      <c r="M852" s="110"/>
      <c r="N852" s="110"/>
      <c r="P852" s="110"/>
      <c r="Q852" s="110"/>
      <c r="R852" s="110"/>
    </row>
    <row r="853" spans="11:18" ht="15.75" customHeight="1">
      <c r="K853" s="110"/>
      <c r="L853" s="110"/>
      <c r="M853" s="110"/>
      <c r="N853" s="110"/>
      <c r="P853" s="110"/>
      <c r="Q853" s="110"/>
      <c r="R853" s="110"/>
    </row>
    <row r="854" spans="11:18" ht="15.75" customHeight="1">
      <c r="K854" s="110"/>
      <c r="L854" s="110"/>
      <c r="M854" s="110"/>
      <c r="N854" s="110"/>
      <c r="P854" s="110"/>
      <c r="Q854" s="110"/>
      <c r="R854" s="110"/>
    </row>
    <row r="855" spans="11:18" ht="15.75" customHeight="1">
      <c r="K855" s="110"/>
      <c r="L855" s="110"/>
      <c r="M855" s="110"/>
      <c r="N855" s="110"/>
      <c r="P855" s="110"/>
      <c r="Q855" s="110"/>
      <c r="R855" s="110"/>
    </row>
    <row r="856" spans="11:18" ht="15.75" customHeight="1">
      <c r="K856" s="110"/>
      <c r="L856" s="110"/>
      <c r="M856" s="110"/>
      <c r="N856" s="110"/>
      <c r="P856" s="110"/>
      <c r="Q856" s="110"/>
      <c r="R856" s="110"/>
    </row>
    <row r="857" spans="11:18" ht="15.75" customHeight="1">
      <c r="K857" s="110"/>
      <c r="L857" s="110"/>
      <c r="M857" s="110"/>
      <c r="N857" s="110"/>
      <c r="P857" s="110"/>
      <c r="Q857" s="110"/>
      <c r="R857" s="110"/>
    </row>
    <row r="858" spans="11:18" ht="15.75" customHeight="1">
      <c r="K858" s="110"/>
      <c r="L858" s="110"/>
      <c r="M858" s="110"/>
      <c r="N858" s="110"/>
      <c r="P858" s="110"/>
      <c r="Q858" s="110"/>
      <c r="R858" s="110"/>
    </row>
    <row r="859" spans="11:18" ht="15.75" customHeight="1">
      <c r="K859" s="110"/>
      <c r="L859" s="110"/>
      <c r="M859" s="110"/>
      <c r="N859" s="110"/>
      <c r="P859" s="110"/>
      <c r="Q859" s="110"/>
      <c r="R859" s="110"/>
    </row>
    <row r="860" spans="11:18" ht="15.75" customHeight="1">
      <c r="K860" s="110"/>
      <c r="L860" s="110"/>
      <c r="M860" s="110"/>
      <c r="N860" s="110"/>
      <c r="P860" s="110"/>
      <c r="Q860" s="110"/>
      <c r="R860" s="110"/>
    </row>
    <row r="861" spans="11:18" ht="15.75" customHeight="1">
      <c r="K861" s="110"/>
      <c r="L861" s="110"/>
      <c r="M861" s="110"/>
      <c r="N861" s="110"/>
      <c r="P861" s="110"/>
      <c r="Q861" s="110"/>
      <c r="R861" s="110"/>
    </row>
    <row r="862" spans="11:18" ht="15.75" customHeight="1">
      <c r="K862" s="110"/>
      <c r="L862" s="110"/>
      <c r="M862" s="110"/>
      <c r="N862" s="110"/>
      <c r="P862" s="110"/>
      <c r="Q862" s="110"/>
      <c r="R862" s="110"/>
    </row>
    <row r="863" spans="11:18" ht="15.75" customHeight="1">
      <c r="K863" s="110"/>
      <c r="L863" s="110"/>
      <c r="M863" s="110"/>
      <c r="N863" s="110"/>
      <c r="P863" s="110"/>
      <c r="Q863" s="110"/>
      <c r="R863" s="110"/>
    </row>
    <row r="864" spans="11:18" ht="15.75" customHeight="1">
      <c r="K864" s="110"/>
      <c r="L864" s="110"/>
      <c r="M864" s="110"/>
      <c r="N864" s="110"/>
      <c r="P864" s="110"/>
      <c r="Q864" s="110"/>
      <c r="R864" s="110"/>
    </row>
    <row r="865" spans="11:18" ht="15.75" customHeight="1">
      <c r="K865" s="110"/>
      <c r="L865" s="110"/>
      <c r="M865" s="110"/>
      <c r="N865" s="110"/>
      <c r="P865" s="110"/>
      <c r="Q865" s="110"/>
      <c r="R865" s="110"/>
    </row>
    <row r="866" spans="11:18" ht="15.75" customHeight="1">
      <c r="K866" s="110"/>
      <c r="L866" s="110"/>
      <c r="M866" s="110"/>
      <c r="N866" s="110"/>
      <c r="P866" s="110"/>
      <c r="Q866" s="110"/>
      <c r="R866" s="110"/>
    </row>
    <row r="867" spans="11:18" ht="15.75" customHeight="1">
      <c r="K867" s="110"/>
      <c r="L867" s="110"/>
      <c r="M867" s="110"/>
      <c r="N867" s="110"/>
      <c r="P867" s="110"/>
      <c r="Q867" s="110"/>
      <c r="R867" s="110"/>
    </row>
    <row r="868" spans="11:18" ht="15.75" customHeight="1">
      <c r="K868" s="110"/>
      <c r="L868" s="110"/>
      <c r="M868" s="110"/>
      <c r="N868" s="110"/>
      <c r="P868" s="110"/>
      <c r="Q868" s="110"/>
      <c r="R868" s="110"/>
    </row>
    <row r="869" spans="11:18" ht="15.75" customHeight="1">
      <c r="K869" s="110"/>
      <c r="L869" s="110"/>
      <c r="M869" s="110"/>
      <c r="N869" s="110"/>
      <c r="P869" s="110"/>
      <c r="Q869" s="110"/>
      <c r="R869" s="110"/>
    </row>
    <row r="870" spans="11:18" ht="15.75" customHeight="1">
      <c r="K870" s="110"/>
      <c r="L870" s="110"/>
      <c r="M870" s="110"/>
      <c r="N870" s="110"/>
      <c r="P870" s="110"/>
      <c r="Q870" s="110"/>
      <c r="R870" s="110"/>
    </row>
    <row r="871" spans="11:18" ht="15.75" customHeight="1">
      <c r="K871" s="110"/>
      <c r="L871" s="110"/>
      <c r="M871" s="110"/>
      <c r="N871" s="110"/>
      <c r="P871" s="110"/>
      <c r="Q871" s="110"/>
      <c r="R871" s="110"/>
    </row>
    <row r="872" spans="11:18" ht="15.75" customHeight="1">
      <c r="K872" s="110"/>
      <c r="L872" s="110"/>
      <c r="M872" s="110"/>
      <c r="N872" s="110"/>
      <c r="P872" s="110"/>
      <c r="Q872" s="110"/>
      <c r="R872" s="110"/>
    </row>
    <row r="873" spans="11:18" ht="15.75" customHeight="1">
      <c r="K873" s="110"/>
      <c r="L873" s="110"/>
      <c r="M873" s="110"/>
      <c r="N873" s="110"/>
      <c r="P873" s="110"/>
      <c r="Q873" s="110"/>
      <c r="R873" s="110"/>
    </row>
    <row r="874" spans="11:18" ht="15.75" customHeight="1">
      <c r="K874" s="110"/>
      <c r="L874" s="110"/>
      <c r="M874" s="110"/>
      <c r="N874" s="110"/>
      <c r="P874" s="110"/>
      <c r="Q874" s="110"/>
      <c r="R874" s="110"/>
    </row>
    <row r="875" spans="11:18" ht="15.75" customHeight="1">
      <c r="K875" s="110"/>
      <c r="L875" s="110"/>
      <c r="M875" s="110"/>
      <c r="N875" s="110"/>
      <c r="P875" s="110"/>
      <c r="Q875" s="110"/>
      <c r="R875" s="110"/>
    </row>
    <row r="876" spans="11:18" ht="15.75" customHeight="1">
      <c r="K876" s="110"/>
      <c r="L876" s="110"/>
      <c r="M876" s="110"/>
      <c r="N876" s="110"/>
      <c r="P876" s="110"/>
      <c r="Q876" s="110"/>
      <c r="R876" s="110"/>
    </row>
    <row r="877" spans="11:18" ht="15.75" customHeight="1">
      <c r="K877" s="110"/>
      <c r="L877" s="110"/>
      <c r="M877" s="110"/>
      <c r="N877" s="110"/>
      <c r="P877" s="110"/>
      <c r="Q877" s="110"/>
      <c r="R877" s="110"/>
    </row>
    <row r="878" spans="11:18" ht="15.75" customHeight="1">
      <c r="K878" s="110"/>
      <c r="L878" s="110"/>
      <c r="M878" s="110"/>
      <c r="N878" s="110"/>
      <c r="P878" s="110"/>
      <c r="Q878" s="110"/>
      <c r="R878" s="110"/>
    </row>
    <row r="879" spans="11:18" ht="15.75" customHeight="1">
      <c r="K879" s="110"/>
      <c r="L879" s="110"/>
      <c r="M879" s="110"/>
      <c r="N879" s="110"/>
      <c r="P879" s="110"/>
      <c r="Q879" s="110"/>
      <c r="R879" s="110"/>
    </row>
    <row r="880" spans="11:18" ht="15.75" customHeight="1">
      <c r="K880" s="110"/>
      <c r="L880" s="110"/>
      <c r="M880" s="110"/>
      <c r="N880" s="110"/>
      <c r="P880" s="110"/>
      <c r="Q880" s="110"/>
      <c r="R880" s="110"/>
    </row>
    <row r="881" spans="11:18" ht="15.75" customHeight="1">
      <c r="K881" s="110"/>
      <c r="L881" s="110"/>
      <c r="M881" s="110"/>
      <c r="N881" s="110"/>
      <c r="P881" s="110"/>
      <c r="Q881" s="110"/>
      <c r="R881" s="110"/>
    </row>
    <row r="882" spans="11:18" ht="15.75" customHeight="1">
      <c r="K882" s="110"/>
      <c r="L882" s="110"/>
      <c r="M882" s="110"/>
      <c r="N882" s="110"/>
      <c r="P882" s="110"/>
      <c r="Q882" s="110"/>
      <c r="R882" s="110"/>
    </row>
    <row r="883" spans="11:18" ht="15.75" customHeight="1">
      <c r="K883" s="110"/>
      <c r="L883" s="110"/>
      <c r="M883" s="110"/>
      <c r="N883" s="110"/>
      <c r="P883" s="110"/>
      <c r="Q883" s="110"/>
      <c r="R883" s="110"/>
    </row>
    <row r="884" spans="11:18" ht="15.75" customHeight="1">
      <c r="K884" s="110"/>
      <c r="L884" s="110"/>
      <c r="M884" s="110"/>
      <c r="N884" s="110"/>
      <c r="P884" s="110"/>
      <c r="Q884" s="110"/>
      <c r="R884" s="110"/>
    </row>
    <row r="885" spans="11:18" ht="15.75" customHeight="1">
      <c r="K885" s="110"/>
      <c r="L885" s="110"/>
      <c r="M885" s="110"/>
      <c r="N885" s="110"/>
      <c r="P885" s="110"/>
      <c r="Q885" s="110"/>
      <c r="R885" s="110"/>
    </row>
    <row r="886" spans="11:18" ht="15.75" customHeight="1">
      <c r="K886" s="110"/>
      <c r="L886" s="110"/>
      <c r="M886" s="110"/>
      <c r="N886" s="110"/>
      <c r="P886" s="110"/>
      <c r="Q886" s="110"/>
      <c r="R886" s="110"/>
    </row>
    <row r="887" spans="11:18" ht="15.75" customHeight="1">
      <c r="K887" s="110"/>
      <c r="L887" s="110"/>
      <c r="M887" s="110"/>
      <c r="N887" s="110"/>
      <c r="P887" s="110"/>
      <c r="Q887" s="110"/>
      <c r="R887" s="110"/>
    </row>
    <row r="888" spans="11:18" ht="15.75" customHeight="1">
      <c r="K888" s="110"/>
      <c r="L888" s="110"/>
      <c r="M888" s="110"/>
      <c r="N888" s="110"/>
      <c r="P888" s="110"/>
      <c r="Q888" s="110"/>
      <c r="R888" s="110"/>
    </row>
    <row r="889" spans="11:18" ht="15.75" customHeight="1">
      <c r="K889" s="110"/>
      <c r="L889" s="110"/>
      <c r="M889" s="110"/>
      <c r="N889" s="110"/>
      <c r="P889" s="110"/>
      <c r="Q889" s="110"/>
      <c r="R889" s="110"/>
    </row>
    <row r="890" spans="11:18" ht="15.75" customHeight="1">
      <c r="K890" s="110"/>
      <c r="L890" s="110"/>
      <c r="M890" s="110"/>
      <c r="N890" s="110"/>
      <c r="P890" s="110"/>
      <c r="Q890" s="110"/>
      <c r="R890" s="110"/>
    </row>
    <row r="891" spans="11:18" ht="15.75" customHeight="1">
      <c r="K891" s="110"/>
      <c r="L891" s="110"/>
      <c r="M891" s="110"/>
      <c r="N891" s="110"/>
      <c r="P891" s="110"/>
      <c r="Q891" s="110"/>
      <c r="R891" s="110"/>
    </row>
    <row r="892" spans="11:18" ht="15.75" customHeight="1">
      <c r="K892" s="110"/>
      <c r="L892" s="110"/>
      <c r="M892" s="110"/>
      <c r="N892" s="110"/>
      <c r="P892" s="110"/>
      <c r="Q892" s="110"/>
      <c r="R892" s="110"/>
    </row>
    <row r="893" spans="11:18" ht="15.75" customHeight="1">
      <c r="K893" s="110"/>
      <c r="L893" s="110"/>
      <c r="M893" s="110"/>
      <c r="N893" s="110"/>
      <c r="P893" s="110"/>
      <c r="Q893" s="110"/>
      <c r="R893" s="110"/>
    </row>
    <row r="894" spans="11:18" ht="15.75" customHeight="1">
      <c r="K894" s="110"/>
      <c r="L894" s="110"/>
      <c r="M894" s="110"/>
      <c r="N894" s="110"/>
      <c r="P894" s="110"/>
      <c r="Q894" s="110"/>
      <c r="R894" s="110"/>
    </row>
    <row r="895" spans="11:18" ht="15.75" customHeight="1">
      <c r="K895" s="110"/>
      <c r="L895" s="110"/>
      <c r="M895" s="110"/>
      <c r="N895" s="110"/>
      <c r="P895" s="110"/>
      <c r="Q895" s="110"/>
      <c r="R895" s="110"/>
    </row>
    <row r="896" spans="11:18" ht="15.75" customHeight="1">
      <c r="K896" s="110"/>
      <c r="L896" s="110"/>
      <c r="M896" s="110"/>
      <c r="N896" s="110"/>
      <c r="P896" s="110"/>
      <c r="Q896" s="110"/>
      <c r="R896" s="110"/>
    </row>
    <row r="897" spans="11:18" ht="15.75" customHeight="1">
      <c r="K897" s="110"/>
      <c r="L897" s="110"/>
      <c r="M897" s="110"/>
      <c r="N897" s="110"/>
      <c r="P897" s="110"/>
      <c r="Q897" s="110"/>
      <c r="R897" s="110"/>
    </row>
    <row r="898" spans="11:18" ht="15.75" customHeight="1">
      <c r="K898" s="110"/>
      <c r="L898" s="110"/>
      <c r="M898" s="110"/>
      <c r="N898" s="110"/>
      <c r="P898" s="110"/>
      <c r="Q898" s="110"/>
      <c r="R898" s="110"/>
    </row>
    <row r="899" spans="11:18" ht="15.75" customHeight="1">
      <c r="K899" s="110"/>
      <c r="L899" s="110"/>
      <c r="M899" s="110"/>
      <c r="N899" s="110"/>
      <c r="P899" s="110"/>
      <c r="Q899" s="110"/>
      <c r="R899" s="110"/>
    </row>
    <row r="900" spans="11:18" ht="15.75" customHeight="1">
      <c r="K900" s="110"/>
      <c r="L900" s="110"/>
      <c r="M900" s="110"/>
      <c r="N900" s="110"/>
      <c r="P900" s="110"/>
      <c r="Q900" s="110"/>
      <c r="R900" s="110"/>
    </row>
    <row r="901" spans="11:18" ht="15.75" customHeight="1">
      <c r="K901" s="110"/>
      <c r="L901" s="110"/>
      <c r="M901" s="110"/>
      <c r="N901" s="110"/>
      <c r="P901" s="110"/>
      <c r="Q901" s="110"/>
      <c r="R901" s="110"/>
    </row>
    <row r="902" spans="11:18" ht="15.75" customHeight="1">
      <c r="K902" s="110"/>
      <c r="L902" s="110"/>
      <c r="M902" s="110"/>
      <c r="N902" s="110"/>
      <c r="P902" s="110"/>
      <c r="Q902" s="110"/>
      <c r="R902" s="110"/>
    </row>
    <row r="903" spans="11:18" ht="15.75" customHeight="1">
      <c r="K903" s="110"/>
      <c r="L903" s="110"/>
      <c r="M903" s="110"/>
      <c r="N903" s="110"/>
      <c r="P903" s="110"/>
      <c r="Q903" s="110"/>
      <c r="R903" s="110"/>
    </row>
    <row r="904" spans="11:18" ht="15.75" customHeight="1">
      <c r="K904" s="110"/>
      <c r="L904" s="110"/>
      <c r="M904" s="110"/>
      <c r="N904" s="110"/>
      <c r="P904" s="110"/>
      <c r="Q904" s="110"/>
      <c r="R904" s="110"/>
    </row>
    <row r="905" spans="11:18" ht="15.75" customHeight="1">
      <c r="K905" s="110"/>
      <c r="L905" s="110"/>
      <c r="M905" s="110"/>
      <c r="N905" s="110"/>
      <c r="P905" s="110"/>
      <c r="Q905" s="110"/>
      <c r="R905" s="110"/>
    </row>
    <row r="906" spans="11:18" ht="15.75" customHeight="1">
      <c r="K906" s="110"/>
      <c r="L906" s="110"/>
      <c r="M906" s="110"/>
      <c r="N906" s="110"/>
      <c r="P906" s="110"/>
      <c r="Q906" s="110"/>
      <c r="R906" s="110"/>
    </row>
    <row r="907" spans="11:18" ht="15.75" customHeight="1">
      <c r="K907" s="110"/>
      <c r="L907" s="110"/>
      <c r="M907" s="110"/>
      <c r="N907" s="110"/>
      <c r="P907" s="110"/>
      <c r="Q907" s="110"/>
      <c r="R907" s="110"/>
    </row>
    <row r="908" spans="11:18" ht="15.75" customHeight="1">
      <c r="K908" s="110"/>
      <c r="L908" s="110"/>
      <c r="M908" s="110"/>
      <c r="N908" s="110"/>
      <c r="P908" s="110"/>
      <c r="Q908" s="110"/>
      <c r="R908" s="110"/>
    </row>
    <row r="909" spans="11:18" ht="15.75" customHeight="1">
      <c r="K909" s="110"/>
      <c r="L909" s="110"/>
      <c r="M909" s="110"/>
      <c r="N909" s="110"/>
      <c r="P909" s="110"/>
      <c r="Q909" s="110"/>
      <c r="R909" s="110"/>
    </row>
    <row r="910" spans="11:18" ht="15.75" customHeight="1">
      <c r="K910" s="110"/>
      <c r="L910" s="110"/>
      <c r="M910" s="110"/>
      <c r="N910" s="110"/>
      <c r="P910" s="110"/>
      <c r="Q910" s="110"/>
      <c r="R910" s="110"/>
    </row>
    <row r="911" spans="11:18" ht="15.75" customHeight="1">
      <c r="K911" s="110"/>
      <c r="L911" s="110"/>
      <c r="M911" s="110"/>
      <c r="N911" s="110"/>
      <c r="P911" s="110"/>
      <c r="Q911" s="110"/>
      <c r="R911" s="110"/>
    </row>
    <row r="912" spans="11:18" ht="15.75" customHeight="1">
      <c r="K912" s="110"/>
      <c r="L912" s="110"/>
      <c r="M912" s="110"/>
      <c r="N912" s="110"/>
      <c r="P912" s="110"/>
      <c r="Q912" s="110"/>
      <c r="R912" s="110"/>
    </row>
    <row r="913" spans="11:18" ht="15.75" customHeight="1">
      <c r="K913" s="110"/>
      <c r="L913" s="110"/>
      <c r="M913" s="110"/>
      <c r="N913" s="110"/>
      <c r="P913" s="110"/>
      <c r="Q913" s="110"/>
      <c r="R913" s="110"/>
    </row>
    <row r="914" spans="11:18" ht="15.75" customHeight="1">
      <c r="K914" s="110"/>
      <c r="L914" s="110"/>
      <c r="M914" s="110"/>
      <c r="N914" s="110"/>
      <c r="P914" s="110"/>
      <c r="Q914" s="110"/>
      <c r="R914" s="110"/>
    </row>
    <row r="915" spans="11:18" ht="15.75" customHeight="1">
      <c r="K915" s="110"/>
      <c r="L915" s="110"/>
      <c r="M915" s="110"/>
      <c r="N915" s="110"/>
      <c r="P915" s="110"/>
      <c r="Q915" s="110"/>
      <c r="R915" s="110"/>
    </row>
    <row r="916" spans="11:18" ht="15.75" customHeight="1">
      <c r="K916" s="110"/>
      <c r="L916" s="110"/>
      <c r="M916" s="110"/>
      <c r="N916" s="110"/>
      <c r="P916" s="110"/>
      <c r="Q916" s="110"/>
      <c r="R916" s="110"/>
    </row>
    <row r="917" spans="11:18" ht="15.75" customHeight="1">
      <c r="K917" s="110"/>
      <c r="L917" s="110"/>
      <c r="M917" s="110"/>
      <c r="N917" s="110"/>
      <c r="P917" s="110"/>
      <c r="Q917" s="110"/>
      <c r="R917" s="110"/>
    </row>
    <row r="918" spans="11:18" ht="15.75" customHeight="1">
      <c r="K918" s="110"/>
      <c r="L918" s="110"/>
      <c r="M918" s="110"/>
      <c r="N918" s="110"/>
      <c r="P918" s="110"/>
      <c r="Q918" s="110"/>
      <c r="R918" s="110"/>
    </row>
    <row r="919" spans="11:18" ht="15.75" customHeight="1">
      <c r="K919" s="110"/>
      <c r="L919" s="110"/>
      <c r="M919" s="110"/>
      <c r="N919" s="110"/>
      <c r="P919" s="110"/>
      <c r="Q919" s="110"/>
      <c r="R919" s="110"/>
    </row>
    <row r="920" spans="11:18" ht="15.75" customHeight="1">
      <c r="K920" s="110"/>
      <c r="L920" s="110"/>
      <c r="M920" s="110"/>
      <c r="N920" s="110"/>
      <c r="P920" s="110"/>
      <c r="Q920" s="110"/>
      <c r="R920" s="110"/>
    </row>
    <row r="921" spans="11:18" ht="15.75" customHeight="1">
      <c r="K921" s="110"/>
      <c r="L921" s="110"/>
      <c r="M921" s="110"/>
      <c r="N921" s="110"/>
      <c r="P921" s="110"/>
      <c r="Q921" s="110"/>
      <c r="R921" s="110"/>
    </row>
    <row r="922" spans="11:18" ht="15.75" customHeight="1">
      <c r="K922" s="110"/>
      <c r="L922" s="110"/>
      <c r="M922" s="110"/>
      <c r="N922" s="110"/>
      <c r="P922" s="110"/>
      <c r="Q922" s="110"/>
      <c r="R922" s="110"/>
    </row>
    <row r="923" spans="11:18" ht="15.75" customHeight="1">
      <c r="K923" s="110"/>
      <c r="L923" s="110"/>
      <c r="M923" s="110"/>
      <c r="N923" s="110"/>
      <c r="P923" s="110"/>
      <c r="Q923" s="110"/>
      <c r="R923" s="110"/>
    </row>
    <row r="924" spans="11:18" ht="15.75" customHeight="1">
      <c r="K924" s="110"/>
      <c r="L924" s="110"/>
      <c r="M924" s="110"/>
      <c r="N924" s="110"/>
      <c r="P924" s="110"/>
      <c r="Q924" s="110"/>
      <c r="R924" s="110"/>
    </row>
    <row r="925" spans="11:18" ht="15.75" customHeight="1">
      <c r="K925" s="110"/>
      <c r="L925" s="110"/>
      <c r="M925" s="110"/>
      <c r="N925" s="110"/>
      <c r="P925" s="110"/>
      <c r="Q925" s="110"/>
      <c r="R925" s="110"/>
    </row>
    <row r="926" spans="11:18" ht="15.75" customHeight="1">
      <c r="K926" s="110"/>
      <c r="L926" s="110"/>
      <c r="M926" s="110"/>
      <c r="N926" s="110"/>
      <c r="P926" s="110"/>
      <c r="Q926" s="110"/>
      <c r="R926" s="110"/>
    </row>
    <row r="927" spans="11:18" ht="15.75" customHeight="1">
      <c r="K927" s="110"/>
      <c r="L927" s="110"/>
      <c r="M927" s="110"/>
      <c r="N927" s="110"/>
      <c r="P927" s="110"/>
      <c r="Q927" s="110"/>
      <c r="R927" s="110"/>
    </row>
    <row r="928" spans="11:18" ht="15.75" customHeight="1">
      <c r="K928" s="110"/>
      <c r="L928" s="110"/>
      <c r="M928" s="110"/>
      <c r="N928" s="110"/>
      <c r="P928" s="110"/>
      <c r="Q928" s="110"/>
      <c r="R928" s="110"/>
    </row>
    <row r="929" spans="11:18" ht="15.75" customHeight="1">
      <c r="K929" s="110"/>
      <c r="L929" s="110"/>
      <c r="M929" s="110"/>
      <c r="N929" s="110"/>
      <c r="P929" s="110"/>
      <c r="Q929" s="110"/>
      <c r="R929" s="110"/>
    </row>
    <row r="930" spans="11:18" ht="15.75" customHeight="1">
      <c r="K930" s="110"/>
      <c r="L930" s="110"/>
      <c r="M930" s="110"/>
      <c r="N930" s="110"/>
      <c r="P930" s="110"/>
      <c r="Q930" s="110"/>
      <c r="R930" s="110"/>
    </row>
    <row r="931" spans="11:18" ht="15.75" customHeight="1">
      <c r="K931" s="110"/>
      <c r="L931" s="110"/>
      <c r="M931" s="110"/>
      <c r="N931" s="110"/>
      <c r="P931" s="110"/>
      <c r="Q931" s="110"/>
      <c r="R931" s="110"/>
    </row>
    <row r="932" spans="11:18" ht="15.75" customHeight="1">
      <c r="K932" s="110"/>
      <c r="L932" s="110"/>
      <c r="M932" s="110"/>
      <c r="N932" s="110"/>
      <c r="P932" s="110"/>
      <c r="Q932" s="110"/>
      <c r="R932" s="110"/>
    </row>
    <row r="933" spans="11:18" ht="15.75" customHeight="1">
      <c r="K933" s="110"/>
      <c r="L933" s="110"/>
      <c r="M933" s="110"/>
      <c r="N933" s="110"/>
      <c r="P933" s="110"/>
      <c r="Q933" s="110"/>
      <c r="R933" s="110"/>
    </row>
    <row r="934" spans="11:18" ht="15.75" customHeight="1">
      <c r="K934" s="110"/>
      <c r="L934" s="110"/>
      <c r="M934" s="110"/>
      <c r="N934" s="110"/>
      <c r="P934" s="110"/>
      <c r="Q934" s="110"/>
      <c r="R934" s="110"/>
    </row>
    <row r="935" spans="11:18" ht="15.75" customHeight="1">
      <c r="K935" s="110"/>
      <c r="L935" s="110"/>
      <c r="M935" s="110"/>
      <c r="N935" s="110"/>
      <c r="P935" s="110"/>
      <c r="Q935" s="110"/>
      <c r="R935" s="110"/>
    </row>
    <row r="936" spans="11:18" ht="15.75" customHeight="1">
      <c r="K936" s="110"/>
      <c r="L936" s="110"/>
      <c r="M936" s="110"/>
      <c r="N936" s="110"/>
      <c r="P936" s="110"/>
      <c r="Q936" s="110"/>
      <c r="R936" s="110"/>
    </row>
    <row r="937" spans="11:18" ht="15.75" customHeight="1">
      <c r="K937" s="110"/>
      <c r="L937" s="110"/>
      <c r="M937" s="110"/>
      <c r="N937" s="110"/>
      <c r="P937" s="110"/>
      <c r="Q937" s="110"/>
      <c r="R937" s="110"/>
    </row>
    <row r="938" spans="11:18" ht="15.75" customHeight="1">
      <c r="K938" s="110"/>
      <c r="L938" s="110"/>
      <c r="M938" s="110"/>
      <c r="N938" s="110"/>
      <c r="P938" s="110"/>
      <c r="Q938" s="110"/>
      <c r="R938" s="110"/>
    </row>
    <row r="939" spans="11:18" ht="15.75" customHeight="1">
      <c r="K939" s="110"/>
      <c r="L939" s="110"/>
      <c r="M939" s="110"/>
      <c r="N939" s="110"/>
      <c r="P939" s="110"/>
      <c r="Q939" s="110"/>
      <c r="R939" s="110"/>
    </row>
    <row r="940" spans="11:18" ht="15.75" customHeight="1">
      <c r="K940" s="110"/>
      <c r="L940" s="110"/>
      <c r="M940" s="110"/>
      <c r="N940" s="110"/>
      <c r="P940" s="110"/>
      <c r="Q940" s="110"/>
      <c r="R940" s="110"/>
    </row>
    <row r="941" spans="11:18" ht="15.75" customHeight="1">
      <c r="K941" s="110"/>
      <c r="L941" s="110"/>
      <c r="M941" s="110"/>
      <c r="N941" s="110"/>
      <c r="P941" s="110"/>
      <c r="Q941" s="110"/>
      <c r="R941" s="110"/>
    </row>
    <row r="942" spans="11:18" ht="15.75" customHeight="1">
      <c r="K942" s="110"/>
      <c r="L942" s="110"/>
      <c r="M942" s="110"/>
      <c r="N942" s="110"/>
      <c r="P942" s="110"/>
      <c r="Q942" s="110"/>
      <c r="R942" s="110"/>
    </row>
    <row r="943" spans="11:18" ht="15.75" customHeight="1">
      <c r="K943" s="110"/>
      <c r="L943" s="110"/>
      <c r="M943" s="110"/>
      <c r="N943" s="110"/>
      <c r="P943" s="110"/>
      <c r="Q943" s="110"/>
      <c r="R943" s="110"/>
    </row>
    <row r="944" spans="11:18" ht="15.75" customHeight="1">
      <c r="K944" s="110"/>
      <c r="L944" s="110"/>
      <c r="M944" s="110"/>
      <c r="N944" s="110"/>
      <c r="P944" s="110"/>
      <c r="Q944" s="110"/>
      <c r="R944" s="110"/>
    </row>
    <row r="945" spans="11:18" ht="15.75" customHeight="1">
      <c r="K945" s="110"/>
      <c r="L945" s="110"/>
      <c r="M945" s="110"/>
      <c r="N945" s="110"/>
      <c r="P945" s="110"/>
      <c r="Q945" s="110"/>
      <c r="R945" s="110"/>
    </row>
    <row r="946" spans="11:18" ht="15.75" customHeight="1">
      <c r="K946" s="110"/>
      <c r="L946" s="110"/>
      <c r="M946" s="110"/>
      <c r="N946" s="110"/>
      <c r="P946" s="110"/>
      <c r="Q946" s="110"/>
      <c r="R946" s="110"/>
    </row>
    <row r="947" spans="11:18" ht="15.75" customHeight="1">
      <c r="K947" s="110"/>
      <c r="L947" s="110"/>
      <c r="M947" s="110"/>
      <c r="N947" s="110"/>
      <c r="P947" s="110"/>
      <c r="Q947" s="110"/>
      <c r="R947" s="110"/>
    </row>
    <row r="948" spans="11:18" ht="15.75" customHeight="1">
      <c r="K948" s="110"/>
      <c r="L948" s="110"/>
      <c r="M948" s="110"/>
      <c r="N948" s="110"/>
      <c r="P948" s="110"/>
      <c r="Q948" s="110"/>
      <c r="R948" s="110"/>
    </row>
    <row r="949" spans="11:18" ht="15.75" customHeight="1">
      <c r="K949" s="110"/>
      <c r="L949" s="110"/>
      <c r="M949" s="110"/>
      <c r="N949" s="110"/>
      <c r="P949" s="110"/>
      <c r="Q949" s="110"/>
      <c r="R949" s="110"/>
    </row>
    <row r="950" spans="11:18" ht="15.75" customHeight="1">
      <c r="K950" s="110"/>
      <c r="L950" s="110"/>
      <c r="M950" s="110"/>
      <c r="N950" s="110"/>
      <c r="P950" s="110"/>
      <c r="Q950" s="110"/>
      <c r="R950" s="110"/>
    </row>
    <row r="951" spans="11:18" ht="15.75" customHeight="1">
      <c r="K951" s="110"/>
      <c r="L951" s="110"/>
      <c r="M951" s="110"/>
      <c r="N951" s="110"/>
      <c r="P951" s="110"/>
      <c r="Q951" s="110"/>
      <c r="R951" s="110"/>
    </row>
    <row r="952" spans="11:18" ht="15.75" customHeight="1">
      <c r="K952" s="110"/>
      <c r="L952" s="110"/>
      <c r="M952" s="110"/>
      <c r="N952" s="110"/>
      <c r="P952" s="110"/>
      <c r="Q952" s="110"/>
      <c r="R952" s="110"/>
    </row>
    <row r="953" spans="11:18" ht="15.75" customHeight="1">
      <c r="K953" s="110"/>
      <c r="L953" s="110"/>
      <c r="M953" s="110"/>
      <c r="N953" s="110"/>
      <c r="P953" s="110"/>
      <c r="Q953" s="110"/>
      <c r="R953" s="110"/>
    </row>
    <row r="954" spans="11:18" ht="15.75" customHeight="1">
      <c r="K954" s="110"/>
      <c r="L954" s="110"/>
      <c r="M954" s="110"/>
      <c r="N954" s="110"/>
      <c r="P954" s="110"/>
      <c r="Q954" s="110"/>
      <c r="R954" s="110"/>
    </row>
    <row r="955" spans="11:18" ht="15.75" customHeight="1">
      <c r="K955" s="110"/>
      <c r="L955" s="110"/>
      <c r="M955" s="110"/>
      <c r="N955" s="110"/>
      <c r="P955" s="110"/>
      <c r="Q955" s="110"/>
      <c r="R955" s="110"/>
    </row>
    <row r="956" spans="11:18" ht="15.75" customHeight="1">
      <c r="K956" s="110"/>
      <c r="L956" s="110"/>
      <c r="M956" s="110"/>
      <c r="N956" s="110"/>
      <c r="P956" s="110"/>
      <c r="Q956" s="110"/>
      <c r="R956" s="110"/>
    </row>
    <row r="957" spans="11:18" ht="15.75" customHeight="1">
      <c r="K957" s="110"/>
      <c r="L957" s="110"/>
      <c r="M957" s="110"/>
      <c r="N957" s="110"/>
      <c r="P957" s="110"/>
      <c r="Q957" s="110"/>
      <c r="R957" s="110"/>
    </row>
    <row r="958" spans="11:18" ht="15.75" customHeight="1">
      <c r="K958" s="110"/>
      <c r="L958" s="110"/>
      <c r="M958" s="110"/>
      <c r="N958" s="110"/>
      <c r="P958" s="110"/>
      <c r="Q958" s="110"/>
      <c r="R958" s="110"/>
    </row>
    <row r="959" spans="11:18" ht="15.75" customHeight="1">
      <c r="K959" s="110"/>
      <c r="L959" s="110"/>
      <c r="M959" s="110"/>
      <c r="N959" s="110"/>
      <c r="P959" s="110"/>
      <c r="Q959" s="110"/>
      <c r="R959" s="110"/>
    </row>
    <row r="960" spans="11:18" ht="15.75" customHeight="1">
      <c r="K960" s="110"/>
      <c r="L960" s="110"/>
      <c r="M960" s="110"/>
      <c r="N960" s="110"/>
      <c r="P960" s="110"/>
      <c r="Q960" s="110"/>
      <c r="R960" s="110"/>
    </row>
    <row r="961" spans="11:18" ht="15.75" customHeight="1">
      <c r="K961" s="110"/>
      <c r="L961" s="110"/>
      <c r="M961" s="110"/>
      <c r="N961" s="110"/>
      <c r="P961" s="110"/>
      <c r="Q961" s="110"/>
      <c r="R961" s="110"/>
    </row>
    <row r="962" spans="11:18" ht="15.75" customHeight="1">
      <c r="K962" s="110"/>
      <c r="L962" s="110"/>
      <c r="M962" s="110"/>
      <c r="N962" s="110"/>
      <c r="P962" s="110"/>
      <c r="Q962" s="110"/>
      <c r="R962" s="110"/>
    </row>
    <row r="963" spans="11:18" ht="15.75" customHeight="1">
      <c r="K963" s="110"/>
      <c r="L963" s="110"/>
      <c r="M963" s="110"/>
      <c r="N963" s="110"/>
      <c r="P963" s="110"/>
      <c r="Q963" s="110"/>
      <c r="R963" s="110"/>
    </row>
    <row r="964" spans="11:18" ht="15.75" customHeight="1">
      <c r="K964" s="110"/>
      <c r="L964" s="110"/>
      <c r="M964" s="110"/>
      <c r="N964" s="110"/>
      <c r="P964" s="110"/>
      <c r="Q964" s="110"/>
      <c r="R964" s="110"/>
    </row>
    <row r="965" spans="11:18" ht="15.75" customHeight="1">
      <c r="K965" s="110"/>
      <c r="L965" s="110"/>
      <c r="M965" s="110"/>
      <c r="N965" s="110"/>
      <c r="P965" s="110"/>
      <c r="Q965" s="110"/>
      <c r="R965" s="110"/>
    </row>
    <row r="966" spans="11:18" ht="15.75" customHeight="1">
      <c r="K966" s="110"/>
      <c r="L966" s="110"/>
      <c r="M966" s="110"/>
      <c r="N966" s="110"/>
      <c r="P966" s="110"/>
      <c r="Q966" s="110"/>
      <c r="R966" s="110"/>
    </row>
    <row r="967" spans="11:18" ht="15.75" customHeight="1">
      <c r="K967" s="110"/>
      <c r="L967" s="110"/>
      <c r="M967" s="110"/>
      <c r="N967" s="110"/>
      <c r="P967" s="110"/>
      <c r="Q967" s="110"/>
      <c r="R967" s="110"/>
    </row>
    <row r="968" spans="11:18" ht="15.75" customHeight="1">
      <c r="K968" s="110"/>
      <c r="L968" s="110"/>
      <c r="M968" s="110"/>
      <c r="N968" s="110"/>
      <c r="P968" s="110"/>
      <c r="Q968" s="110"/>
      <c r="R968" s="110"/>
    </row>
    <row r="969" spans="11:18" ht="15.75" customHeight="1">
      <c r="K969" s="110"/>
      <c r="L969" s="110"/>
      <c r="M969" s="110"/>
      <c r="N969" s="110"/>
      <c r="P969" s="110"/>
      <c r="Q969" s="110"/>
      <c r="R969" s="110"/>
    </row>
    <row r="970" spans="11:18" ht="15.75" customHeight="1">
      <c r="K970" s="110"/>
      <c r="L970" s="110"/>
      <c r="M970" s="110"/>
      <c r="N970" s="110"/>
      <c r="P970" s="110"/>
      <c r="Q970" s="110"/>
      <c r="R970" s="110"/>
    </row>
    <row r="971" spans="11:18" ht="15.75" customHeight="1">
      <c r="K971" s="110"/>
      <c r="L971" s="110"/>
      <c r="M971" s="110"/>
      <c r="N971" s="110"/>
      <c r="P971" s="110"/>
      <c r="Q971" s="110"/>
      <c r="R971" s="110"/>
    </row>
    <row r="972" spans="11:18" ht="15.75" customHeight="1">
      <c r="K972" s="110"/>
      <c r="L972" s="110"/>
      <c r="M972" s="110"/>
      <c r="N972" s="110"/>
      <c r="P972" s="110"/>
      <c r="Q972" s="110"/>
      <c r="R972" s="110"/>
    </row>
    <row r="973" spans="11:18" ht="15.75" customHeight="1">
      <c r="K973" s="110"/>
      <c r="L973" s="110"/>
      <c r="M973" s="110"/>
      <c r="N973" s="110"/>
      <c r="P973" s="110"/>
      <c r="Q973" s="110"/>
      <c r="R973" s="110"/>
    </row>
    <row r="974" spans="11:18" ht="15.75" customHeight="1">
      <c r="K974" s="110"/>
      <c r="L974" s="110"/>
      <c r="M974" s="110"/>
      <c r="N974" s="110"/>
      <c r="P974" s="110"/>
      <c r="Q974" s="110"/>
      <c r="R974" s="110"/>
    </row>
    <row r="975" spans="11:18" ht="15.75" customHeight="1">
      <c r="K975" s="110"/>
      <c r="L975" s="110"/>
      <c r="M975" s="110"/>
      <c r="N975" s="110"/>
      <c r="P975" s="110"/>
      <c r="Q975" s="110"/>
      <c r="R975" s="110"/>
    </row>
    <row r="976" spans="11:18" ht="15.75" customHeight="1">
      <c r="K976" s="110"/>
      <c r="L976" s="110"/>
      <c r="M976" s="110"/>
      <c r="N976" s="110"/>
      <c r="P976" s="110"/>
      <c r="Q976" s="110"/>
      <c r="R976" s="110"/>
    </row>
    <row r="977" spans="11:18" ht="15.75" customHeight="1">
      <c r="K977" s="110"/>
      <c r="L977" s="110"/>
      <c r="M977" s="110"/>
      <c r="N977" s="110"/>
      <c r="P977" s="110"/>
      <c r="Q977" s="110"/>
      <c r="R977" s="110"/>
    </row>
    <row r="978" spans="11:18" ht="15.75" customHeight="1">
      <c r="K978" s="110"/>
      <c r="L978" s="110"/>
      <c r="M978" s="110"/>
      <c r="N978" s="110"/>
      <c r="P978" s="110"/>
      <c r="Q978" s="110"/>
      <c r="R978" s="110"/>
    </row>
    <row r="979" spans="11:18" ht="15.75" customHeight="1">
      <c r="K979" s="110"/>
      <c r="L979" s="110"/>
      <c r="M979" s="110"/>
      <c r="N979" s="110"/>
      <c r="P979" s="110"/>
      <c r="Q979" s="110"/>
      <c r="R979" s="110"/>
    </row>
    <row r="980" spans="11:18" ht="15.75" customHeight="1">
      <c r="K980" s="110"/>
      <c r="L980" s="110"/>
      <c r="M980" s="110"/>
      <c r="N980" s="110"/>
      <c r="P980" s="110"/>
      <c r="Q980" s="110"/>
      <c r="R980" s="110"/>
    </row>
    <row r="981" spans="11:18" ht="15.75" customHeight="1">
      <c r="K981" s="110"/>
      <c r="L981" s="110"/>
      <c r="M981" s="110"/>
      <c r="N981" s="110"/>
      <c r="P981" s="110"/>
      <c r="Q981" s="110"/>
      <c r="R981" s="110"/>
    </row>
    <row r="982" spans="11:18" ht="15.75" customHeight="1">
      <c r="K982" s="110"/>
      <c r="L982" s="110"/>
      <c r="M982" s="110"/>
      <c r="N982" s="110"/>
      <c r="P982" s="110"/>
      <c r="Q982" s="110"/>
      <c r="R982" s="110"/>
    </row>
    <row r="983" spans="11:18" ht="15.75" customHeight="1">
      <c r="K983" s="110"/>
      <c r="L983" s="110"/>
      <c r="M983" s="110"/>
      <c r="N983" s="110"/>
      <c r="P983" s="110"/>
      <c r="Q983" s="110"/>
      <c r="R983" s="110"/>
    </row>
    <row r="984" spans="11:18" ht="15.75" customHeight="1">
      <c r="K984" s="110"/>
      <c r="L984" s="110"/>
      <c r="M984" s="110"/>
      <c r="N984" s="110"/>
      <c r="P984" s="110"/>
      <c r="Q984" s="110"/>
      <c r="R984" s="110"/>
    </row>
    <row r="985" spans="11:18" ht="15.75" customHeight="1">
      <c r="K985" s="110"/>
      <c r="L985" s="110"/>
      <c r="M985" s="110"/>
      <c r="N985" s="110"/>
      <c r="P985" s="110"/>
      <c r="Q985" s="110"/>
      <c r="R985" s="110"/>
    </row>
    <row r="986" spans="11:18" ht="15.75" customHeight="1">
      <c r="K986" s="110"/>
      <c r="L986" s="110"/>
      <c r="M986" s="110"/>
      <c r="N986" s="110"/>
      <c r="P986" s="110"/>
      <c r="Q986" s="110"/>
      <c r="R986" s="110"/>
    </row>
    <row r="987" spans="11:18" ht="15.75" customHeight="1">
      <c r="K987" s="110"/>
      <c r="L987" s="110"/>
      <c r="M987" s="110"/>
      <c r="N987" s="110"/>
      <c r="P987" s="110"/>
      <c r="Q987" s="110"/>
      <c r="R987" s="110"/>
    </row>
    <row r="988" spans="11:18" ht="15.75" customHeight="1">
      <c r="K988" s="110"/>
      <c r="L988" s="110"/>
      <c r="M988" s="110"/>
      <c r="N988" s="110"/>
      <c r="P988" s="110"/>
      <c r="Q988" s="110"/>
      <c r="R988" s="110"/>
    </row>
    <row r="989" spans="11:18" ht="15.75" customHeight="1">
      <c r="K989" s="110"/>
      <c r="L989" s="110"/>
      <c r="M989" s="110"/>
      <c r="N989" s="110"/>
      <c r="P989" s="110"/>
      <c r="Q989" s="110"/>
      <c r="R989" s="110"/>
    </row>
    <row r="990" spans="11:18" ht="15.75" customHeight="1">
      <c r="K990" s="110"/>
      <c r="L990" s="110"/>
      <c r="M990" s="110"/>
      <c r="N990" s="110"/>
      <c r="P990" s="110"/>
      <c r="Q990" s="110"/>
      <c r="R990" s="110"/>
    </row>
    <row r="991" spans="11:18" ht="15.75" customHeight="1">
      <c r="K991" s="110"/>
      <c r="L991" s="110"/>
      <c r="M991" s="110"/>
      <c r="N991" s="110"/>
      <c r="P991" s="110"/>
      <c r="Q991" s="110"/>
      <c r="R991" s="110"/>
    </row>
    <row r="992" spans="11:18" ht="15.75" customHeight="1">
      <c r="K992" s="110"/>
      <c r="L992" s="110"/>
      <c r="M992" s="110"/>
      <c r="N992" s="110"/>
      <c r="P992" s="110"/>
      <c r="Q992" s="110"/>
      <c r="R992" s="110"/>
    </row>
    <row r="993" spans="11:18" ht="15.75" customHeight="1">
      <c r="K993" s="110"/>
      <c r="L993" s="110"/>
      <c r="M993" s="110"/>
      <c r="N993" s="110"/>
      <c r="P993" s="110"/>
      <c r="Q993" s="110"/>
      <c r="R993" s="110"/>
    </row>
    <row r="994" spans="11:18" ht="15.75" customHeight="1">
      <c r="K994" s="110"/>
      <c r="L994" s="110"/>
      <c r="M994" s="110"/>
      <c r="N994" s="110"/>
      <c r="P994" s="110"/>
      <c r="Q994" s="110"/>
      <c r="R994" s="110"/>
    </row>
    <row r="995" spans="11:18" ht="15.75" customHeight="1">
      <c r="K995" s="110"/>
      <c r="L995" s="110"/>
      <c r="M995" s="110"/>
      <c r="N995" s="110"/>
      <c r="P995" s="110"/>
      <c r="Q995" s="110"/>
      <c r="R995" s="110"/>
    </row>
    <row r="996" spans="11:18" ht="15.75" customHeight="1">
      <c r="K996" s="110"/>
      <c r="L996" s="110"/>
      <c r="M996" s="110"/>
      <c r="N996" s="110"/>
      <c r="P996" s="110"/>
      <c r="Q996" s="110"/>
      <c r="R996" s="110"/>
    </row>
    <row r="997" spans="11:18" ht="15.75" customHeight="1">
      <c r="K997" s="110"/>
      <c r="L997" s="110"/>
      <c r="M997" s="110"/>
      <c r="N997" s="110"/>
      <c r="P997" s="110"/>
      <c r="Q997" s="110"/>
      <c r="R997" s="110"/>
    </row>
    <row r="998" spans="11:18" ht="15.75" customHeight="1">
      <c r="K998" s="110"/>
      <c r="L998" s="110"/>
      <c r="M998" s="110"/>
      <c r="N998" s="110"/>
      <c r="P998" s="110"/>
      <c r="Q998" s="110"/>
      <c r="R998" s="110"/>
    </row>
    <row r="999" spans="11:18" ht="15.75" customHeight="1">
      <c r="K999" s="110"/>
      <c r="L999" s="110"/>
      <c r="M999" s="110"/>
      <c r="N999" s="110"/>
      <c r="P999" s="110"/>
      <c r="Q999" s="110"/>
      <c r="R999" s="110"/>
    </row>
    <row r="1000" spans="11:18" ht="15.75" customHeight="1">
      <c r="K1000" s="110"/>
      <c r="L1000" s="110"/>
      <c r="M1000" s="110"/>
      <c r="N1000" s="110"/>
      <c r="P1000" s="110"/>
      <c r="Q1000" s="110"/>
      <c r="R1000" s="110"/>
    </row>
  </sheetData>
  <autoFilter ref="A1:AJ58" xr:uid="{00000000-0009-0000-0000-000002000000}">
    <filterColumn colId="1">
      <filters>
        <filter val="Imran"/>
      </filters>
    </filterColumn>
  </autoFilter>
  <conditionalFormatting sqref="C16">
    <cfRule type="cellIs" dxfId="47" priority="1" operator="equal">
      <formula>"YL"</formula>
    </cfRule>
    <cfRule type="cellIs" dxfId="46" priority="2" operator="equal">
      <formula>"YL"</formula>
    </cfRule>
  </conditionalFormatting>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Y1000"/>
  <sheetViews>
    <sheetView workbookViewId="0">
      <pane xSplit="4" ySplit="1" topLeftCell="M63" activePane="bottomRight" state="frozen"/>
      <selection activeCell="I25" sqref="I25:T25"/>
      <selection pane="topRight" activeCell="I25" sqref="I25:T25"/>
      <selection pane="bottomLeft" activeCell="I25" sqref="I25:T25"/>
      <selection pane="bottomRight" activeCell="N63" sqref="N63:R63"/>
    </sheetView>
  </sheetViews>
  <sheetFormatPr defaultColWidth="12.59765625" defaultRowHeight="15" customHeight="1"/>
  <cols>
    <col min="1" max="1" width="8.19921875" customWidth="1"/>
    <col min="2" max="2" width="24.09765625" customWidth="1"/>
    <col min="3" max="3" width="18.09765625" customWidth="1"/>
    <col min="4" max="4" width="15.69921875" customWidth="1"/>
    <col min="5" max="5" width="9.59765625" customWidth="1"/>
    <col min="6" max="13" width="14" customWidth="1"/>
    <col min="14" max="14" width="25.19921875" customWidth="1"/>
    <col min="15" max="15" width="11.8984375" customWidth="1"/>
    <col min="16" max="17" width="9.09765625" customWidth="1"/>
    <col min="18" max="18" width="8.69921875" customWidth="1"/>
    <col min="19" max="19" width="12.59765625" customWidth="1"/>
    <col min="20" max="20" width="13.5" customWidth="1"/>
    <col min="21" max="21" width="21.59765625" customWidth="1"/>
    <col min="22" max="22" width="9.59765625" customWidth="1"/>
    <col min="23" max="24" width="12.19921875" customWidth="1"/>
    <col min="25" max="25" width="12.5" customWidth="1"/>
    <col min="26" max="26" width="13" customWidth="1"/>
    <col min="27" max="27" width="10.19921875" customWidth="1"/>
    <col min="28" max="28" width="12.59765625" customWidth="1"/>
    <col min="29" max="29" width="9.19921875" customWidth="1"/>
    <col min="30" max="30" width="8.19921875" customWidth="1"/>
    <col min="31" max="31" width="8.69921875" customWidth="1"/>
    <col min="32" max="33" width="8.19921875" customWidth="1"/>
    <col min="34" max="35" width="18.19921875" customWidth="1"/>
    <col min="36" max="36" width="14.19921875" bestFit="1" customWidth="1"/>
    <col min="37" max="38" width="8.19921875" customWidth="1"/>
    <col min="39" max="39" width="9.19921875" customWidth="1"/>
    <col min="40" max="40" width="9" customWidth="1"/>
    <col min="41" max="51" width="8.19921875" customWidth="1"/>
  </cols>
  <sheetData>
    <row r="1" spans="1:51" ht="67.5" customHeight="1">
      <c r="A1" s="756" t="s">
        <v>0</v>
      </c>
      <c r="B1" s="757" t="s">
        <v>1</v>
      </c>
      <c r="C1" s="757" t="s">
        <v>48</v>
      </c>
      <c r="D1" s="758" t="s">
        <v>2</v>
      </c>
      <c r="E1" s="758" t="s">
        <v>3</v>
      </c>
      <c r="F1" s="759" t="s">
        <v>4</v>
      </c>
      <c r="G1" s="759" t="s">
        <v>49</v>
      </c>
      <c r="H1" s="759" t="s">
        <v>50</v>
      </c>
      <c r="I1" s="759" t="s">
        <v>51</v>
      </c>
      <c r="J1" s="759" t="s">
        <v>52</v>
      </c>
      <c r="K1" s="759" t="s">
        <v>53</v>
      </c>
      <c r="L1" s="809" t="s">
        <v>54</v>
      </c>
      <c r="M1" s="809" t="s">
        <v>55</v>
      </c>
      <c r="N1" s="809" t="s">
        <v>56</v>
      </c>
      <c r="O1" s="809" t="s">
        <v>57</v>
      </c>
      <c r="P1" s="809" t="s">
        <v>12</v>
      </c>
      <c r="Q1" s="809" t="s">
        <v>13</v>
      </c>
      <c r="R1" s="809" t="s">
        <v>14</v>
      </c>
      <c r="S1" s="821" t="s">
        <v>177</v>
      </c>
      <c r="T1" s="756" t="s">
        <v>178</v>
      </c>
      <c r="U1" s="822" t="s">
        <v>179</v>
      </c>
      <c r="V1" s="756" t="s">
        <v>180</v>
      </c>
      <c r="W1" s="823" t="s">
        <v>181</v>
      </c>
      <c r="X1" s="823" t="s">
        <v>182</v>
      </c>
      <c r="Y1" s="823" t="s">
        <v>183</v>
      </c>
      <c r="Z1" s="823" t="s">
        <v>184</v>
      </c>
      <c r="AA1" s="823" t="s">
        <v>185</v>
      </c>
      <c r="AB1" s="823" t="s">
        <v>186</v>
      </c>
      <c r="AC1" s="823" t="s">
        <v>187</v>
      </c>
      <c r="AD1" s="823" t="s">
        <v>188</v>
      </c>
      <c r="AE1" s="823" t="s">
        <v>189</v>
      </c>
      <c r="AF1" s="823" t="s">
        <v>190</v>
      </c>
      <c r="AG1" s="823" t="s">
        <v>191</v>
      </c>
      <c r="AH1" s="866" t="s">
        <v>192</v>
      </c>
      <c r="AI1" s="823"/>
      <c r="AJ1" s="867" t="s">
        <v>193</v>
      </c>
      <c r="AK1" s="868" t="s">
        <v>194</v>
      </c>
      <c r="AL1" s="868" t="s">
        <v>195</v>
      </c>
      <c r="AM1" s="868" t="s">
        <v>196</v>
      </c>
      <c r="AN1" s="868" t="s">
        <v>197</v>
      </c>
      <c r="AO1" s="878"/>
      <c r="AP1" s="878"/>
      <c r="AQ1" s="878"/>
      <c r="AR1" s="878"/>
      <c r="AS1" s="878"/>
      <c r="AT1" s="878"/>
      <c r="AU1" s="878"/>
      <c r="AV1" s="878"/>
      <c r="AW1" s="878"/>
      <c r="AX1" s="878"/>
      <c r="AY1" s="878"/>
    </row>
    <row r="2" spans="1:51" ht="21" hidden="1" customHeight="1">
      <c r="A2" s="168">
        <v>1</v>
      </c>
      <c r="B2" s="59" t="s">
        <v>198</v>
      </c>
      <c r="C2" s="59" t="s">
        <v>199</v>
      </c>
      <c r="D2" s="60">
        <v>10000</v>
      </c>
      <c r="E2" s="60">
        <v>8000</v>
      </c>
      <c r="F2" s="47" t="s">
        <v>21</v>
      </c>
      <c r="G2" s="718">
        <v>5000</v>
      </c>
      <c r="H2" s="718">
        <v>4000</v>
      </c>
      <c r="I2" s="718">
        <v>5000</v>
      </c>
      <c r="J2" s="718">
        <v>5000</v>
      </c>
      <c r="K2" s="718">
        <v>5000</v>
      </c>
      <c r="L2" s="718">
        <f>E2/23*14</f>
        <v>4869.565217391304</v>
      </c>
      <c r="M2" s="718">
        <v>4000</v>
      </c>
      <c r="N2" s="718">
        <v>5000</v>
      </c>
      <c r="O2" s="718">
        <v>11000</v>
      </c>
      <c r="P2" s="810">
        <v>8000</v>
      </c>
      <c r="Q2" s="535">
        <f>8000/23*18</f>
        <v>6260.8695652173919</v>
      </c>
      <c r="R2" s="535">
        <v>6000</v>
      </c>
      <c r="S2" s="222">
        <f t="shared" ref="S2:S8" si="0">SUM(G2:R2)</f>
        <v>69130.434782608703</v>
      </c>
      <c r="T2" s="222">
        <f t="shared" ref="T2:T15" si="1">D2*2</f>
        <v>20000</v>
      </c>
      <c r="U2" s="824">
        <f>'2021'!S2-'2021'!AK2</f>
        <v>20000</v>
      </c>
      <c r="V2" s="25">
        <f t="shared" ref="V2:V3" si="2">0</f>
        <v>0</v>
      </c>
      <c r="W2" s="825">
        <f t="shared" ref="W2:AB2" si="3">G2</f>
        <v>5000</v>
      </c>
      <c r="X2" s="222">
        <f t="shared" si="3"/>
        <v>4000</v>
      </c>
      <c r="Y2" s="222">
        <f t="shared" si="3"/>
        <v>5000</v>
      </c>
      <c r="Z2" s="222">
        <f t="shared" si="3"/>
        <v>5000</v>
      </c>
      <c r="AA2" s="222">
        <f t="shared" si="3"/>
        <v>5000</v>
      </c>
      <c r="AB2" s="53">
        <f t="shared" si="3"/>
        <v>4869.565217391304</v>
      </c>
      <c r="AC2" s="25">
        <v>4000</v>
      </c>
      <c r="AD2" s="532">
        <f t="shared" ref="AD2:AH2" si="4">N2</f>
        <v>5000</v>
      </c>
      <c r="AE2" s="222">
        <f t="shared" si="4"/>
        <v>11000</v>
      </c>
      <c r="AF2" s="222">
        <f t="shared" si="4"/>
        <v>8000</v>
      </c>
      <c r="AG2" s="84">
        <f t="shared" si="4"/>
        <v>6260.8695652173919</v>
      </c>
      <c r="AH2" s="869">
        <f t="shared" si="4"/>
        <v>6000</v>
      </c>
      <c r="AI2" s="375" t="s">
        <v>200</v>
      </c>
      <c r="AJ2" s="53">
        <f t="shared" ref="AJ2:AJ45" si="5">SUM(W2:AH2)</f>
        <v>69130.434782608703</v>
      </c>
      <c r="AK2" s="870">
        <f t="shared" ref="AK2" si="6">S2-W2-X2-Y2-Z2-AA2-AB2-AC2-AD2-AE2-AF2-AG2-AH2</f>
        <v>7.2759576141834259E-12</v>
      </c>
      <c r="AL2" s="870">
        <f>'2021'!S2-'2021'!AD2-'2021'!AE2-'2021'!AF2-'2021'!AG2-'2021'!AH2-'2021'!AI2-'2021'!AJ2</f>
        <v>20000</v>
      </c>
      <c r="AM2" s="870"/>
      <c r="AN2" s="870">
        <f t="shared" ref="AN2" si="7">AK2+AL2</f>
        <v>20000.000000000007</v>
      </c>
    </row>
    <row r="3" spans="1:51" ht="21" hidden="1" customHeight="1">
      <c r="A3" s="168">
        <v>2</v>
      </c>
      <c r="B3" s="59" t="s">
        <v>129</v>
      </c>
      <c r="C3" s="59" t="s">
        <v>199</v>
      </c>
      <c r="D3" s="60">
        <v>10000</v>
      </c>
      <c r="E3" s="60">
        <v>8000</v>
      </c>
      <c r="F3" s="47" t="s">
        <v>21</v>
      </c>
      <c r="G3" s="718">
        <v>5000</v>
      </c>
      <c r="H3" s="718">
        <v>4500</v>
      </c>
      <c r="I3" s="718">
        <v>5000</v>
      </c>
      <c r="J3" s="718">
        <v>5000</v>
      </c>
      <c r="K3" s="718">
        <v>5000</v>
      </c>
      <c r="L3" s="718">
        <v>5000</v>
      </c>
      <c r="M3" s="718">
        <v>5000</v>
      </c>
      <c r="N3" s="718">
        <v>5000</v>
      </c>
      <c r="O3" s="718">
        <f>E3/22*17</f>
        <v>6181.818181818182</v>
      </c>
      <c r="P3" s="811">
        <v>8000</v>
      </c>
      <c r="Q3" s="826">
        <v>8000</v>
      </c>
      <c r="R3" s="535">
        <f>E3/22*18</f>
        <v>6545.454545454545</v>
      </c>
      <c r="S3" s="222">
        <f t="shared" si="0"/>
        <v>68227.272727272735</v>
      </c>
      <c r="T3" s="222">
        <f t="shared" si="1"/>
        <v>20000</v>
      </c>
      <c r="U3" s="824">
        <f>'2021'!S3+'2022'!G3</f>
        <v>20045.454545454544</v>
      </c>
      <c r="V3" s="25">
        <f t="shared" si="2"/>
        <v>0</v>
      </c>
      <c r="W3" s="36">
        <v>0</v>
      </c>
      <c r="X3" s="222">
        <f t="shared" ref="X3:AB3" si="8">H3</f>
        <v>4500</v>
      </c>
      <c r="Y3" s="222">
        <f t="shared" si="8"/>
        <v>5000</v>
      </c>
      <c r="Z3" s="222">
        <f t="shared" si="8"/>
        <v>5000</v>
      </c>
      <c r="AA3" s="222">
        <f t="shared" si="8"/>
        <v>5000</v>
      </c>
      <c r="AB3" s="222">
        <f t="shared" si="8"/>
        <v>5000</v>
      </c>
      <c r="AC3" s="25">
        <v>5000</v>
      </c>
      <c r="AD3" s="532">
        <f t="shared" ref="AD3:AG3" si="9">N3</f>
        <v>5000</v>
      </c>
      <c r="AE3" s="53">
        <f t="shared" si="9"/>
        <v>6181.818181818182</v>
      </c>
      <c r="AF3" s="222">
        <f t="shared" si="9"/>
        <v>8000</v>
      </c>
      <c r="AG3" s="84">
        <f t="shared" si="9"/>
        <v>8000</v>
      </c>
      <c r="AH3" s="871">
        <f>R3</f>
        <v>6545.454545454545</v>
      </c>
      <c r="AI3" s="25" t="s">
        <v>200</v>
      </c>
      <c r="AJ3" s="53">
        <f>SUM(W3:AH3)</f>
        <v>63227.272727272728</v>
      </c>
      <c r="AK3" s="870">
        <f>S3-W3-X3-Y3-Z3-AA3-AB3-AC3-AD3-AE3-AF3-AG3-AH3</f>
        <v>5000.0000000000064</v>
      </c>
      <c r="AL3" s="870">
        <f>'2021'!S3-'2021'!AK3</f>
        <v>15045.454545454546</v>
      </c>
      <c r="AM3" s="870"/>
      <c r="AN3" s="870">
        <f>AK3+AL3</f>
        <v>20045.454545454551</v>
      </c>
    </row>
    <row r="4" spans="1:51" ht="21" hidden="1" customHeight="1">
      <c r="A4" s="168">
        <v>3</v>
      </c>
      <c r="B4" s="59" t="s">
        <v>201</v>
      </c>
      <c r="C4" s="59" t="s">
        <v>131</v>
      </c>
      <c r="D4" s="60">
        <v>25000</v>
      </c>
      <c r="E4" s="760">
        <v>5000</v>
      </c>
      <c r="F4" s="761" t="s">
        <v>21</v>
      </c>
      <c r="G4" s="762">
        <v>6000</v>
      </c>
      <c r="H4" s="762">
        <v>6000</v>
      </c>
      <c r="I4" s="762">
        <v>6000</v>
      </c>
      <c r="J4" s="762">
        <f>I4</f>
        <v>6000</v>
      </c>
      <c r="K4" s="762">
        <v>6000</v>
      </c>
      <c r="L4" s="762">
        <v>6000</v>
      </c>
      <c r="M4" s="762">
        <v>6000</v>
      </c>
      <c r="N4" s="762">
        <v>4000</v>
      </c>
      <c r="O4" s="762">
        <v>0</v>
      </c>
      <c r="P4" s="812">
        <v>5000</v>
      </c>
      <c r="Q4" s="827">
        <v>5000</v>
      </c>
      <c r="R4" s="828">
        <f>E4/21*18</f>
        <v>4285.7142857142862</v>
      </c>
      <c r="S4" s="689">
        <f t="shared" si="0"/>
        <v>60285.71428571429</v>
      </c>
      <c r="T4" s="222">
        <f t="shared" si="1"/>
        <v>50000</v>
      </c>
      <c r="U4" s="824">
        <v>0</v>
      </c>
      <c r="V4" s="25">
        <f>'Hold bonus paid sheet'!C11</f>
        <v>66000</v>
      </c>
      <c r="W4" s="825">
        <f t="shared" ref="W4:AB4" si="10">G4</f>
        <v>6000</v>
      </c>
      <c r="X4" s="222">
        <f t="shared" si="10"/>
        <v>6000</v>
      </c>
      <c r="Y4" s="222">
        <f t="shared" si="10"/>
        <v>6000</v>
      </c>
      <c r="Z4" s="222">
        <f t="shared" si="10"/>
        <v>6000</v>
      </c>
      <c r="AA4" s="222">
        <f t="shared" si="10"/>
        <v>6000</v>
      </c>
      <c r="AB4" s="222">
        <f t="shared" si="10"/>
        <v>6000</v>
      </c>
      <c r="AC4" s="25">
        <v>6000</v>
      </c>
      <c r="AD4" s="532">
        <f t="shared" ref="AD4:AH4" si="11">N4</f>
        <v>4000</v>
      </c>
      <c r="AE4" s="222">
        <f t="shared" si="11"/>
        <v>0</v>
      </c>
      <c r="AF4" s="222">
        <f t="shared" si="11"/>
        <v>5000</v>
      </c>
      <c r="AG4" s="84">
        <f t="shared" si="11"/>
        <v>5000</v>
      </c>
      <c r="AH4" s="53">
        <f t="shared" si="11"/>
        <v>4285.7142857142862</v>
      </c>
      <c r="AI4" s="25" t="s">
        <v>200</v>
      </c>
      <c r="AJ4" s="53">
        <f t="shared" si="5"/>
        <v>60285.71428571429</v>
      </c>
      <c r="AK4" s="870">
        <f>S4-AJ4+SUM('To beDeleted'!I55:S55)</f>
        <v>42000</v>
      </c>
      <c r="AL4" s="98">
        <f>'2021'!S4-'2021'!AF4-'2021'!AG4-'2021'!AH4-'2021'!AI4-'2021'!AJ4</f>
        <v>24000</v>
      </c>
      <c r="AN4" s="870">
        <f>AK4+AL4-V4</f>
        <v>0</v>
      </c>
    </row>
    <row r="5" spans="1:51" ht="21" hidden="1" customHeight="1">
      <c r="A5" s="168">
        <v>4</v>
      </c>
      <c r="B5" s="59" t="s">
        <v>202</v>
      </c>
      <c r="C5" s="59" t="s">
        <v>131</v>
      </c>
      <c r="D5" s="763">
        <v>18000</v>
      </c>
      <c r="E5" s="60">
        <v>6000</v>
      </c>
      <c r="F5" s="47" t="s">
        <v>21</v>
      </c>
      <c r="G5" s="718">
        <v>6000</v>
      </c>
      <c r="H5" s="718">
        <v>6000</v>
      </c>
      <c r="I5" s="718">
        <v>6000</v>
      </c>
      <c r="J5" s="718">
        <v>3000</v>
      </c>
      <c r="K5" s="718">
        <v>3000</v>
      </c>
      <c r="L5" s="718">
        <v>3000</v>
      </c>
      <c r="M5" s="718">
        <v>3000</v>
      </c>
      <c r="N5" s="718">
        <v>3000</v>
      </c>
      <c r="O5" s="718">
        <v>0</v>
      </c>
      <c r="P5" s="811">
        <v>3000</v>
      </c>
      <c r="Q5" s="535">
        <v>0</v>
      </c>
      <c r="R5" s="535">
        <f>E5/21*10</f>
        <v>2857.1428571428573</v>
      </c>
      <c r="S5" s="222">
        <f t="shared" si="0"/>
        <v>38857.142857142855</v>
      </c>
      <c r="T5" s="829">
        <f t="shared" si="1"/>
        <v>36000</v>
      </c>
      <c r="U5" s="824">
        <f>'2020'!AH20+'2021'!AL12+'2022'!G5+'2022'!I5+'2022'!L5</f>
        <v>44650</v>
      </c>
      <c r="V5" s="25">
        <f>0</f>
        <v>0</v>
      </c>
      <c r="W5" s="830">
        <v>0</v>
      </c>
      <c r="X5" s="829">
        <f t="shared" ref="X5:X6" si="12">H5</f>
        <v>6000</v>
      </c>
      <c r="Y5" s="862">
        <v>0</v>
      </c>
      <c r="Z5" s="829">
        <f t="shared" ref="Z5:AA5" si="13">J5</f>
        <v>3000</v>
      </c>
      <c r="AA5" s="829">
        <f t="shared" si="13"/>
        <v>3000</v>
      </c>
      <c r="AB5" s="862">
        <v>0</v>
      </c>
      <c r="AC5" s="862">
        <v>3000</v>
      </c>
      <c r="AD5" s="532">
        <f t="shared" ref="AD5:AH5" si="14">N5</f>
        <v>3000</v>
      </c>
      <c r="AE5" s="829">
        <f t="shared" si="14"/>
        <v>0</v>
      </c>
      <c r="AF5" s="222">
        <f t="shared" si="14"/>
        <v>3000</v>
      </c>
      <c r="AG5" s="53">
        <f t="shared" si="14"/>
        <v>0</v>
      </c>
      <c r="AH5" s="872">
        <f t="shared" si="14"/>
        <v>2857.1428571428573</v>
      </c>
      <c r="AI5" s="281" t="s">
        <v>200</v>
      </c>
      <c r="AJ5" s="53">
        <f t="shared" si="5"/>
        <v>23857.142857142859</v>
      </c>
      <c r="AK5" s="870">
        <f t="shared" ref="AK5:AK6" si="15">S5-AJ5</f>
        <v>14999.999999999996</v>
      </c>
      <c r="AL5" s="98">
        <f>'2021'!S12-'2021'!AK12</f>
        <v>16000</v>
      </c>
      <c r="AM5" s="98">
        <f>'2020'!S20-'2020'!AG20</f>
        <v>13650</v>
      </c>
      <c r="AN5" s="870">
        <f>AK5+AL5+AM5-V5</f>
        <v>44650</v>
      </c>
    </row>
    <row r="6" spans="1:51" ht="21" hidden="1" customHeight="1">
      <c r="A6" s="168">
        <v>5</v>
      </c>
      <c r="B6" s="61" t="s">
        <v>203</v>
      </c>
      <c r="C6" s="61" t="s">
        <v>131</v>
      </c>
      <c r="D6" s="62">
        <v>40000</v>
      </c>
      <c r="E6" s="764">
        <v>10000</v>
      </c>
      <c r="F6" s="765" t="s">
        <v>21</v>
      </c>
      <c r="G6" s="766">
        <v>5000</v>
      </c>
      <c r="H6" s="766">
        <v>5000</v>
      </c>
      <c r="I6" s="766">
        <v>5000</v>
      </c>
      <c r="J6" s="766">
        <f t="shared" ref="J6:K6" si="16">I6</f>
        <v>5000</v>
      </c>
      <c r="K6" s="766">
        <f t="shared" si="16"/>
        <v>5000</v>
      </c>
      <c r="L6" s="766">
        <v>5000</v>
      </c>
      <c r="M6" s="766">
        <v>5000</v>
      </c>
      <c r="N6" s="766">
        <v>3000</v>
      </c>
      <c r="O6" s="766">
        <v>3000</v>
      </c>
      <c r="P6" s="813">
        <f>E6/21*16</f>
        <v>7619.0476190476193</v>
      </c>
      <c r="Q6" s="813">
        <v>0</v>
      </c>
      <c r="R6" s="813">
        <v>0</v>
      </c>
      <c r="S6" s="831">
        <f t="shared" si="0"/>
        <v>48619.047619047618</v>
      </c>
      <c r="T6" s="214">
        <f t="shared" si="1"/>
        <v>80000</v>
      </c>
      <c r="U6" s="832">
        <f t="shared" ref="U6:U7" si="17">SUM(O6:R6)</f>
        <v>10619.047619047618</v>
      </c>
      <c r="V6" s="74">
        <f>'Hold bonus paid sheet'!C7</f>
        <v>54090</v>
      </c>
      <c r="W6" s="40">
        <v>0</v>
      </c>
      <c r="X6" s="83">
        <f t="shared" si="12"/>
        <v>5000</v>
      </c>
      <c r="Y6" s="214">
        <f t="shared" ref="Y6:AB6" si="18">I6</f>
        <v>5000</v>
      </c>
      <c r="Z6" s="214">
        <f t="shared" si="18"/>
        <v>5000</v>
      </c>
      <c r="AA6" s="214">
        <f t="shared" si="18"/>
        <v>5000</v>
      </c>
      <c r="AB6" s="214">
        <f t="shared" si="18"/>
        <v>5000</v>
      </c>
      <c r="AC6" s="74">
        <v>5000</v>
      </c>
      <c r="AD6" s="214">
        <f t="shared" ref="AD6:AD8" si="19">N6</f>
        <v>3000</v>
      </c>
      <c r="AE6" s="74">
        <v>0</v>
      </c>
      <c r="AF6" s="74">
        <v>0</v>
      </c>
      <c r="AG6" s="74">
        <v>0</v>
      </c>
      <c r="AH6" s="74">
        <v>0</v>
      </c>
      <c r="AI6" s="74"/>
      <c r="AJ6" s="53">
        <f t="shared" si="5"/>
        <v>33000</v>
      </c>
      <c r="AK6" s="865">
        <f t="shared" si="15"/>
        <v>15619.047619047618</v>
      </c>
      <c r="AL6" s="865">
        <f>'2021'!S6-'2021'!AK6</f>
        <v>26590.909090909088</v>
      </c>
      <c r="AM6" s="107">
        <f>'2020'!S15-'2020'!AG15</f>
        <v>12000</v>
      </c>
      <c r="AN6" s="865"/>
      <c r="AO6" s="107"/>
      <c r="AP6" s="107"/>
      <c r="AQ6" s="107"/>
      <c r="AR6" s="107"/>
      <c r="AS6" s="107"/>
      <c r="AT6" s="107"/>
      <c r="AU6" s="107"/>
      <c r="AV6" s="107"/>
      <c r="AW6" s="107"/>
      <c r="AX6" s="107"/>
      <c r="AY6" s="107"/>
    </row>
    <row r="7" spans="1:51" ht="21" hidden="1" customHeight="1">
      <c r="A7" s="168">
        <v>6</v>
      </c>
      <c r="B7" s="61" t="s">
        <v>204</v>
      </c>
      <c r="C7" s="61" t="s">
        <v>93</v>
      </c>
      <c r="D7" s="62">
        <v>30000</v>
      </c>
      <c r="E7" s="62">
        <v>5000</v>
      </c>
      <c r="F7" s="63" t="s">
        <v>21</v>
      </c>
      <c r="G7" s="767">
        <v>6000</v>
      </c>
      <c r="H7" s="767">
        <v>6000</v>
      </c>
      <c r="I7" s="767">
        <v>6000</v>
      </c>
      <c r="J7" s="767">
        <f t="shared" ref="J7:K7" si="20">I7</f>
        <v>6000</v>
      </c>
      <c r="K7" s="767">
        <f t="shared" si="20"/>
        <v>6000</v>
      </c>
      <c r="L7" s="767">
        <v>6000</v>
      </c>
      <c r="M7" s="767">
        <v>6000</v>
      </c>
      <c r="N7" s="767">
        <f>6000/23*10</f>
        <v>2608.695652173913</v>
      </c>
      <c r="O7" s="767">
        <v>5000</v>
      </c>
      <c r="P7" s="570">
        <v>5000</v>
      </c>
      <c r="Q7" s="570">
        <f>5000/23*19</f>
        <v>4130.434782608696</v>
      </c>
      <c r="R7" s="570">
        <v>0</v>
      </c>
      <c r="S7" s="214">
        <f t="shared" si="0"/>
        <v>58739.130434782608</v>
      </c>
      <c r="T7" s="214">
        <f t="shared" si="1"/>
        <v>60000</v>
      </c>
      <c r="U7" s="832">
        <f t="shared" si="17"/>
        <v>14130.434782608696</v>
      </c>
      <c r="V7" s="74">
        <f t="shared" ref="V7:V8" si="21">0</f>
        <v>0</v>
      </c>
      <c r="W7" s="40">
        <v>0</v>
      </c>
      <c r="X7" s="74">
        <v>0</v>
      </c>
      <c r="Y7" s="83">
        <f t="shared" ref="Y7:AB7" si="22">I7</f>
        <v>6000</v>
      </c>
      <c r="Z7" s="83">
        <f t="shared" si="22"/>
        <v>6000</v>
      </c>
      <c r="AA7" s="83">
        <f t="shared" si="22"/>
        <v>6000</v>
      </c>
      <c r="AB7" s="214">
        <f t="shared" si="22"/>
        <v>6000</v>
      </c>
      <c r="AC7" s="74">
        <v>6000</v>
      </c>
      <c r="AD7" s="83">
        <f t="shared" si="19"/>
        <v>2608.695652173913</v>
      </c>
      <c r="AE7" s="74">
        <v>0</v>
      </c>
      <c r="AF7" s="74">
        <v>0</v>
      </c>
      <c r="AG7" s="74">
        <v>0</v>
      </c>
      <c r="AH7" s="74">
        <v>0</v>
      </c>
      <c r="AI7" s="74"/>
      <c r="AJ7" s="53">
        <f t="shared" si="5"/>
        <v>32608.695652173912</v>
      </c>
      <c r="AK7" s="107"/>
      <c r="AL7" s="107"/>
      <c r="AM7" s="107"/>
      <c r="AN7" s="107"/>
      <c r="AO7" s="107"/>
      <c r="AP7" s="107"/>
      <c r="AQ7" s="107"/>
      <c r="AR7" s="107"/>
      <c r="AS7" s="107"/>
      <c r="AT7" s="107"/>
      <c r="AU7" s="107"/>
      <c r="AV7" s="107"/>
      <c r="AW7" s="107"/>
      <c r="AX7" s="107"/>
      <c r="AY7" s="107"/>
    </row>
    <row r="8" spans="1:51" ht="21" hidden="1" customHeight="1">
      <c r="A8" s="168">
        <v>7</v>
      </c>
      <c r="B8" s="59" t="s">
        <v>94</v>
      </c>
      <c r="C8" s="57" t="s">
        <v>86</v>
      </c>
      <c r="D8" s="60">
        <v>12000</v>
      </c>
      <c r="E8" s="60">
        <v>6000</v>
      </c>
      <c r="F8" s="47" t="s">
        <v>21</v>
      </c>
      <c r="G8" s="718">
        <v>6000</v>
      </c>
      <c r="H8" s="718">
        <v>6000</v>
      </c>
      <c r="I8" s="718">
        <v>6000</v>
      </c>
      <c r="J8" s="718">
        <f t="shared" ref="J8:K8" si="23">I8</f>
        <v>6000</v>
      </c>
      <c r="K8" s="718">
        <f t="shared" si="23"/>
        <v>6000</v>
      </c>
      <c r="L8" s="718">
        <v>3000</v>
      </c>
      <c r="M8" s="718">
        <v>3000</v>
      </c>
      <c r="N8" s="718">
        <v>3000</v>
      </c>
      <c r="O8" s="718">
        <v>0</v>
      </c>
      <c r="P8" s="811">
        <v>6000</v>
      </c>
      <c r="Q8" s="535">
        <v>6000</v>
      </c>
      <c r="R8" s="535">
        <v>6000</v>
      </c>
      <c r="S8" s="222">
        <f t="shared" si="0"/>
        <v>57000</v>
      </c>
      <c r="T8" s="222">
        <f t="shared" si="1"/>
        <v>24000</v>
      </c>
      <c r="U8" s="824">
        <f>'2020'!AH21+'2021'!AL13+'2022'!M9</f>
        <v>35800</v>
      </c>
      <c r="V8" s="25">
        <f t="shared" si="21"/>
        <v>0</v>
      </c>
      <c r="W8" s="825">
        <f t="shared" ref="W8:AB8" si="24">G8</f>
        <v>6000</v>
      </c>
      <c r="X8" s="53">
        <f t="shared" si="24"/>
        <v>6000</v>
      </c>
      <c r="Y8" s="53">
        <f t="shared" si="24"/>
        <v>6000</v>
      </c>
      <c r="Z8" s="53">
        <f t="shared" si="24"/>
        <v>6000</v>
      </c>
      <c r="AA8" s="53">
        <f t="shared" si="24"/>
        <v>6000</v>
      </c>
      <c r="AB8" s="222">
        <f t="shared" si="24"/>
        <v>3000</v>
      </c>
      <c r="AC8" s="25">
        <v>0</v>
      </c>
      <c r="AD8" s="532">
        <f t="shared" si="19"/>
        <v>3000</v>
      </c>
      <c r="AE8" s="53">
        <f t="shared" ref="AE8:AH8" si="25">O8</f>
        <v>0</v>
      </c>
      <c r="AF8" s="222">
        <f t="shared" si="25"/>
        <v>6000</v>
      </c>
      <c r="AG8" s="532">
        <f t="shared" si="25"/>
        <v>6000</v>
      </c>
      <c r="AH8" s="222">
        <f t="shared" si="25"/>
        <v>6000</v>
      </c>
      <c r="AI8" s="25" t="s">
        <v>200</v>
      </c>
      <c r="AJ8" s="53">
        <f t="shared" si="5"/>
        <v>54000</v>
      </c>
      <c r="AO8" s="107"/>
      <c r="AP8" s="107"/>
      <c r="AQ8" s="107"/>
      <c r="AR8" s="107"/>
      <c r="AS8" s="107"/>
      <c r="AT8" s="107"/>
      <c r="AU8" s="107"/>
      <c r="AV8" s="107"/>
      <c r="AW8" s="107"/>
      <c r="AX8" s="107"/>
      <c r="AY8" s="107"/>
    </row>
    <row r="9" spans="1:51" ht="21" hidden="1" customHeight="1">
      <c r="A9" s="168">
        <v>8</v>
      </c>
      <c r="B9" s="61" t="s">
        <v>205</v>
      </c>
      <c r="C9" s="61" t="s">
        <v>86</v>
      </c>
      <c r="D9" s="62">
        <v>35000</v>
      </c>
      <c r="E9" s="62">
        <v>5000</v>
      </c>
      <c r="F9" s="63" t="s">
        <v>21</v>
      </c>
      <c r="G9" s="767">
        <v>6000</v>
      </c>
      <c r="H9" s="767">
        <v>6000</v>
      </c>
      <c r="I9" s="767">
        <f>E9/20*14</f>
        <v>3500</v>
      </c>
      <c r="J9" s="767">
        <v>6000</v>
      </c>
      <c r="K9" s="767">
        <v>6000</v>
      </c>
      <c r="L9" s="767">
        <v>6000</v>
      </c>
      <c r="M9" s="767">
        <v>6000</v>
      </c>
      <c r="N9" s="767">
        <f>E9/23*16</f>
        <v>3478.2608695652175</v>
      </c>
      <c r="O9" s="767">
        <v>6000</v>
      </c>
      <c r="P9" s="570">
        <f>6000/21*11+5000/21*10-3142.86</f>
        <v>2380.9495238095246</v>
      </c>
      <c r="Q9" s="570">
        <v>0</v>
      </c>
      <c r="R9" s="570">
        <v>5000</v>
      </c>
      <c r="S9" s="214">
        <f>SUM(P9:R9)</f>
        <v>7380.9495238095242</v>
      </c>
      <c r="T9" s="214">
        <f t="shared" si="1"/>
        <v>70000</v>
      </c>
      <c r="U9" s="832">
        <f>SUM(P9:R9)</f>
        <v>7380.9495238095242</v>
      </c>
      <c r="V9" s="74">
        <f>'Hold bonus paid sheet'!C9</f>
        <v>37909</v>
      </c>
      <c r="W9" s="40">
        <v>0</v>
      </c>
      <c r="X9" s="83">
        <f t="shared" ref="X9:AB9" si="26">H9</f>
        <v>6000</v>
      </c>
      <c r="Y9" s="214">
        <v>4200</v>
      </c>
      <c r="Z9" s="214">
        <f t="shared" si="26"/>
        <v>6000</v>
      </c>
      <c r="AA9" s="214">
        <f t="shared" si="26"/>
        <v>6000</v>
      </c>
      <c r="AB9" s="214">
        <f t="shared" si="26"/>
        <v>6000</v>
      </c>
      <c r="AC9" s="74">
        <v>6000</v>
      </c>
      <c r="AD9" s="83">
        <v>4174</v>
      </c>
      <c r="AE9" s="214">
        <f>O9</f>
        <v>6000</v>
      </c>
      <c r="AF9" s="83">
        <f>6000/21*11</f>
        <v>3142.8571428571431</v>
      </c>
      <c r="AG9" s="74">
        <v>0</v>
      </c>
      <c r="AH9" s="74">
        <v>0</v>
      </c>
      <c r="AI9" s="74"/>
      <c r="AJ9" s="53">
        <f t="shared" si="5"/>
        <v>47516.857142857145</v>
      </c>
      <c r="AK9" s="107"/>
      <c r="AL9" s="107"/>
      <c r="AM9" s="107"/>
      <c r="AN9" s="107"/>
      <c r="AO9" s="107"/>
      <c r="AP9" s="107"/>
      <c r="AQ9" s="107"/>
      <c r="AR9" s="107"/>
      <c r="AS9" s="107"/>
      <c r="AT9" s="107"/>
      <c r="AU9" s="107"/>
      <c r="AV9" s="107"/>
      <c r="AW9" s="107"/>
      <c r="AX9" s="107"/>
      <c r="AY9" s="107"/>
    </row>
    <row r="10" spans="1:51" ht="21" hidden="1" customHeight="1">
      <c r="A10" s="168">
        <v>9</v>
      </c>
      <c r="B10" s="61" t="s">
        <v>206</v>
      </c>
      <c r="C10" s="61" t="s">
        <v>86</v>
      </c>
      <c r="D10" s="62">
        <v>10000</v>
      </c>
      <c r="E10" s="62">
        <v>10000</v>
      </c>
      <c r="F10" s="63" t="s">
        <v>21</v>
      </c>
      <c r="G10" s="767" t="s">
        <v>30</v>
      </c>
      <c r="H10" s="767" t="s">
        <v>30</v>
      </c>
      <c r="I10" s="767" t="s">
        <v>30</v>
      </c>
      <c r="J10" s="767" t="s">
        <v>30</v>
      </c>
      <c r="K10" s="767" t="s">
        <v>30</v>
      </c>
      <c r="L10" s="767" t="s">
        <v>30</v>
      </c>
      <c r="M10" s="767" t="s">
        <v>30</v>
      </c>
      <c r="N10" s="767" t="s">
        <v>30</v>
      </c>
      <c r="O10" s="767">
        <f>E10/22*9</f>
        <v>4090.909090909091</v>
      </c>
      <c r="P10" s="570">
        <v>10000</v>
      </c>
      <c r="Q10" s="820">
        <v>5000</v>
      </c>
      <c r="R10" s="570">
        <v>10000</v>
      </c>
      <c r="S10" s="214">
        <f t="shared" ref="S10:S12" si="27">SUM(G10:R10)</f>
        <v>29090.909090909092</v>
      </c>
      <c r="T10" s="833">
        <f t="shared" si="1"/>
        <v>20000</v>
      </c>
      <c r="U10" s="832">
        <f>SUM(O10:R10)</f>
        <v>29090.909090909092</v>
      </c>
      <c r="V10" s="74">
        <v>0</v>
      </c>
      <c r="W10" s="74"/>
      <c r="X10" s="74"/>
      <c r="Y10" s="74"/>
      <c r="Z10" s="74"/>
      <c r="AA10" s="74"/>
      <c r="AB10" s="74"/>
      <c r="AC10" s="74"/>
      <c r="AD10" s="74"/>
      <c r="AE10" s="74">
        <v>0</v>
      </c>
      <c r="AF10" s="74">
        <v>0</v>
      </c>
      <c r="AG10" s="74">
        <v>0</v>
      </c>
      <c r="AH10" s="74">
        <v>0</v>
      </c>
      <c r="AI10" s="74"/>
      <c r="AJ10" s="53">
        <f t="shared" si="5"/>
        <v>0</v>
      </c>
      <c r="AK10" s="107"/>
      <c r="AL10" s="107"/>
      <c r="AM10" s="107"/>
      <c r="AN10" s="107"/>
      <c r="AO10" s="107"/>
      <c r="AP10" s="107"/>
      <c r="AQ10" s="107"/>
      <c r="AR10" s="107"/>
      <c r="AS10" s="107"/>
      <c r="AT10" s="107"/>
      <c r="AU10" s="107"/>
      <c r="AV10" s="107"/>
      <c r="AW10" s="107"/>
      <c r="AX10" s="107"/>
      <c r="AY10" s="107"/>
    </row>
    <row r="11" spans="1:51" ht="21" hidden="1" customHeight="1">
      <c r="A11" s="168">
        <v>10</v>
      </c>
      <c r="B11" s="61" t="s">
        <v>104</v>
      </c>
      <c r="C11" s="61" t="s">
        <v>76</v>
      </c>
      <c r="D11" s="62">
        <v>50000</v>
      </c>
      <c r="E11" s="768">
        <v>10000</v>
      </c>
      <c r="F11" s="769" t="s">
        <v>21</v>
      </c>
      <c r="G11" s="770">
        <v>5000</v>
      </c>
      <c r="H11" s="770">
        <v>3478</v>
      </c>
      <c r="I11" s="770">
        <v>5000</v>
      </c>
      <c r="J11" s="770">
        <f>I11</f>
        <v>5000</v>
      </c>
      <c r="K11" s="770">
        <v>5000</v>
      </c>
      <c r="L11" s="770">
        <v>10000</v>
      </c>
      <c r="M11" s="770">
        <v>10000</v>
      </c>
      <c r="N11" s="770">
        <v>10000</v>
      </c>
      <c r="O11" s="770">
        <v>10000</v>
      </c>
      <c r="P11" s="570">
        <f>E11/21*10</f>
        <v>4761.9047619047624</v>
      </c>
      <c r="Q11" s="570">
        <v>10000</v>
      </c>
      <c r="R11" s="570">
        <f>E11/21*16</f>
        <v>7619.0476190476193</v>
      </c>
      <c r="S11" s="214">
        <f t="shared" si="27"/>
        <v>85858.952380952382</v>
      </c>
      <c r="T11" s="214">
        <f t="shared" si="1"/>
        <v>100000</v>
      </c>
      <c r="U11" s="832">
        <f>SUM(L11:R11)</f>
        <v>62380.952380952382</v>
      </c>
      <c r="V11" s="74">
        <v>0</v>
      </c>
      <c r="W11" s="40">
        <v>0</v>
      </c>
      <c r="X11" s="74">
        <v>0</v>
      </c>
      <c r="Y11" s="74">
        <v>0</v>
      </c>
      <c r="Z11" s="214">
        <f>J11</f>
        <v>5000</v>
      </c>
      <c r="AA11" s="74">
        <v>5000</v>
      </c>
      <c r="AB11" s="83">
        <v>0</v>
      </c>
      <c r="AC11" s="74">
        <v>0</v>
      </c>
      <c r="AD11" s="74">
        <v>0</v>
      </c>
      <c r="AE11" s="74">
        <v>0</v>
      </c>
      <c r="AF11" s="74">
        <v>0</v>
      </c>
      <c r="AG11" s="74">
        <v>0</v>
      </c>
      <c r="AH11" s="74">
        <v>0</v>
      </c>
      <c r="AI11" s="107"/>
      <c r="AJ11" s="53">
        <f t="shared" si="5"/>
        <v>10000</v>
      </c>
      <c r="AK11" s="74"/>
      <c r="AL11" s="74"/>
      <c r="AM11" s="74"/>
      <c r="AN11" s="74"/>
      <c r="AO11" s="74"/>
      <c r="AP11" s="74"/>
      <c r="AQ11" s="74"/>
      <c r="AR11" s="74"/>
      <c r="AS11" s="74"/>
      <c r="AT11" s="74"/>
      <c r="AU11" s="74"/>
      <c r="AV11" s="74"/>
      <c r="AW11" s="74"/>
      <c r="AX11" s="74"/>
      <c r="AY11" s="74"/>
    </row>
    <row r="12" spans="1:51" ht="21" hidden="1" customHeight="1">
      <c r="A12" s="168">
        <v>11</v>
      </c>
      <c r="B12" s="61" t="s">
        <v>207</v>
      </c>
      <c r="C12" s="61" t="s">
        <v>76</v>
      </c>
      <c r="D12" s="62">
        <v>6000</v>
      </c>
      <c r="E12" s="62">
        <v>10000</v>
      </c>
      <c r="F12" s="63" t="s">
        <v>21</v>
      </c>
      <c r="G12" s="767" t="s">
        <v>30</v>
      </c>
      <c r="H12" s="767">
        <v>10000</v>
      </c>
      <c r="I12" s="767">
        <v>10000</v>
      </c>
      <c r="J12" s="767">
        <v>10000</v>
      </c>
      <c r="K12" s="767">
        <v>10000</v>
      </c>
      <c r="L12" s="767">
        <v>10000</v>
      </c>
      <c r="M12" s="767">
        <v>10000</v>
      </c>
      <c r="N12" s="767">
        <v>10000</v>
      </c>
      <c r="O12" s="767">
        <v>10000</v>
      </c>
      <c r="P12" s="570">
        <v>10000</v>
      </c>
      <c r="Q12" s="570">
        <f>10000/23*13</f>
        <v>5652.173913043478</v>
      </c>
      <c r="R12" s="570">
        <v>8000</v>
      </c>
      <c r="S12" s="214">
        <f t="shared" si="27"/>
        <v>103652.17391304347</v>
      </c>
      <c r="T12" s="214">
        <f t="shared" si="1"/>
        <v>12000</v>
      </c>
      <c r="U12" s="832">
        <f>SUM(H12:R12)</f>
        <v>103652.17391304347</v>
      </c>
      <c r="V12" s="74">
        <v>0</v>
      </c>
      <c r="W12" s="74">
        <v>0</v>
      </c>
      <c r="X12" s="74">
        <v>0</v>
      </c>
      <c r="Y12" s="74">
        <v>0</v>
      </c>
      <c r="Z12" s="74">
        <v>0</v>
      </c>
      <c r="AA12" s="74">
        <v>0</v>
      </c>
      <c r="AB12" s="74">
        <v>0</v>
      </c>
      <c r="AC12" s="74">
        <v>0</v>
      </c>
      <c r="AD12" s="74">
        <v>0</v>
      </c>
      <c r="AE12" s="74">
        <v>0</v>
      </c>
      <c r="AF12" s="74">
        <v>0</v>
      </c>
      <c r="AG12" s="74">
        <v>0</v>
      </c>
      <c r="AH12" s="74">
        <v>0</v>
      </c>
      <c r="AI12" s="74"/>
      <c r="AJ12" s="53">
        <f t="shared" si="5"/>
        <v>0</v>
      </c>
      <c r="AK12" s="107"/>
      <c r="AL12" s="107"/>
      <c r="AM12" s="107"/>
      <c r="AN12" s="107"/>
      <c r="AO12" s="107"/>
      <c r="AP12" s="107"/>
      <c r="AQ12" s="107"/>
      <c r="AR12" s="107"/>
      <c r="AS12" s="107"/>
      <c r="AT12" s="107"/>
      <c r="AU12" s="107"/>
      <c r="AV12" s="107"/>
      <c r="AW12" s="107"/>
      <c r="AX12" s="107"/>
      <c r="AY12" s="107"/>
    </row>
    <row r="13" spans="1:51" ht="21" hidden="1" customHeight="1">
      <c r="A13" s="168">
        <v>12</v>
      </c>
      <c r="B13" s="771" t="s">
        <v>208</v>
      </c>
      <c r="C13" s="771" t="s">
        <v>76</v>
      </c>
      <c r="D13" s="772">
        <v>6000</v>
      </c>
      <c r="E13" s="772">
        <v>10000</v>
      </c>
      <c r="F13" s="773" t="s">
        <v>21</v>
      </c>
      <c r="G13" s="774" t="s">
        <v>30</v>
      </c>
      <c r="H13" s="774" t="s">
        <v>30</v>
      </c>
      <c r="I13" s="774" t="s">
        <v>30</v>
      </c>
      <c r="J13" s="774" t="s">
        <v>30</v>
      </c>
      <c r="K13" s="774" t="s">
        <v>30</v>
      </c>
      <c r="L13" s="774" t="s">
        <v>30</v>
      </c>
      <c r="M13" s="774" t="s">
        <v>30</v>
      </c>
      <c r="N13" s="774" t="s">
        <v>30</v>
      </c>
      <c r="O13" s="774" t="s">
        <v>30</v>
      </c>
      <c r="P13" s="814" t="s">
        <v>30</v>
      </c>
      <c r="Q13" s="814">
        <v>10000</v>
      </c>
      <c r="R13" s="814">
        <v>10000</v>
      </c>
      <c r="S13" s="834"/>
      <c r="T13" s="834">
        <f t="shared" si="1"/>
        <v>12000</v>
      </c>
      <c r="U13" s="835"/>
      <c r="V13" s="836"/>
      <c r="W13" s="837"/>
      <c r="X13" s="836"/>
      <c r="Y13" s="863"/>
      <c r="Z13" s="836"/>
      <c r="AA13" s="836"/>
      <c r="AB13" s="836"/>
      <c r="AC13" s="836"/>
      <c r="AD13" s="836"/>
      <c r="AE13" s="836"/>
      <c r="AF13" s="836"/>
      <c r="AG13" s="836">
        <v>4000</v>
      </c>
      <c r="AH13" s="836">
        <v>4000</v>
      </c>
      <c r="AI13" s="836" t="s">
        <v>200</v>
      </c>
      <c r="AJ13" s="53">
        <f t="shared" si="5"/>
        <v>8000</v>
      </c>
      <c r="AK13" s="873"/>
      <c r="AL13" s="873"/>
      <c r="AM13" s="873"/>
      <c r="AN13" s="873"/>
      <c r="AO13" s="873"/>
      <c r="AP13" s="873"/>
      <c r="AQ13" s="873"/>
      <c r="AR13" s="107"/>
      <c r="AS13" s="107"/>
      <c r="AT13" s="107"/>
      <c r="AU13" s="107"/>
      <c r="AV13" s="107"/>
      <c r="AW13" s="107"/>
      <c r="AX13" s="107"/>
      <c r="AY13" s="107"/>
    </row>
    <row r="14" spans="1:51" ht="21" hidden="1" customHeight="1">
      <c r="A14" s="168">
        <v>13</v>
      </c>
      <c r="B14" s="61" t="s">
        <v>209</v>
      </c>
      <c r="C14" s="61" t="s">
        <v>210</v>
      </c>
      <c r="D14" s="62">
        <v>30000</v>
      </c>
      <c r="E14" s="62">
        <v>10000</v>
      </c>
      <c r="F14" s="63" t="s">
        <v>21</v>
      </c>
      <c r="G14" s="767">
        <v>6000</v>
      </c>
      <c r="H14" s="767">
        <f>E14/23*13</f>
        <v>5652.173913043478</v>
      </c>
      <c r="I14" s="767">
        <v>6000</v>
      </c>
      <c r="J14" s="767">
        <v>10000</v>
      </c>
      <c r="K14" s="767">
        <v>10000</v>
      </c>
      <c r="L14" s="767">
        <v>2000</v>
      </c>
      <c r="M14" s="767">
        <v>5000</v>
      </c>
      <c r="N14" s="767">
        <v>5000</v>
      </c>
      <c r="O14" s="767">
        <v>7000</v>
      </c>
      <c r="P14" s="570">
        <v>5000</v>
      </c>
      <c r="Q14" s="570">
        <v>5000</v>
      </c>
      <c r="R14" s="570">
        <v>0</v>
      </c>
      <c r="S14" s="214">
        <f t="shared" ref="S14:S24" si="28">SUM(G14:R14)</f>
        <v>66652.173913043487</v>
      </c>
      <c r="T14" s="214">
        <f t="shared" si="1"/>
        <v>60000</v>
      </c>
      <c r="U14" s="832">
        <f>'2021'!AL25+'2022'!G14+'2022'!H14+SUM(J14:R14)</f>
        <v>78652.173913043487</v>
      </c>
      <c r="V14" s="74">
        <v>0</v>
      </c>
      <c r="W14" s="40">
        <v>0</v>
      </c>
      <c r="X14" s="74">
        <v>0</v>
      </c>
      <c r="Y14" s="83">
        <f>I14</f>
        <v>6000</v>
      </c>
      <c r="Z14" s="74">
        <v>0</v>
      </c>
      <c r="AA14" s="74">
        <v>0</v>
      </c>
      <c r="AB14" s="74">
        <v>0</v>
      </c>
      <c r="AC14" s="74">
        <v>0</v>
      </c>
      <c r="AD14" s="74">
        <v>0</v>
      </c>
      <c r="AE14" s="74">
        <v>0</v>
      </c>
      <c r="AF14" s="74">
        <v>0</v>
      </c>
      <c r="AG14" s="74">
        <v>0</v>
      </c>
      <c r="AH14" s="74">
        <v>0</v>
      </c>
      <c r="AI14" s="74"/>
      <c r="AJ14" s="53">
        <f t="shared" si="5"/>
        <v>6000</v>
      </c>
      <c r="AK14" s="107"/>
      <c r="AL14" s="107"/>
      <c r="AM14" s="107"/>
      <c r="AN14" s="107"/>
      <c r="AO14" s="107"/>
      <c r="AP14" s="107"/>
      <c r="AQ14" s="107"/>
      <c r="AR14" s="107"/>
      <c r="AS14" s="107"/>
      <c r="AT14" s="107"/>
      <c r="AU14" s="107"/>
      <c r="AV14" s="107"/>
      <c r="AW14" s="107"/>
      <c r="AX14" s="107"/>
      <c r="AY14" s="107"/>
    </row>
    <row r="15" spans="1:51" ht="21" hidden="1" customHeight="1">
      <c r="A15" s="168">
        <v>14</v>
      </c>
      <c r="B15" s="61" t="s">
        <v>211</v>
      </c>
      <c r="C15" s="61" t="s">
        <v>212</v>
      </c>
      <c r="D15" s="62">
        <v>6000</v>
      </c>
      <c r="E15" s="62">
        <v>10000</v>
      </c>
      <c r="F15" s="63" t="s">
        <v>21</v>
      </c>
      <c r="G15" s="767" t="s">
        <v>30</v>
      </c>
      <c r="H15" s="767" t="s">
        <v>30</v>
      </c>
      <c r="I15" s="767" t="s">
        <v>30</v>
      </c>
      <c r="J15" s="767" t="s">
        <v>30</v>
      </c>
      <c r="K15" s="767">
        <f>E15/22*22</f>
        <v>10000</v>
      </c>
      <c r="L15" s="767">
        <v>10000</v>
      </c>
      <c r="M15" s="767">
        <v>10000</v>
      </c>
      <c r="N15" s="767">
        <v>10000</v>
      </c>
      <c r="O15" s="767">
        <v>10000</v>
      </c>
      <c r="P15" s="570">
        <v>10000</v>
      </c>
      <c r="Q15" s="570">
        <v>10000</v>
      </c>
      <c r="R15" s="570">
        <v>10000</v>
      </c>
      <c r="S15" s="214">
        <f t="shared" si="28"/>
        <v>80000</v>
      </c>
      <c r="T15" s="214">
        <f t="shared" si="1"/>
        <v>12000</v>
      </c>
      <c r="U15" s="832">
        <f>SUM(K15:R15)</f>
        <v>80000</v>
      </c>
      <c r="V15" s="74">
        <v>0</v>
      </c>
      <c r="W15" s="74">
        <v>0</v>
      </c>
      <c r="X15" s="74">
        <v>0</v>
      </c>
      <c r="Y15" s="74">
        <v>0</v>
      </c>
      <c r="Z15" s="74">
        <v>0</v>
      </c>
      <c r="AA15" s="74">
        <v>0</v>
      </c>
      <c r="AB15" s="74">
        <v>0</v>
      </c>
      <c r="AC15" s="74">
        <v>0</v>
      </c>
      <c r="AD15" s="74">
        <v>0</v>
      </c>
      <c r="AE15" s="74">
        <v>0</v>
      </c>
      <c r="AF15" s="74">
        <v>0</v>
      </c>
      <c r="AG15" s="74">
        <v>0</v>
      </c>
      <c r="AH15" s="74">
        <v>0</v>
      </c>
      <c r="AI15" s="74"/>
      <c r="AJ15" s="53">
        <f t="shared" si="5"/>
        <v>0</v>
      </c>
      <c r="AK15" s="107"/>
      <c r="AL15" s="107"/>
      <c r="AM15" s="107"/>
      <c r="AN15" s="107"/>
      <c r="AR15" s="107"/>
      <c r="AS15" s="107"/>
      <c r="AT15" s="107"/>
      <c r="AU15" s="107"/>
      <c r="AV15" s="107"/>
      <c r="AW15" s="107"/>
      <c r="AX15" s="107"/>
      <c r="AY15" s="107"/>
    </row>
    <row r="16" spans="1:51" ht="21" hidden="1" customHeight="1">
      <c r="A16" s="168">
        <v>15</v>
      </c>
      <c r="B16" s="61" t="s">
        <v>213</v>
      </c>
      <c r="C16" s="61" t="s">
        <v>212</v>
      </c>
      <c r="D16" s="123">
        <v>30000</v>
      </c>
      <c r="E16" s="123">
        <v>10000</v>
      </c>
      <c r="F16" s="63" t="s">
        <v>21</v>
      </c>
      <c r="G16" s="767">
        <v>6000</v>
      </c>
      <c r="H16" s="767">
        <v>6000</v>
      </c>
      <c r="I16" s="767">
        <v>4650</v>
      </c>
      <c r="J16" s="767">
        <v>5429</v>
      </c>
      <c r="K16" s="767">
        <v>5000</v>
      </c>
      <c r="L16" s="767">
        <v>0</v>
      </c>
      <c r="M16" s="767">
        <v>0</v>
      </c>
      <c r="N16" s="767">
        <v>0</v>
      </c>
      <c r="O16" s="767">
        <v>0</v>
      </c>
      <c r="P16" s="570">
        <v>0</v>
      </c>
      <c r="Q16" s="570">
        <v>0</v>
      </c>
      <c r="R16" s="570">
        <v>0</v>
      </c>
      <c r="S16" s="214">
        <f t="shared" si="28"/>
        <v>27079</v>
      </c>
      <c r="T16" s="214">
        <v>60000</v>
      </c>
      <c r="U16" s="838">
        <f>SUM('2022'!L16:R16)+'2021'!AL24</f>
        <v>12000</v>
      </c>
      <c r="V16" s="74">
        <v>0</v>
      </c>
      <c r="W16" s="839">
        <f t="shared" ref="W16:Y16" si="29">G16</f>
        <v>6000</v>
      </c>
      <c r="X16" s="214">
        <f t="shared" si="29"/>
        <v>6000</v>
      </c>
      <c r="Y16" s="214">
        <f t="shared" si="29"/>
        <v>4650</v>
      </c>
      <c r="Z16" s="74">
        <v>5429</v>
      </c>
      <c r="AA16" s="214">
        <f>K16</f>
        <v>5000</v>
      </c>
      <c r="AB16" s="74">
        <v>0</v>
      </c>
      <c r="AC16" s="74">
        <v>0</v>
      </c>
      <c r="AD16" s="74">
        <v>0</v>
      </c>
      <c r="AE16" s="74">
        <v>0</v>
      </c>
      <c r="AF16" s="74">
        <v>0</v>
      </c>
      <c r="AG16" s="74">
        <v>0</v>
      </c>
      <c r="AH16" s="74">
        <v>0</v>
      </c>
      <c r="AI16" s="74"/>
      <c r="AJ16" s="53">
        <f t="shared" si="5"/>
        <v>27079</v>
      </c>
      <c r="AK16" s="107"/>
      <c r="AL16" s="107"/>
      <c r="AM16" s="107"/>
      <c r="AN16" s="107"/>
      <c r="AR16" s="873"/>
      <c r="AS16" s="873"/>
      <c r="AT16" s="873"/>
      <c r="AU16" s="873"/>
      <c r="AV16" s="873"/>
      <c r="AW16" s="873"/>
      <c r="AX16" s="873"/>
      <c r="AY16" s="873"/>
    </row>
    <row r="17" spans="1:51" ht="21" hidden="1" customHeight="1">
      <c r="A17" s="168">
        <v>16</v>
      </c>
      <c r="B17" s="61" t="s">
        <v>214</v>
      </c>
      <c r="C17" s="61" t="s">
        <v>212</v>
      </c>
      <c r="D17" s="62">
        <v>15000</v>
      </c>
      <c r="E17" s="62">
        <v>10000</v>
      </c>
      <c r="F17" s="63" t="s">
        <v>21</v>
      </c>
      <c r="G17" s="767" t="s">
        <v>30</v>
      </c>
      <c r="H17" s="767">
        <f>E17/23*9</f>
        <v>3913.0434782608695</v>
      </c>
      <c r="I17" s="767">
        <v>10000</v>
      </c>
      <c r="J17" s="767">
        <v>10000</v>
      </c>
      <c r="K17" s="767">
        <f>E17/22*17</f>
        <v>7727.2727272727279</v>
      </c>
      <c r="L17" s="767">
        <v>10000</v>
      </c>
      <c r="M17" s="767">
        <v>10000</v>
      </c>
      <c r="N17" s="767">
        <v>10000</v>
      </c>
      <c r="O17" s="767">
        <v>10000</v>
      </c>
      <c r="P17" s="570">
        <f>10000/21*17</f>
        <v>8095.2380952380954</v>
      </c>
      <c r="Q17" s="570">
        <f>10000/23*18</f>
        <v>7826.086956521739</v>
      </c>
      <c r="R17" s="570">
        <v>10000</v>
      </c>
      <c r="S17" s="214">
        <f t="shared" si="28"/>
        <v>97561.641257293435</v>
      </c>
      <c r="T17" s="214">
        <v>60000</v>
      </c>
      <c r="U17" s="832">
        <f>SUM(H17:R17)</f>
        <v>97561.641257293435</v>
      </c>
      <c r="V17" s="74">
        <v>0</v>
      </c>
      <c r="W17" s="74">
        <v>0</v>
      </c>
      <c r="X17" s="74">
        <v>0</v>
      </c>
      <c r="Y17" s="74">
        <v>0</v>
      </c>
      <c r="Z17" s="74">
        <v>0</v>
      </c>
      <c r="AA17" s="74">
        <v>0</v>
      </c>
      <c r="AB17" s="74">
        <v>0</v>
      </c>
      <c r="AC17" s="74">
        <v>0</v>
      </c>
      <c r="AD17" s="74">
        <v>0</v>
      </c>
      <c r="AE17" s="74">
        <v>0</v>
      </c>
      <c r="AF17" s="74">
        <v>0</v>
      </c>
      <c r="AG17" s="74">
        <v>0</v>
      </c>
      <c r="AH17" s="74">
        <v>0</v>
      </c>
      <c r="AI17" s="74"/>
      <c r="AJ17" s="53">
        <f t="shared" si="5"/>
        <v>0</v>
      </c>
      <c r="AK17" s="107"/>
      <c r="AL17" s="107"/>
      <c r="AM17" s="107"/>
      <c r="AN17" s="107"/>
      <c r="AR17" s="107"/>
      <c r="AS17" s="107"/>
      <c r="AT17" s="107"/>
      <c r="AU17" s="107"/>
      <c r="AV17" s="107"/>
      <c r="AW17" s="107"/>
      <c r="AX17" s="107"/>
      <c r="AY17" s="107"/>
    </row>
    <row r="18" spans="1:51" ht="21" hidden="1" customHeight="1">
      <c r="A18" s="168">
        <v>17</v>
      </c>
      <c r="B18" s="59" t="s">
        <v>215</v>
      </c>
      <c r="C18" s="59" t="s">
        <v>212</v>
      </c>
      <c r="D18" s="60">
        <v>14000</v>
      </c>
      <c r="E18" s="60">
        <v>6000</v>
      </c>
      <c r="F18" s="47" t="s">
        <v>21</v>
      </c>
      <c r="G18" s="718">
        <v>6000</v>
      </c>
      <c r="H18" s="718">
        <f>E18/23*18</f>
        <v>4695.652173913044</v>
      </c>
      <c r="I18" s="718">
        <f>E18/20*10</f>
        <v>3000</v>
      </c>
      <c r="J18" s="718">
        <f>I18</f>
        <v>3000</v>
      </c>
      <c r="K18" s="718">
        <v>0</v>
      </c>
      <c r="L18" s="718">
        <v>0</v>
      </c>
      <c r="M18" s="718">
        <f>E18/20*14</f>
        <v>4200</v>
      </c>
      <c r="N18" s="718">
        <f>E18/23*19</f>
        <v>4956.521739130435</v>
      </c>
      <c r="O18" s="718">
        <f>E18-1272</f>
        <v>4728</v>
      </c>
      <c r="P18" s="811">
        <v>4000</v>
      </c>
      <c r="Q18" s="535">
        <f>6000/23*16.5</f>
        <v>4304.347826086957</v>
      </c>
      <c r="R18" s="535">
        <f>E18/21*8</f>
        <v>2285.7142857142858</v>
      </c>
      <c r="S18" s="222">
        <f t="shared" si="28"/>
        <v>41170.236024844722</v>
      </c>
      <c r="T18" s="222">
        <f t="shared" ref="T18:T24" si="30">D18*2</f>
        <v>28000</v>
      </c>
      <c r="U18" s="824">
        <v>29000</v>
      </c>
      <c r="V18" s="25">
        <v>0</v>
      </c>
      <c r="W18" s="36">
        <v>0</v>
      </c>
      <c r="X18" s="53">
        <f t="shared" ref="X18:AH18" si="31">H18</f>
        <v>4695.652173913044</v>
      </c>
      <c r="Y18" s="53">
        <f t="shared" si="31"/>
        <v>3000</v>
      </c>
      <c r="Z18" s="53">
        <f t="shared" si="31"/>
        <v>3000</v>
      </c>
      <c r="AA18" s="222">
        <f t="shared" si="31"/>
        <v>0</v>
      </c>
      <c r="AB18" s="222">
        <f t="shared" si="31"/>
        <v>0</v>
      </c>
      <c r="AC18" s="222">
        <f t="shared" si="31"/>
        <v>4200</v>
      </c>
      <c r="AD18" s="84">
        <f t="shared" si="31"/>
        <v>4956.521739130435</v>
      </c>
      <c r="AE18" s="222">
        <f t="shared" si="31"/>
        <v>4728</v>
      </c>
      <c r="AF18" s="222">
        <f t="shared" si="31"/>
        <v>4000</v>
      </c>
      <c r="AG18" s="84">
        <f t="shared" si="31"/>
        <v>4304.347826086957</v>
      </c>
      <c r="AH18" s="53">
        <f t="shared" si="31"/>
        <v>2285.7142857142858</v>
      </c>
      <c r="AI18" s="25" t="s">
        <v>200</v>
      </c>
      <c r="AJ18" s="53">
        <f t="shared" si="5"/>
        <v>35170.236024844722</v>
      </c>
      <c r="AN18" s="107"/>
      <c r="AO18" s="874"/>
      <c r="AP18" s="874"/>
      <c r="AQ18" s="874"/>
      <c r="AY18" s="107"/>
    </row>
    <row r="19" spans="1:51" ht="21" hidden="1" customHeight="1">
      <c r="A19" s="168">
        <v>18</v>
      </c>
      <c r="B19" s="61" t="s">
        <v>216</v>
      </c>
      <c r="C19" s="61" t="s">
        <v>210</v>
      </c>
      <c r="D19" s="62">
        <v>10000</v>
      </c>
      <c r="E19" s="768">
        <v>6000</v>
      </c>
      <c r="F19" s="769" t="s">
        <v>21</v>
      </c>
      <c r="G19" s="770" t="s">
        <v>30</v>
      </c>
      <c r="H19" s="770" t="s">
        <v>30</v>
      </c>
      <c r="I19" s="770" t="s">
        <v>30</v>
      </c>
      <c r="J19" s="770" t="s">
        <v>30</v>
      </c>
      <c r="K19" s="770" t="s">
        <v>30</v>
      </c>
      <c r="L19" s="770" t="s">
        <v>30</v>
      </c>
      <c r="M19" s="770" t="s">
        <v>30</v>
      </c>
      <c r="N19" s="770" t="s">
        <v>30</v>
      </c>
      <c r="O19" s="770" t="s">
        <v>30</v>
      </c>
      <c r="P19" s="570">
        <f>E19/21*12</f>
        <v>3428.5714285714284</v>
      </c>
      <c r="Q19" s="570">
        <v>6000</v>
      </c>
      <c r="R19" s="570">
        <v>6000</v>
      </c>
      <c r="S19" s="214">
        <f t="shared" si="28"/>
        <v>15428.571428571428</v>
      </c>
      <c r="T19" s="214">
        <f t="shared" si="30"/>
        <v>20000</v>
      </c>
      <c r="U19" s="832">
        <f>SUM(P19:R19)</f>
        <v>15428.571428571428</v>
      </c>
      <c r="V19" s="74">
        <v>0</v>
      </c>
      <c r="W19" s="74"/>
      <c r="X19" s="74"/>
      <c r="Y19" s="74"/>
      <c r="Z19" s="74"/>
      <c r="AA19" s="74"/>
      <c r="AB19" s="74"/>
      <c r="AC19" s="74"/>
      <c r="AD19" s="74"/>
      <c r="AE19" s="74"/>
      <c r="AF19" s="74">
        <v>0</v>
      </c>
      <c r="AG19" s="74">
        <v>0</v>
      </c>
      <c r="AH19" s="74">
        <v>0</v>
      </c>
      <c r="AI19" s="107"/>
      <c r="AJ19" s="53">
        <f t="shared" si="5"/>
        <v>0</v>
      </c>
      <c r="AK19" s="74"/>
      <c r="AL19" s="74"/>
      <c r="AM19" s="74"/>
      <c r="AN19" s="74"/>
      <c r="AO19" s="27"/>
      <c r="AP19" s="27"/>
      <c r="AQ19" s="27"/>
      <c r="AR19" s="25"/>
      <c r="AS19" s="25"/>
      <c r="AT19" s="25"/>
      <c r="AU19" s="25"/>
      <c r="AV19" s="25"/>
      <c r="AW19" s="25"/>
      <c r="AX19" s="25"/>
      <c r="AY19" s="74"/>
    </row>
    <row r="20" spans="1:51" ht="21" hidden="1" customHeight="1">
      <c r="A20" s="168">
        <v>19</v>
      </c>
      <c r="B20" s="24" t="s">
        <v>217</v>
      </c>
      <c r="C20" s="24" t="s">
        <v>150</v>
      </c>
      <c r="D20" s="775">
        <v>10000</v>
      </c>
      <c r="E20" s="60">
        <v>10000</v>
      </c>
      <c r="F20" s="47" t="s">
        <v>21</v>
      </c>
      <c r="G20" s="718">
        <v>5000</v>
      </c>
      <c r="H20" s="718">
        <v>5000</v>
      </c>
      <c r="I20" s="718">
        <v>5000</v>
      </c>
      <c r="J20" s="718">
        <f>I20</f>
        <v>5000</v>
      </c>
      <c r="K20" s="718">
        <v>5000</v>
      </c>
      <c r="L20" s="718">
        <v>7000</v>
      </c>
      <c r="M20" s="718">
        <v>10000</v>
      </c>
      <c r="N20" s="718">
        <f>E20/23*20</f>
        <v>8695.652173913044</v>
      </c>
      <c r="O20" s="718">
        <v>10000</v>
      </c>
      <c r="P20" s="811">
        <v>10000</v>
      </c>
      <c r="Q20" s="811">
        <v>10000</v>
      </c>
      <c r="R20" s="811">
        <f>E20/22*16</f>
        <v>7272.727272727273</v>
      </c>
      <c r="S20" s="532">
        <f t="shared" si="28"/>
        <v>87968.37944664032</v>
      </c>
      <c r="T20" s="532">
        <f t="shared" si="30"/>
        <v>20000</v>
      </c>
      <c r="U20" s="824">
        <f>'2021'!AL29+'2022'!G20+'2022'!H20</f>
        <v>20727.272727272728</v>
      </c>
      <c r="V20" s="25">
        <v>0</v>
      </c>
      <c r="W20" s="840">
        <v>0</v>
      </c>
      <c r="X20" s="27">
        <v>0</v>
      </c>
      <c r="Y20" s="532">
        <f t="shared" ref="Y20:AB20" si="32">I20</f>
        <v>5000</v>
      </c>
      <c r="Z20" s="532">
        <f t="shared" si="32"/>
        <v>5000</v>
      </c>
      <c r="AA20" s="532">
        <f t="shared" si="32"/>
        <v>5000</v>
      </c>
      <c r="AB20" s="532">
        <f t="shared" si="32"/>
        <v>7000</v>
      </c>
      <c r="AC20" s="27">
        <v>10000</v>
      </c>
      <c r="AD20" s="84">
        <f t="shared" ref="AD20:AH20" si="33">N20</f>
        <v>8695.652173913044</v>
      </c>
      <c r="AE20" s="532">
        <f t="shared" si="33"/>
        <v>10000</v>
      </c>
      <c r="AF20" s="532">
        <f t="shared" si="33"/>
        <v>10000</v>
      </c>
      <c r="AG20" s="532">
        <f t="shared" si="33"/>
        <v>10000</v>
      </c>
      <c r="AH20" s="84">
        <f t="shared" si="33"/>
        <v>7272.727272727273</v>
      </c>
      <c r="AI20" s="27" t="s">
        <v>200</v>
      </c>
      <c r="AJ20" s="53">
        <f t="shared" si="5"/>
        <v>77968.37944664032</v>
      </c>
      <c r="AK20" s="108"/>
      <c r="AL20" s="108"/>
      <c r="AM20" s="108"/>
      <c r="AN20" s="107"/>
      <c r="AO20" s="107"/>
      <c r="AP20" s="107"/>
      <c r="AQ20" s="107"/>
      <c r="AY20" s="107"/>
    </row>
    <row r="21" spans="1:51" ht="21" hidden="1" customHeight="1">
      <c r="A21" s="168">
        <v>20</v>
      </c>
      <c r="B21" s="59" t="s">
        <v>218</v>
      </c>
      <c r="C21" s="59" t="s">
        <v>150</v>
      </c>
      <c r="D21" s="60">
        <v>6000</v>
      </c>
      <c r="E21" s="60">
        <v>6000</v>
      </c>
      <c r="F21" s="47" t="s">
        <v>21</v>
      </c>
      <c r="G21" s="718">
        <v>5000</v>
      </c>
      <c r="H21" s="718">
        <f>E21/23*19</f>
        <v>4956.521739130435</v>
      </c>
      <c r="I21" s="718">
        <v>5500</v>
      </c>
      <c r="J21" s="718">
        <v>5500</v>
      </c>
      <c r="K21" s="718">
        <v>6000</v>
      </c>
      <c r="L21" s="718">
        <v>4000</v>
      </c>
      <c r="M21" s="718">
        <v>4000</v>
      </c>
      <c r="N21" s="718">
        <v>5000</v>
      </c>
      <c r="O21" s="718">
        <v>6000</v>
      </c>
      <c r="P21" s="811">
        <v>3000</v>
      </c>
      <c r="Q21" s="535">
        <v>4000</v>
      </c>
      <c r="R21" s="535">
        <v>4000</v>
      </c>
      <c r="S21" s="532">
        <f t="shared" si="28"/>
        <v>56956.521739130432</v>
      </c>
      <c r="T21" s="222">
        <f t="shared" si="30"/>
        <v>12000</v>
      </c>
      <c r="U21" s="824">
        <f>SUM(G21:I21)</f>
        <v>15456.521739130436</v>
      </c>
      <c r="V21" s="25">
        <v>0</v>
      </c>
      <c r="W21" s="25">
        <v>0</v>
      </c>
      <c r="X21" s="25">
        <v>0</v>
      </c>
      <c r="Y21" s="25">
        <v>0</v>
      </c>
      <c r="Z21" s="25">
        <v>5500</v>
      </c>
      <c r="AA21" s="222">
        <f t="shared" ref="AA21:AB21" si="34">K21</f>
        <v>6000</v>
      </c>
      <c r="AB21" s="222">
        <f t="shared" si="34"/>
        <v>4000</v>
      </c>
      <c r="AC21" s="25">
        <v>4000</v>
      </c>
      <c r="AD21" s="532">
        <f t="shared" ref="AD21:AH21" si="35">N21</f>
        <v>5000</v>
      </c>
      <c r="AE21" s="222">
        <f t="shared" si="35"/>
        <v>6000</v>
      </c>
      <c r="AF21" s="532">
        <f t="shared" si="35"/>
        <v>3000</v>
      </c>
      <c r="AG21" s="532">
        <f t="shared" si="35"/>
        <v>4000</v>
      </c>
      <c r="AH21" s="222">
        <f t="shared" si="35"/>
        <v>4000</v>
      </c>
      <c r="AI21" s="25" t="s">
        <v>200</v>
      </c>
      <c r="AJ21" s="53">
        <f t="shared" si="5"/>
        <v>41500</v>
      </c>
      <c r="AN21" s="107"/>
      <c r="AO21" s="107"/>
      <c r="AP21" s="107"/>
      <c r="AQ21" s="107"/>
      <c r="AR21" s="874"/>
      <c r="AS21" s="874"/>
      <c r="AT21" s="874"/>
      <c r="AU21" s="874"/>
      <c r="AV21" s="874"/>
      <c r="AW21" s="874"/>
      <c r="AX21" s="874"/>
      <c r="AY21" s="107"/>
    </row>
    <row r="22" spans="1:51" ht="21" hidden="1" customHeight="1">
      <c r="A22" s="168">
        <v>21</v>
      </c>
      <c r="B22" s="59" t="s">
        <v>219</v>
      </c>
      <c r="C22" s="59" t="s">
        <v>150</v>
      </c>
      <c r="D22" s="60">
        <v>6000</v>
      </c>
      <c r="E22" s="763">
        <v>6000</v>
      </c>
      <c r="F22" s="776" t="s">
        <v>21</v>
      </c>
      <c r="G22" s="777" t="s">
        <v>30</v>
      </c>
      <c r="H22" s="777" t="s">
        <v>30</v>
      </c>
      <c r="I22" s="777" t="s">
        <v>30</v>
      </c>
      <c r="J22" s="777" t="s">
        <v>30</v>
      </c>
      <c r="K22" s="777" t="s">
        <v>30</v>
      </c>
      <c r="L22" s="777" t="s">
        <v>30</v>
      </c>
      <c r="M22" s="777" t="s">
        <v>30</v>
      </c>
      <c r="N22" s="777" t="s">
        <v>30</v>
      </c>
      <c r="O22" s="777">
        <v>6000</v>
      </c>
      <c r="P22" s="535">
        <v>6000</v>
      </c>
      <c r="Q22" s="535">
        <v>4500</v>
      </c>
      <c r="R22" s="535">
        <v>6000</v>
      </c>
      <c r="S22" s="222">
        <f t="shared" si="28"/>
        <v>22500</v>
      </c>
      <c r="T22" s="222">
        <f t="shared" si="30"/>
        <v>12000</v>
      </c>
      <c r="U22" s="824">
        <f t="shared" ref="U22:U24" si="36">SUM(O22:R22)</f>
        <v>22500</v>
      </c>
      <c r="V22" s="25">
        <v>0</v>
      </c>
      <c r="W22" s="25"/>
      <c r="X22" s="25"/>
      <c r="Y22" s="25"/>
      <c r="Z22" s="25"/>
      <c r="AA22" s="25"/>
      <c r="AB22" s="25"/>
      <c r="AC22" s="25"/>
      <c r="AD22" s="25"/>
      <c r="AE22" s="25">
        <v>0</v>
      </c>
      <c r="AF22" s="25">
        <v>0</v>
      </c>
      <c r="AG22" s="532">
        <f t="shared" ref="AG22:AH22" si="37">Q22</f>
        <v>4500</v>
      </c>
      <c r="AH22" s="222">
        <f t="shared" si="37"/>
        <v>6000</v>
      </c>
      <c r="AI22" s="98" t="s">
        <v>200</v>
      </c>
      <c r="AJ22" s="53">
        <f t="shared" si="5"/>
        <v>10500</v>
      </c>
      <c r="AK22" s="25"/>
      <c r="AL22" s="25"/>
      <c r="AM22" s="25"/>
      <c r="AN22" s="25"/>
      <c r="AO22" s="74"/>
      <c r="AP22" s="74"/>
      <c r="AQ22" s="74"/>
      <c r="AR22" s="25"/>
      <c r="AS22" s="25"/>
      <c r="AT22" s="25"/>
      <c r="AU22" s="25"/>
      <c r="AV22" s="25"/>
      <c r="AW22" s="25"/>
      <c r="AX22" s="25"/>
      <c r="AY22" s="25"/>
    </row>
    <row r="23" spans="1:51" ht="21" hidden="1" customHeight="1">
      <c r="A23" s="168">
        <v>22</v>
      </c>
      <c r="B23" s="59" t="s">
        <v>220</v>
      </c>
      <c r="C23" s="59" t="s">
        <v>150</v>
      </c>
      <c r="D23" s="60">
        <v>6000</v>
      </c>
      <c r="E23" s="763">
        <v>6000</v>
      </c>
      <c r="F23" s="776" t="s">
        <v>21</v>
      </c>
      <c r="G23" s="777" t="s">
        <v>30</v>
      </c>
      <c r="H23" s="777" t="s">
        <v>30</v>
      </c>
      <c r="I23" s="777" t="s">
        <v>30</v>
      </c>
      <c r="J23" s="777" t="s">
        <v>30</v>
      </c>
      <c r="K23" s="777" t="s">
        <v>30</v>
      </c>
      <c r="L23" s="777" t="s">
        <v>30</v>
      </c>
      <c r="M23" s="777" t="s">
        <v>30</v>
      </c>
      <c r="N23" s="777" t="s">
        <v>30</v>
      </c>
      <c r="O23" s="777">
        <v>3000</v>
      </c>
      <c r="P23" s="535">
        <v>4500</v>
      </c>
      <c r="Q23" s="535">
        <v>4500</v>
      </c>
      <c r="R23" s="535">
        <v>4500</v>
      </c>
      <c r="S23" s="222">
        <f t="shared" si="28"/>
        <v>16500</v>
      </c>
      <c r="T23" s="222">
        <f t="shared" si="30"/>
        <v>12000</v>
      </c>
      <c r="U23" s="824">
        <f t="shared" si="36"/>
        <v>16500</v>
      </c>
      <c r="V23" s="25">
        <v>0</v>
      </c>
      <c r="W23" s="25"/>
      <c r="X23" s="25"/>
      <c r="Y23" s="25"/>
      <c r="Z23" s="25"/>
      <c r="AA23" s="25"/>
      <c r="AB23" s="25"/>
      <c r="AC23" s="25"/>
      <c r="AD23" s="25"/>
      <c r="AE23" s="25">
        <v>0</v>
      </c>
      <c r="AF23" s="25">
        <v>0</v>
      </c>
      <c r="AG23" s="25">
        <v>0</v>
      </c>
      <c r="AH23" s="222">
        <f>R23</f>
        <v>4500</v>
      </c>
      <c r="AI23" s="98" t="s">
        <v>200</v>
      </c>
      <c r="AJ23" s="53">
        <f t="shared" si="5"/>
        <v>4500</v>
      </c>
      <c r="AK23" s="25"/>
      <c r="AL23" s="25"/>
      <c r="AM23" s="25"/>
      <c r="AN23" s="25"/>
      <c r="AO23" s="25"/>
      <c r="AP23" s="25"/>
      <c r="AQ23" s="25"/>
      <c r="AR23" s="25"/>
      <c r="AS23" s="25"/>
      <c r="AT23" s="25"/>
      <c r="AU23" s="25"/>
      <c r="AV23" s="25"/>
      <c r="AW23" s="25"/>
      <c r="AX23" s="25"/>
      <c r="AY23" s="25"/>
    </row>
    <row r="24" spans="1:51" ht="21" hidden="1" customHeight="1">
      <c r="A24" s="168">
        <v>23</v>
      </c>
      <c r="B24" s="59" t="s">
        <v>221</v>
      </c>
      <c r="C24" s="59" t="s">
        <v>150</v>
      </c>
      <c r="D24" s="60">
        <v>6000</v>
      </c>
      <c r="E24" s="763">
        <v>6000</v>
      </c>
      <c r="F24" s="776" t="s">
        <v>21</v>
      </c>
      <c r="G24" s="777" t="s">
        <v>30</v>
      </c>
      <c r="H24" s="777" t="s">
        <v>30</v>
      </c>
      <c r="I24" s="777" t="s">
        <v>30</v>
      </c>
      <c r="J24" s="777" t="s">
        <v>30</v>
      </c>
      <c r="K24" s="777" t="s">
        <v>30</v>
      </c>
      <c r="L24" s="777" t="s">
        <v>30</v>
      </c>
      <c r="M24" s="777" t="s">
        <v>30</v>
      </c>
      <c r="N24" s="777" t="s">
        <v>30</v>
      </c>
      <c r="O24" s="777">
        <v>6000</v>
      </c>
      <c r="P24" s="535">
        <v>6000</v>
      </c>
      <c r="Q24" s="535">
        <v>6000</v>
      </c>
      <c r="R24" s="535">
        <v>6000</v>
      </c>
      <c r="S24" s="222">
        <f t="shared" si="28"/>
        <v>24000</v>
      </c>
      <c r="T24" s="222">
        <f t="shared" si="30"/>
        <v>12000</v>
      </c>
      <c r="U24" s="824">
        <f t="shared" si="36"/>
        <v>24000</v>
      </c>
      <c r="V24" s="25">
        <v>0</v>
      </c>
      <c r="W24" s="25"/>
      <c r="X24" s="25"/>
      <c r="Y24" s="25"/>
      <c r="Z24" s="25"/>
      <c r="AA24" s="25"/>
      <c r="AB24" s="25"/>
      <c r="AC24" s="25"/>
      <c r="AD24" s="25"/>
      <c r="AE24" s="25">
        <v>0</v>
      </c>
      <c r="AF24" s="25">
        <v>0</v>
      </c>
      <c r="AG24" s="532">
        <f t="shared" ref="AG24:AH24" si="38">Q24</f>
        <v>6000</v>
      </c>
      <c r="AH24" s="222">
        <f t="shared" si="38"/>
        <v>6000</v>
      </c>
      <c r="AI24" s="98" t="s">
        <v>200</v>
      </c>
      <c r="AJ24" s="53">
        <f t="shared" si="5"/>
        <v>12000</v>
      </c>
      <c r="AK24" s="25"/>
      <c r="AL24" s="25"/>
      <c r="AM24" s="25"/>
      <c r="AN24" s="25"/>
      <c r="AO24" s="74"/>
      <c r="AP24" s="74"/>
      <c r="AQ24" s="74"/>
      <c r="AR24" s="74"/>
      <c r="AS24" s="74"/>
      <c r="AT24" s="74"/>
      <c r="AU24" s="74"/>
      <c r="AV24" s="74"/>
      <c r="AW24" s="74"/>
      <c r="AX24" s="74"/>
      <c r="AY24" s="25"/>
    </row>
    <row r="25" spans="1:51" ht="21" hidden="1" customHeight="1">
      <c r="A25" s="168">
        <v>24</v>
      </c>
      <c r="B25" s="778" t="s">
        <v>222</v>
      </c>
      <c r="C25" s="778" t="s">
        <v>150</v>
      </c>
      <c r="D25" s="779" t="s">
        <v>223</v>
      </c>
      <c r="E25" s="779" t="s">
        <v>223</v>
      </c>
      <c r="F25" s="778" t="s">
        <v>21</v>
      </c>
      <c r="G25" s="780" t="s">
        <v>30</v>
      </c>
      <c r="H25" s="780" t="s">
        <v>30</v>
      </c>
      <c r="I25" s="780" t="s">
        <v>30</v>
      </c>
      <c r="J25" s="780" t="s">
        <v>30</v>
      </c>
      <c r="K25" s="780" t="s">
        <v>30</v>
      </c>
      <c r="L25" s="780" t="s">
        <v>30</v>
      </c>
      <c r="M25" s="780" t="s">
        <v>30</v>
      </c>
      <c r="N25" s="780" t="s">
        <v>30</v>
      </c>
      <c r="O25" s="780">
        <f>3500/22*12</f>
        <v>1909.090909090909</v>
      </c>
      <c r="P25" s="815">
        <v>2000</v>
      </c>
      <c r="Q25" s="815">
        <v>2000</v>
      </c>
      <c r="R25" s="815">
        <v>0</v>
      </c>
      <c r="S25" s="841">
        <f>SUM(O25:R25)</f>
        <v>5909.090909090909</v>
      </c>
      <c r="T25" s="841"/>
      <c r="U25" s="842"/>
      <c r="V25" s="843">
        <v>0</v>
      </c>
      <c r="W25" s="843"/>
      <c r="X25" s="843"/>
      <c r="Y25" s="843"/>
      <c r="Z25" s="843"/>
      <c r="AA25" s="843"/>
      <c r="AB25" s="843"/>
      <c r="AC25" s="843"/>
      <c r="AD25" s="843"/>
      <c r="AE25" s="843"/>
      <c r="AF25" s="843">
        <v>0</v>
      </c>
      <c r="AG25" s="843">
        <v>0</v>
      </c>
      <c r="AH25" s="843">
        <v>0</v>
      </c>
      <c r="AI25" s="874"/>
      <c r="AJ25" s="53">
        <f t="shared" si="5"/>
        <v>0</v>
      </c>
      <c r="AK25" s="843"/>
      <c r="AL25" s="843"/>
      <c r="AM25" s="843"/>
      <c r="AN25" s="843"/>
      <c r="AO25" s="74"/>
      <c r="AP25" s="74"/>
      <c r="AQ25" s="74"/>
      <c r="AR25" s="74"/>
      <c r="AS25" s="74"/>
      <c r="AT25" s="74"/>
      <c r="AU25" s="74"/>
      <c r="AV25" s="74"/>
      <c r="AW25" s="74"/>
      <c r="AX25" s="74"/>
      <c r="AY25" s="843"/>
    </row>
    <row r="26" spans="1:51" ht="21" hidden="1" customHeight="1">
      <c r="A26" s="168">
        <v>25</v>
      </c>
      <c r="B26" s="59" t="s">
        <v>87</v>
      </c>
      <c r="C26" s="59" t="s">
        <v>224</v>
      </c>
      <c r="D26" s="60">
        <v>52000</v>
      </c>
      <c r="E26" s="60">
        <v>5000</v>
      </c>
      <c r="F26" s="47" t="s">
        <v>21</v>
      </c>
      <c r="G26" s="718">
        <v>1591</v>
      </c>
      <c r="H26" s="718">
        <v>5000</v>
      </c>
      <c r="I26" s="718">
        <v>5000</v>
      </c>
      <c r="J26" s="718">
        <f>I26</f>
        <v>5000</v>
      </c>
      <c r="K26" s="718">
        <v>5000</v>
      </c>
      <c r="L26" s="718">
        <f>E26/23*8</f>
        <v>1739.1304347826087</v>
      </c>
      <c r="M26" s="718">
        <v>5000</v>
      </c>
      <c r="N26" s="718">
        <v>5000</v>
      </c>
      <c r="O26" s="718">
        <v>5000</v>
      </c>
      <c r="P26" s="535">
        <v>5000</v>
      </c>
      <c r="Q26" s="535">
        <v>5000</v>
      </c>
      <c r="R26" s="535">
        <v>5000</v>
      </c>
      <c r="S26" s="222">
        <f>SUM(G26:R26)</f>
        <v>53330.130434782608</v>
      </c>
      <c r="T26" s="222">
        <f t="shared" ref="T26:T41" si="39">D26*2</f>
        <v>104000</v>
      </c>
      <c r="U26" s="824">
        <f>'On hold bonus'!B4+SUM(P26:R26)</f>
        <v>105000</v>
      </c>
      <c r="V26" s="25">
        <v>0</v>
      </c>
      <c r="W26" s="53">
        <f t="shared" ref="W26:Z26" si="40">G26</f>
        <v>1591</v>
      </c>
      <c r="X26" s="222">
        <f t="shared" si="40"/>
        <v>5000</v>
      </c>
      <c r="Y26" s="222">
        <f t="shared" si="40"/>
        <v>5000</v>
      </c>
      <c r="Z26" s="222">
        <f t="shared" si="40"/>
        <v>5000</v>
      </c>
      <c r="AA26" s="25">
        <v>5000</v>
      </c>
      <c r="AB26" s="25">
        <v>0</v>
      </c>
      <c r="AC26" s="25">
        <v>0</v>
      </c>
      <c r="AD26" s="25">
        <v>0</v>
      </c>
      <c r="AE26" s="25">
        <v>0</v>
      </c>
      <c r="AF26" s="25">
        <v>0</v>
      </c>
      <c r="AG26" s="25">
        <v>0</v>
      </c>
      <c r="AH26" s="25">
        <v>0</v>
      </c>
      <c r="AI26" s="25"/>
      <c r="AJ26" s="53">
        <f t="shared" si="5"/>
        <v>21591</v>
      </c>
      <c r="AN26" s="108"/>
      <c r="AO26" s="107"/>
      <c r="AP26" s="107"/>
      <c r="AQ26" s="107"/>
      <c r="AR26" s="107"/>
      <c r="AS26" s="107"/>
      <c r="AT26" s="107"/>
      <c r="AU26" s="107"/>
      <c r="AV26" s="107"/>
      <c r="AW26" s="107"/>
      <c r="AX26" s="107"/>
    </row>
    <row r="27" spans="1:51" ht="21" hidden="1" customHeight="1">
      <c r="A27" s="168">
        <v>26</v>
      </c>
      <c r="B27" s="74" t="s">
        <v>225</v>
      </c>
      <c r="C27" s="61" t="s">
        <v>224</v>
      </c>
      <c r="D27" s="62">
        <v>10000</v>
      </c>
      <c r="E27" s="768">
        <v>6000</v>
      </c>
      <c r="F27" s="769" t="s">
        <v>21</v>
      </c>
      <c r="G27" s="770" t="s">
        <v>30</v>
      </c>
      <c r="H27" s="770" t="s">
        <v>30</v>
      </c>
      <c r="I27" s="770" t="s">
        <v>30</v>
      </c>
      <c r="J27" s="770" t="s">
        <v>30</v>
      </c>
      <c r="K27" s="770" t="s">
        <v>30</v>
      </c>
      <c r="L27" s="770" t="s">
        <v>30</v>
      </c>
      <c r="M27" s="770" t="s">
        <v>30</v>
      </c>
      <c r="N27" s="770" t="s">
        <v>30</v>
      </c>
      <c r="O27" s="770">
        <f>E27/22*17</f>
        <v>4636.3636363636369</v>
      </c>
      <c r="P27" s="816">
        <v>6000</v>
      </c>
      <c r="Q27" s="816">
        <v>5000</v>
      </c>
      <c r="R27" s="816">
        <v>5000</v>
      </c>
      <c r="S27" s="214">
        <f t="shared" ref="S27:S34" si="41">SUM(O27:R27)</f>
        <v>20636.363636363636</v>
      </c>
      <c r="T27" s="214">
        <f t="shared" si="39"/>
        <v>20000</v>
      </c>
      <c r="U27" s="832">
        <f>SUM(O27:R27)</f>
        <v>20636.363636363636</v>
      </c>
      <c r="V27" s="74">
        <v>0</v>
      </c>
      <c r="W27" s="74"/>
      <c r="X27" s="74"/>
      <c r="Y27" s="74"/>
      <c r="Z27" s="74"/>
      <c r="AA27" s="74"/>
      <c r="AB27" s="74"/>
      <c r="AC27" s="74"/>
      <c r="AD27" s="74"/>
      <c r="AE27" s="74">
        <v>0</v>
      </c>
      <c r="AF27" s="74">
        <v>0</v>
      </c>
      <c r="AG27" s="74">
        <v>0</v>
      </c>
      <c r="AH27" s="74">
        <v>0</v>
      </c>
      <c r="AI27" s="107"/>
      <c r="AJ27" s="53">
        <f t="shared" si="5"/>
        <v>0</v>
      </c>
      <c r="AK27" s="74"/>
      <c r="AL27" s="74"/>
      <c r="AM27" s="74"/>
      <c r="AN27" s="74"/>
      <c r="AO27" s="74"/>
      <c r="AP27" s="74"/>
      <c r="AQ27" s="74"/>
      <c r="AR27" s="74"/>
      <c r="AS27" s="74"/>
      <c r="AT27" s="74"/>
      <c r="AU27" s="74"/>
      <c r="AV27" s="74"/>
      <c r="AW27" s="74"/>
      <c r="AX27" s="74"/>
      <c r="AY27" s="74"/>
    </row>
    <row r="28" spans="1:51" ht="21" hidden="1" customHeight="1">
      <c r="A28" s="168">
        <v>27</v>
      </c>
      <c r="B28" s="74" t="s">
        <v>226</v>
      </c>
      <c r="C28" s="61" t="s">
        <v>224</v>
      </c>
      <c r="D28" s="62">
        <v>10000</v>
      </c>
      <c r="E28" s="768">
        <v>6000</v>
      </c>
      <c r="F28" s="769" t="s">
        <v>21</v>
      </c>
      <c r="G28" s="770" t="s">
        <v>30</v>
      </c>
      <c r="H28" s="770" t="s">
        <v>30</v>
      </c>
      <c r="I28" s="770" t="s">
        <v>30</v>
      </c>
      <c r="J28" s="770" t="s">
        <v>30</v>
      </c>
      <c r="K28" s="770" t="s">
        <v>30</v>
      </c>
      <c r="L28" s="770" t="s">
        <v>30</v>
      </c>
      <c r="M28" s="770" t="s">
        <v>30</v>
      </c>
      <c r="N28" s="770" t="s">
        <v>30</v>
      </c>
      <c r="O28" s="770" t="s">
        <v>30</v>
      </c>
      <c r="P28" s="570">
        <v>6000</v>
      </c>
      <c r="Q28" s="570">
        <v>5000</v>
      </c>
      <c r="R28" s="570">
        <v>5000</v>
      </c>
      <c r="S28" s="214">
        <f t="shared" si="41"/>
        <v>16000</v>
      </c>
      <c r="T28" s="214">
        <f t="shared" si="39"/>
        <v>20000</v>
      </c>
      <c r="U28" s="832">
        <f>SUM(P28:R28)</f>
        <v>16000</v>
      </c>
      <c r="V28" s="74">
        <v>0</v>
      </c>
      <c r="W28" s="214" t="str">
        <f t="shared" ref="W28:AH28" si="42">G28</f>
        <v>NA</v>
      </c>
      <c r="X28" s="214" t="str">
        <f t="shared" si="42"/>
        <v>NA</v>
      </c>
      <c r="Y28" s="214" t="str">
        <f t="shared" si="42"/>
        <v>NA</v>
      </c>
      <c r="Z28" s="214" t="str">
        <f t="shared" si="42"/>
        <v>NA</v>
      </c>
      <c r="AA28" s="214" t="str">
        <f t="shared" si="42"/>
        <v>NA</v>
      </c>
      <c r="AB28" s="214" t="str">
        <f t="shared" si="42"/>
        <v>NA</v>
      </c>
      <c r="AC28" s="214" t="str">
        <f t="shared" si="42"/>
        <v>NA</v>
      </c>
      <c r="AD28" s="214" t="str">
        <f t="shared" si="42"/>
        <v>NA</v>
      </c>
      <c r="AE28" s="214" t="str">
        <f t="shared" si="42"/>
        <v>NA</v>
      </c>
      <c r="AF28" s="214">
        <f t="shared" si="42"/>
        <v>6000</v>
      </c>
      <c r="AG28" s="214">
        <f t="shared" si="42"/>
        <v>5000</v>
      </c>
      <c r="AH28" s="214">
        <f t="shared" si="42"/>
        <v>5000</v>
      </c>
      <c r="AI28" s="107"/>
      <c r="AJ28" s="53">
        <f t="shared" si="5"/>
        <v>16000</v>
      </c>
      <c r="AK28" s="74"/>
      <c r="AL28" s="74"/>
      <c r="AM28" s="74"/>
      <c r="AN28" s="74"/>
      <c r="AO28" s="74"/>
      <c r="AP28" s="74"/>
      <c r="AQ28" s="74"/>
      <c r="AR28" s="74"/>
      <c r="AS28" s="74"/>
      <c r="AT28" s="74"/>
      <c r="AU28" s="74"/>
      <c r="AV28" s="74"/>
      <c r="AW28" s="74"/>
      <c r="AX28" s="74"/>
      <c r="AY28" s="74"/>
    </row>
    <row r="29" spans="1:51" ht="21" hidden="1" customHeight="1">
      <c r="A29" s="168">
        <v>28</v>
      </c>
      <c r="B29" s="74" t="s">
        <v>227</v>
      </c>
      <c r="C29" s="61" t="s">
        <v>224</v>
      </c>
      <c r="D29" s="62">
        <v>10000</v>
      </c>
      <c r="E29" s="768">
        <v>6000</v>
      </c>
      <c r="F29" s="769" t="s">
        <v>21</v>
      </c>
      <c r="G29" s="770" t="s">
        <v>30</v>
      </c>
      <c r="H29" s="770" t="s">
        <v>30</v>
      </c>
      <c r="I29" s="770" t="s">
        <v>30</v>
      </c>
      <c r="J29" s="770" t="s">
        <v>30</v>
      </c>
      <c r="K29" s="770" t="s">
        <v>30</v>
      </c>
      <c r="L29" s="770" t="s">
        <v>30</v>
      </c>
      <c r="M29" s="770" t="s">
        <v>30</v>
      </c>
      <c r="N29" s="770" t="s">
        <v>30</v>
      </c>
      <c r="O29" s="770">
        <f>E29/22*15</f>
        <v>4090.909090909091</v>
      </c>
      <c r="P29" s="570">
        <v>6000</v>
      </c>
      <c r="Q29" s="570">
        <v>5000</v>
      </c>
      <c r="R29" s="570">
        <v>6000</v>
      </c>
      <c r="S29" s="214">
        <f t="shared" si="41"/>
        <v>21090.909090909092</v>
      </c>
      <c r="T29" s="214">
        <f t="shared" si="39"/>
        <v>20000</v>
      </c>
      <c r="U29" s="832">
        <f t="shared" ref="U29:U30" si="43">SUM(O29:R29)</f>
        <v>21090.909090909092</v>
      </c>
      <c r="V29" s="74">
        <v>0</v>
      </c>
      <c r="W29" s="74"/>
      <c r="X29" s="74"/>
      <c r="Y29" s="74"/>
      <c r="Z29" s="74"/>
      <c r="AA29" s="74"/>
      <c r="AB29" s="74"/>
      <c r="AC29" s="74"/>
      <c r="AD29" s="74"/>
      <c r="AE29" s="74">
        <v>0</v>
      </c>
      <c r="AF29" s="74">
        <v>0</v>
      </c>
      <c r="AG29" s="74">
        <v>0</v>
      </c>
      <c r="AH29" s="74">
        <v>0</v>
      </c>
      <c r="AI29" s="107"/>
      <c r="AJ29" s="53">
        <f t="shared" si="5"/>
        <v>0</v>
      </c>
      <c r="AK29" s="74"/>
      <c r="AL29" s="74"/>
      <c r="AM29" s="74"/>
      <c r="AN29" s="74"/>
      <c r="AO29" s="74"/>
      <c r="AP29" s="74"/>
      <c r="AQ29" s="74"/>
      <c r="AR29" s="74"/>
      <c r="AS29" s="74"/>
      <c r="AT29" s="74"/>
      <c r="AU29" s="74"/>
      <c r="AV29" s="74"/>
      <c r="AW29" s="74"/>
      <c r="AX29" s="74"/>
      <c r="AY29" s="74"/>
    </row>
    <row r="30" spans="1:51" ht="21" hidden="1" customHeight="1">
      <c r="A30" s="168">
        <v>29</v>
      </c>
      <c r="B30" s="74" t="s">
        <v>228</v>
      </c>
      <c r="C30" s="61" t="s">
        <v>224</v>
      </c>
      <c r="D30" s="62">
        <v>6000</v>
      </c>
      <c r="E30" s="768">
        <v>10000</v>
      </c>
      <c r="F30" s="769" t="s">
        <v>21</v>
      </c>
      <c r="G30" s="770" t="s">
        <v>30</v>
      </c>
      <c r="H30" s="770" t="s">
        <v>30</v>
      </c>
      <c r="I30" s="770" t="s">
        <v>30</v>
      </c>
      <c r="J30" s="770" t="s">
        <v>30</v>
      </c>
      <c r="K30" s="770" t="s">
        <v>30</v>
      </c>
      <c r="L30" s="770" t="s">
        <v>30</v>
      </c>
      <c r="M30" s="770" t="s">
        <v>30</v>
      </c>
      <c r="N30" s="770" t="s">
        <v>30</v>
      </c>
      <c r="O30" s="770" t="s">
        <v>30</v>
      </c>
      <c r="P30" s="817" t="s">
        <v>30</v>
      </c>
      <c r="Q30" s="817" t="s">
        <v>30</v>
      </c>
      <c r="R30" s="820">
        <v>9000</v>
      </c>
      <c r="S30" s="214">
        <f t="shared" si="41"/>
        <v>9000</v>
      </c>
      <c r="T30" s="214">
        <f t="shared" si="39"/>
        <v>12000</v>
      </c>
      <c r="U30" s="832">
        <f t="shared" si="43"/>
        <v>9000</v>
      </c>
      <c r="V30" s="74">
        <v>0</v>
      </c>
      <c r="W30" s="74"/>
      <c r="X30" s="74"/>
      <c r="Y30" s="74"/>
      <c r="Z30" s="74"/>
      <c r="AA30" s="74"/>
      <c r="AB30" s="74"/>
      <c r="AC30" s="74"/>
      <c r="AD30" s="74"/>
      <c r="AE30" s="74">
        <v>0</v>
      </c>
      <c r="AF30" s="74">
        <v>0</v>
      </c>
      <c r="AG30" s="74">
        <v>0</v>
      </c>
      <c r="AH30" s="74">
        <v>0</v>
      </c>
      <c r="AI30" s="107"/>
      <c r="AJ30" s="53">
        <f t="shared" si="5"/>
        <v>0</v>
      </c>
      <c r="AK30" s="74"/>
      <c r="AL30" s="74"/>
      <c r="AM30" s="74"/>
      <c r="AN30" s="74"/>
      <c r="AO30" s="74"/>
      <c r="AP30" s="74"/>
      <c r="AQ30" s="74"/>
      <c r="AR30" s="74"/>
      <c r="AS30" s="74"/>
      <c r="AT30" s="74"/>
      <c r="AU30" s="74"/>
      <c r="AV30" s="74"/>
      <c r="AW30" s="74"/>
      <c r="AX30" s="74"/>
      <c r="AY30" s="74"/>
    </row>
    <row r="31" spans="1:51" ht="21" hidden="1" customHeight="1">
      <c r="A31" s="168">
        <v>30</v>
      </c>
      <c r="B31" s="61" t="s">
        <v>229</v>
      </c>
      <c r="C31" s="61" t="s">
        <v>230</v>
      </c>
      <c r="D31" s="62">
        <v>6000</v>
      </c>
      <c r="E31" s="62">
        <v>10000</v>
      </c>
      <c r="F31" s="63" t="s">
        <v>21</v>
      </c>
      <c r="G31" s="767" t="s">
        <v>30</v>
      </c>
      <c r="H31" s="767" t="s">
        <v>30</v>
      </c>
      <c r="I31" s="767" t="s">
        <v>30</v>
      </c>
      <c r="J31" s="767" t="s">
        <v>30</v>
      </c>
      <c r="K31" s="767" t="s">
        <v>30</v>
      </c>
      <c r="L31" s="767" t="s">
        <v>30</v>
      </c>
      <c r="M31" s="767">
        <f>E31/20*7</f>
        <v>3500</v>
      </c>
      <c r="N31" s="767">
        <v>10000</v>
      </c>
      <c r="O31" s="767">
        <v>10000</v>
      </c>
      <c r="P31" s="570">
        <v>5000</v>
      </c>
      <c r="Q31" s="570">
        <v>7000</v>
      </c>
      <c r="R31" s="570">
        <v>5000</v>
      </c>
      <c r="S31" s="214">
        <f t="shared" si="41"/>
        <v>27000</v>
      </c>
      <c r="T31" s="214">
        <f t="shared" si="39"/>
        <v>12000</v>
      </c>
      <c r="U31" s="832">
        <f t="shared" ref="U31:U33" si="44">SUM(M31:R31)</f>
        <v>40500</v>
      </c>
      <c r="V31" s="74">
        <v>0</v>
      </c>
      <c r="W31" s="40"/>
      <c r="X31" s="83"/>
      <c r="Y31" s="83"/>
      <c r="Z31" s="74"/>
      <c r="AA31" s="83"/>
      <c r="AB31" s="74"/>
      <c r="AC31" s="74">
        <v>0</v>
      </c>
      <c r="AD31" s="74">
        <v>0</v>
      </c>
      <c r="AE31" s="74">
        <v>0</v>
      </c>
      <c r="AF31" s="74">
        <v>0</v>
      </c>
      <c r="AG31" s="74">
        <v>0</v>
      </c>
      <c r="AH31" s="74">
        <v>0</v>
      </c>
      <c r="AI31" s="74"/>
      <c r="AJ31" s="53">
        <f t="shared" si="5"/>
        <v>0</v>
      </c>
      <c r="AK31" s="107"/>
      <c r="AL31" s="107"/>
      <c r="AM31" s="107"/>
      <c r="AN31" s="107"/>
      <c r="AO31" s="107"/>
      <c r="AP31" s="107"/>
      <c r="AQ31" s="107"/>
      <c r="AR31" s="107"/>
      <c r="AS31" s="107"/>
      <c r="AT31" s="107"/>
      <c r="AU31" s="107"/>
      <c r="AV31" s="107"/>
      <c r="AW31" s="107"/>
      <c r="AX31" s="107"/>
      <c r="AY31" s="107"/>
    </row>
    <row r="32" spans="1:51" ht="21" hidden="1" customHeight="1">
      <c r="A32" s="168">
        <v>31</v>
      </c>
      <c r="B32" s="61" t="s">
        <v>231</v>
      </c>
      <c r="C32" s="61" t="s">
        <v>230</v>
      </c>
      <c r="D32" s="62">
        <v>6000</v>
      </c>
      <c r="E32" s="62">
        <v>10000</v>
      </c>
      <c r="F32" s="63" t="s">
        <v>21</v>
      </c>
      <c r="G32" s="767" t="s">
        <v>30</v>
      </c>
      <c r="H32" s="767" t="s">
        <v>30</v>
      </c>
      <c r="I32" s="767" t="s">
        <v>30</v>
      </c>
      <c r="J32" s="767" t="s">
        <v>30</v>
      </c>
      <c r="K32" s="767" t="s">
        <v>30</v>
      </c>
      <c r="L32" s="767" t="s">
        <v>30</v>
      </c>
      <c r="M32" s="767">
        <f t="shared" ref="M32:M33" si="45">E32/20*5</f>
        <v>2500</v>
      </c>
      <c r="N32" s="767">
        <v>10000</v>
      </c>
      <c r="O32" s="767">
        <v>10000</v>
      </c>
      <c r="P32" s="570">
        <v>9000</v>
      </c>
      <c r="Q32" s="570">
        <v>10000</v>
      </c>
      <c r="R32" s="570">
        <v>8000</v>
      </c>
      <c r="S32" s="214">
        <f t="shared" si="41"/>
        <v>37000</v>
      </c>
      <c r="T32" s="214">
        <f t="shared" si="39"/>
        <v>12000</v>
      </c>
      <c r="U32" s="832">
        <f t="shared" si="44"/>
        <v>49500</v>
      </c>
      <c r="V32" s="74">
        <v>0</v>
      </c>
      <c r="W32" s="40"/>
      <c r="X32" s="83"/>
      <c r="Y32" s="83"/>
      <c r="Z32" s="74"/>
      <c r="AA32" s="83"/>
      <c r="AB32" s="74"/>
      <c r="AC32" s="74">
        <v>0</v>
      </c>
      <c r="AD32" s="74">
        <v>0</v>
      </c>
      <c r="AE32" s="74">
        <v>0</v>
      </c>
      <c r="AF32" s="74">
        <v>0</v>
      </c>
      <c r="AG32" s="74">
        <v>0</v>
      </c>
      <c r="AH32" s="74">
        <v>0</v>
      </c>
      <c r="AI32" s="74"/>
      <c r="AJ32" s="53">
        <f t="shared" si="5"/>
        <v>0</v>
      </c>
      <c r="AK32" s="107"/>
      <c r="AL32" s="107"/>
      <c r="AM32" s="107"/>
      <c r="AN32" s="107"/>
      <c r="AO32" s="107"/>
      <c r="AP32" s="107"/>
      <c r="AQ32" s="107"/>
      <c r="AR32" s="107"/>
      <c r="AS32" s="107"/>
      <c r="AT32" s="107"/>
      <c r="AU32" s="107"/>
      <c r="AV32" s="107"/>
      <c r="AW32" s="107"/>
      <c r="AX32" s="107"/>
      <c r="AY32" s="107"/>
    </row>
    <row r="33" spans="1:51" ht="21" hidden="1" customHeight="1">
      <c r="A33" s="168">
        <v>32</v>
      </c>
      <c r="B33" s="61" t="s">
        <v>232</v>
      </c>
      <c r="C33" s="61" t="s">
        <v>230</v>
      </c>
      <c r="D33" s="62">
        <v>6000</v>
      </c>
      <c r="E33" s="62">
        <v>10000</v>
      </c>
      <c r="F33" s="63" t="s">
        <v>21</v>
      </c>
      <c r="G33" s="767" t="s">
        <v>30</v>
      </c>
      <c r="H33" s="767" t="s">
        <v>30</v>
      </c>
      <c r="I33" s="767" t="s">
        <v>30</v>
      </c>
      <c r="J33" s="767" t="s">
        <v>30</v>
      </c>
      <c r="K33" s="767" t="s">
        <v>30</v>
      </c>
      <c r="L33" s="767" t="s">
        <v>30</v>
      </c>
      <c r="M33" s="767">
        <f t="shared" si="45"/>
        <v>2500</v>
      </c>
      <c r="N33" s="767">
        <v>10000</v>
      </c>
      <c r="O33" s="767">
        <v>10000</v>
      </c>
      <c r="P33" s="570">
        <v>5000</v>
      </c>
      <c r="Q33" s="570">
        <v>7000</v>
      </c>
      <c r="R33" s="570">
        <v>5000</v>
      </c>
      <c r="S33" s="214">
        <f t="shared" si="41"/>
        <v>27000</v>
      </c>
      <c r="T33" s="214">
        <f t="shared" si="39"/>
        <v>12000</v>
      </c>
      <c r="U33" s="832">
        <f t="shared" si="44"/>
        <v>39500</v>
      </c>
      <c r="V33" s="74">
        <v>0</v>
      </c>
      <c r="W33" s="40"/>
      <c r="X33" s="83"/>
      <c r="Y33" s="83"/>
      <c r="Z33" s="74"/>
      <c r="AA33" s="83"/>
      <c r="AB33" s="74"/>
      <c r="AC33" s="74">
        <v>0</v>
      </c>
      <c r="AD33" s="74">
        <v>0</v>
      </c>
      <c r="AE33" s="74">
        <v>0</v>
      </c>
      <c r="AF33" s="74">
        <v>0</v>
      </c>
      <c r="AG33" s="74">
        <v>0</v>
      </c>
      <c r="AH33" s="74">
        <v>0</v>
      </c>
      <c r="AI33" s="74"/>
      <c r="AJ33" s="53">
        <f t="shared" si="5"/>
        <v>0</v>
      </c>
      <c r="AK33" s="107"/>
      <c r="AL33" s="107"/>
      <c r="AM33" s="107"/>
      <c r="AN33" s="107"/>
      <c r="AO33" s="107"/>
      <c r="AP33" s="107"/>
      <c r="AQ33" s="107"/>
      <c r="AR33" s="107"/>
      <c r="AS33" s="107"/>
      <c r="AT33" s="107"/>
      <c r="AU33" s="107"/>
      <c r="AV33" s="107"/>
      <c r="AW33" s="107"/>
      <c r="AX33" s="107"/>
      <c r="AY33" s="107"/>
    </row>
    <row r="34" spans="1:51" ht="21" hidden="1" customHeight="1">
      <c r="A34" s="168">
        <v>33</v>
      </c>
      <c r="B34" s="74" t="s">
        <v>233</v>
      </c>
      <c r="C34" s="61" t="s">
        <v>230</v>
      </c>
      <c r="D34" s="62">
        <v>10000</v>
      </c>
      <c r="E34" s="768">
        <v>6000</v>
      </c>
      <c r="F34" s="769" t="s">
        <v>21</v>
      </c>
      <c r="G34" s="770" t="s">
        <v>30</v>
      </c>
      <c r="H34" s="770" t="s">
        <v>30</v>
      </c>
      <c r="I34" s="770" t="s">
        <v>30</v>
      </c>
      <c r="J34" s="770" t="s">
        <v>30</v>
      </c>
      <c r="K34" s="770" t="s">
        <v>30</v>
      </c>
      <c r="L34" s="770" t="s">
        <v>30</v>
      </c>
      <c r="M34" s="770" t="s">
        <v>30</v>
      </c>
      <c r="N34" s="770">
        <v>6000</v>
      </c>
      <c r="O34" s="770">
        <v>6000</v>
      </c>
      <c r="P34" s="570">
        <v>6000</v>
      </c>
      <c r="Q34" s="570">
        <v>6000</v>
      </c>
      <c r="R34" s="570">
        <v>6000</v>
      </c>
      <c r="S34" s="214">
        <f t="shared" si="41"/>
        <v>24000</v>
      </c>
      <c r="T34" s="214">
        <f t="shared" si="39"/>
        <v>20000</v>
      </c>
      <c r="U34" s="832">
        <f>SUM(O34:R34)</f>
        <v>24000</v>
      </c>
      <c r="V34" s="74">
        <v>0</v>
      </c>
      <c r="W34" s="74"/>
      <c r="X34" s="74"/>
      <c r="Y34" s="74"/>
      <c r="Z34" s="74"/>
      <c r="AA34" s="74"/>
      <c r="AB34" s="74"/>
      <c r="AC34" s="74"/>
      <c r="AD34" s="74"/>
      <c r="AE34" s="74">
        <v>0</v>
      </c>
      <c r="AF34" s="74">
        <v>0</v>
      </c>
      <c r="AG34" s="74">
        <v>0</v>
      </c>
      <c r="AH34" s="74">
        <v>0</v>
      </c>
      <c r="AI34" s="107"/>
      <c r="AJ34" s="53">
        <f t="shared" si="5"/>
        <v>0</v>
      </c>
      <c r="AK34" s="74"/>
      <c r="AL34" s="74"/>
      <c r="AM34" s="74"/>
      <c r="AN34" s="74"/>
      <c r="AO34" s="74"/>
      <c r="AP34" s="74"/>
      <c r="AQ34" s="74"/>
      <c r="AR34" s="25"/>
      <c r="AS34" s="25"/>
      <c r="AT34" s="25"/>
      <c r="AU34" s="25"/>
      <c r="AV34" s="25"/>
      <c r="AW34" s="25"/>
      <c r="AX34" s="25"/>
      <c r="AY34" s="74"/>
    </row>
    <row r="35" spans="1:51" ht="21" hidden="1" customHeight="1">
      <c r="A35" s="168">
        <v>34</v>
      </c>
      <c r="B35" s="59" t="s">
        <v>234</v>
      </c>
      <c r="C35" s="59" t="s">
        <v>235</v>
      </c>
      <c r="D35" s="60">
        <v>40000</v>
      </c>
      <c r="E35" s="763">
        <v>10000</v>
      </c>
      <c r="F35" s="776" t="s">
        <v>21</v>
      </c>
      <c r="G35" s="777">
        <v>5000</v>
      </c>
      <c r="H35" s="777">
        <v>5000</v>
      </c>
      <c r="I35" s="777">
        <v>5000</v>
      </c>
      <c r="J35" s="777">
        <f>I35</f>
        <v>5000</v>
      </c>
      <c r="K35" s="777">
        <v>5000</v>
      </c>
      <c r="L35" s="777">
        <v>5000</v>
      </c>
      <c r="M35" s="777">
        <v>5000</v>
      </c>
      <c r="N35" s="777">
        <v>5000</v>
      </c>
      <c r="O35" s="777">
        <v>10000</v>
      </c>
      <c r="P35" s="535">
        <v>10000</v>
      </c>
      <c r="Q35" s="535">
        <v>10000</v>
      </c>
      <c r="R35" s="535">
        <f>E35/21*12</f>
        <v>5714.2857142857147</v>
      </c>
      <c r="S35" s="222">
        <f t="shared" ref="S35:S45" si="46">SUM(G35:R35)</f>
        <v>75714.28571428571</v>
      </c>
      <c r="T35" s="222">
        <f t="shared" si="39"/>
        <v>80000</v>
      </c>
      <c r="U35" s="824">
        <f>'On hold bonus'!B48</f>
        <v>108826</v>
      </c>
      <c r="V35" s="25"/>
      <c r="W35" s="36">
        <v>0</v>
      </c>
      <c r="X35" s="25">
        <v>0</v>
      </c>
      <c r="Y35" s="25">
        <v>0</v>
      </c>
      <c r="Z35" s="25">
        <v>0</v>
      </c>
      <c r="AA35" s="25">
        <v>0</v>
      </c>
      <c r="AB35" s="25">
        <v>5000</v>
      </c>
      <c r="AC35" s="222">
        <f t="shared" ref="AC35:AH35" si="47">M35</f>
        <v>5000</v>
      </c>
      <c r="AD35" s="222">
        <f t="shared" si="47"/>
        <v>5000</v>
      </c>
      <c r="AE35" s="222">
        <f t="shared" si="47"/>
        <v>10000</v>
      </c>
      <c r="AF35" s="222">
        <f t="shared" si="47"/>
        <v>10000</v>
      </c>
      <c r="AG35" s="53">
        <f t="shared" si="47"/>
        <v>10000</v>
      </c>
      <c r="AH35" s="53">
        <f t="shared" si="47"/>
        <v>5714.2857142857147</v>
      </c>
      <c r="AI35" s="98" t="s">
        <v>200</v>
      </c>
      <c r="AJ35" s="53">
        <f t="shared" si="5"/>
        <v>50714.285714285717</v>
      </c>
      <c r="AK35" s="53">
        <f>S35-AB35-AC35-AD35-AE35-AF35-AG35-AH35</f>
        <v>24999.999999999996</v>
      </c>
      <c r="AL35" s="53">
        <v>29826.0869565217</v>
      </c>
      <c r="AM35" s="53"/>
      <c r="AN35" s="53">
        <f>SUM(AK35:AL35)</f>
        <v>54826.0869565217</v>
      </c>
      <c r="AO35" s="25"/>
      <c r="AP35" s="25"/>
      <c r="AQ35" s="25"/>
      <c r="AR35" s="25"/>
      <c r="AS35" s="25"/>
      <c r="AT35" s="25"/>
      <c r="AU35" s="25"/>
      <c r="AV35" s="25"/>
      <c r="AW35" s="25"/>
      <c r="AX35" s="25"/>
      <c r="AY35" s="25"/>
    </row>
    <row r="36" spans="1:51" ht="21" hidden="1" customHeight="1">
      <c r="A36" s="168">
        <v>35</v>
      </c>
      <c r="B36" s="781" t="s">
        <v>236</v>
      </c>
      <c r="C36" s="781" t="s">
        <v>235</v>
      </c>
      <c r="D36" s="782">
        <v>25000</v>
      </c>
      <c r="E36" s="782">
        <v>5000</v>
      </c>
      <c r="F36" s="783" t="s">
        <v>21</v>
      </c>
      <c r="G36" s="784">
        <v>4000</v>
      </c>
      <c r="H36" s="784">
        <v>4000</v>
      </c>
      <c r="I36" s="784">
        <v>4000</v>
      </c>
      <c r="J36" s="784">
        <f>D36/21*6</f>
        <v>7142.8571428571422</v>
      </c>
      <c r="K36" s="784">
        <v>4000</v>
      </c>
      <c r="L36" s="784">
        <v>3500</v>
      </c>
      <c r="M36" s="784">
        <v>3500</v>
      </c>
      <c r="N36" s="784">
        <v>5000</v>
      </c>
      <c r="O36" s="784">
        <v>5000</v>
      </c>
      <c r="P36" s="818">
        <v>5000</v>
      </c>
      <c r="Q36" s="818">
        <v>5000</v>
      </c>
      <c r="R36" s="818">
        <v>5000</v>
      </c>
      <c r="S36" s="844">
        <f t="shared" si="46"/>
        <v>55142.857142857145</v>
      </c>
      <c r="T36" s="844">
        <f t="shared" si="39"/>
        <v>50000</v>
      </c>
      <c r="U36" s="845">
        <f>'2021'!AL42+G36+H36</f>
        <v>24782.608695652176</v>
      </c>
      <c r="V36" s="846">
        <v>0</v>
      </c>
      <c r="W36" s="847">
        <v>0</v>
      </c>
      <c r="X36" s="848">
        <v>0</v>
      </c>
      <c r="Y36" s="844">
        <f>I36</f>
        <v>4000</v>
      </c>
      <c r="Z36" s="848">
        <v>3429</v>
      </c>
      <c r="AA36" s="844">
        <f t="shared" ref="AA36:AE36" si="48">K36</f>
        <v>4000</v>
      </c>
      <c r="AB36" s="844">
        <f t="shared" si="48"/>
        <v>3500</v>
      </c>
      <c r="AC36" s="844">
        <f t="shared" si="48"/>
        <v>3500</v>
      </c>
      <c r="AD36" s="844">
        <f t="shared" si="48"/>
        <v>5000</v>
      </c>
      <c r="AE36" s="844">
        <f t="shared" si="48"/>
        <v>5000</v>
      </c>
      <c r="AF36" s="846">
        <v>0</v>
      </c>
      <c r="AG36" s="846">
        <v>0</v>
      </c>
      <c r="AH36" s="846">
        <v>15000</v>
      </c>
      <c r="AI36" s="846" t="s">
        <v>200</v>
      </c>
      <c r="AJ36" s="53">
        <f t="shared" si="5"/>
        <v>43429</v>
      </c>
      <c r="AK36" s="875"/>
      <c r="AL36" s="875"/>
      <c r="AM36" s="875"/>
      <c r="AN36" s="875"/>
      <c r="AR36" s="107"/>
      <c r="AS36" s="107"/>
      <c r="AT36" s="107"/>
      <c r="AU36" s="107"/>
      <c r="AV36" s="107"/>
      <c r="AW36" s="107"/>
      <c r="AX36" s="107"/>
      <c r="AY36" s="108"/>
    </row>
    <row r="37" spans="1:51" ht="27" hidden="1" customHeight="1">
      <c r="A37" s="168">
        <v>36</v>
      </c>
      <c r="B37" s="785" t="s">
        <v>237</v>
      </c>
      <c r="C37" s="123" t="s">
        <v>238</v>
      </c>
      <c r="D37" s="123">
        <v>6000</v>
      </c>
      <c r="E37" s="123">
        <v>10000</v>
      </c>
      <c r="F37" s="63" t="s">
        <v>21</v>
      </c>
      <c r="G37" s="767" t="s">
        <v>30</v>
      </c>
      <c r="H37" s="767" t="s">
        <v>30</v>
      </c>
      <c r="I37" s="767" t="s">
        <v>30</v>
      </c>
      <c r="J37" s="767" t="s">
        <v>30</v>
      </c>
      <c r="K37" s="767" t="s">
        <v>30</v>
      </c>
      <c r="L37" s="767">
        <v>3000</v>
      </c>
      <c r="M37" s="767">
        <v>10000</v>
      </c>
      <c r="N37" s="767">
        <v>10000</v>
      </c>
      <c r="O37" s="767">
        <v>10000</v>
      </c>
      <c r="P37" s="570">
        <v>10000</v>
      </c>
      <c r="Q37" s="570">
        <v>10000</v>
      </c>
      <c r="R37" s="570">
        <v>7000</v>
      </c>
      <c r="S37" s="214">
        <f t="shared" si="46"/>
        <v>60000</v>
      </c>
      <c r="T37" s="214">
        <f t="shared" si="39"/>
        <v>12000</v>
      </c>
      <c r="U37" s="838">
        <f>SUM(L37:R37)</f>
        <v>60000</v>
      </c>
      <c r="V37" s="74">
        <f>0</f>
        <v>0</v>
      </c>
      <c r="W37" s="40"/>
      <c r="X37" s="83"/>
      <c r="Y37" s="83"/>
      <c r="Z37" s="83"/>
      <c r="AA37" s="83"/>
      <c r="AB37" s="74">
        <v>0</v>
      </c>
      <c r="AC37" s="74">
        <v>0</v>
      </c>
      <c r="AD37" s="74">
        <v>0</v>
      </c>
      <c r="AE37" s="74">
        <v>0</v>
      </c>
      <c r="AF37" s="74">
        <v>0</v>
      </c>
      <c r="AG37" s="74">
        <v>0</v>
      </c>
      <c r="AH37" s="74">
        <v>0</v>
      </c>
      <c r="AI37" s="74"/>
      <c r="AJ37" s="53">
        <f t="shared" si="5"/>
        <v>0</v>
      </c>
      <c r="AK37" s="107"/>
      <c r="AL37" s="107"/>
      <c r="AM37" s="107"/>
      <c r="AN37" s="107"/>
      <c r="AO37" s="107"/>
      <c r="AP37" s="107"/>
      <c r="AQ37" s="107"/>
      <c r="AR37" s="107"/>
      <c r="AS37" s="107"/>
      <c r="AT37" s="107"/>
      <c r="AU37" s="107"/>
      <c r="AV37" s="107"/>
      <c r="AW37" s="107"/>
      <c r="AX37" s="107"/>
      <c r="AY37" s="107"/>
    </row>
    <row r="38" spans="1:51" ht="45.75" hidden="1" customHeight="1">
      <c r="A38" s="168">
        <v>37</v>
      </c>
      <c r="B38" s="62" t="s">
        <v>239</v>
      </c>
      <c r="C38" s="61" t="s">
        <v>79</v>
      </c>
      <c r="D38" s="62">
        <v>30000</v>
      </c>
      <c r="E38" s="62">
        <v>5000</v>
      </c>
      <c r="F38" s="63" t="s">
        <v>21</v>
      </c>
      <c r="G38" s="767">
        <v>6000</v>
      </c>
      <c r="H38" s="767">
        <v>6000</v>
      </c>
      <c r="I38" s="767">
        <v>6000</v>
      </c>
      <c r="J38" s="767">
        <f t="shared" ref="J38:K38" si="49">I38</f>
        <v>6000</v>
      </c>
      <c r="K38" s="767">
        <f t="shared" si="49"/>
        <v>6000</v>
      </c>
      <c r="L38" s="767">
        <v>6000</v>
      </c>
      <c r="M38" s="767">
        <v>6000</v>
      </c>
      <c r="N38" s="767">
        <v>6000</v>
      </c>
      <c r="O38" s="767">
        <v>5000</v>
      </c>
      <c r="P38" s="817">
        <f>E38/21*6</f>
        <v>1428.5714285714287</v>
      </c>
      <c r="Q38" s="817">
        <v>5000</v>
      </c>
      <c r="R38" s="817">
        <v>4000</v>
      </c>
      <c r="S38" s="214">
        <f t="shared" si="46"/>
        <v>63428.571428571428</v>
      </c>
      <c r="T38" s="214">
        <f t="shared" si="39"/>
        <v>60000</v>
      </c>
      <c r="U38" s="832">
        <f>(28500-6000)+SUM(O38:R38)</f>
        <v>37928.571428571428</v>
      </c>
      <c r="V38" s="74">
        <v>0</v>
      </c>
      <c r="W38" s="839">
        <f t="shared" ref="W38:AE38" si="50">G38</f>
        <v>6000</v>
      </c>
      <c r="X38" s="83">
        <f t="shared" si="50"/>
        <v>6000</v>
      </c>
      <c r="Y38" s="83">
        <f t="shared" si="50"/>
        <v>6000</v>
      </c>
      <c r="Z38" s="83">
        <f t="shared" si="50"/>
        <v>6000</v>
      </c>
      <c r="AA38" s="83">
        <f t="shared" si="50"/>
        <v>6000</v>
      </c>
      <c r="AB38" s="214">
        <f t="shared" si="50"/>
        <v>6000</v>
      </c>
      <c r="AC38" s="214">
        <f t="shared" si="50"/>
        <v>6000</v>
      </c>
      <c r="AD38" s="214">
        <f t="shared" si="50"/>
        <v>6000</v>
      </c>
      <c r="AE38" s="214">
        <f t="shared" si="50"/>
        <v>5000</v>
      </c>
      <c r="AF38" s="74">
        <v>0</v>
      </c>
      <c r="AG38" s="74">
        <v>0</v>
      </c>
      <c r="AH38" s="74">
        <v>0</v>
      </c>
      <c r="AI38" s="74"/>
      <c r="AJ38" s="53">
        <f t="shared" si="5"/>
        <v>53000</v>
      </c>
      <c r="AK38" s="107"/>
      <c r="AL38" s="107"/>
      <c r="AM38" s="107"/>
      <c r="AN38" s="107"/>
      <c r="AO38" s="107"/>
      <c r="AP38" s="107"/>
      <c r="AQ38" s="107"/>
      <c r="AR38" s="107"/>
      <c r="AS38" s="107"/>
      <c r="AT38" s="107"/>
      <c r="AU38" s="107"/>
      <c r="AV38" s="107"/>
      <c r="AW38" s="107"/>
      <c r="AX38" s="107"/>
      <c r="AY38" s="107"/>
    </row>
    <row r="39" spans="1:51" ht="27.75" hidden="1" customHeight="1">
      <c r="A39" s="168">
        <v>38</v>
      </c>
      <c r="B39" s="59" t="s">
        <v>20</v>
      </c>
      <c r="C39" s="59" t="s">
        <v>79</v>
      </c>
      <c r="D39" s="60">
        <v>17000</v>
      </c>
      <c r="E39" s="60">
        <v>10000</v>
      </c>
      <c r="F39" s="47" t="s">
        <v>21</v>
      </c>
      <c r="G39" s="718">
        <v>10000</v>
      </c>
      <c r="H39" s="718">
        <v>10000</v>
      </c>
      <c r="I39" s="718">
        <v>10000</v>
      </c>
      <c r="J39" s="718">
        <f t="shared" ref="J39:K39" si="51">I39</f>
        <v>10000</v>
      </c>
      <c r="K39" s="718">
        <f t="shared" si="51"/>
        <v>10000</v>
      </c>
      <c r="L39" s="718">
        <v>10000</v>
      </c>
      <c r="M39" s="718">
        <v>10000</v>
      </c>
      <c r="N39" s="718">
        <v>10000</v>
      </c>
      <c r="O39" s="718">
        <v>10000</v>
      </c>
      <c r="P39" s="811">
        <v>10000</v>
      </c>
      <c r="Q39" s="535">
        <v>10000</v>
      </c>
      <c r="R39" s="535">
        <v>10000</v>
      </c>
      <c r="S39" s="222">
        <f t="shared" si="46"/>
        <v>120000</v>
      </c>
      <c r="T39" s="222">
        <f t="shared" si="39"/>
        <v>34000</v>
      </c>
      <c r="U39" s="849">
        <v>36000</v>
      </c>
      <c r="V39" s="25">
        <v>0</v>
      </c>
      <c r="W39" s="25">
        <v>10000</v>
      </c>
      <c r="X39" s="53">
        <f t="shared" ref="X39:AH39" si="52">H39</f>
        <v>10000</v>
      </c>
      <c r="Y39" s="53">
        <f t="shared" si="52"/>
        <v>10000</v>
      </c>
      <c r="Z39" s="53">
        <f t="shared" si="52"/>
        <v>10000</v>
      </c>
      <c r="AA39" s="53">
        <f t="shared" si="52"/>
        <v>10000</v>
      </c>
      <c r="AB39" s="222">
        <f t="shared" si="52"/>
        <v>10000</v>
      </c>
      <c r="AC39" s="222">
        <f t="shared" si="52"/>
        <v>10000</v>
      </c>
      <c r="AD39" s="532">
        <f t="shared" si="52"/>
        <v>10000</v>
      </c>
      <c r="AE39" s="222">
        <f t="shared" si="52"/>
        <v>10000</v>
      </c>
      <c r="AF39" s="222">
        <f t="shared" si="52"/>
        <v>10000</v>
      </c>
      <c r="AG39" s="532">
        <f t="shared" si="52"/>
        <v>10000</v>
      </c>
      <c r="AH39" s="222">
        <f t="shared" si="52"/>
        <v>10000</v>
      </c>
      <c r="AI39" s="25" t="s">
        <v>200</v>
      </c>
      <c r="AJ39" s="53">
        <f t="shared" si="5"/>
        <v>120000</v>
      </c>
      <c r="AO39" s="107"/>
      <c r="AP39" s="107"/>
      <c r="AQ39" s="107"/>
      <c r="AR39" s="107"/>
      <c r="AS39" s="107"/>
      <c r="AT39" s="107"/>
      <c r="AU39" s="107"/>
      <c r="AV39" s="107"/>
      <c r="AW39" s="107"/>
      <c r="AX39" s="107"/>
      <c r="AY39" s="107"/>
    </row>
    <row r="40" spans="1:51" ht="21" hidden="1" customHeight="1">
      <c r="A40" s="168">
        <v>39</v>
      </c>
      <c r="B40" s="61" t="s">
        <v>80</v>
      </c>
      <c r="C40" s="61" t="s">
        <v>79</v>
      </c>
      <c r="D40" s="62">
        <v>50000</v>
      </c>
      <c r="E40" s="62">
        <v>5000</v>
      </c>
      <c r="F40" s="63" t="s">
        <v>21</v>
      </c>
      <c r="G40" s="767">
        <v>10000</v>
      </c>
      <c r="H40" s="767">
        <v>10000</v>
      </c>
      <c r="I40" s="767">
        <v>8000</v>
      </c>
      <c r="J40" s="767">
        <v>8095</v>
      </c>
      <c r="K40" s="767">
        <v>10000</v>
      </c>
      <c r="L40" s="767">
        <v>10000</v>
      </c>
      <c r="M40" s="767">
        <v>10000</v>
      </c>
      <c r="N40" s="767">
        <f>E40/23*10</f>
        <v>2173.913043478261</v>
      </c>
      <c r="O40" s="767">
        <v>9091</v>
      </c>
      <c r="P40" s="570">
        <v>5000</v>
      </c>
      <c r="Q40" s="570">
        <v>5000</v>
      </c>
      <c r="R40" s="570">
        <f>E40/21*18</f>
        <v>4285.7142857142862</v>
      </c>
      <c r="S40" s="214">
        <f t="shared" si="46"/>
        <v>91645.627329192546</v>
      </c>
      <c r="T40" s="214">
        <f t="shared" si="39"/>
        <v>100000</v>
      </c>
      <c r="U40" s="214">
        <f>49261+SUM(P40:R40)</f>
        <v>63546.71428571429</v>
      </c>
      <c r="V40" s="74">
        <v>0</v>
      </c>
      <c r="W40" s="839">
        <f t="shared" ref="W40:AB40" si="53">G40</f>
        <v>10000</v>
      </c>
      <c r="X40" s="214">
        <f t="shared" si="53"/>
        <v>10000</v>
      </c>
      <c r="Y40" s="214">
        <f t="shared" si="53"/>
        <v>8000</v>
      </c>
      <c r="Z40" s="83">
        <f t="shared" si="53"/>
        <v>8095</v>
      </c>
      <c r="AA40" s="214">
        <f t="shared" si="53"/>
        <v>10000</v>
      </c>
      <c r="AB40" s="214">
        <f t="shared" si="53"/>
        <v>10000</v>
      </c>
      <c r="AC40" s="74">
        <v>10000</v>
      </c>
      <c r="AD40" s="83">
        <v>0</v>
      </c>
      <c r="AE40" s="214">
        <f>O40</f>
        <v>9091</v>
      </c>
      <c r="AF40" s="74">
        <v>0</v>
      </c>
      <c r="AG40" s="74">
        <v>0</v>
      </c>
      <c r="AH40" s="74">
        <v>0</v>
      </c>
      <c r="AI40" s="74"/>
      <c r="AJ40" s="53">
        <f t="shared" si="5"/>
        <v>75186</v>
      </c>
      <c r="AK40" s="107"/>
      <c r="AL40" s="107"/>
      <c r="AM40" s="107"/>
      <c r="AN40" s="107"/>
      <c r="AO40" s="108"/>
      <c r="AP40" s="108"/>
      <c r="AQ40" s="108"/>
      <c r="AR40" s="108"/>
      <c r="AS40" s="108"/>
      <c r="AT40" s="108"/>
      <c r="AU40" s="108"/>
      <c r="AV40" s="108"/>
      <c r="AW40" s="108"/>
      <c r="AX40" s="108"/>
      <c r="AY40" s="107"/>
    </row>
    <row r="41" spans="1:51" ht="21" hidden="1" customHeight="1">
      <c r="A41" s="168">
        <v>40</v>
      </c>
      <c r="B41" s="61" t="s">
        <v>240</v>
      </c>
      <c r="C41" s="61" t="s">
        <v>79</v>
      </c>
      <c r="D41" s="62">
        <v>28000</v>
      </c>
      <c r="E41" s="768">
        <v>5000</v>
      </c>
      <c r="F41" s="769" t="s">
        <v>21</v>
      </c>
      <c r="G41" s="770">
        <v>4000</v>
      </c>
      <c r="H41" s="770">
        <v>4000</v>
      </c>
      <c r="I41" s="770">
        <v>4000</v>
      </c>
      <c r="J41" s="770">
        <f>I41</f>
        <v>4000</v>
      </c>
      <c r="K41" s="770">
        <v>4000</v>
      </c>
      <c r="L41" s="770">
        <f>E41/23*14</f>
        <v>3043.4782608695655</v>
      </c>
      <c r="M41" s="770">
        <v>5000</v>
      </c>
      <c r="N41" s="770">
        <v>5000</v>
      </c>
      <c r="O41" s="770">
        <v>5000</v>
      </c>
      <c r="P41" s="570">
        <v>5000</v>
      </c>
      <c r="Q41" s="570">
        <v>5000</v>
      </c>
      <c r="R41" s="570">
        <v>5000</v>
      </c>
      <c r="S41" s="214">
        <f t="shared" si="46"/>
        <v>53043.478260869568</v>
      </c>
      <c r="T41" s="214">
        <f t="shared" si="39"/>
        <v>56000</v>
      </c>
      <c r="U41" s="832">
        <f>SUM(M41:R41)</f>
        <v>30000</v>
      </c>
      <c r="V41" s="74">
        <f>'Hold bonus paid sheet'!C12</f>
        <v>32000</v>
      </c>
      <c r="W41" s="40">
        <v>0</v>
      </c>
      <c r="X41" s="83">
        <v>0</v>
      </c>
      <c r="Y41" s="74">
        <v>4000</v>
      </c>
      <c r="Z41" s="214">
        <f t="shared" ref="Z41:AB41" si="54">J41</f>
        <v>4000</v>
      </c>
      <c r="AA41" s="214">
        <f t="shared" si="54"/>
        <v>4000</v>
      </c>
      <c r="AB41" s="83">
        <f t="shared" si="54"/>
        <v>3043.4782608695655</v>
      </c>
      <c r="AC41" s="74">
        <v>0</v>
      </c>
      <c r="AD41" s="74">
        <v>0</v>
      </c>
      <c r="AE41" s="74">
        <v>0</v>
      </c>
      <c r="AF41" s="74">
        <v>0</v>
      </c>
      <c r="AG41" s="74">
        <v>0</v>
      </c>
      <c r="AH41" s="74">
        <v>0</v>
      </c>
      <c r="AI41" s="107"/>
      <c r="AJ41" s="53">
        <f t="shared" si="5"/>
        <v>15043.478260869566</v>
      </c>
      <c r="AK41" s="83">
        <f>S41-Y41-Z41-AA41-AB41</f>
        <v>38000</v>
      </c>
      <c r="AL41" s="74">
        <f>SUM('2021'!M36:R36)</f>
        <v>24000</v>
      </c>
      <c r="AM41" s="74"/>
      <c r="AN41" s="83">
        <f>AK41+AL41-V41</f>
        <v>30000</v>
      </c>
      <c r="AO41" s="74"/>
      <c r="AP41" s="74"/>
      <c r="AQ41" s="74"/>
      <c r="AR41" s="74"/>
      <c r="AS41" s="74"/>
      <c r="AT41" s="74"/>
      <c r="AU41" s="74"/>
      <c r="AV41" s="74"/>
      <c r="AW41" s="74"/>
      <c r="AX41" s="74"/>
      <c r="AY41" s="25"/>
    </row>
    <row r="42" spans="1:51" ht="21" hidden="1" customHeight="1">
      <c r="A42" s="168">
        <v>41</v>
      </c>
      <c r="B42" s="61" t="s">
        <v>241</v>
      </c>
      <c r="C42" s="61" t="s">
        <v>79</v>
      </c>
      <c r="D42" s="62">
        <v>10000</v>
      </c>
      <c r="E42" s="62">
        <v>6000</v>
      </c>
      <c r="F42" s="63" t="s">
        <v>21</v>
      </c>
      <c r="G42" s="767" t="s">
        <v>30</v>
      </c>
      <c r="H42" s="767">
        <v>5000</v>
      </c>
      <c r="I42" s="767">
        <v>6000</v>
      </c>
      <c r="J42" s="767">
        <v>10000</v>
      </c>
      <c r="K42" s="767">
        <v>10000</v>
      </c>
      <c r="L42" s="767">
        <v>6000</v>
      </c>
      <c r="M42" s="767">
        <v>6000</v>
      </c>
      <c r="N42" s="767">
        <v>6000</v>
      </c>
      <c r="O42" s="767">
        <v>6000</v>
      </c>
      <c r="P42" s="570">
        <v>6000</v>
      </c>
      <c r="Q42" s="570">
        <v>6000</v>
      </c>
      <c r="R42" s="819">
        <v>6000</v>
      </c>
      <c r="S42" s="214">
        <f t="shared" si="46"/>
        <v>73000</v>
      </c>
      <c r="T42" s="214">
        <f t="shared" ref="T42:T43" si="55">SUM(H42:R42)</f>
        <v>73000</v>
      </c>
      <c r="U42" s="832">
        <f t="shared" ref="U42:U43" si="56">SUM(H42:R42)</f>
        <v>73000</v>
      </c>
      <c r="V42" s="74">
        <v>0</v>
      </c>
      <c r="W42" s="74">
        <v>0</v>
      </c>
      <c r="X42" s="74">
        <v>0</v>
      </c>
      <c r="Y42" s="74">
        <v>0</v>
      </c>
      <c r="Z42" s="74">
        <v>0</v>
      </c>
      <c r="AA42" s="74">
        <v>0</v>
      </c>
      <c r="AB42" s="74">
        <v>0</v>
      </c>
      <c r="AC42" s="74">
        <v>0</v>
      </c>
      <c r="AD42" s="74">
        <v>0</v>
      </c>
      <c r="AE42" s="74">
        <v>0</v>
      </c>
      <c r="AF42" s="74">
        <v>0</v>
      </c>
      <c r="AG42" s="74">
        <v>0</v>
      </c>
      <c r="AH42" s="74">
        <v>0</v>
      </c>
      <c r="AI42" s="74"/>
      <c r="AJ42" s="53">
        <f t="shared" si="5"/>
        <v>0</v>
      </c>
      <c r="AK42" s="107"/>
      <c r="AL42" s="107"/>
      <c r="AM42" s="107"/>
      <c r="AN42" s="107"/>
      <c r="AR42" s="107"/>
      <c r="AS42" s="107"/>
      <c r="AT42" s="107"/>
      <c r="AU42" s="107"/>
      <c r="AV42" s="107"/>
      <c r="AW42" s="107"/>
      <c r="AX42" s="107"/>
    </row>
    <row r="43" spans="1:51" ht="21" hidden="1" customHeight="1">
      <c r="A43" s="168">
        <v>42</v>
      </c>
      <c r="B43" s="61" t="s">
        <v>242</v>
      </c>
      <c r="C43" s="61" t="s">
        <v>79</v>
      </c>
      <c r="D43" s="62">
        <v>6000</v>
      </c>
      <c r="E43" s="62">
        <v>10000</v>
      </c>
      <c r="F43" s="786" t="s">
        <v>21</v>
      </c>
      <c r="G43" s="787" t="s">
        <v>30</v>
      </c>
      <c r="H43" s="787">
        <v>10000</v>
      </c>
      <c r="I43" s="787">
        <v>10000</v>
      </c>
      <c r="J43" s="787">
        <v>7000</v>
      </c>
      <c r="K43" s="787">
        <v>5000</v>
      </c>
      <c r="L43" s="787">
        <v>0</v>
      </c>
      <c r="M43" s="787">
        <v>4000</v>
      </c>
      <c r="N43" s="787">
        <v>5000</v>
      </c>
      <c r="O43" s="787">
        <v>5000</v>
      </c>
      <c r="P43" s="819">
        <v>10000</v>
      </c>
      <c r="Q43" s="570">
        <v>10000</v>
      </c>
      <c r="R43" s="570">
        <f>E43/21*10</f>
        <v>4761.9047619047624</v>
      </c>
      <c r="S43" s="214">
        <f t="shared" si="46"/>
        <v>70761.904761904763</v>
      </c>
      <c r="T43" s="214">
        <f t="shared" si="55"/>
        <v>70761.904761904763</v>
      </c>
      <c r="U43" s="832">
        <f t="shared" si="56"/>
        <v>70761.904761904763</v>
      </c>
      <c r="V43" s="74">
        <v>0</v>
      </c>
      <c r="W43" s="74">
        <v>0</v>
      </c>
      <c r="X43" s="74">
        <v>0</v>
      </c>
      <c r="Y43" s="74">
        <v>0</v>
      </c>
      <c r="Z43" s="74">
        <v>0</v>
      </c>
      <c r="AA43" s="74">
        <v>0</v>
      </c>
      <c r="AB43" s="74">
        <v>0</v>
      </c>
      <c r="AC43" s="74">
        <v>0</v>
      </c>
      <c r="AD43" s="74">
        <v>0</v>
      </c>
      <c r="AE43" s="74">
        <v>0</v>
      </c>
      <c r="AF43" s="74">
        <v>0</v>
      </c>
      <c r="AG43" s="74">
        <v>0</v>
      </c>
      <c r="AH43" s="74">
        <v>0</v>
      </c>
      <c r="AI43" s="74"/>
      <c r="AJ43" s="53">
        <f t="shared" si="5"/>
        <v>0</v>
      </c>
      <c r="AK43" s="107"/>
      <c r="AL43" s="107"/>
      <c r="AM43" s="107"/>
      <c r="AN43" s="107"/>
      <c r="AO43" s="107"/>
      <c r="AP43" s="107"/>
      <c r="AQ43" s="107"/>
      <c r="AR43" s="107"/>
      <c r="AS43" s="107"/>
      <c r="AT43" s="107"/>
      <c r="AU43" s="107"/>
      <c r="AV43" s="107"/>
      <c r="AW43" s="107"/>
      <c r="AX43" s="107"/>
      <c r="AY43" s="107"/>
    </row>
    <row r="44" spans="1:51" ht="21" hidden="1" customHeight="1">
      <c r="A44" s="168">
        <v>43</v>
      </c>
      <c r="B44" s="59" t="s">
        <v>243</v>
      </c>
      <c r="C44" s="59" t="s">
        <v>74</v>
      </c>
      <c r="D44" s="60">
        <v>20000</v>
      </c>
      <c r="E44" s="60">
        <v>5000</v>
      </c>
      <c r="F44" s="47" t="s">
        <v>21</v>
      </c>
      <c r="G44" s="718">
        <v>6000</v>
      </c>
      <c r="H44" s="718">
        <v>5000</v>
      </c>
      <c r="I44" s="718">
        <v>5000</v>
      </c>
      <c r="J44" s="718">
        <f>I44</f>
        <v>5000</v>
      </c>
      <c r="K44" s="718">
        <v>5000</v>
      </c>
      <c r="L44" s="718">
        <v>1000</v>
      </c>
      <c r="M44" s="718">
        <v>5000</v>
      </c>
      <c r="N44" s="718">
        <f>E44/23*10</f>
        <v>2173.913043478261</v>
      </c>
      <c r="O44" s="718">
        <v>5000</v>
      </c>
      <c r="P44" s="812">
        <v>2500</v>
      </c>
      <c r="Q44" s="535">
        <v>5000</v>
      </c>
      <c r="R44" s="828">
        <v>5000</v>
      </c>
      <c r="S44" s="222">
        <f t="shared" si="46"/>
        <v>51673.913043478264</v>
      </c>
      <c r="T44" s="222">
        <f>D44*2</f>
        <v>40000</v>
      </c>
      <c r="U44" s="824">
        <v>12000</v>
      </c>
      <c r="V44" s="25">
        <v>0</v>
      </c>
      <c r="W44" s="825">
        <f t="shared" ref="W44:AH44" si="57">G44</f>
        <v>6000</v>
      </c>
      <c r="X44" s="222">
        <f t="shared" si="57"/>
        <v>5000</v>
      </c>
      <c r="Y44" s="222">
        <f t="shared" si="57"/>
        <v>5000</v>
      </c>
      <c r="Z44" s="222">
        <f t="shared" si="57"/>
        <v>5000</v>
      </c>
      <c r="AA44" s="222">
        <f t="shared" si="57"/>
        <v>5000</v>
      </c>
      <c r="AB44" s="222">
        <f t="shared" si="57"/>
        <v>1000</v>
      </c>
      <c r="AC44" s="222">
        <f t="shared" si="57"/>
        <v>5000</v>
      </c>
      <c r="AD44" s="84">
        <f t="shared" si="57"/>
        <v>2173.913043478261</v>
      </c>
      <c r="AE44" s="222">
        <f t="shared" si="57"/>
        <v>5000</v>
      </c>
      <c r="AF44" s="222">
        <f t="shared" si="57"/>
        <v>2500</v>
      </c>
      <c r="AG44" s="84">
        <f t="shared" si="57"/>
        <v>5000</v>
      </c>
      <c r="AH44" s="222">
        <f t="shared" si="57"/>
        <v>5000</v>
      </c>
      <c r="AI44" s="25" t="s">
        <v>200</v>
      </c>
      <c r="AJ44" s="53">
        <f t="shared" si="5"/>
        <v>51673.913043478264</v>
      </c>
      <c r="AO44" s="875"/>
      <c r="AP44" s="875"/>
      <c r="AQ44" s="875"/>
      <c r="AR44" s="107"/>
      <c r="AS44" s="107"/>
      <c r="AT44" s="107"/>
      <c r="AU44" s="107"/>
      <c r="AV44" s="107"/>
      <c r="AW44" s="107"/>
      <c r="AX44" s="107"/>
      <c r="AY44" s="107"/>
    </row>
    <row r="45" spans="1:51" ht="21" hidden="1" customHeight="1">
      <c r="A45" s="168">
        <v>44</v>
      </c>
      <c r="B45" s="788" t="s">
        <v>244</v>
      </c>
      <c r="C45" s="123" t="s">
        <v>74</v>
      </c>
      <c r="D45" s="123">
        <v>6000</v>
      </c>
      <c r="E45" s="123">
        <v>10000</v>
      </c>
      <c r="F45" s="63" t="s">
        <v>21</v>
      </c>
      <c r="G45" s="767" t="s">
        <v>30</v>
      </c>
      <c r="H45" s="767" t="s">
        <v>30</v>
      </c>
      <c r="I45" s="767" t="s">
        <v>30</v>
      </c>
      <c r="J45" s="767" t="s">
        <v>30</v>
      </c>
      <c r="K45" s="767" t="s">
        <v>30</v>
      </c>
      <c r="L45" s="767">
        <v>7000</v>
      </c>
      <c r="M45" s="767">
        <v>10000</v>
      </c>
      <c r="N45" s="767">
        <v>10000</v>
      </c>
      <c r="O45" s="767">
        <v>10000</v>
      </c>
      <c r="P45" s="570">
        <v>10000</v>
      </c>
      <c r="Q45" s="570">
        <v>10000</v>
      </c>
      <c r="R45" s="570">
        <f>E45/21*6</f>
        <v>2857.1428571428573</v>
      </c>
      <c r="S45" s="214">
        <f t="shared" si="46"/>
        <v>59857.142857142855</v>
      </c>
      <c r="T45" s="214"/>
      <c r="U45" s="838">
        <f>SUM(L45:R45)</f>
        <v>59857.142857142855</v>
      </c>
      <c r="V45" s="74">
        <v>0</v>
      </c>
      <c r="W45" s="74"/>
      <c r="X45" s="74"/>
      <c r="Y45" s="74"/>
      <c r="Z45" s="74"/>
      <c r="AA45" s="74"/>
      <c r="AB45" s="74">
        <v>0</v>
      </c>
      <c r="AC45" s="74">
        <v>0</v>
      </c>
      <c r="AD45" s="74">
        <v>0</v>
      </c>
      <c r="AE45" s="74">
        <v>0</v>
      </c>
      <c r="AF45" s="74">
        <v>0</v>
      </c>
      <c r="AG45" s="74">
        <v>0</v>
      </c>
      <c r="AH45" s="74">
        <v>0</v>
      </c>
      <c r="AI45" s="74"/>
      <c r="AJ45" s="53">
        <f t="shared" si="5"/>
        <v>0</v>
      </c>
      <c r="AK45" s="107"/>
      <c r="AL45" s="107"/>
      <c r="AM45" s="107"/>
      <c r="AN45" s="107"/>
      <c r="AO45" s="107"/>
      <c r="AP45" s="107"/>
      <c r="AQ45" s="107"/>
      <c r="AY45" s="107"/>
    </row>
    <row r="46" spans="1:51" ht="21" hidden="1" customHeight="1">
      <c r="A46" s="168">
        <v>45</v>
      </c>
      <c r="B46" s="61" t="s">
        <v>245</v>
      </c>
      <c r="C46" s="61" t="s">
        <v>74</v>
      </c>
      <c r="D46" s="62">
        <v>6000</v>
      </c>
      <c r="E46" s="62">
        <v>10000</v>
      </c>
      <c r="F46" s="63" t="s">
        <v>21</v>
      </c>
      <c r="G46" s="767" t="s">
        <v>30</v>
      </c>
      <c r="H46" s="767" t="s">
        <v>30</v>
      </c>
      <c r="I46" s="767" t="s">
        <v>30</v>
      </c>
      <c r="J46" s="767" t="s">
        <v>30</v>
      </c>
      <c r="K46" s="767" t="s">
        <v>30</v>
      </c>
      <c r="L46" s="767" t="s">
        <v>30</v>
      </c>
      <c r="M46" s="767" t="s">
        <v>30</v>
      </c>
      <c r="N46" s="767" t="s">
        <v>30</v>
      </c>
      <c r="O46" s="767" t="s">
        <v>30</v>
      </c>
      <c r="P46" s="817" t="s">
        <v>30</v>
      </c>
      <c r="Q46" s="570">
        <f>10000/23*17</f>
        <v>7391.304347826087</v>
      </c>
      <c r="R46" s="570">
        <v>5000</v>
      </c>
      <c r="S46" s="214"/>
      <c r="T46" s="214"/>
      <c r="U46" s="832">
        <f>Q46+R46</f>
        <v>12391.304347826088</v>
      </c>
      <c r="V46" s="74">
        <v>0</v>
      </c>
      <c r="W46" s="74">
        <v>0</v>
      </c>
      <c r="X46" s="74">
        <v>0</v>
      </c>
      <c r="Y46" s="74">
        <v>0</v>
      </c>
      <c r="Z46" s="74">
        <v>0</v>
      </c>
      <c r="AA46" s="74">
        <v>0</v>
      </c>
      <c r="AB46" s="74">
        <v>0</v>
      </c>
      <c r="AC46" s="74">
        <v>0</v>
      </c>
      <c r="AD46" s="74">
        <v>0</v>
      </c>
      <c r="AE46" s="74">
        <v>0</v>
      </c>
      <c r="AF46" s="74">
        <v>0</v>
      </c>
      <c r="AG46" s="74">
        <v>0</v>
      </c>
      <c r="AH46" s="74">
        <v>0</v>
      </c>
      <c r="AI46" s="74"/>
      <c r="AJ46" s="53"/>
      <c r="AK46" s="107"/>
      <c r="AL46" s="107"/>
      <c r="AM46" s="107"/>
      <c r="AN46" s="107"/>
      <c r="AO46" s="107"/>
      <c r="AP46" s="107"/>
      <c r="AQ46" s="107"/>
      <c r="AR46" s="107"/>
      <c r="AS46" s="107"/>
      <c r="AT46" s="107"/>
      <c r="AU46" s="107"/>
      <c r="AV46" s="107"/>
      <c r="AW46" s="107"/>
      <c r="AX46" s="107"/>
      <c r="AY46" s="107"/>
    </row>
    <row r="47" spans="1:51" ht="21" hidden="1" customHeight="1">
      <c r="A47" s="168">
        <v>46</v>
      </c>
      <c r="B47" s="61" t="s">
        <v>176</v>
      </c>
      <c r="C47" s="62" t="s">
        <v>230</v>
      </c>
      <c r="D47" s="62">
        <v>20000</v>
      </c>
      <c r="E47" s="62">
        <v>5000</v>
      </c>
      <c r="F47" s="63" t="s">
        <v>21</v>
      </c>
      <c r="G47" s="767">
        <v>4000</v>
      </c>
      <c r="H47" s="767">
        <v>4000</v>
      </c>
      <c r="I47" s="767">
        <v>4000</v>
      </c>
      <c r="J47" s="767">
        <f>I47</f>
        <v>4000</v>
      </c>
      <c r="K47" s="767">
        <f>E47/22*10.5</f>
        <v>2386.3636363636365</v>
      </c>
      <c r="L47" s="767">
        <v>4000</v>
      </c>
      <c r="M47" s="767">
        <v>4750</v>
      </c>
      <c r="N47" s="767">
        <v>5000</v>
      </c>
      <c r="O47" s="767">
        <v>5000</v>
      </c>
      <c r="P47" s="570">
        <v>5000</v>
      </c>
      <c r="Q47" s="570">
        <v>5000</v>
      </c>
      <c r="R47" s="570">
        <v>5000</v>
      </c>
      <c r="S47" s="214">
        <f t="shared" ref="S47:S50" si="58">SUM(G47:R47)</f>
        <v>52136.363636363632</v>
      </c>
      <c r="T47" s="214">
        <f t="shared" ref="T47:T48" si="59">D47*2</f>
        <v>40000</v>
      </c>
      <c r="U47" s="832">
        <f>'On hold bonus'!B14+SUM(M47:R47)</f>
        <v>56750</v>
      </c>
      <c r="V47" s="74">
        <v>0</v>
      </c>
      <c r="W47" s="40">
        <v>0</v>
      </c>
      <c r="X47" s="83">
        <f t="shared" ref="X47:AB47" si="60">H47</f>
        <v>4000</v>
      </c>
      <c r="Y47" s="83">
        <f t="shared" si="60"/>
        <v>4000</v>
      </c>
      <c r="Z47" s="214">
        <f t="shared" si="60"/>
        <v>4000</v>
      </c>
      <c r="AA47" s="83">
        <f t="shared" si="60"/>
        <v>2386.3636363636365</v>
      </c>
      <c r="AB47" s="214">
        <f t="shared" si="60"/>
        <v>4000</v>
      </c>
      <c r="AC47" s="74">
        <v>0</v>
      </c>
      <c r="AD47" s="74">
        <v>0</v>
      </c>
      <c r="AE47" s="74">
        <v>0</v>
      </c>
      <c r="AF47" s="74">
        <v>0</v>
      </c>
      <c r="AG47" s="74">
        <v>0</v>
      </c>
      <c r="AH47" s="74">
        <v>0</v>
      </c>
      <c r="AI47" s="74"/>
      <c r="AJ47" s="53">
        <f t="shared" ref="AJ47:AJ64" si="61">SUM(W47:AH47)</f>
        <v>18386.363636363636</v>
      </c>
      <c r="AK47" s="865">
        <f>S47-X47-Y47-Z47-AA47-AB47</f>
        <v>33749.999999999993</v>
      </c>
      <c r="AL47" s="107">
        <f>'2021'!S54</f>
        <v>23000</v>
      </c>
      <c r="AM47" s="107"/>
      <c r="AN47" s="865">
        <f>AK47+AL47</f>
        <v>56749.999999999993</v>
      </c>
      <c r="AO47" s="107"/>
      <c r="AP47" s="107"/>
      <c r="AQ47" s="107"/>
      <c r="AR47" s="107"/>
      <c r="AS47" s="107"/>
      <c r="AT47" s="107"/>
      <c r="AU47" s="107"/>
      <c r="AV47" s="107"/>
      <c r="AW47" s="107"/>
      <c r="AX47" s="107"/>
      <c r="AY47" s="107"/>
    </row>
    <row r="48" spans="1:51" ht="21.75" hidden="1" customHeight="1">
      <c r="A48" s="168">
        <v>47</v>
      </c>
      <c r="B48" s="59" t="s">
        <v>246</v>
      </c>
      <c r="C48" s="60" t="s">
        <v>247</v>
      </c>
      <c r="D48" s="166">
        <v>25000</v>
      </c>
      <c r="E48" s="166">
        <v>8000</v>
      </c>
      <c r="F48" s="47" t="s">
        <v>141</v>
      </c>
      <c r="G48" s="718">
        <v>6000</v>
      </c>
      <c r="H48" s="718">
        <v>6000</v>
      </c>
      <c r="I48" s="718">
        <f>E48/20*5</f>
        <v>2000</v>
      </c>
      <c r="J48" s="718">
        <v>6000</v>
      </c>
      <c r="K48" s="718">
        <v>6000</v>
      </c>
      <c r="L48" s="718">
        <v>8000</v>
      </c>
      <c r="M48" s="718">
        <v>8000</v>
      </c>
      <c r="N48" s="718">
        <v>7000</v>
      </c>
      <c r="O48" s="718">
        <v>8000</v>
      </c>
      <c r="P48" s="812">
        <v>6000</v>
      </c>
      <c r="Q48" s="535">
        <v>6000</v>
      </c>
      <c r="R48" s="535">
        <f>E48/21*6</f>
        <v>2285.7142857142858</v>
      </c>
      <c r="S48" s="222">
        <f t="shared" si="58"/>
        <v>71285.71428571429</v>
      </c>
      <c r="T48" s="222">
        <f t="shared" si="59"/>
        <v>50000</v>
      </c>
      <c r="U48" s="850">
        <v>67000</v>
      </c>
      <c r="V48" s="25">
        <v>0</v>
      </c>
      <c r="W48" s="825">
        <f t="shared" ref="W48:X48" si="62">G48</f>
        <v>6000</v>
      </c>
      <c r="X48" s="53">
        <f t="shared" si="62"/>
        <v>6000</v>
      </c>
      <c r="Y48" s="53">
        <v>1500</v>
      </c>
      <c r="Z48" s="222">
        <f t="shared" ref="Z48:AA48" si="63">J48</f>
        <v>6000</v>
      </c>
      <c r="AA48" s="222">
        <f t="shared" si="63"/>
        <v>6000</v>
      </c>
      <c r="AB48" s="25">
        <v>0</v>
      </c>
      <c r="AC48" s="25">
        <v>0</v>
      </c>
      <c r="AD48" s="25">
        <v>0</v>
      </c>
      <c r="AE48" s="25">
        <v>0</v>
      </c>
      <c r="AF48" s="222">
        <f t="shared" ref="AF48:AH48" si="64">P48</f>
        <v>6000</v>
      </c>
      <c r="AG48" s="532">
        <f t="shared" si="64"/>
        <v>6000</v>
      </c>
      <c r="AH48" s="871">
        <f t="shared" si="64"/>
        <v>2285.7142857142858</v>
      </c>
      <c r="AI48" s="25" t="s">
        <v>200</v>
      </c>
      <c r="AJ48" s="53">
        <f t="shared" si="61"/>
        <v>39785.714285714283</v>
      </c>
      <c r="AN48" s="107"/>
      <c r="AO48" s="107"/>
      <c r="AP48" s="107"/>
      <c r="AQ48" s="107"/>
      <c r="AY48" s="107"/>
    </row>
    <row r="49" spans="1:51" ht="21" hidden="1" customHeight="1">
      <c r="A49" s="168">
        <v>48</v>
      </c>
      <c r="B49" s="61" t="s">
        <v>248</v>
      </c>
      <c r="C49" s="62" t="s">
        <v>247</v>
      </c>
      <c r="D49" s="123">
        <v>10000</v>
      </c>
      <c r="E49" s="123">
        <v>6000</v>
      </c>
      <c r="F49" s="63" t="s">
        <v>164</v>
      </c>
      <c r="G49" s="767" t="s">
        <v>30</v>
      </c>
      <c r="H49" s="767" t="s">
        <v>30</v>
      </c>
      <c r="I49" s="767" t="s">
        <v>30</v>
      </c>
      <c r="J49" s="767">
        <f>E49/21*7</f>
        <v>2000</v>
      </c>
      <c r="K49" s="767">
        <v>6000</v>
      </c>
      <c r="L49" s="767">
        <v>6000</v>
      </c>
      <c r="M49" s="767">
        <v>6000</v>
      </c>
      <c r="N49" s="767">
        <v>6000</v>
      </c>
      <c r="O49" s="767">
        <v>6000</v>
      </c>
      <c r="P49" s="570">
        <v>6000</v>
      </c>
      <c r="Q49" s="851">
        <f>6000/23*9</f>
        <v>2347.826086956522</v>
      </c>
      <c r="R49" s="570">
        <f>E49/21*16</f>
        <v>4571.4285714285716</v>
      </c>
      <c r="S49" s="214">
        <f t="shared" si="58"/>
        <v>44919.254658385093</v>
      </c>
      <c r="T49" s="214"/>
      <c r="U49" s="838">
        <f>SUM(J49:R49)</f>
        <v>44919.254658385093</v>
      </c>
      <c r="V49" s="74">
        <v>0</v>
      </c>
      <c r="W49" s="74">
        <v>0</v>
      </c>
      <c r="X49" s="74">
        <v>0</v>
      </c>
      <c r="Y49" s="74">
        <v>0</v>
      </c>
      <c r="Z49" s="74">
        <v>0</v>
      </c>
      <c r="AA49" s="74">
        <v>0</v>
      </c>
      <c r="AB49" s="74">
        <v>0</v>
      </c>
      <c r="AC49" s="74">
        <v>0</v>
      </c>
      <c r="AD49" s="74">
        <v>0</v>
      </c>
      <c r="AE49" s="74">
        <v>0</v>
      </c>
      <c r="AF49" s="74">
        <v>0</v>
      </c>
      <c r="AG49" s="74">
        <v>0</v>
      </c>
      <c r="AH49" s="74">
        <v>0</v>
      </c>
      <c r="AI49" s="74"/>
      <c r="AJ49" s="53">
        <f t="shared" si="61"/>
        <v>0</v>
      </c>
      <c r="AK49" s="107"/>
      <c r="AL49" s="107"/>
      <c r="AM49" s="107"/>
      <c r="AN49" s="107"/>
      <c r="AO49" s="107"/>
      <c r="AP49" s="107"/>
      <c r="AQ49" s="107"/>
      <c r="AR49" s="107"/>
      <c r="AS49" s="107"/>
      <c r="AT49" s="107"/>
      <c r="AU49" s="107"/>
      <c r="AV49" s="107"/>
      <c r="AW49" s="107"/>
      <c r="AX49" s="107"/>
      <c r="AY49" s="107"/>
    </row>
    <row r="50" spans="1:51" ht="21" hidden="1" customHeight="1">
      <c r="A50" s="168">
        <v>49</v>
      </c>
      <c r="B50" s="789" t="s">
        <v>249</v>
      </c>
      <c r="C50" s="60" t="s">
        <v>247</v>
      </c>
      <c r="D50" s="760">
        <v>12000</v>
      </c>
      <c r="E50" s="760">
        <v>4000</v>
      </c>
      <c r="F50" s="47" t="s">
        <v>164</v>
      </c>
      <c r="G50" s="718">
        <v>4000</v>
      </c>
      <c r="H50" s="718">
        <v>4000</v>
      </c>
      <c r="I50" s="718">
        <v>4000</v>
      </c>
      <c r="J50" s="718">
        <v>4000</v>
      </c>
      <c r="K50" s="718">
        <v>4000</v>
      </c>
      <c r="L50" s="718">
        <v>3500</v>
      </c>
      <c r="M50" s="718">
        <v>3500</v>
      </c>
      <c r="N50" s="718">
        <v>3500</v>
      </c>
      <c r="O50" s="718">
        <v>0</v>
      </c>
      <c r="P50" s="535">
        <v>0</v>
      </c>
      <c r="Q50" s="535">
        <f>4000/23*14</f>
        <v>2434.782608695652</v>
      </c>
      <c r="R50" s="535">
        <v>0</v>
      </c>
      <c r="S50" s="222">
        <f t="shared" si="58"/>
        <v>32934.782608695648</v>
      </c>
      <c r="T50" s="222">
        <f t="shared" ref="T50:T52" si="65">D50*2</f>
        <v>24000</v>
      </c>
      <c r="U50" s="852">
        <v>26500</v>
      </c>
      <c r="V50" s="25">
        <v>0</v>
      </c>
      <c r="W50" s="36">
        <v>0</v>
      </c>
      <c r="X50" s="25">
        <v>0</v>
      </c>
      <c r="Y50" s="25">
        <v>0</v>
      </c>
      <c r="Z50" s="25">
        <v>0</v>
      </c>
      <c r="AA50" s="222">
        <f>K50</f>
        <v>4000</v>
      </c>
      <c r="AB50" s="25">
        <v>0</v>
      </c>
      <c r="AC50" s="25">
        <v>0</v>
      </c>
      <c r="AD50" s="25">
        <v>0</v>
      </c>
      <c r="AE50" s="222">
        <f>O50</f>
        <v>0</v>
      </c>
      <c r="AF50" s="25">
        <v>0</v>
      </c>
      <c r="AG50" s="84">
        <f t="shared" ref="AG50:AH50" si="66">Q50</f>
        <v>2434.782608695652</v>
      </c>
      <c r="AH50" s="222">
        <f t="shared" si="66"/>
        <v>0</v>
      </c>
      <c r="AI50" s="25"/>
      <c r="AJ50" s="53">
        <f t="shared" si="61"/>
        <v>6434.782608695652</v>
      </c>
      <c r="AN50" s="107"/>
      <c r="AO50" s="107"/>
      <c r="AP50" s="107"/>
      <c r="AQ50" s="107"/>
      <c r="AR50" s="107"/>
      <c r="AS50" s="107"/>
      <c r="AT50" s="107"/>
      <c r="AU50" s="107"/>
      <c r="AV50" s="107"/>
      <c r="AW50" s="107"/>
      <c r="AX50" s="107"/>
      <c r="AY50" s="107"/>
    </row>
    <row r="51" spans="1:51" ht="21" hidden="1" customHeight="1">
      <c r="A51" s="168">
        <v>50</v>
      </c>
      <c r="B51" s="61" t="s">
        <v>250</v>
      </c>
      <c r="C51" s="62" t="s">
        <v>235</v>
      </c>
      <c r="D51" s="62">
        <v>10000</v>
      </c>
      <c r="E51" s="62">
        <v>6000</v>
      </c>
      <c r="F51" s="74" t="s">
        <v>164</v>
      </c>
      <c r="G51" s="214" t="s">
        <v>30</v>
      </c>
      <c r="H51" s="214" t="s">
        <v>30</v>
      </c>
      <c r="I51" s="214" t="s">
        <v>30</v>
      </c>
      <c r="J51" s="214" t="s">
        <v>30</v>
      </c>
      <c r="K51" s="214" t="s">
        <v>30</v>
      </c>
      <c r="L51" s="214" t="s">
        <v>30</v>
      </c>
      <c r="M51" s="214" t="s">
        <v>30</v>
      </c>
      <c r="N51" s="214" t="s">
        <v>30</v>
      </c>
      <c r="O51" s="214" t="s">
        <v>30</v>
      </c>
      <c r="P51" s="570">
        <v>2000</v>
      </c>
      <c r="Q51" s="570">
        <v>5500</v>
      </c>
      <c r="R51" s="570">
        <f>E51/21*16</f>
        <v>4571.4285714285716</v>
      </c>
      <c r="S51" s="214">
        <f>SUM(O51:R51)</f>
        <v>12071.428571428572</v>
      </c>
      <c r="T51" s="214">
        <f t="shared" si="65"/>
        <v>20000</v>
      </c>
      <c r="U51" s="832">
        <f>SUM(P51:R51)</f>
        <v>12071.428571428572</v>
      </c>
      <c r="V51" s="74">
        <v>0</v>
      </c>
      <c r="W51" s="74"/>
      <c r="X51" s="74"/>
      <c r="Y51" s="74"/>
      <c r="Z51" s="74"/>
      <c r="AA51" s="74"/>
      <c r="AB51" s="74"/>
      <c r="AC51" s="74"/>
      <c r="AD51" s="74"/>
      <c r="AE51" s="74"/>
      <c r="AF51" s="74">
        <v>0</v>
      </c>
      <c r="AG51" s="74">
        <v>0</v>
      </c>
      <c r="AH51" s="74">
        <v>0</v>
      </c>
      <c r="AI51" s="74"/>
      <c r="AJ51" s="53">
        <f t="shared" si="61"/>
        <v>0</v>
      </c>
      <c r="AK51" s="107"/>
      <c r="AL51" s="107"/>
      <c r="AM51" s="107"/>
      <c r="AN51" s="107"/>
      <c r="AO51" s="107"/>
      <c r="AP51" s="107"/>
      <c r="AQ51" s="107"/>
      <c r="AR51" s="107"/>
      <c r="AS51" s="107"/>
      <c r="AT51" s="107"/>
      <c r="AU51" s="107"/>
      <c r="AV51" s="107"/>
      <c r="AW51" s="107"/>
      <c r="AX51" s="107"/>
      <c r="AY51" s="875"/>
    </row>
    <row r="52" spans="1:51" ht="21" hidden="1" customHeight="1">
      <c r="A52" s="168">
        <v>51</v>
      </c>
      <c r="B52" s="61" t="s">
        <v>251</v>
      </c>
      <c r="C52" s="62" t="s">
        <v>235</v>
      </c>
      <c r="D52" s="62">
        <v>25000</v>
      </c>
      <c r="E52" s="62">
        <v>10000</v>
      </c>
      <c r="F52" s="63" t="s">
        <v>164</v>
      </c>
      <c r="G52" s="767">
        <v>4000</v>
      </c>
      <c r="H52" s="767">
        <v>4000</v>
      </c>
      <c r="I52" s="767">
        <v>4000</v>
      </c>
      <c r="J52" s="767">
        <f>I52</f>
        <v>4000</v>
      </c>
      <c r="K52" s="767">
        <v>4000</v>
      </c>
      <c r="L52" s="767">
        <v>4000</v>
      </c>
      <c r="M52" s="767">
        <v>0</v>
      </c>
      <c r="N52" s="767">
        <v>4000</v>
      </c>
      <c r="O52" s="767">
        <f>4000/22*8</f>
        <v>1454.5454545454545</v>
      </c>
      <c r="P52" s="570">
        <f>10000/21*12</f>
        <v>5714.2857142857147</v>
      </c>
      <c r="Q52" s="570">
        <v>10000</v>
      </c>
      <c r="R52" s="570">
        <f>E52/21*10</f>
        <v>4761.9047619047624</v>
      </c>
      <c r="S52" s="214">
        <f t="shared" ref="S52:S63" si="67">SUM(G52:R52)</f>
        <v>49930.735930735937</v>
      </c>
      <c r="T52" s="214">
        <f t="shared" si="65"/>
        <v>50000</v>
      </c>
      <c r="U52" s="832">
        <f>24000+SUM(P52:R52)</f>
        <v>44476.190476190473</v>
      </c>
      <c r="V52" s="74">
        <v>0</v>
      </c>
      <c r="W52" s="40">
        <v>0</v>
      </c>
      <c r="X52" s="83">
        <v>0</v>
      </c>
      <c r="Y52" s="74">
        <v>0</v>
      </c>
      <c r="Z52" s="74">
        <v>0</v>
      </c>
      <c r="AA52" s="74">
        <v>0</v>
      </c>
      <c r="AB52" s="214">
        <f>M52</f>
        <v>0</v>
      </c>
      <c r="AC52" s="214">
        <f t="shared" ref="AC52:AE52" si="68">M52</f>
        <v>0</v>
      </c>
      <c r="AD52" s="214">
        <f t="shared" si="68"/>
        <v>4000</v>
      </c>
      <c r="AE52" s="83">
        <f t="shared" si="68"/>
        <v>1454.5454545454545</v>
      </c>
      <c r="AF52" s="83">
        <f>4000/21*9</f>
        <v>1714.2857142857142</v>
      </c>
      <c r="AG52" s="74">
        <v>0</v>
      </c>
      <c r="AH52" s="74">
        <v>0</v>
      </c>
      <c r="AI52" s="74"/>
      <c r="AJ52" s="53">
        <f t="shared" si="61"/>
        <v>7168.8311688311678</v>
      </c>
      <c r="AK52" s="107"/>
      <c r="AL52" s="107"/>
      <c r="AM52" s="107"/>
      <c r="AN52" s="107"/>
      <c r="AO52" s="107"/>
      <c r="AP52" s="107"/>
      <c r="AQ52" s="107"/>
      <c r="AY52" s="107"/>
    </row>
    <row r="53" spans="1:51" ht="21" hidden="1" customHeight="1">
      <c r="A53" s="168">
        <v>52</v>
      </c>
      <c r="B53" s="74" t="s">
        <v>252</v>
      </c>
      <c r="C53" s="61" t="s">
        <v>238</v>
      </c>
      <c r="D53" s="62">
        <v>6000</v>
      </c>
      <c r="E53" s="62">
        <v>10000</v>
      </c>
      <c r="F53" s="63" t="s">
        <v>253</v>
      </c>
      <c r="G53" s="767" t="s">
        <v>30</v>
      </c>
      <c r="H53" s="767" t="s">
        <v>30</v>
      </c>
      <c r="I53" s="767" t="s">
        <v>30</v>
      </c>
      <c r="J53" s="767" t="s">
        <v>30</v>
      </c>
      <c r="K53" s="767" t="s">
        <v>30</v>
      </c>
      <c r="L53" s="767" t="s">
        <v>30</v>
      </c>
      <c r="M53" s="767" t="s">
        <v>30</v>
      </c>
      <c r="N53" s="767" t="s">
        <v>30</v>
      </c>
      <c r="O53" s="767">
        <f>E53/22*6</f>
        <v>2727.2727272727275</v>
      </c>
      <c r="P53" s="570">
        <v>4000</v>
      </c>
      <c r="Q53" s="570">
        <v>5000</v>
      </c>
      <c r="R53" s="570">
        <v>5000</v>
      </c>
      <c r="S53" s="214">
        <f t="shared" si="67"/>
        <v>16727.272727272728</v>
      </c>
      <c r="T53" s="214">
        <f>SUM(O53:R53)</f>
        <v>16727.272727272728</v>
      </c>
      <c r="U53" s="832">
        <f>SUM(O53:R53)</f>
        <v>16727.272727272728</v>
      </c>
      <c r="V53" s="74">
        <v>0</v>
      </c>
      <c r="W53" s="74"/>
      <c r="X53" s="74"/>
      <c r="Y53" s="74"/>
      <c r="Z53" s="74"/>
      <c r="AA53" s="74"/>
      <c r="AB53" s="74"/>
      <c r="AC53" s="74"/>
      <c r="AD53" s="74"/>
      <c r="AE53" s="74">
        <v>0</v>
      </c>
      <c r="AF53" s="74">
        <v>0</v>
      </c>
      <c r="AG53" s="74">
        <v>0</v>
      </c>
      <c r="AH53" s="74">
        <v>0</v>
      </c>
      <c r="AI53" s="74"/>
      <c r="AJ53" s="53">
        <f t="shared" si="61"/>
        <v>0</v>
      </c>
      <c r="AK53" s="107"/>
      <c r="AL53" s="107"/>
      <c r="AM53" s="107"/>
      <c r="AN53" s="107"/>
      <c r="AO53" s="107"/>
      <c r="AP53" s="107"/>
      <c r="AQ53" s="107"/>
      <c r="AR53" s="107"/>
      <c r="AS53" s="107"/>
      <c r="AT53" s="107"/>
      <c r="AU53" s="107"/>
      <c r="AV53" s="107"/>
      <c r="AW53" s="107"/>
      <c r="AX53" s="107"/>
      <c r="AY53" s="107"/>
    </row>
    <row r="54" spans="1:51" ht="21" hidden="1" customHeight="1">
      <c r="A54" s="168">
        <v>53</v>
      </c>
      <c r="B54" s="61" t="s">
        <v>254</v>
      </c>
      <c r="C54" s="61" t="s">
        <v>79</v>
      </c>
      <c r="D54" s="62">
        <v>6000</v>
      </c>
      <c r="E54" s="62">
        <v>10000</v>
      </c>
      <c r="F54" s="63" t="s">
        <v>253</v>
      </c>
      <c r="G54" s="767" t="s">
        <v>30</v>
      </c>
      <c r="H54" s="767">
        <v>10000</v>
      </c>
      <c r="I54" s="767">
        <v>10000</v>
      </c>
      <c r="J54" s="767">
        <v>8000</v>
      </c>
      <c r="K54" s="767">
        <v>5000</v>
      </c>
      <c r="L54" s="767">
        <v>3000</v>
      </c>
      <c r="M54" s="767">
        <v>5000</v>
      </c>
      <c r="N54" s="767">
        <v>0</v>
      </c>
      <c r="O54" s="767">
        <v>3000</v>
      </c>
      <c r="P54" s="570">
        <v>7000</v>
      </c>
      <c r="Q54" s="570">
        <v>10000</v>
      </c>
      <c r="R54" s="570">
        <f>E54/21*14</f>
        <v>6666.666666666667</v>
      </c>
      <c r="S54" s="214">
        <f t="shared" si="67"/>
        <v>67666.666666666672</v>
      </c>
      <c r="T54" s="214">
        <f>SUM(H54:R54)</f>
        <v>67666.666666666672</v>
      </c>
      <c r="U54" s="832">
        <f>SUM(H54:R54)</f>
        <v>67666.666666666672</v>
      </c>
      <c r="V54" s="74">
        <v>0</v>
      </c>
      <c r="W54" s="74">
        <v>0</v>
      </c>
      <c r="X54" s="74">
        <v>0</v>
      </c>
      <c r="Y54" s="74">
        <v>0</v>
      </c>
      <c r="Z54" s="74">
        <v>0</v>
      </c>
      <c r="AA54" s="74">
        <v>0</v>
      </c>
      <c r="AB54" s="74">
        <v>0</v>
      </c>
      <c r="AC54" s="74">
        <v>0</v>
      </c>
      <c r="AD54" s="74">
        <v>0</v>
      </c>
      <c r="AE54" s="74">
        <v>0</v>
      </c>
      <c r="AF54" s="74">
        <v>0</v>
      </c>
      <c r="AG54" s="74">
        <v>0</v>
      </c>
      <c r="AH54" s="74">
        <v>0</v>
      </c>
      <c r="AI54" s="74"/>
      <c r="AJ54" s="53">
        <f t="shared" si="61"/>
        <v>0</v>
      </c>
      <c r="AK54" s="107"/>
      <c r="AL54" s="107"/>
      <c r="AM54" s="107"/>
      <c r="AN54" s="107"/>
      <c r="AO54" s="107"/>
      <c r="AP54" s="107"/>
      <c r="AQ54" s="107"/>
      <c r="AR54" s="107"/>
      <c r="AS54" s="107"/>
      <c r="AT54" s="107"/>
      <c r="AU54" s="107"/>
      <c r="AV54" s="107"/>
      <c r="AW54" s="107"/>
      <c r="AX54" s="107"/>
      <c r="AY54" s="107"/>
    </row>
    <row r="55" spans="1:51" ht="21" hidden="1" customHeight="1">
      <c r="A55" s="168">
        <v>54</v>
      </c>
      <c r="B55" s="61" t="s">
        <v>255</v>
      </c>
      <c r="C55" s="62" t="s">
        <v>224</v>
      </c>
      <c r="D55" s="62">
        <v>6000</v>
      </c>
      <c r="E55" s="62">
        <v>10000</v>
      </c>
      <c r="F55" s="63" t="s">
        <v>167</v>
      </c>
      <c r="G55" s="767" t="s">
        <v>30</v>
      </c>
      <c r="H55" s="767" t="s">
        <v>30</v>
      </c>
      <c r="I55" s="767" t="s">
        <v>30</v>
      </c>
      <c r="J55" s="767" t="s">
        <v>30</v>
      </c>
      <c r="K55" s="767" t="s">
        <v>30</v>
      </c>
      <c r="L55" s="767">
        <v>10000</v>
      </c>
      <c r="M55" s="767">
        <v>10000</v>
      </c>
      <c r="N55" s="767">
        <v>10000</v>
      </c>
      <c r="O55" s="767">
        <v>10000</v>
      </c>
      <c r="P55" s="570">
        <v>10000</v>
      </c>
      <c r="Q55" s="570">
        <v>8000</v>
      </c>
      <c r="R55" s="570">
        <f>E55/21*6</f>
        <v>2857.1428571428573</v>
      </c>
      <c r="S55" s="214">
        <f t="shared" si="67"/>
        <v>60857.142857142855</v>
      </c>
      <c r="T55" s="214">
        <f>SUM(L55:R55)</f>
        <v>60857.142857142855</v>
      </c>
      <c r="U55" s="832">
        <f>SUM(L55:R55)</f>
        <v>60857.142857142855</v>
      </c>
      <c r="V55" s="74">
        <v>0</v>
      </c>
      <c r="W55" s="74"/>
      <c r="X55" s="74"/>
      <c r="Y55" s="74"/>
      <c r="Z55" s="74"/>
      <c r="AA55" s="74"/>
      <c r="AB55" s="74">
        <v>0</v>
      </c>
      <c r="AC55" s="74">
        <v>0</v>
      </c>
      <c r="AD55" s="74">
        <v>0</v>
      </c>
      <c r="AE55" s="74">
        <v>0</v>
      </c>
      <c r="AF55" s="74">
        <v>0</v>
      </c>
      <c r="AG55" s="74">
        <v>0</v>
      </c>
      <c r="AH55" s="74">
        <v>0</v>
      </c>
      <c r="AI55" s="74"/>
      <c r="AJ55" s="53">
        <f t="shared" si="61"/>
        <v>0</v>
      </c>
      <c r="AK55" s="107"/>
      <c r="AL55" s="107"/>
      <c r="AM55" s="107"/>
      <c r="AN55" s="107"/>
      <c r="AO55" s="107"/>
      <c r="AP55" s="107"/>
      <c r="AQ55" s="107"/>
      <c r="AR55" s="107"/>
      <c r="AS55" s="107"/>
      <c r="AT55" s="107"/>
      <c r="AU55" s="107"/>
      <c r="AV55" s="107"/>
      <c r="AW55" s="107"/>
      <c r="AX55" s="107"/>
      <c r="AY55" s="108"/>
    </row>
    <row r="56" spans="1:51" ht="21" hidden="1" customHeight="1">
      <c r="A56" s="168">
        <v>55</v>
      </c>
      <c r="B56" s="61" t="s">
        <v>96</v>
      </c>
      <c r="C56" s="62" t="s">
        <v>224</v>
      </c>
      <c r="D56" s="62">
        <v>47000</v>
      </c>
      <c r="E56" s="62">
        <v>5000</v>
      </c>
      <c r="F56" s="63" t="s">
        <v>167</v>
      </c>
      <c r="G56" s="767">
        <v>5000</v>
      </c>
      <c r="H56" s="767">
        <v>2000</v>
      </c>
      <c r="I56" s="767">
        <v>5000</v>
      </c>
      <c r="J56" s="767">
        <v>5000</v>
      </c>
      <c r="K56" s="767">
        <v>5000</v>
      </c>
      <c r="L56" s="767">
        <v>4000</v>
      </c>
      <c r="M56" s="767">
        <v>5000</v>
      </c>
      <c r="N56" s="767">
        <f>E56/23*18</f>
        <v>3913.0434782608695</v>
      </c>
      <c r="O56" s="767">
        <v>5000</v>
      </c>
      <c r="P56" s="570">
        <v>3500</v>
      </c>
      <c r="Q56" s="570">
        <v>4000</v>
      </c>
      <c r="R56" s="570">
        <v>5000</v>
      </c>
      <c r="S56" s="214">
        <f t="shared" si="67"/>
        <v>52413.043478260872</v>
      </c>
      <c r="T56" s="214">
        <f>D56*2</f>
        <v>94000</v>
      </c>
      <c r="U56" s="832">
        <f>SUM(P56:R56)</f>
        <v>12500</v>
      </c>
      <c r="V56" s="74">
        <f>'Hold bonus paid sheet'!C4</f>
        <v>63454</v>
      </c>
      <c r="W56" s="40">
        <v>0</v>
      </c>
      <c r="X56" s="74">
        <v>0</v>
      </c>
      <c r="Y56" s="74">
        <v>0</v>
      </c>
      <c r="Z56" s="214">
        <f t="shared" ref="Z56:AE56" si="69">J56</f>
        <v>5000</v>
      </c>
      <c r="AA56" s="214">
        <f t="shared" si="69"/>
        <v>5000</v>
      </c>
      <c r="AB56" s="214">
        <f t="shared" si="69"/>
        <v>4000</v>
      </c>
      <c r="AC56" s="214">
        <f t="shared" si="69"/>
        <v>5000</v>
      </c>
      <c r="AD56" s="83">
        <f t="shared" si="69"/>
        <v>3913.0434782608695</v>
      </c>
      <c r="AE56" s="214">
        <f t="shared" si="69"/>
        <v>5000</v>
      </c>
      <c r="AF56" s="74">
        <v>0</v>
      </c>
      <c r="AG56" s="74">
        <v>0</v>
      </c>
      <c r="AH56" s="74">
        <v>0</v>
      </c>
      <c r="AI56" s="74"/>
      <c r="AJ56" s="53">
        <f t="shared" si="61"/>
        <v>27913.043478260868</v>
      </c>
      <c r="AK56" s="107"/>
      <c r="AL56" s="107"/>
      <c r="AM56" s="107"/>
      <c r="AN56" s="107"/>
      <c r="AR56" s="108"/>
      <c r="AS56" s="108"/>
      <c r="AT56" s="108"/>
      <c r="AU56" s="108"/>
      <c r="AV56" s="108"/>
      <c r="AW56" s="108"/>
      <c r="AX56" s="108"/>
      <c r="AY56" s="107"/>
    </row>
    <row r="57" spans="1:51" ht="21" hidden="1" customHeight="1">
      <c r="A57" s="168">
        <v>56</v>
      </c>
      <c r="B57" s="790" t="s">
        <v>256</v>
      </c>
      <c r="C57" s="62" t="s">
        <v>224</v>
      </c>
      <c r="D57" s="62">
        <v>6000</v>
      </c>
      <c r="E57" s="62">
        <v>10000</v>
      </c>
      <c r="F57" s="63" t="s">
        <v>167</v>
      </c>
      <c r="G57" s="767" t="s">
        <v>30</v>
      </c>
      <c r="H57" s="767" t="s">
        <v>30</v>
      </c>
      <c r="I57" s="767">
        <v>8000</v>
      </c>
      <c r="J57" s="767">
        <v>10000</v>
      </c>
      <c r="K57" s="767">
        <v>10000</v>
      </c>
      <c r="L57" s="767">
        <v>10000</v>
      </c>
      <c r="M57" s="767">
        <v>10000</v>
      </c>
      <c r="N57" s="767">
        <v>9000</v>
      </c>
      <c r="O57" s="767">
        <v>10000</v>
      </c>
      <c r="P57" s="570">
        <v>9000</v>
      </c>
      <c r="Q57" s="570">
        <v>8000</v>
      </c>
      <c r="R57" s="819">
        <f>E57/21*6</f>
        <v>2857.1428571428573</v>
      </c>
      <c r="S57" s="853">
        <f t="shared" si="67"/>
        <v>86857.142857142855</v>
      </c>
      <c r="T57" s="214">
        <f>SUM(I57:R57)</f>
        <v>86857.142857142855</v>
      </c>
      <c r="U57" s="854">
        <f>SUM(I57:R57)</f>
        <v>86857.142857142855</v>
      </c>
      <c r="V57" s="74">
        <v>0</v>
      </c>
      <c r="W57" s="74">
        <v>0</v>
      </c>
      <c r="X57" s="74">
        <v>0</v>
      </c>
      <c r="Y57" s="74">
        <v>0</v>
      </c>
      <c r="Z57" s="74">
        <v>0</v>
      </c>
      <c r="AA57" s="74">
        <v>0</v>
      </c>
      <c r="AB57" s="860">
        <v>0</v>
      </c>
      <c r="AC57" s="860">
        <v>0</v>
      </c>
      <c r="AD57" s="74">
        <v>0</v>
      </c>
      <c r="AE57" s="860">
        <v>0</v>
      </c>
      <c r="AF57" s="860">
        <v>0</v>
      </c>
      <c r="AG57" s="860">
        <v>0</v>
      </c>
      <c r="AH57" s="74">
        <v>0</v>
      </c>
      <c r="AI57" s="860"/>
      <c r="AJ57" s="53">
        <f t="shared" si="61"/>
        <v>0</v>
      </c>
      <c r="AK57" s="107"/>
      <c r="AL57" s="107"/>
      <c r="AM57" s="107"/>
      <c r="AN57" s="107"/>
      <c r="AO57" s="107"/>
      <c r="AP57" s="107"/>
      <c r="AQ57" s="107"/>
      <c r="AR57" s="107"/>
      <c r="AS57" s="107"/>
      <c r="AT57" s="107"/>
      <c r="AU57" s="107"/>
      <c r="AV57" s="107"/>
      <c r="AW57" s="107"/>
      <c r="AX57" s="107"/>
    </row>
    <row r="58" spans="1:51" ht="21" hidden="1" customHeight="1">
      <c r="A58" s="168">
        <v>57</v>
      </c>
      <c r="B58" s="791" t="s">
        <v>98</v>
      </c>
      <c r="C58" s="791" t="s">
        <v>224</v>
      </c>
      <c r="D58" s="792">
        <v>30000</v>
      </c>
      <c r="E58" s="793">
        <v>5000</v>
      </c>
      <c r="F58" s="794" t="s">
        <v>167</v>
      </c>
      <c r="G58" s="795">
        <v>5000</v>
      </c>
      <c r="H58" s="795">
        <v>0</v>
      </c>
      <c r="I58" s="795">
        <v>2500</v>
      </c>
      <c r="J58" s="795">
        <v>5000</v>
      </c>
      <c r="K58" s="795">
        <v>4000</v>
      </c>
      <c r="L58" s="795">
        <v>4000</v>
      </c>
      <c r="M58" s="795">
        <v>5000</v>
      </c>
      <c r="N58" s="795">
        <v>4000</v>
      </c>
      <c r="O58" s="795">
        <v>5000</v>
      </c>
      <c r="P58" s="811">
        <v>2500</v>
      </c>
      <c r="Q58" s="812">
        <f>5000/23*14</f>
        <v>3043.4782608695655</v>
      </c>
      <c r="R58" s="812">
        <v>5000</v>
      </c>
      <c r="S58" s="855">
        <f t="shared" si="67"/>
        <v>45043.478260869568</v>
      </c>
      <c r="T58" s="855">
        <f t="shared" ref="T58:T63" si="70">D58*2</f>
        <v>60000</v>
      </c>
      <c r="U58" s="824">
        <f>SUM(G58:L58)+'2020'!AH25+'2021'!AL46</f>
        <v>61339.130434782608</v>
      </c>
      <c r="V58" s="25">
        <v>0</v>
      </c>
      <c r="W58" s="856">
        <v>0</v>
      </c>
      <c r="X58" s="857">
        <v>0</v>
      </c>
      <c r="Y58" s="857">
        <v>0</v>
      </c>
      <c r="Z58" s="857">
        <v>0</v>
      </c>
      <c r="AA58" s="857">
        <v>0</v>
      </c>
      <c r="AB58" s="857">
        <v>0</v>
      </c>
      <c r="AC58" s="855">
        <f>M58</f>
        <v>5000</v>
      </c>
      <c r="AD58" s="25">
        <v>0</v>
      </c>
      <c r="AE58" s="855">
        <f t="shared" ref="AE58:AH58" si="71">O58</f>
        <v>5000</v>
      </c>
      <c r="AF58" s="864">
        <f t="shared" si="71"/>
        <v>2500</v>
      </c>
      <c r="AG58" s="864">
        <f t="shared" si="71"/>
        <v>3043.4782608695655</v>
      </c>
      <c r="AH58" s="876">
        <f t="shared" si="71"/>
        <v>5000</v>
      </c>
      <c r="AI58" s="857" t="s">
        <v>200</v>
      </c>
      <c r="AJ58" s="53">
        <f t="shared" si="61"/>
        <v>20543.478260869568</v>
      </c>
      <c r="AK58" s="108"/>
      <c r="AL58" s="108"/>
      <c r="AM58" s="108"/>
      <c r="AN58" s="107"/>
      <c r="AO58" s="107"/>
      <c r="AP58" s="107"/>
      <c r="AQ58" s="107"/>
      <c r="AR58" s="107"/>
      <c r="AS58" s="107"/>
      <c r="AT58" s="107"/>
      <c r="AU58" s="107"/>
      <c r="AV58" s="107"/>
      <c r="AW58" s="107"/>
      <c r="AX58" s="107"/>
    </row>
    <row r="59" spans="1:51" ht="21" hidden="1" customHeight="1">
      <c r="A59" s="168">
        <v>58</v>
      </c>
      <c r="B59" s="796" t="s">
        <v>257</v>
      </c>
      <c r="C59" s="797" t="s">
        <v>224</v>
      </c>
      <c r="D59" s="798">
        <v>25000</v>
      </c>
      <c r="E59" s="62">
        <v>5000</v>
      </c>
      <c r="F59" s="799" t="s">
        <v>167</v>
      </c>
      <c r="G59" s="800">
        <v>4000</v>
      </c>
      <c r="H59" s="800">
        <v>4000</v>
      </c>
      <c r="I59" s="800">
        <f>4000/20*15.5</f>
        <v>3100</v>
      </c>
      <c r="J59" s="800">
        <v>3000</v>
      </c>
      <c r="K59" s="800">
        <v>3000</v>
      </c>
      <c r="L59" s="800">
        <f>4000/23*15</f>
        <v>2608.695652173913</v>
      </c>
      <c r="M59" s="800">
        <f>4000/20*13</f>
        <v>2600</v>
      </c>
      <c r="N59" s="800">
        <v>3500</v>
      </c>
      <c r="O59" s="800">
        <f>E59/22*16.5</f>
        <v>3750</v>
      </c>
      <c r="P59" s="820">
        <v>4000</v>
      </c>
      <c r="Q59" s="820">
        <v>3000</v>
      </c>
      <c r="R59" s="820">
        <v>3000</v>
      </c>
      <c r="S59" s="858">
        <f t="shared" si="67"/>
        <v>39558.695652173912</v>
      </c>
      <c r="T59" s="858">
        <f t="shared" si="70"/>
        <v>50000</v>
      </c>
      <c r="U59" s="832">
        <f>SUM(P59:R59)</f>
        <v>10000</v>
      </c>
      <c r="V59" s="74">
        <f>'Hold bonus paid sheet'!C3</f>
        <v>26100</v>
      </c>
      <c r="W59" s="859">
        <v>4000</v>
      </c>
      <c r="X59" s="107">
        <v>4000</v>
      </c>
      <c r="Y59" s="107">
        <v>3100</v>
      </c>
      <c r="Z59" s="107">
        <v>3000</v>
      </c>
      <c r="AA59" s="858">
        <f t="shared" ref="AA59:AH59" si="72">K59</f>
        <v>3000</v>
      </c>
      <c r="AB59" s="865">
        <f t="shared" si="72"/>
        <v>2608.695652173913</v>
      </c>
      <c r="AC59" s="858">
        <f t="shared" si="72"/>
        <v>2600</v>
      </c>
      <c r="AD59" s="865">
        <f t="shared" si="72"/>
        <v>3500</v>
      </c>
      <c r="AE59" s="858">
        <f t="shared" si="72"/>
        <v>3750</v>
      </c>
      <c r="AF59" s="858">
        <f t="shared" si="72"/>
        <v>4000</v>
      </c>
      <c r="AG59" s="858">
        <f t="shared" si="72"/>
        <v>3000</v>
      </c>
      <c r="AH59" s="858">
        <f t="shared" si="72"/>
        <v>3000</v>
      </c>
      <c r="AI59" s="107"/>
      <c r="AJ59" s="53">
        <f t="shared" si="61"/>
        <v>39558.695652173912</v>
      </c>
      <c r="AK59" s="107"/>
      <c r="AL59" s="107"/>
      <c r="AM59" s="107"/>
      <c r="AN59" s="107"/>
      <c r="AO59" s="107"/>
      <c r="AP59" s="107"/>
      <c r="AQ59" s="107"/>
      <c r="AR59" s="107"/>
      <c r="AS59" s="107"/>
      <c r="AT59" s="107"/>
      <c r="AU59" s="107"/>
      <c r="AV59" s="107"/>
      <c r="AW59" s="107"/>
      <c r="AX59" s="107"/>
    </row>
    <row r="60" spans="1:51" ht="21" hidden="1" customHeight="1">
      <c r="A60" s="168">
        <v>59</v>
      </c>
      <c r="B60" s="59" t="s">
        <v>97</v>
      </c>
      <c r="C60" s="60" t="s">
        <v>224</v>
      </c>
      <c r="D60" s="60">
        <v>30000</v>
      </c>
      <c r="E60" s="763">
        <v>5000</v>
      </c>
      <c r="F60" s="776" t="s">
        <v>167</v>
      </c>
      <c r="G60" s="777">
        <v>10000</v>
      </c>
      <c r="H60" s="777">
        <f>E60/23*8</f>
        <v>1739.1304347826087</v>
      </c>
      <c r="I60" s="777">
        <v>0</v>
      </c>
      <c r="J60" s="777">
        <v>5000</v>
      </c>
      <c r="K60" s="777">
        <v>5000</v>
      </c>
      <c r="L60" s="777">
        <f>E60/23*11</f>
        <v>2391.304347826087</v>
      </c>
      <c r="M60" s="777">
        <f>E60/20*16</f>
        <v>4000</v>
      </c>
      <c r="N60" s="777">
        <v>5000</v>
      </c>
      <c r="O60" s="777">
        <v>5000</v>
      </c>
      <c r="P60" s="811">
        <v>3500</v>
      </c>
      <c r="Q60" s="811">
        <v>5000</v>
      </c>
      <c r="R60" s="535">
        <v>5000</v>
      </c>
      <c r="S60" s="222">
        <f t="shared" si="67"/>
        <v>51630.434782608696</v>
      </c>
      <c r="T60" s="222">
        <f t="shared" si="70"/>
        <v>60000</v>
      </c>
      <c r="U60" s="824">
        <f>SUM(H60:N60)+'2021'!AL45</f>
        <v>28630.434782608696</v>
      </c>
      <c r="V60" s="25">
        <v>0</v>
      </c>
      <c r="W60" s="25">
        <v>10000</v>
      </c>
      <c r="X60" s="25">
        <v>0</v>
      </c>
      <c r="Y60" s="222">
        <f>I60</f>
        <v>0</v>
      </c>
      <c r="Z60" s="25">
        <v>0</v>
      </c>
      <c r="AA60" s="25">
        <v>0</v>
      </c>
      <c r="AB60" s="25">
        <v>0</v>
      </c>
      <c r="AC60" s="25">
        <v>0</v>
      </c>
      <c r="AD60" s="25">
        <v>0</v>
      </c>
      <c r="AE60" s="222">
        <f t="shared" ref="AE60:AF60" si="73">O60</f>
        <v>5000</v>
      </c>
      <c r="AF60" s="222">
        <f t="shared" si="73"/>
        <v>3500</v>
      </c>
      <c r="AG60" s="80">
        <v>0</v>
      </c>
      <c r="AH60" s="25">
        <v>0</v>
      </c>
      <c r="AI60" s="98"/>
      <c r="AJ60" s="53">
        <f t="shared" si="61"/>
        <v>18500</v>
      </c>
      <c r="AK60" s="25"/>
      <c r="AL60" s="25"/>
      <c r="AM60" s="25"/>
      <c r="AN60" s="25"/>
      <c r="AO60" s="74"/>
      <c r="AP60" s="74"/>
      <c r="AQ60" s="74"/>
      <c r="AR60" s="74"/>
      <c r="AS60" s="107"/>
      <c r="AT60" s="107"/>
      <c r="AU60" s="107"/>
      <c r="AV60" s="107"/>
      <c r="AW60" s="107"/>
      <c r="AX60" s="107"/>
      <c r="AY60" s="107"/>
    </row>
    <row r="61" spans="1:51" ht="21" hidden="1" customHeight="1">
      <c r="A61" s="168">
        <v>60</v>
      </c>
      <c r="B61" s="61" t="s">
        <v>258</v>
      </c>
      <c r="C61" s="61" t="s">
        <v>235</v>
      </c>
      <c r="D61" s="123">
        <v>6000</v>
      </c>
      <c r="E61" s="801">
        <v>10000</v>
      </c>
      <c r="F61" s="769" t="s">
        <v>162</v>
      </c>
      <c r="G61" s="770" t="s">
        <v>30</v>
      </c>
      <c r="H61" s="770" t="s">
        <v>30</v>
      </c>
      <c r="I61" s="770" t="s">
        <v>30</v>
      </c>
      <c r="J61" s="770">
        <f>E61/21*14</f>
        <v>6666.666666666667</v>
      </c>
      <c r="K61" s="770">
        <v>10000</v>
      </c>
      <c r="L61" s="770">
        <v>10000</v>
      </c>
      <c r="M61" s="770">
        <v>6000</v>
      </c>
      <c r="N61" s="770">
        <v>10000</v>
      </c>
      <c r="O61" s="770">
        <v>10000</v>
      </c>
      <c r="P61" s="570">
        <v>10000</v>
      </c>
      <c r="Q61" s="570">
        <v>0</v>
      </c>
      <c r="R61" s="570">
        <f>E61/21*15</f>
        <v>7142.8571428571431</v>
      </c>
      <c r="S61" s="214">
        <f t="shared" si="67"/>
        <v>69809.523809523816</v>
      </c>
      <c r="T61" s="214">
        <f t="shared" si="70"/>
        <v>12000</v>
      </c>
      <c r="U61" s="838">
        <f>SUM(J61:R61)</f>
        <v>69809.523809523816</v>
      </c>
      <c r="V61" s="74">
        <v>0</v>
      </c>
      <c r="W61" s="74">
        <v>0</v>
      </c>
      <c r="X61" s="74">
        <v>0</v>
      </c>
      <c r="Y61" s="74">
        <v>0</v>
      </c>
      <c r="Z61" s="74">
        <v>0</v>
      </c>
      <c r="AA61" s="74">
        <v>0</v>
      </c>
      <c r="AB61" s="74">
        <v>0</v>
      </c>
      <c r="AC61" s="74">
        <v>0</v>
      </c>
      <c r="AD61" s="74">
        <v>0</v>
      </c>
      <c r="AE61" s="74">
        <v>0</v>
      </c>
      <c r="AF61" s="74">
        <v>0</v>
      </c>
      <c r="AG61" s="74">
        <v>0</v>
      </c>
      <c r="AH61" s="74">
        <v>0</v>
      </c>
      <c r="AI61" s="107"/>
      <c r="AJ61" s="53">
        <f t="shared" si="61"/>
        <v>0</v>
      </c>
      <c r="AK61" s="74"/>
      <c r="AL61" s="74"/>
      <c r="AM61" s="74"/>
      <c r="AN61" s="74"/>
      <c r="AO61" s="74"/>
      <c r="AP61" s="74"/>
      <c r="AQ61" s="74"/>
      <c r="AR61" s="846"/>
      <c r="AS61" s="875"/>
      <c r="AT61" s="875"/>
      <c r="AU61" s="875"/>
      <c r="AV61" s="875"/>
      <c r="AW61" s="875"/>
      <c r="AX61" s="875"/>
      <c r="AY61" s="107"/>
    </row>
    <row r="62" spans="1:51" ht="21" hidden="1" customHeight="1">
      <c r="A62" s="168">
        <v>61</v>
      </c>
      <c r="B62" s="790" t="s">
        <v>259</v>
      </c>
      <c r="C62" s="790" t="s">
        <v>235</v>
      </c>
      <c r="D62" s="797">
        <v>6000</v>
      </c>
      <c r="E62" s="802">
        <v>10000</v>
      </c>
      <c r="F62" s="803" t="s">
        <v>162</v>
      </c>
      <c r="G62" s="804" t="s">
        <v>30</v>
      </c>
      <c r="H62" s="804" t="s">
        <v>30</v>
      </c>
      <c r="I62" s="804">
        <v>8000</v>
      </c>
      <c r="J62" s="804">
        <f>E62/21*16</f>
        <v>7619.0476190476193</v>
      </c>
      <c r="K62" s="804">
        <v>10000</v>
      </c>
      <c r="L62" s="804">
        <f>E62/23*17</f>
        <v>7391.304347826087</v>
      </c>
      <c r="M62" s="804">
        <v>6000</v>
      </c>
      <c r="N62" s="804">
        <v>10000</v>
      </c>
      <c r="O62" s="804">
        <v>10000</v>
      </c>
      <c r="P62" s="570">
        <v>10000</v>
      </c>
      <c r="Q62" s="570">
        <v>10000</v>
      </c>
      <c r="R62" s="570">
        <v>10000</v>
      </c>
      <c r="S62" s="214">
        <f t="shared" si="67"/>
        <v>89010.351966873714</v>
      </c>
      <c r="T62" s="214">
        <f t="shared" si="70"/>
        <v>12000</v>
      </c>
      <c r="U62" s="832">
        <f>SUM(I62:R62)</f>
        <v>89010.351966873714</v>
      </c>
      <c r="V62" s="74">
        <v>0</v>
      </c>
      <c r="W62" s="860">
        <v>0</v>
      </c>
      <c r="X62" s="860">
        <v>0</v>
      </c>
      <c r="Y62" s="860">
        <v>0</v>
      </c>
      <c r="Z62" s="860">
        <v>0</v>
      </c>
      <c r="AA62" s="860">
        <v>0</v>
      </c>
      <c r="AB62" s="860">
        <v>0</v>
      </c>
      <c r="AC62" s="860">
        <v>0</v>
      </c>
      <c r="AD62" s="860">
        <v>0</v>
      </c>
      <c r="AE62" s="74">
        <v>0</v>
      </c>
      <c r="AF62" s="860">
        <v>0</v>
      </c>
      <c r="AG62" s="74">
        <v>0</v>
      </c>
      <c r="AH62" s="74">
        <v>0</v>
      </c>
      <c r="AI62" s="107"/>
      <c r="AJ62" s="53">
        <f t="shared" si="61"/>
        <v>0</v>
      </c>
      <c r="AK62" s="860"/>
      <c r="AL62" s="860"/>
      <c r="AM62" s="860"/>
      <c r="AN62" s="860"/>
      <c r="AO62" s="860"/>
      <c r="AP62" s="860"/>
      <c r="AQ62" s="860"/>
      <c r="AR62" s="860"/>
      <c r="AS62" s="107"/>
      <c r="AT62" s="107"/>
      <c r="AU62" s="107"/>
      <c r="AV62" s="107"/>
      <c r="AW62" s="107"/>
      <c r="AX62" s="107"/>
      <c r="AY62" s="107"/>
    </row>
    <row r="63" spans="1:51" ht="21" customHeight="1">
      <c r="A63" s="168">
        <v>62</v>
      </c>
      <c r="B63" s="790" t="s">
        <v>260</v>
      </c>
      <c r="C63" s="790" t="s">
        <v>235</v>
      </c>
      <c r="D63" s="797">
        <v>6000</v>
      </c>
      <c r="E63" s="802">
        <v>10000</v>
      </c>
      <c r="F63" s="63" t="s">
        <v>162</v>
      </c>
      <c r="G63" s="767" t="s">
        <v>30</v>
      </c>
      <c r="H63" s="767" t="s">
        <v>30</v>
      </c>
      <c r="I63" s="767" t="s">
        <v>30</v>
      </c>
      <c r="J63" s="767" t="s">
        <v>30</v>
      </c>
      <c r="K63" s="767" t="s">
        <v>30</v>
      </c>
      <c r="L63" s="767" t="s">
        <v>30</v>
      </c>
      <c r="M63" s="767" t="s">
        <v>30</v>
      </c>
      <c r="N63" s="767">
        <v>10000</v>
      </c>
      <c r="O63" s="767">
        <v>10000</v>
      </c>
      <c r="P63" s="819">
        <v>10000</v>
      </c>
      <c r="Q63" s="570">
        <v>10000</v>
      </c>
      <c r="R63" s="570">
        <v>10000</v>
      </c>
      <c r="S63" s="214">
        <f t="shared" si="67"/>
        <v>50000</v>
      </c>
      <c r="T63" s="214">
        <f t="shared" si="70"/>
        <v>12000</v>
      </c>
      <c r="U63" s="832">
        <f>SUM(K63:R63)</f>
        <v>50000</v>
      </c>
      <c r="V63" s="74">
        <v>0</v>
      </c>
      <c r="W63" s="74">
        <v>0</v>
      </c>
      <c r="X63" s="74">
        <v>0</v>
      </c>
      <c r="Y63" s="74">
        <v>0</v>
      </c>
      <c r="Z63" s="74">
        <v>0</v>
      </c>
      <c r="AA63" s="74">
        <v>0</v>
      </c>
      <c r="AB63" s="74">
        <v>0</v>
      </c>
      <c r="AC63" s="74">
        <v>0</v>
      </c>
      <c r="AD63" s="74">
        <v>0</v>
      </c>
      <c r="AE63" s="74">
        <v>0</v>
      </c>
      <c r="AF63" s="74">
        <v>0</v>
      </c>
      <c r="AG63" s="74">
        <v>0</v>
      </c>
      <c r="AH63" s="74">
        <v>0</v>
      </c>
      <c r="AI63" s="107"/>
      <c r="AJ63" s="53">
        <f t="shared" si="61"/>
        <v>0</v>
      </c>
      <c r="AK63" s="860"/>
      <c r="AL63" s="860"/>
      <c r="AM63" s="860"/>
      <c r="AN63" s="860"/>
      <c r="AO63" s="696"/>
      <c r="AP63" s="696"/>
      <c r="AQ63" s="696"/>
      <c r="AR63" s="860"/>
      <c r="AS63" s="107"/>
      <c r="AT63" s="107"/>
      <c r="AU63" s="107"/>
      <c r="AV63" s="107"/>
      <c r="AW63" s="107"/>
      <c r="AX63" s="107"/>
      <c r="AY63" s="107"/>
    </row>
    <row r="64" spans="1:51" ht="21" hidden="1" customHeight="1">
      <c r="A64" s="805"/>
      <c r="B64" s="806" t="s">
        <v>126</v>
      </c>
      <c r="C64" s="807"/>
      <c r="D64" s="808">
        <f t="shared" ref="D64:O64" si="74">SUM(D2:D63)</f>
        <v>1027000</v>
      </c>
      <c r="E64" s="808">
        <f t="shared" si="74"/>
        <v>468000</v>
      </c>
      <c r="F64" s="808">
        <f t="shared" si="74"/>
        <v>0</v>
      </c>
      <c r="G64" s="808">
        <f t="shared" si="74"/>
        <v>166591</v>
      </c>
      <c r="H64" s="808">
        <f t="shared" si="74"/>
        <v>186934.52173913046</v>
      </c>
      <c r="I64" s="808">
        <f t="shared" si="74"/>
        <v>205250</v>
      </c>
      <c r="J64" s="808">
        <f t="shared" si="74"/>
        <v>233452.57142857145</v>
      </c>
      <c r="K64" s="808">
        <f t="shared" si="74"/>
        <v>239113.63636363638</v>
      </c>
      <c r="L64" s="808">
        <f t="shared" si="74"/>
        <v>227043.47826086954</v>
      </c>
      <c r="M64" s="808">
        <f t="shared" si="74"/>
        <v>265050</v>
      </c>
      <c r="N64" s="808">
        <f t="shared" si="74"/>
        <v>291000</v>
      </c>
      <c r="O64" s="808">
        <f t="shared" si="74"/>
        <v>344659.90909090912</v>
      </c>
      <c r="P64" s="808">
        <f t="shared" ref="P64:Q64" si="75">SUM(P2:P58)</f>
        <v>315428.56857142859</v>
      </c>
      <c r="Q64" s="808">
        <f t="shared" si="75"/>
        <v>331891.30434782617</v>
      </c>
      <c r="R64" s="808"/>
      <c r="S64" s="861">
        <f t="shared" ref="S64:T64" si="76">SUM(S2:S58)</f>
        <v>2770735.552572934</v>
      </c>
      <c r="T64" s="808">
        <f t="shared" si="76"/>
        <v>2189870.1298701302</v>
      </c>
      <c r="U64" s="808"/>
      <c r="V64" s="808">
        <f t="shared" ref="V64:AG64" si="77">SUM(V2:V58)</f>
        <v>253453</v>
      </c>
      <c r="W64" s="808">
        <f t="shared" si="77"/>
        <v>62591</v>
      </c>
      <c r="X64" s="808">
        <f t="shared" si="77"/>
        <v>94195.65217391304</v>
      </c>
      <c r="Y64" s="808">
        <f t="shared" si="77"/>
        <v>103350</v>
      </c>
      <c r="Z64" s="808">
        <f t="shared" si="77"/>
        <v>122453</v>
      </c>
      <c r="AA64" s="808">
        <f t="shared" si="77"/>
        <v>124386.36363636363</v>
      </c>
      <c r="AB64" s="808">
        <f t="shared" si="77"/>
        <v>93413.043478260865</v>
      </c>
      <c r="AC64" s="808">
        <f t="shared" si="77"/>
        <v>102700</v>
      </c>
      <c r="AD64" s="808">
        <f t="shared" si="77"/>
        <v>84521.826086956513</v>
      </c>
      <c r="AE64" s="808">
        <f t="shared" si="77"/>
        <v>99455.363636363632</v>
      </c>
      <c r="AF64" s="808">
        <f t="shared" si="77"/>
        <v>88857.142857142855</v>
      </c>
      <c r="AG64" s="808">
        <f t="shared" si="77"/>
        <v>99543.478260869568</v>
      </c>
      <c r="AH64" s="808">
        <f>SUM(AH2:AH63)</f>
        <v>110746.75324675326</v>
      </c>
      <c r="AI64" s="877"/>
      <c r="AJ64" s="53">
        <f t="shared" si="61"/>
        <v>1186213.6233766235</v>
      </c>
      <c r="AK64" s="98"/>
      <c r="AL64" s="98"/>
      <c r="AM64" s="98"/>
      <c r="AN64" s="98"/>
      <c r="AO64" s="98"/>
      <c r="AP64" s="98"/>
      <c r="AQ64" s="98"/>
      <c r="AR64" s="98"/>
      <c r="AS64" s="98"/>
      <c r="AT64" s="98"/>
      <c r="AU64" s="98"/>
      <c r="AV64" s="98"/>
      <c r="AW64" s="98"/>
      <c r="AX64" s="98"/>
      <c r="AY64" s="98"/>
    </row>
    <row r="65" spans="1:36" ht="21" hidden="1" customHeight="1">
      <c r="A65" s="375"/>
      <c r="B65" s="375"/>
      <c r="C65" s="375"/>
      <c r="D65" s="375"/>
      <c r="E65" s="375"/>
      <c r="F65" s="375"/>
      <c r="G65" s="375"/>
      <c r="H65" s="375"/>
      <c r="I65" s="375"/>
      <c r="J65" s="375"/>
      <c r="K65" s="375"/>
      <c r="L65" s="375"/>
      <c r="M65" s="375"/>
      <c r="N65" s="375"/>
      <c r="O65" s="375"/>
      <c r="P65" s="375"/>
      <c r="Q65" s="375"/>
      <c r="R65" s="375"/>
      <c r="S65" s="375"/>
      <c r="T65" s="375"/>
      <c r="U65" s="879"/>
      <c r="V65" s="375"/>
      <c r="W65" s="375"/>
      <c r="X65" s="375"/>
      <c r="Y65" s="375"/>
      <c r="Z65" s="375"/>
      <c r="AA65" s="375"/>
      <c r="AB65" s="375"/>
      <c r="AC65" s="375"/>
      <c r="AD65" s="375">
        <v>4000</v>
      </c>
      <c r="AE65" s="375"/>
      <c r="AF65" s="375"/>
      <c r="AG65" s="375"/>
      <c r="AH65" s="375">
        <v>2286</v>
      </c>
      <c r="AI65" s="375"/>
      <c r="AJ65" s="375"/>
    </row>
    <row r="66" spans="1:36" ht="21" hidden="1" customHeight="1">
      <c r="A66" s="25"/>
      <c r="B66" s="25"/>
      <c r="C66" s="25"/>
      <c r="D66" s="25"/>
      <c r="E66" s="52"/>
      <c r="F66" s="25"/>
      <c r="G66" s="25"/>
      <c r="H66" s="25"/>
      <c r="I66" s="25"/>
      <c r="J66" s="25"/>
      <c r="K66" s="25"/>
      <c r="L66" s="25"/>
      <c r="M66" s="25"/>
      <c r="N66" s="25"/>
      <c r="O66" s="25"/>
      <c r="P66" s="25"/>
      <c r="Q66" s="25"/>
      <c r="R66" s="25"/>
      <c r="S66" s="25"/>
      <c r="T66" s="25"/>
      <c r="U66" s="880"/>
      <c r="V66" s="25"/>
      <c r="W66" s="25"/>
      <c r="X66" s="25"/>
      <c r="Y66" s="25"/>
      <c r="Z66" s="25"/>
      <c r="AA66" s="25"/>
      <c r="AB66" s="25"/>
      <c r="AC66" s="25"/>
      <c r="AD66" s="53">
        <f>AD2+AD3+AD4+AD5+AD6+AD9+AD8+AD10+'To beDeleted'!AE56+'To beDeleted'!AD61+'To beDeleted'!AF59+'To beDeleted'!AD60+AD20+AD21+'To beDeleted'!AE57+AD18+'To beDeleted'!AE53+AD37+AD38+AD42+AD43+AD44+AD49+AD48+AD53+AD58+AD65</f>
        <v>88695.739130434769</v>
      </c>
      <c r="AE66" s="25"/>
      <c r="AF66" s="25"/>
      <c r="AG66" s="25"/>
      <c r="AH66" s="25">
        <v>5714</v>
      </c>
      <c r="AI66" s="25"/>
      <c r="AJ66" s="25"/>
    </row>
    <row r="67" spans="1:36" ht="21" hidden="1" customHeight="1">
      <c r="A67" s="25"/>
      <c r="B67" s="25"/>
      <c r="C67" s="25"/>
      <c r="D67" s="25"/>
      <c r="E67" s="52"/>
      <c r="F67" s="25"/>
      <c r="G67" s="25"/>
      <c r="H67" s="25"/>
      <c r="I67" s="25"/>
      <c r="J67" s="25"/>
      <c r="K67" s="25"/>
      <c r="L67" s="25"/>
      <c r="M67" s="25"/>
      <c r="N67" s="25"/>
      <c r="O67" s="25"/>
      <c r="P67" s="25"/>
      <c r="Q67" s="25"/>
      <c r="R67" s="25"/>
      <c r="S67" s="25"/>
      <c r="T67" s="25"/>
      <c r="U67" s="880"/>
      <c r="V67" s="25"/>
      <c r="W67" s="25"/>
      <c r="X67" s="25"/>
      <c r="Y67" s="25"/>
      <c r="Z67" s="25"/>
      <c r="AA67" s="25"/>
      <c r="AB67" s="25"/>
      <c r="AC67" s="25"/>
      <c r="AD67" s="53"/>
      <c r="AE67" s="25"/>
      <c r="AF67" s="25"/>
      <c r="AG67" s="25"/>
      <c r="AH67" s="25">
        <v>4500</v>
      </c>
      <c r="AI67" s="25"/>
      <c r="AJ67" s="25"/>
    </row>
    <row r="68" spans="1:36" ht="21" hidden="1" customHeight="1">
      <c r="A68" s="25"/>
      <c r="B68" s="25"/>
      <c r="C68" s="25"/>
      <c r="D68" s="25"/>
      <c r="E68" s="229"/>
      <c r="F68" s="25"/>
      <c r="G68" s="25"/>
      <c r="H68" s="25"/>
      <c r="I68" s="25"/>
      <c r="J68" s="25"/>
      <c r="K68" s="25"/>
      <c r="L68" s="25"/>
      <c r="M68" s="25"/>
      <c r="N68" s="25"/>
      <c r="O68" s="25"/>
      <c r="P68" s="25"/>
      <c r="Q68" s="25"/>
      <c r="R68" s="25"/>
      <c r="S68" s="25"/>
      <c r="T68" s="25"/>
      <c r="U68" s="229"/>
      <c r="V68" s="25"/>
      <c r="W68" s="25"/>
      <c r="X68" s="25"/>
      <c r="Y68" s="25"/>
      <c r="Z68" s="25"/>
      <c r="AA68" s="25"/>
      <c r="AB68" s="25"/>
      <c r="AC68" s="25"/>
      <c r="AD68" s="25"/>
      <c r="AE68" s="25"/>
      <c r="AF68" s="25"/>
      <c r="AG68" s="25"/>
      <c r="AH68" s="25">
        <f>AH65+AH66+AH67</f>
        <v>12500</v>
      </c>
      <c r="AI68" s="25"/>
      <c r="AJ68" s="25"/>
    </row>
    <row r="69" spans="1:36" ht="21" hidden="1" customHeight="1">
      <c r="A69" s="25"/>
      <c r="B69" s="74"/>
      <c r="C69" s="25" t="s">
        <v>261</v>
      </c>
      <c r="D69" s="25"/>
      <c r="E69" s="25"/>
      <c r="F69" s="25"/>
      <c r="G69" s="25"/>
      <c r="H69" s="25"/>
      <c r="I69" s="25"/>
      <c r="J69" s="25"/>
      <c r="K69" s="25"/>
      <c r="L69" s="25"/>
      <c r="M69" s="25"/>
      <c r="N69" s="25"/>
      <c r="O69" s="25"/>
      <c r="P69" s="25"/>
      <c r="Q69" s="25"/>
      <c r="R69" s="25"/>
      <c r="S69" s="25"/>
      <c r="T69" s="25"/>
      <c r="U69" s="229"/>
      <c r="V69" s="25"/>
      <c r="W69" s="25"/>
      <c r="X69" s="229"/>
      <c r="Y69" s="25"/>
      <c r="Z69" s="25"/>
      <c r="AA69" s="25"/>
      <c r="AB69" s="25"/>
      <c r="AC69" s="25"/>
      <c r="AD69" s="25"/>
      <c r="AE69" s="25"/>
      <c r="AF69" s="25"/>
      <c r="AG69" s="25"/>
      <c r="AH69" s="229">
        <f>AH64-AH68</f>
        <v>98246.753246753258</v>
      </c>
      <c r="AI69" s="25"/>
      <c r="AJ69" s="25"/>
    </row>
    <row r="70" spans="1:36" ht="21" hidden="1" customHeight="1">
      <c r="A70" s="25"/>
      <c r="B70" s="846"/>
      <c r="C70" s="25" t="s">
        <v>262</v>
      </c>
      <c r="D70" s="25"/>
      <c r="E70" s="25"/>
      <c r="F70" s="25"/>
      <c r="G70" s="25"/>
      <c r="H70" s="25"/>
      <c r="I70" s="25"/>
      <c r="J70" s="25"/>
      <c r="K70" s="25"/>
      <c r="L70" s="25"/>
      <c r="M70" s="25"/>
      <c r="N70" s="25"/>
      <c r="O70" s="25"/>
      <c r="P70" s="25"/>
      <c r="Q70" s="25"/>
      <c r="R70" s="25"/>
      <c r="S70" s="25"/>
      <c r="T70" s="25"/>
      <c r="U70" s="229"/>
      <c r="V70" s="25"/>
      <c r="W70" s="25"/>
      <c r="X70" s="25"/>
      <c r="Y70" s="25"/>
      <c r="Z70" s="25"/>
      <c r="AA70" s="25"/>
      <c r="AB70" s="25"/>
      <c r="AC70" s="25"/>
      <c r="AD70" s="25"/>
      <c r="AE70" s="25"/>
      <c r="AF70" s="25"/>
      <c r="AG70" s="25"/>
      <c r="AH70" s="25">
        <v>13286</v>
      </c>
      <c r="AI70" s="25"/>
      <c r="AJ70" s="25"/>
    </row>
    <row r="71" spans="1:36" ht="21" hidden="1" customHeight="1">
      <c r="A71" s="25"/>
      <c r="B71" s="635"/>
      <c r="C71" s="25" t="s">
        <v>263</v>
      </c>
      <c r="D71" s="25"/>
      <c r="E71" s="25"/>
      <c r="F71" s="25"/>
      <c r="G71" s="25"/>
      <c r="H71" s="25"/>
      <c r="I71" s="25"/>
      <c r="J71" s="25"/>
      <c r="K71" s="25"/>
      <c r="L71" s="25"/>
      <c r="M71" s="25"/>
      <c r="N71" s="25"/>
      <c r="O71" s="25"/>
      <c r="P71" s="25"/>
      <c r="Q71" s="25"/>
      <c r="R71" s="25"/>
      <c r="S71" s="25"/>
      <c r="T71" s="25"/>
      <c r="U71" s="229"/>
      <c r="V71" s="25"/>
      <c r="W71" s="25"/>
      <c r="X71" s="25"/>
      <c r="Y71" s="25">
        <v>11500</v>
      </c>
      <c r="Z71" s="25"/>
      <c r="AA71" s="25"/>
      <c r="AB71" s="25"/>
      <c r="AC71" s="25"/>
      <c r="AD71" s="25"/>
      <c r="AE71" s="25"/>
      <c r="AF71" s="25"/>
      <c r="AG71" s="25"/>
      <c r="AH71" s="229">
        <f>AH70-AH69</f>
        <v>-84960.753246753258</v>
      </c>
      <c r="AI71" s="25"/>
      <c r="AJ71" s="25"/>
    </row>
    <row r="72" spans="1:36" ht="21" hidden="1" customHeight="1">
      <c r="A72" s="25"/>
      <c r="B72" s="562"/>
      <c r="C72" s="25" t="s">
        <v>264</v>
      </c>
      <c r="D72" s="25"/>
      <c r="E72" s="25"/>
      <c r="F72" s="25"/>
      <c r="G72" s="25"/>
      <c r="H72" s="25"/>
      <c r="I72" s="25"/>
      <c r="J72" s="25"/>
      <c r="K72" s="25"/>
      <c r="L72" s="25"/>
      <c r="M72" s="25"/>
      <c r="N72" s="25"/>
      <c r="O72" s="25"/>
      <c r="P72" s="25"/>
      <c r="Q72" s="25"/>
      <c r="R72" s="25"/>
      <c r="S72" s="25"/>
      <c r="T72" s="25"/>
      <c r="U72" s="229"/>
      <c r="V72" s="25"/>
      <c r="W72" s="25"/>
      <c r="X72" s="25"/>
      <c r="Y72" s="25">
        <v>24000</v>
      </c>
      <c r="Z72" s="25"/>
      <c r="AA72" s="25"/>
      <c r="AB72" s="25"/>
      <c r="AC72" s="25"/>
      <c r="AD72" s="25"/>
      <c r="AE72" s="25"/>
      <c r="AF72" s="25"/>
      <c r="AG72" s="25"/>
      <c r="AH72" s="25"/>
      <c r="AI72" s="25"/>
      <c r="AJ72" s="25"/>
    </row>
    <row r="73" spans="1:36" ht="21" hidden="1" customHeight="1">
      <c r="A73" s="25"/>
      <c r="B73" s="25"/>
      <c r="C73" s="25"/>
      <c r="D73" s="25"/>
      <c r="E73" s="25"/>
      <c r="F73" s="25"/>
      <c r="G73" s="25"/>
      <c r="H73" s="25"/>
      <c r="I73" s="25"/>
      <c r="J73" s="25"/>
      <c r="K73" s="25"/>
      <c r="L73" s="25"/>
      <c r="M73" s="25"/>
      <c r="N73" s="25"/>
      <c r="O73" s="25"/>
      <c r="P73" s="25"/>
      <c r="Q73" s="25"/>
      <c r="R73" s="25"/>
      <c r="S73" s="25"/>
      <c r="T73" s="25"/>
      <c r="U73" s="229"/>
      <c r="V73" s="25"/>
      <c r="W73" s="25"/>
      <c r="X73" s="25"/>
      <c r="Y73" s="25">
        <v>23130</v>
      </c>
      <c r="Z73" s="25"/>
      <c r="AA73" s="25"/>
      <c r="AB73" s="25"/>
      <c r="AC73" s="25"/>
      <c r="AD73" s="25"/>
      <c r="AE73" s="25"/>
      <c r="AF73" s="25"/>
      <c r="AG73" s="25"/>
      <c r="AH73" s="25"/>
      <c r="AI73" s="25"/>
      <c r="AJ73" s="25"/>
    </row>
    <row r="74" spans="1:36" ht="21" hidden="1" customHeight="1">
      <c r="A74" s="25"/>
      <c r="B74" s="25"/>
      <c r="C74" s="25"/>
      <c r="D74" s="25"/>
      <c r="E74" s="25"/>
      <c r="F74" s="25"/>
      <c r="G74" s="25"/>
      <c r="H74" s="25"/>
      <c r="I74" s="25"/>
      <c r="J74" s="25"/>
      <c r="K74" s="25"/>
      <c r="L74" s="25"/>
      <c r="M74" s="25"/>
      <c r="N74" s="25"/>
      <c r="O74" s="25"/>
      <c r="P74" s="25"/>
      <c r="Q74" s="25"/>
      <c r="R74" s="25"/>
      <c r="S74" s="25"/>
      <c r="T74" s="25"/>
      <c r="U74" s="229"/>
      <c r="V74" s="25"/>
      <c r="W74" s="25"/>
      <c r="X74" s="25"/>
      <c r="Y74" s="25">
        <f>SUM(Y71:Y73)</f>
        <v>58630</v>
      </c>
      <c r="Z74" s="25">
        <f>Y74-30000</f>
        <v>28630</v>
      </c>
      <c r="AA74" s="25"/>
      <c r="AB74" s="25"/>
      <c r="AC74" s="25"/>
      <c r="AD74" s="25"/>
      <c r="AE74" s="25"/>
      <c r="AF74" s="25"/>
      <c r="AG74" s="25"/>
      <c r="AH74" s="25"/>
      <c r="AI74" s="25"/>
      <c r="AJ74" s="25"/>
    </row>
    <row r="75" spans="1:36" ht="21" customHeight="1">
      <c r="A75" s="25"/>
      <c r="B75" s="25"/>
      <c r="C75" s="25"/>
      <c r="D75" s="25"/>
      <c r="E75" s="25"/>
      <c r="F75" s="25"/>
      <c r="G75" s="25"/>
      <c r="H75" s="25"/>
      <c r="I75" s="25"/>
      <c r="J75" s="25"/>
      <c r="K75" s="25"/>
      <c r="L75" s="25"/>
      <c r="M75" s="25"/>
      <c r="N75" s="25"/>
      <c r="O75" s="25"/>
      <c r="P75" s="25"/>
      <c r="Q75" s="25"/>
      <c r="R75" s="25"/>
      <c r="S75" s="53"/>
      <c r="T75" s="25"/>
      <c r="U75" s="229"/>
      <c r="V75" s="25"/>
      <c r="W75" s="25"/>
      <c r="X75" s="25"/>
      <c r="Y75" s="25"/>
      <c r="Z75" s="25"/>
      <c r="AA75" s="25"/>
      <c r="AB75" s="25"/>
      <c r="AC75" s="25"/>
      <c r="AD75" s="25"/>
      <c r="AE75" s="25"/>
      <c r="AF75" s="25"/>
      <c r="AG75" s="25"/>
      <c r="AH75" s="25"/>
      <c r="AI75" s="25"/>
      <c r="AJ75" s="25"/>
    </row>
    <row r="76" spans="1:36" ht="21" customHeight="1">
      <c r="A76" s="25"/>
      <c r="B76" s="25"/>
      <c r="C76" s="25"/>
      <c r="D76" s="25"/>
      <c r="E76" s="25"/>
      <c r="F76" s="25"/>
      <c r="G76" s="25"/>
      <c r="H76" s="25"/>
      <c r="I76" s="25"/>
      <c r="J76" s="25"/>
      <c r="K76" s="25"/>
      <c r="L76" s="25"/>
      <c r="M76" s="25"/>
      <c r="N76" s="25"/>
      <c r="O76" s="53"/>
      <c r="P76" s="25"/>
      <c r="Q76" s="25"/>
      <c r="R76" s="25"/>
      <c r="S76" s="53"/>
      <c r="T76" s="25"/>
      <c r="U76" s="229"/>
      <c r="V76" s="25"/>
      <c r="W76" s="25"/>
      <c r="X76" s="25"/>
      <c r="Y76" s="25"/>
      <c r="Z76" s="25"/>
      <c r="AA76" s="25"/>
      <c r="AB76" s="25"/>
      <c r="AC76" s="25"/>
      <c r="AD76" s="25"/>
      <c r="AE76" s="25"/>
      <c r="AF76" s="25"/>
      <c r="AG76" s="25"/>
      <c r="AH76" s="25"/>
      <c r="AI76" s="25"/>
      <c r="AJ76" s="25"/>
    </row>
    <row r="77" spans="1:36" ht="21" customHeight="1">
      <c r="A77" s="25"/>
      <c r="B77" s="25"/>
      <c r="C77" s="25"/>
      <c r="D77" s="25"/>
      <c r="E77" s="25"/>
      <c r="F77" s="25"/>
      <c r="G77" s="25"/>
      <c r="H77" s="25"/>
      <c r="I77" s="25"/>
      <c r="J77" s="25"/>
      <c r="K77" s="25"/>
      <c r="L77" s="25"/>
      <c r="M77" s="25"/>
      <c r="N77" s="25"/>
      <c r="O77" s="25"/>
      <c r="P77" s="25"/>
      <c r="Q77" s="25"/>
      <c r="R77" s="25"/>
      <c r="S77" s="881"/>
      <c r="T77" s="25"/>
      <c r="U77" s="229"/>
      <c r="V77" s="25"/>
      <c r="W77" s="25"/>
      <c r="X77" s="25"/>
      <c r="Y77" s="25"/>
      <c r="Z77" s="25"/>
      <c r="AA77" s="25"/>
      <c r="AB77" s="25"/>
      <c r="AC77" s="25"/>
      <c r="AD77" s="25"/>
      <c r="AE77" s="25"/>
      <c r="AF77" s="25"/>
      <c r="AG77" s="25"/>
      <c r="AH77" s="25"/>
      <c r="AI77" s="25"/>
      <c r="AJ77" s="25"/>
    </row>
    <row r="78" spans="1:36" ht="21" customHeight="1">
      <c r="A78" s="25"/>
      <c r="B78" s="25"/>
      <c r="C78" s="25"/>
      <c r="D78" s="25"/>
      <c r="E78" s="25"/>
      <c r="F78" s="25"/>
      <c r="G78" s="25"/>
      <c r="H78" s="25"/>
      <c r="I78" s="222"/>
      <c r="J78" s="25"/>
      <c r="K78" s="25"/>
      <c r="L78" s="25"/>
      <c r="M78" s="25"/>
      <c r="N78" s="25"/>
      <c r="O78" s="53"/>
      <c r="P78" s="25"/>
      <c r="Q78" s="25"/>
      <c r="R78" s="25"/>
      <c r="S78" s="882"/>
      <c r="T78" s="25"/>
      <c r="U78" s="229"/>
      <c r="V78" s="25"/>
      <c r="W78" s="25"/>
      <c r="X78" s="25"/>
      <c r="Y78" s="25"/>
      <c r="Z78" s="25"/>
      <c r="AA78" s="25"/>
      <c r="AB78" s="883"/>
      <c r="AC78" s="25"/>
      <c r="AD78" s="25"/>
      <c r="AE78" s="25"/>
      <c r="AF78" s="25"/>
      <c r="AG78" s="25"/>
      <c r="AI78" s="25"/>
      <c r="AJ78" s="25"/>
    </row>
    <row r="79" spans="1:36" ht="21" customHeight="1">
      <c r="A79" s="25"/>
      <c r="B79" s="25"/>
      <c r="C79" s="25"/>
      <c r="D79" s="25"/>
      <c r="E79" s="25"/>
      <c r="F79" s="25"/>
      <c r="G79" s="25"/>
      <c r="H79" s="25"/>
      <c r="I79" s="25"/>
      <c r="J79" s="25"/>
      <c r="K79" s="25"/>
      <c r="L79" s="25"/>
      <c r="N79" s="25" t="s">
        <v>43</v>
      </c>
      <c r="O79" s="25"/>
      <c r="P79" s="25"/>
      <c r="Q79" s="25"/>
      <c r="R79" s="25"/>
      <c r="S79" s="25"/>
      <c r="T79" s="25"/>
      <c r="U79" s="229"/>
      <c r="V79" s="25"/>
      <c r="W79" s="25"/>
      <c r="X79" s="25"/>
      <c r="Y79" s="25"/>
      <c r="Z79" s="25"/>
      <c r="AA79" s="25"/>
      <c r="AB79" s="25"/>
      <c r="AC79" s="25"/>
      <c r="AD79" s="25"/>
      <c r="AE79" s="25"/>
      <c r="AF79" s="25"/>
      <c r="AG79" s="25"/>
      <c r="AH79" s="25"/>
      <c r="AI79" s="25"/>
      <c r="AJ79" s="25"/>
    </row>
    <row r="80" spans="1:36" ht="21" customHeight="1">
      <c r="A80" s="25"/>
      <c r="B80" s="25"/>
      <c r="C80" s="25"/>
      <c r="D80" s="25"/>
      <c r="E80" s="25"/>
      <c r="F80" s="25"/>
      <c r="G80" s="25"/>
      <c r="H80" s="25"/>
      <c r="I80" s="25"/>
      <c r="J80" s="25"/>
      <c r="K80" s="25"/>
      <c r="L80" s="25"/>
      <c r="M80" s="25"/>
      <c r="N80" s="25"/>
      <c r="O80" s="53"/>
      <c r="P80" s="25"/>
      <c r="Q80" s="25"/>
      <c r="R80" s="25"/>
      <c r="S80" s="25"/>
      <c r="T80" s="25"/>
      <c r="U80" s="229"/>
      <c r="V80" s="25"/>
      <c r="W80" s="25"/>
      <c r="X80" s="25"/>
      <c r="Y80" s="25"/>
      <c r="Z80" s="25"/>
      <c r="AA80" s="25"/>
      <c r="AB80" s="25"/>
      <c r="AC80" s="25"/>
      <c r="AD80" s="25"/>
      <c r="AE80" s="25"/>
      <c r="AF80" s="25"/>
      <c r="AG80" s="25"/>
      <c r="AH80" s="25"/>
      <c r="AI80" s="25"/>
      <c r="AJ80" s="25"/>
    </row>
    <row r="81" spans="1:36" ht="21" customHeight="1">
      <c r="A81" s="25"/>
      <c r="B81" s="25"/>
      <c r="C81" s="25"/>
      <c r="D81" s="25"/>
      <c r="E81" s="25"/>
      <c r="F81" s="25"/>
      <c r="G81" s="25"/>
      <c r="H81" s="25"/>
      <c r="I81" s="25"/>
      <c r="J81" s="25"/>
      <c r="K81" s="25"/>
      <c r="L81" s="25"/>
      <c r="M81" s="25"/>
      <c r="N81" s="25"/>
      <c r="O81" s="25"/>
      <c r="P81" s="25"/>
      <c r="Q81" s="25"/>
      <c r="R81" s="25"/>
      <c r="S81" s="25"/>
      <c r="T81" s="25"/>
      <c r="U81" s="229"/>
      <c r="V81" s="25"/>
      <c r="W81" s="25"/>
      <c r="X81" s="25"/>
      <c r="Y81" s="25"/>
      <c r="Z81" s="25"/>
      <c r="AA81" s="25"/>
      <c r="AB81" s="25"/>
      <c r="AC81" s="25"/>
      <c r="AD81" s="25"/>
      <c r="AE81" s="25"/>
      <c r="AF81" s="25"/>
      <c r="AG81" s="25"/>
      <c r="AH81" s="25"/>
      <c r="AI81" s="25"/>
      <c r="AJ81" s="25"/>
    </row>
    <row r="82" spans="1:36" ht="21" customHeight="1">
      <c r="A82" s="25"/>
      <c r="B82" s="25"/>
      <c r="C82" s="25"/>
      <c r="D82" s="25"/>
      <c r="E82" s="25"/>
      <c r="F82" s="25"/>
      <c r="G82" s="25"/>
      <c r="H82" s="25"/>
      <c r="I82" s="25"/>
      <c r="J82" s="25"/>
      <c r="K82" s="25"/>
      <c r="L82" s="25"/>
      <c r="M82" s="25"/>
      <c r="N82" s="25"/>
      <c r="O82" s="25"/>
      <c r="P82" s="25"/>
      <c r="Q82" s="25"/>
      <c r="R82" s="25"/>
      <c r="S82" s="25"/>
      <c r="T82" s="25"/>
      <c r="U82" s="229"/>
      <c r="V82" s="25"/>
      <c r="W82" s="25"/>
      <c r="X82" s="25"/>
      <c r="Y82" s="25"/>
      <c r="Z82" s="25"/>
      <c r="AA82" s="25"/>
      <c r="AB82" s="25"/>
      <c r="AC82" s="25"/>
      <c r="AD82" s="25"/>
      <c r="AE82" s="25"/>
      <c r="AF82" s="25"/>
      <c r="AG82" s="25"/>
      <c r="AH82" s="25"/>
      <c r="AI82" s="25"/>
      <c r="AJ82" s="25"/>
    </row>
    <row r="83" spans="1:36" ht="21" customHeight="1">
      <c r="A83" s="25"/>
      <c r="B83" s="25"/>
      <c r="C83" s="25"/>
      <c r="D83" s="25"/>
      <c r="E83" s="25"/>
      <c r="F83" s="25"/>
      <c r="G83" s="25"/>
      <c r="H83" s="25"/>
      <c r="I83" s="25"/>
      <c r="J83" s="25"/>
      <c r="K83" s="25"/>
      <c r="L83" s="25"/>
      <c r="M83" s="25"/>
      <c r="N83" s="25"/>
      <c r="O83" s="25"/>
      <c r="P83" s="25"/>
      <c r="Q83" s="25"/>
      <c r="R83" s="25"/>
      <c r="S83" s="25"/>
      <c r="T83" s="25"/>
      <c r="U83" s="229"/>
      <c r="V83" s="25"/>
      <c r="W83" s="25"/>
      <c r="X83" s="25"/>
      <c r="Y83" s="25"/>
      <c r="Z83" s="25"/>
      <c r="AA83" s="25"/>
      <c r="AB83" s="25"/>
      <c r="AC83" s="25"/>
      <c r="AD83" s="25"/>
      <c r="AE83" s="25"/>
      <c r="AF83" s="25"/>
      <c r="AG83" s="25"/>
      <c r="AH83" s="25"/>
      <c r="AI83" s="25"/>
      <c r="AJ83" s="25"/>
    </row>
    <row r="84" spans="1:36" ht="21" customHeight="1">
      <c r="A84" s="25"/>
      <c r="B84" s="25"/>
      <c r="C84" s="25"/>
      <c r="D84" s="25"/>
      <c r="E84" s="25"/>
      <c r="F84" s="25"/>
      <c r="G84" s="25"/>
      <c r="H84" s="25"/>
      <c r="I84" s="25"/>
      <c r="J84" s="25"/>
      <c r="K84" s="25"/>
      <c r="L84" s="25"/>
      <c r="M84" s="25"/>
      <c r="N84" s="25"/>
      <c r="O84" s="25"/>
      <c r="P84" s="25"/>
      <c r="Q84" s="25"/>
      <c r="R84" s="25"/>
      <c r="S84" s="25"/>
      <c r="T84" s="25"/>
      <c r="U84" s="229"/>
      <c r="V84" s="25"/>
      <c r="W84" s="25"/>
      <c r="X84" s="25"/>
      <c r="Y84" s="25"/>
      <c r="Z84" s="25"/>
      <c r="AA84" s="25"/>
      <c r="AB84" s="25"/>
      <c r="AC84" s="25"/>
      <c r="AD84" s="25"/>
      <c r="AE84" s="25"/>
      <c r="AF84" s="25"/>
      <c r="AG84" s="25"/>
      <c r="AH84" s="25"/>
      <c r="AI84" s="25"/>
      <c r="AJ84" s="25"/>
    </row>
    <row r="85" spans="1:36" ht="21" customHeight="1">
      <c r="A85" s="25"/>
      <c r="B85" s="25"/>
      <c r="C85" s="25"/>
      <c r="D85" s="25"/>
      <c r="E85" s="25"/>
      <c r="F85" s="25"/>
      <c r="G85" s="25"/>
      <c r="H85" s="25"/>
      <c r="I85" s="25"/>
      <c r="J85" s="25"/>
      <c r="K85" s="25"/>
      <c r="L85" s="25"/>
      <c r="M85" s="25"/>
      <c r="N85" s="25"/>
      <c r="O85" s="25"/>
      <c r="P85" s="25"/>
      <c r="Q85" s="25"/>
      <c r="R85" s="25"/>
      <c r="S85" s="25"/>
      <c r="T85" s="25"/>
      <c r="U85" s="229"/>
      <c r="V85" s="25"/>
      <c r="W85" s="25"/>
      <c r="X85" s="25"/>
      <c r="Y85" s="25"/>
      <c r="Z85" s="25"/>
      <c r="AA85" s="25"/>
      <c r="AB85" s="25"/>
      <c r="AC85" s="25"/>
      <c r="AD85" s="25"/>
      <c r="AE85" s="25"/>
      <c r="AF85" s="25"/>
      <c r="AG85" s="25"/>
      <c r="AH85" s="25"/>
      <c r="AI85" s="25"/>
      <c r="AJ85" s="25"/>
    </row>
    <row r="86" spans="1:36" ht="21" customHeight="1">
      <c r="A86" s="25"/>
      <c r="B86" s="25"/>
      <c r="C86" s="25"/>
      <c r="D86" s="25"/>
      <c r="E86" s="25"/>
      <c r="F86" s="25"/>
      <c r="G86" s="25"/>
      <c r="H86" s="25"/>
      <c r="I86" s="25"/>
      <c r="J86" s="25"/>
      <c r="K86" s="25"/>
      <c r="L86" s="25"/>
      <c r="M86" s="25"/>
      <c r="N86" s="25"/>
      <c r="O86" s="25"/>
      <c r="P86" s="25"/>
      <c r="Q86" s="25"/>
      <c r="R86" s="25"/>
      <c r="S86" s="25"/>
      <c r="T86" s="25"/>
      <c r="U86" s="229"/>
      <c r="V86" s="25"/>
      <c r="W86" s="25"/>
      <c r="X86" s="25"/>
      <c r="Y86" s="25"/>
      <c r="Z86" s="25"/>
      <c r="AA86" s="25"/>
      <c r="AB86" s="25"/>
      <c r="AC86" s="25"/>
      <c r="AD86" s="25"/>
      <c r="AE86" s="25"/>
      <c r="AF86" s="25"/>
      <c r="AG86" s="25"/>
      <c r="AH86" s="25"/>
      <c r="AI86" s="25"/>
      <c r="AJ86" s="25"/>
    </row>
    <row r="87" spans="1:36" ht="21" customHeight="1">
      <c r="A87" s="25"/>
      <c r="B87" s="25"/>
      <c r="C87" s="25"/>
      <c r="D87" s="25"/>
      <c r="E87" s="25"/>
      <c r="F87" s="25"/>
      <c r="G87" s="25"/>
      <c r="H87" s="25"/>
      <c r="I87" s="25"/>
      <c r="J87" s="25"/>
      <c r="K87" s="25"/>
      <c r="L87" s="25"/>
      <c r="M87" s="25"/>
      <c r="N87" s="25"/>
      <c r="O87" s="25"/>
      <c r="P87" s="25"/>
      <c r="Q87" s="25"/>
      <c r="R87" s="25"/>
      <c r="S87" s="25"/>
      <c r="T87" s="25"/>
      <c r="U87" s="229"/>
      <c r="V87" s="25"/>
      <c r="W87" s="25"/>
      <c r="X87" s="25"/>
      <c r="Y87" s="25"/>
      <c r="Z87" s="25"/>
      <c r="AA87" s="25"/>
      <c r="AB87" s="25"/>
      <c r="AC87" s="25"/>
      <c r="AD87" s="25"/>
      <c r="AE87" s="25"/>
      <c r="AF87" s="25"/>
      <c r="AG87" s="25"/>
      <c r="AH87" s="25"/>
      <c r="AI87" s="25"/>
      <c r="AJ87" s="25"/>
    </row>
    <row r="88" spans="1:36" ht="21" customHeight="1">
      <c r="A88" s="25"/>
      <c r="B88" s="25"/>
      <c r="C88" s="25"/>
      <c r="D88" s="25"/>
      <c r="E88" s="25"/>
      <c r="F88" s="25"/>
      <c r="G88" s="25"/>
      <c r="H88" s="25"/>
      <c r="I88" s="25"/>
      <c r="J88" s="25"/>
      <c r="K88" s="25"/>
      <c r="L88" s="25"/>
      <c r="M88" s="25"/>
      <c r="N88" s="25"/>
      <c r="O88" s="25"/>
      <c r="P88" s="25"/>
      <c r="Q88" s="25"/>
      <c r="R88" s="25"/>
      <c r="S88" s="25"/>
      <c r="T88" s="25"/>
      <c r="U88" s="229"/>
      <c r="V88" s="25"/>
      <c r="W88" s="25"/>
      <c r="X88" s="25"/>
      <c r="Y88" s="25"/>
      <c r="Z88" s="25"/>
      <c r="AA88" s="25"/>
      <c r="AB88" s="25"/>
      <c r="AC88" s="25"/>
      <c r="AD88" s="25"/>
      <c r="AE88" s="25"/>
      <c r="AF88" s="25"/>
      <c r="AG88" s="25"/>
      <c r="AH88" s="25"/>
      <c r="AI88" s="25"/>
      <c r="AJ88" s="25"/>
    </row>
    <row r="89" spans="1:36" ht="21" customHeight="1">
      <c r="A89" s="25"/>
      <c r="B89" s="25"/>
      <c r="C89" s="25"/>
      <c r="D89" s="25"/>
      <c r="E89" s="25"/>
      <c r="F89" s="25"/>
      <c r="G89" s="25"/>
      <c r="H89" s="25"/>
      <c r="I89" s="25"/>
      <c r="J89" s="25"/>
      <c r="K89" s="25"/>
      <c r="L89" s="25"/>
      <c r="M89" s="25"/>
      <c r="N89" s="25"/>
      <c r="O89" s="25"/>
      <c r="P89" s="25"/>
      <c r="Q89" s="25"/>
      <c r="R89" s="25"/>
      <c r="S89" s="25"/>
      <c r="T89" s="25"/>
      <c r="U89" s="229"/>
      <c r="V89" s="25"/>
      <c r="W89" s="25"/>
      <c r="X89" s="25"/>
      <c r="Y89" s="25"/>
      <c r="Z89" s="25"/>
      <c r="AA89" s="25"/>
      <c r="AB89" s="25"/>
      <c r="AC89" s="25"/>
      <c r="AD89" s="25"/>
      <c r="AE89" s="25"/>
      <c r="AF89" s="25"/>
      <c r="AG89" s="25"/>
      <c r="AH89" s="25"/>
      <c r="AI89" s="25"/>
      <c r="AJ89" s="25"/>
    </row>
    <row r="90" spans="1:36" ht="21" customHeight="1">
      <c r="A90" s="25"/>
      <c r="B90" s="25"/>
      <c r="C90" s="25"/>
      <c r="D90" s="25"/>
      <c r="E90" s="25"/>
      <c r="F90" s="25"/>
      <c r="G90" s="25"/>
      <c r="H90" s="25"/>
      <c r="I90" s="25"/>
      <c r="J90" s="25"/>
      <c r="K90" s="25"/>
      <c r="L90" s="25"/>
      <c r="M90" s="25"/>
      <c r="N90" s="25"/>
      <c r="O90" s="25"/>
      <c r="P90" s="25"/>
      <c r="Q90" s="25"/>
      <c r="R90" s="25"/>
      <c r="S90" s="25"/>
      <c r="T90" s="25"/>
      <c r="U90" s="229"/>
      <c r="V90" s="25"/>
      <c r="W90" s="25"/>
      <c r="X90" s="25"/>
      <c r="Y90" s="25"/>
      <c r="Z90" s="25"/>
      <c r="AA90" s="25"/>
      <c r="AB90" s="25"/>
      <c r="AC90" s="25"/>
      <c r="AD90" s="25"/>
      <c r="AE90" s="25"/>
      <c r="AF90" s="25"/>
      <c r="AG90" s="25"/>
      <c r="AH90" s="25"/>
      <c r="AI90" s="25"/>
      <c r="AJ90" s="25"/>
    </row>
    <row r="91" spans="1:36" ht="21" customHeight="1">
      <c r="A91" s="25"/>
      <c r="B91" s="25"/>
      <c r="C91" s="25"/>
      <c r="D91" s="25"/>
      <c r="E91" s="25"/>
      <c r="F91" s="25"/>
      <c r="G91" s="25"/>
      <c r="H91" s="25"/>
      <c r="I91" s="25"/>
      <c r="J91" s="25"/>
      <c r="K91" s="25"/>
      <c r="L91" s="25"/>
      <c r="M91" s="25"/>
      <c r="N91" s="25"/>
      <c r="O91" s="25"/>
      <c r="P91" s="25"/>
      <c r="Q91" s="25"/>
      <c r="R91" s="25"/>
      <c r="S91" s="25"/>
      <c r="T91" s="25"/>
      <c r="U91" s="229"/>
      <c r="V91" s="25"/>
      <c r="W91" s="25"/>
      <c r="X91" s="25"/>
      <c r="Y91" s="25"/>
      <c r="Z91" s="25"/>
      <c r="AA91" s="25"/>
      <c r="AB91" s="25"/>
      <c r="AC91" s="25"/>
      <c r="AD91" s="25"/>
      <c r="AE91" s="25"/>
      <c r="AF91" s="25"/>
      <c r="AG91" s="25"/>
      <c r="AH91" s="25"/>
      <c r="AI91" s="25"/>
      <c r="AJ91" s="25"/>
    </row>
    <row r="92" spans="1:36" ht="21" customHeight="1">
      <c r="A92" s="25"/>
      <c r="B92" s="25"/>
      <c r="C92" s="25"/>
      <c r="D92" s="25"/>
      <c r="E92" s="25"/>
      <c r="F92" s="25"/>
      <c r="G92" s="25"/>
      <c r="H92" s="25"/>
      <c r="I92" s="25"/>
      <c r="J92" s="25"/>
      <c r="K92" s="25"/>
      <c r="L92" s="25"/>
      <c r="M92" s="25"/>
      <c r="N92" s="25"/>
      <c r="O92" s="25"/>
      <c r="P92" s="25"/>
      <c r="Q92" s="25"/>
      <c r="R92" s="25"/>
      <c r="S92" s="25"/>
      <c r="T92" s="25"/>
      <c r="U92" s="229"/>
      <c r="V92" s="25"/>
      <c r="W92" s="25"/>
      <c r="X92" s="25"/>
      <c r="Y92" s="25"/>
      <c r="Z92" s="25"/>
      <c r="AA92" s="25"/>
      <c r="AB92" s="25"/>
      <c r="AC92" s="25"/>
      <c r="AD92" s="25"/>
      <c r="AE92" s="25"/>
      <c r="AF92" s="25"/>
      <c r="AG92" s="25"/>
      <c r="AH92" s="25"/>
      <c r="AI92" s="25"/>
      <c r="AJ92" s="25"/>
    </row>
    <row r="93" spans="1:36" ht="21" customHeight="1">
      <c r="A93" s="25"/>
      <c r="B93" s="25"/>
      <c r="C93" s="25"/>
      <c r="D93" s="25"/>
      <c r="E93" s="25"/>
      <c r="F93" s="25"/>
      <c r="G93" s="25"/>
      <c r="H93" s="25"/>
      <c r="I93" s="25"/>
      <c r="J93" s="25"/>
      <c r="K93" s="25"/>
      <c r="L93" s="25"/>
      <c r="M93" s="25"/>
      <c r="N93" s="25"/>
      <c r="O93" s="25"/>
      <c r="P93" s="25"/>
      <c r="Q93" s="25"/>
      <c r="R93" s="25"/>
      <c r="S93" s="25"/>
      <c r="T93" s="25"/>
      <c r="U93" s="229"/>
      <c r="V93" s="25"/>
      <c r="W93" s="25"/>
      <c r="X93" s="25"/>
      <c r="Y93" s="25"/>
      <c r="Z93" s="25"/>
      <c r="AA93" s="25"/>
      <c r="AB93" s="25"/>
      <c r="AC93" s="25"/>
      <c r="AD93" s="25"/>
      <c r="AE93" s="25"/>
      <c r="AF93" s="25"/>
      <c r="AG93" s="25"/>
      <c r="AH93" s="25"/>
      <c r="AI93" s="25"/>
      <c r="AJ93" s="25"/>
    </row>
    <row r="94" spans="1:36" ht="21" customHeight="1">
      <c r="A94" s="25"/>
      <c r="B94" s="25"/>
      <c r="C94" s="25"/>
      <c r="D94" s="25"/>
      <c r="E94" s="25"/>
      <c r="F94" s="25"/>
      <c r="G94" s="25"/>
      <c r="H94" s="25"/>
      <c r="I94" s="25"/>
      <c r="J94" s="25"/>
      <c r="K94" s="25"/>
      <c r="L94" s="25"/>
      <c r="M94" s="25"/>
      <c r="N94" s="25"/>
      <c r="O94" s="25"/>
      <c r="P94" s="25"/>
      <c r="Q94" s="25"/>
      <c r="R94" s="25"/>
      <c r="S94" s="25"/>
      <c r="T94" s="25"/>
      <c r="U94" s="229"/>
      <c r="V94" s="25"/>
      <c r="W94" s="25"/>
      <c r="X94" s="25"/>
      <c r="Y94" s="25"/>
      <c r="Z94" s="25"/>
      <c r="AA94" s="25"/>
      <c r="AB94" s="25"/>
      <c r="AC94" s="25"/>
      <c r="AD94" s="25"/>
      <c r="AE94" s="25"/>
      <c r="AF94" s="25"/>
      <c r="AG94" s="25"/>
      <c r="AH94" s="25"/>
      <c r="AI94" s="25"/>
      <c r="AJ94" s="25"/>
    </row>
    <row r="95" spans="1:36" ht="21" customHeight="1">
      <c r="A95" s="25"/>
      <c r="B95" s="25"/>
      <c r="C95" s="25"/>
      <c r="D95" s="25"/>
      <c r="E95" s="25"/>
      <c r="F95" s="25"/>
      <c r="G95" s="25"/>
      <c r="H95" s="25"/>
      <c r="I95" s="25"/>
      <c r="J95" s="25"/>
      <c r="K95" s="25"/>
      <c r="L95" s="25"/>
      <c r="M95" s="25"/>
      <c r="N95" s="25"/>
      <c r="O95" s="25"/>
      <c r="P95" s="25"/>
      <c r="Q95" s="25"/>
      <c r="R95" s="25"/>
      <c r="S95" s="25"/>
      <c r="T95" s="25"/>
      <c r="U95" s="229"/>
      <c r="V95" s="25"/>
      <c r="W95" s="25"/>
      <c r="X95" s="25"/>
      <c r="Y95" s="25"/>
      <c r="Z95" s="25"/>
      <c r="AA95" s="25"/>
      <c r="AB95" s="25"/>
      <c r="AC95" s="25"/>
      <c r="AD95" s="25"/>
      <c r="AE95" s="25"/>
      <c r="AF95" s="25"/>
      <c r="AG95" s="25"/>
      <c r="AH95" s="25"/>
      <c r="AI95" s="25"/>
      <c r="AJ95" s="25"/>
    </row>
    <row r="96" spans="1:36" ht="21" customHeight="1">
      <c r="A96" s="25"/>
      <c r="B96" s="25"/>
      <c r="C96" s="25"/>
      <c r="D96" s="25"/>
      <c r="E96" s="25"/>
      <c r="F96" s="25"/>
      <c r="G96" s="25"/>
      <c r="H96" s="25"/>
      <c r="I96" s="25"/>
      <c r="J96" s="25"/>
      <c r="K96" s="25"/>
      <c r="L96" s="25"/>
      <c r="M96" s="25"/>
      <c r="N96" s="25"/>
      <c r="O96" s="25"/>
      <c r="P96" s="25"/>
      <c r="Q96" s="25"/>
      <c r="R96" s="25"/>
      <c r="S96" s="25"/>
      <c r="T96" s="25"/>
      <c r="U96" s="229"/>
      <c r="V96" s="25"/>
      <c r="W96" s="25"/>
      <c r="X96" s="25"/>
      <c r="Y96" s="25"/>
      <c r="Z96" s="25"/>
      <c r="AA96" s="25"/>
      <c r="AB96" s="25"/>
      <c r="AC96" s="25"/>
      <c r="AD96" s="25"/>
      <c r="AE96" s="25"/>
      <c r="AF96" s="25"/>
      <c r="AG96" s="25"/>
      <c r="AH96" s="25"/>
      <c r="AI96" s="25"/>
      <c r="AJ96" s="25"/>
    </row>
    <row r="97" spans="1:36" ht="21" customHeight="1">
      <c r="A97" s="25"/>
      <c r="B97" s="25"/>
      <c r="C97" s="25"/>
      <c r="D97" s="25"/>
      <c r="E97" s="25"/>
      <c r="F97" s="25"/>
      <c r="G97" s="25"/>
      <c r="H97" s="25"/>
      <c r="I97" s="25"/>
      <c r="J97" s="25"/>
      <c r="K97" s="25"/>
      <c r="L97" s="25"/>
      <c r="M97" s="25"/>
      <c r="N97" s="25"/>
      <c r="O97" s="25"/>
      <c r="P97" s="25"/>
      <c r="Q97" s="25"/>
      <c r="R97" s="25"/>
      <c r="S97" s="25"/>
      <c r="T97" s="25"/>
      <c r="U97" s="229"/>
      <c r="V97" s="25"/>
      <c r="W97" s="25"/>
      <c r="X97" s="25"/>
      <c r="Y97" s="25"/>
      <c r="Z97" s="25"/>
      <c r="AA97" s="25"/>
      <c r="AB97" s="25"/>
      <c r="AC97" s="25"/>
      <c r="AD97" s="25"/>
      <c r="AE97" s="25"/>
      <c r="AF97" s="25"/>
      <c r="AG97" s="25"/>
      <c r="AH97" s="25"/>
      <c r="AI97" s="25"/>
      <c r="AJ97" s="25"/>
    </row>
    <row r="98" spans="1:36" ht="21" customHeight="1">
      <c r="A98" s="25"/>
      <c r="B98" s="25"/>
      <c r="C98" s="25"/>
      <c r="D98" s="25"/>
      <c r="E98" s="25"/>
      <c r="F98" s="25"/>
      <c r="G98" s="25"/>
      <c r="H98" s="25"/>
      <c r="I98" s="25"/>
      <c r="J98" s="25"/>
      <c r="K98" s="25"/>
      <c r="L98" s="25"/>
      <c r="M98" s="25"/>
      <c r="N98" s="25"/>
      <c r="O98" s="25"/>
      <c r="P98" s="25"/>
      <c r="Q98" s="25"/>
      <c r="R98" s="25"/>
      <c r="S98" s="25"/>
      <c r="T98" s="25"/>
      <c r="U98" s="229"/>
      <c r="V98" s="25"/>
      <c r="W98" s="25"/>
      <c r="X98" s="25"/>
      <c r="Y98" s="25"/>
      <c r="Z98" s="25"/>
      <c r="AA98" s="25"/>
      <c r="AB98" s="25"/>
      <c r="AC98" s="25"/>
      <c r="AD98" s="25"/>
      <c r="AE98" s="25"/>
      <c r="AF98" s="25"/>
      <c r="AG98" s="25"/>
      <c r="AH98" s="25"/>
      <c r="AI98" s="25"/>
      <c r="AJ98" s="25"/>
    </row>
    <row r="99" spans="1:36" ht="21" customHeight="1">
      <c r="A99" s="25"/>
      <c r="B99" s="25"/>
      <c r="C99" s="25"/>
      <c r="D99" s="25"/>
      <c r="E99" s="25"/>
      <c r="F99" s="25"/>
      <c r="G99" s="25"/>
      <c r="H99" s="25"/>
      <c r="I99" s="25"/>
      <c r="J99" s="25"/>
      <c r="K99" s="25"/>
      <c r="L99" s="25"/>
      <c r="M99" s="25"/>
      <c r="N99" s="25"/>
      <c r="O99" s="25"/>
      <c r="P99" s="25"/>
      <c r="Q99" s="25"/>
      <c r="R99" s="25"/>
      <c r="S99" s="25"/>
      <c r="T99" s="25"/>
      <c r="U99" s="229"/>
      <c r="V99" s="25"/>
      <c r="W99" s="25"/>
      <c r="X99" s="25"/>
      <c r="Y99" s="25"/>
      <c r="Z99" s="25"/>
      <c r="AA99" s="25"/>
      <c r="AB99" s="25"/>
      <c r="AC99" s="25"/>
      <c r="AD99" s="25"/>
      <c r="AE99" s="25"/>
      <c r="AF99" s="25"/>
      <c r="AG99" s="25"/>
      <c r="AH99" s="25"/>
      <c r="AI99" s="25"/>
      <c r="AJ99" s="25"/>
    </row>
    <row r="100" spans="1:36" ht="21" customHeight="1">
      <c r="A100" s="25"/>
      <c r="B100" s="25"/>
      <c r="C100" s="25"/>
      <c r="D100" s="25"/>
      <c r="E100" s="25"/>
      <c r="F100" s="25"/>
      <c r="G100" s="25"/>
      <c r="H100" s="25"/>
      <c r="I100" s="25"/>
      <c r="J100" s="25"/>
      <c r="K100" s="25"/>
      <c r="L100" s="25"/>
      <c r="M100" s="25"/>
      <c r="N100" s="25"/>
      <c r="O100" s="25"/>
      <c r="P100" s="25"/>
      <c r="Q100" s="25"/>
      <c r="R100" s="25"/>
      <c r="S100" s="25"/>
      <c r="T100" s="25"/>
      <c r="U100" s="229"/>
      <c r="V100" s="25"/>
      <c r="W100" s="25"/>
      <c r="X100" s="25"/>
      <c r="Y100" s="25"/>
      <c r="Z100" s="25"/>
      <c r="AA100" s="25"/>
      <c r="AB100" s="25"/>
      <c r="AC100" s="25"/>
      <c r="AD100" s="25"/>
      <c r="AE100" s="25"/>
      <c r="AF100" s="25"/>
      <c r="AG100" s="25"/>
      <c r="AH100" s="25"/>
      <c r="AI100" s="25"/>
      <c r="AJ100" s="25"/>
    </row>
    <row r="101" spans="1:36" ht="21" customHeight="1">
      <c r="A101" s="25"/>
      <c r="B101" s="25"/>
      <c r="C101" s="25"/>
      <c r="D101" s="25"/>
      <c r="E101" s="25"/>
      <c r="F101" s="25"/>
      <c r="G101" s="25"/>
      <c r="H101" s="25"/>
      <c r="I101" s="25"/>
      <c r="J101" s="25"/>
      <c r="K101" s="25"/>
      <c r="L101" s="25"/>
      <c r="M101" s="25"/>
      <c r="N101" s="25"/>
      <c r="O101" s="25"/>
      <c r="P101" s="25"/>
      <c r="Q101" s="25"/>
      <c r="R101" s="25"/>
      <c r="S101" s="25"/>
      <c r="T101" s="25"/>
      <c r="U101" s="229"/>
      <c r="V101" s="25"/>
      <c r="W101" s="25"/>
      <c r="X101" s="25"/>
      <c r="Y101" s="25"/>
      <c r="Z101" s="25"/>
      <c r="AA101" s="25"/>
      <c r="AB101" s="25"/>
      <c r="AC101" s="25"/>
      <c r="AD101" s="25"/>
      <c r="AE101" s="25"/>
      <c r="AF101" s="25"/>
      <c r="AG101" s="25"/>
      <c r="AH101" s="25"/>
      <c r="AI101" s="25"/>
      <c r="AJ101" s="25"/>
    </row>
    <row r="102" spans="1:36" ht="21" customHeight="1">
      <c r="A102" s="25"/>
      <c r="B102" s="25"/>
      <c r="C102" s="25"/>
      <c r="D102" s="25"/>
      <c r="E102" s="25"/>
      <c r="F102" s="25"/>
      <c r="G102" s="25"/>
      <c r="H102" s="25"/>
      <c r="I102" s="25"/>
      <c r="J102" s="25"/>
      <c r="K102" s="25"/>
      <c r="L102" s="25"/>
      <c r="M102" s="25"/>
      <c r="N102" s="25"/>
      <c r="O102" s="25"/>
      <c r="P102" s="25"/>
      <c r="Q102" s="25"/>
      <c r="R102" s="25"/>
      <c r="S102" s="25"/>
      <c r="T102" s="25"/>
      <c r="U102" s="229"/>
      <c r="V102" s="25"/>
      <c r="W102" s="25"/>
      <c r="X102" s="25"/>
      <c r="Y102" s="25"/>
      <c r="Z102" s="25"/>
      <c r="AA102" s="25"/>
      <c r="AB102" s="25"/>
      <c r="AC102" s="25"/>
      <c r="AD102" s="25"/>
      <c r="AE102" s="25"/>
      <c r="AF102" s="25"/>
      <c r="AG102" s="25"/>
      <c r="AH102" s="25"/>
      <c r="AI102" s="25"/>
      <c r="AJ102" s="25"/>
    </row>
    <row r="103" spans="1:36" ht="21" customHeight="1">
      <c r="A103" s="25"/>
      <c r="B103" s="25"/>
      <c r="C103" s="25"/>
      <c r="D103" s="25"/>
      <c r="E103" s="25"/>
      <c r="F103" s="25"/>
      <c r="G103" s="25"/>
      <c r="H103" s="25"/>
      <c r="I103" s="25"/>
      <c r="J103" s="25"/>
      <c r="K103" s="25"/>
      <c r="L103" s="25"/>
      <c r="M103" s="25"/>
      <c r="N103" s="25"/>
      <c r="O103" s="25"/>
      <c r="P103" s="25"/>
      <c r="Q103" s="25"/>
      <c r="R103" s="25"/>
      <c r="S103" s="25"/>
      <c r="T103" s="25"/>
      <c r="U103" s="229"/>
      <c r="V103" s="25"/>
      <c r="W103" s="25"/>
      <c r="X103" s="25"/>
      <c r="Y103" s="25"/>
      <c r="Z103" s="25"/>
      <c r="AA103" s="25"/>
      <c r="AB103" s="25"/>
      <c r="AC103" s="25"/>
      <c r="AD103" s="25"/>
      <c r="AE103" s="25"/>
      <c r="AF103" s="25"/>
      <c r="AG103" s="25"/>
      <c r="AH103" s="25"/>
      <c r="AI103" s="25"/>
      <c r="AJ103" s="25"/>
    </row>
    <row r="104" spans="1:36" ht="21" customHeight="1">
      <c r="A104" s="25"/>
      <c r="B104" s="25"/>
      <c r="C104" s="25"/>
      <c r="D104" s="25"/>
      <c r="E104" s="25"/>
      <c r="F104" s="25"/>
      <c r="G104" s="25"/>
      <c r="H104" s="25"/>
      <c r="I104" s="25"/>
      <c r="J104" s="25"/>
      <c r="K104" s="25"/>
      <c r="L104" s="25"/>
      <c r="M104" s="25"/>
      <c r="N104" s="25"/>
      <c r="O104" s="25"/>
      <c r="P104" s="25"/>
      <c r="Q104" s="25"/>
      <c r="R104" s="25"/>
      <c r="S104" s="25"/>
      <c r="T104" s="25"/>
      <c r="U104" s="229"/>
      <c r="V104" s="25"/>
      <c r="W104" s="25"/>
      <c r="X104" s="25"/>
      <c r="Y104" s="25"/>
      <c r="Z104" s="25"/>
      <c r="AA104" s="25"/>
      <c r="AB104" s="25"/>
      <c r="AC104" s="25"/>
      <c r="AD104" s="25"/>
      <c r="AE104" s="25"/>
      <c r="AF104" s="25"/>
      <c r="AG104" s="25"/>
      <c r="AH104" s="25"/>
      <c r="AI104" s="25"/>
      <c r="AJ104" s="25"/>
    </row>
    <row r="105" spans="1:36" ht="21" customHeight="1">
      <c r="A105" s="25"/>
      <c r="B105" s="25"/>
      <c r="C105" s="25"/>
      <c r="D105" s="25"/>
      <c r="E105" s="25"/>
      <c r="F105" s="25"/>
      <c r="G105" s="25"/>
      <c r="H105" s="25"/>
      <c r="I105" s="25"/>
      <c r="J105" s="25"/>
      <c r="K105" s="25"/>
      <c r="L105" s="25"/>
      <c r="M105" s="25"/>
      <c r="N105" s="25"/>
      <c r="O105" s="25"/>
      <c r="P105" s="25"/>
      <c r="Q105" s="25"/>
      <c r="R105" s="25"/>
      <c r="S105" s="25"/>
      <c r="T105" s="25"/>
      <c r="U105" s="229"/>
      <c r="V105" s="25"/>
      <c r="W105" s="25"/>
      <c r="X105" s="25"/>
      <c r="Y105" s="25"/>
      <c r="Z105" s="25"/>
      <c r="AA105" s="25"/>
      <c r="AB105" s="25"/>
      <c r="AC105" s="25"/>
      <c r="AD105" s="25"/>
      <c r="AE105" s="25"/>
      <c r="AF105" s="25"/>
      <c r="AG105" s="25"/>
      <c r="AH105" s="25"/>
      <c r="AI105" s="25"/>
      <c r="AJ105" s="25"/>
    </row>
    <row r="106" spans="1:36" ht="21" customHeight="1">
      <c r="A106" s="25"/>
      <c r="B106" s="25"/>
      <c r="C106" s="25"/>
      <c r="D106" s="25"/>
      <c r="E106" s="25"/>
      <c r="F106" s="25"/>
      <c r="G106" s="25"/>
      <c r="H106" s="25"/>
      <c r="I106" s="25"/>
      <c r="J106" s="25"/>
      <c r="K106" s="25"/>
      <c r="L106" s="25"/>
      <c r="M106" s="25"/>
      <c r="N106" s="25"/>
      <c r="O106" s="25"/>
      <c r="P106" s="25"/>
      <c r="Q106" s="25"/>
      <c r="R106" s="25"/>
      <c r="S106" s="25"/>
      <c r="T106" s="25"/>
      <c r="U106" s="229"/>
      <c r="V106" s="25"/>
      <c r="W106" s="25"/>
      <c r="X106" s="25"/>
      <c r="Y106" s="25"/>
      <c r="Z106" s="25"/>
      <c r="AA106" s="25"/>
      <c r="AB106" s="25"/>
      <c r="AC106" s="25"/>
      <c r="AD106" s="25"/>
      <c r="AE106" s="25"/>
      <c r="AF106" s="25"/>
      <c r="AG106" s="25"/>
      <c r="AH106" s="25"/>
      <c r="AI106" s="25"/>
      <c r="AJ106" s="25"/>
    </row>
    <row r="107" spans="1:36" ht="21" customHeight="1">
      <c r="A107" s="25"/>
      <c r="B107" s="25"/>
      <c r="C107" s="25"/>
      <c r="D107" s="25"/>
      <c r="E107" s="25"/>
      <c r="F107" s="25"/>
      <c r="G107" s="25"/>
      <c r="H107" s="25"/>
      <c r="I107" s="25"/>
      <c r="J107" s="25"/>
      <c r="K107" s="25"/>
      <c r="L107" s="25"/>
      <c r="M107" s="25"/>
      <c r="N107" s="25"/>
      <c r="O107" s="25"/>
      <c r="P107" s="25"/>
      <c r="Q107" s="25"/>
      <c r="R107" s="25"/>
      <c r="S107" s="25"/>
      <c r="T107" s="25"/>
      <c r="U107" s="229"/>
      <c r="V107" s="25"/>
      <c r="W107" s="25"/>
      <c r="X107" s="25"/>
      <c r="Y107" s="25"/>
      <c r="Z107" s="25"/>
      <c r="AA107" s="25"/>
      <c r="AB107" s="25"/>
      <c r="AC107" s="25"/>
      <c r="AD107" s="25"/>
      <c r="AE107" s="25"/>
      <c r="AF107" s="25"/>
      <c r="AG107" s="25"/>
      <c r="AH107" s="25"/>
      <c r="AI107" s="25"/>
      <c r="AJ107" s="25"/>
    </row>
    <row r="108" spans="1:36" ht="21" customHeight="1">
      <c r="A108" s="25"/>
      <c r="B108" s="25"/>
      <c r="C108" s="25"/>
      <c r="D108" s="25"/>
      <c r="E108" s="25"/>
      <c r="F108" s="25"/>
      <c r="G108" s="25"/>
      <c r="H108" s="25"/>
      <c r="I108" s="25"/>
      <c r="J108" s="25"/>
      <c r="K108" s="25"/>
      <c r="L108" s="25"/>
      <c r="M108" s="25"/>
      <c r="N108" s="25"/>
      <c r="O108" s="25"/>
      <c r="P108" s="25"/>
      <c r="Q108" s="25"/>
      <c r="R108" s="25"/>
      <c r="S108" s="25"/>
      <c r="T108" s="25"/>
      <c r="U108" s="229"/>
      <c r="V108" s="25"/>
      <c r="W108" s="25"/>
      <c r="X108" s="25"/>
      <c r="Y108" s="25"/>
      <c r="Z108" s="25"/>
      <c r="AA108" s="25"/>
      <c r="AB108" s="25"/>
      <c r="AC108" s="25"/>
      <c r="AD108" s="25"/>
      <c r="AE108" s="25"/>
      <c r="AF108" s="25"/>
      <c r="AG108" s="25"/>
      <c r="AH108" s="25"/>
      <c r="AI108" s="25"/>
      <c r="AJ108" s="25"/>
    </row>
    <row r="109" spans="1:36" ht="21" customHeight="1">
      <c r="A109" s="25"/>
      <c r="B109" s="25"/>
      <c r="C109" s="25"/>
      <c r="D109" s="25"/>
      <c r="E109" s="25"/>
      <c r="F109" s="25"/>
      <c r="G109" s="25"/>
      <c r="H109" s="25"/>
      <c r="I109" s="25"/>
      <c r="J109" s="25"/>
      <c r="K109" s="25"/>
      <c r="L109" s="25"/>
      <c r="M109" s="25"/>
      <c r="N109" s="25"/>
      <c r="O109" s="25"/>
      <c r="P109" s="25"/>
      <c r="Q109" s="25"/>
      <c r="R109" s="25"/>
      <c r="S109" s="25"/>
      <c r="T109" s="25"/>
      <c r="U109" s="229"/>
      <c r="V109" s="25"/>
      <c r="W109" s="25"/>
      <c r="X109" s="25"/>
      <c r="Y109" s="25"/>
      <c r="Z109" s="25"/>
      <c r="AA109" s="25"/>
      <c r="AB109" s="25"/>
      <c r="AC109" s="25"/>
      <c r="AD109" s="25"/>
      <c r="AE109" s="25"/>
      <c r="AF109" s="25"/>
      <c r="AG109" s="25"/>
      <c r="AH109" s="25"/>
      <c r="AI109" s="25"/>
      <c r="AJ109" s="25"/>
    </row>
    <row r="110" spans="1:36" ht="21" customHeight="1">
      <c r="A110" s="25"/>
      <c r="B110" s="25"/>
      <c r="C110" s="25"/>
      <c r="D110" s="25"/>
      <c r="E110" s="25"/>
      <c r="F110" s="25"/>
      <c r="G110" s="25"/>
      <c r="H110" s="25"/>
      <c r="I110" s="25"/>
      <c r="J110" s="25"/>
      <c r="K110" s="25"/>
      <c r="L110" s="25"/>
      <c r="M110" s="25"/>
      <c r="N110" s="25"/>
      <c r="O110" s="25"/>
      <c r="P110" s="25"/>
      <c r="Q110" s="25"/>
      <c r="R110" s="25"/>
      <c r="S110" s="25"/>
      <c r="T110" s="25"/>
      <c r="U110" s="229"/>
      <c r="V110" s="25"/>
      <c r="W110" s="25"/>
      <c r="X110" s="25"/>
      <c r="Y110" s="25"/>
      <c r="Z110" s="25"/>
      <c r="AA110" s="25"/>
      <c r="AB110" s="25"/>
      <c r="AC110" s="25"/>
      <c r="AD110" s="25"/>
      <c r="AE110" s="25"/>
      <c r="AF110" s="25"/>
      <c r="AG110" s="25"/>
      <c r="AH110" s="25"/>
      <c r="AI110" s="25"/>
      <c r="AJ110" s="25"/>
    </row>
    <row r="111" spans="1:36" ht="21" customHeight="1">
      <c r="A111" s="25"/>
      <c r="B111" s="25"/>
      <c r="C111" s="25"/>
      <c r="D111" s="25"/>
      <c r="E111" s="25"/>
      <c r="F111" s="25"/>
      <c r="G111" s="25"/>
      <c r="H111" s="25"/>
      <c r="I111" s="25"/>
      <c r="J111" s="25"/>
      <c r="K111" s="25"/>
      <c r="L111" s="25"/>
      <c r="M111" s="25"/>
      <c r="N111" s="25"/>
      <c r="O111" s="25"/>
      <c r="P111" s="25"/>
      <c r="Q111" s="25"/>
      <c r="R111" s="25"/>
      <c r="S111" s="25"/>
      <c r="T111" s="25"/>
      <c r="U111" s="229"/>
      <c r="V111" s="25"/>
      <c r="W111" s="25"/>
      <c r="X111" s="25"/>
      <c r="Y111" s="25"/>
      <c r="Z111" s="25"/>
      <c r="AA111" s="25"/>
      <c r="AB111" s="25"/>
      <c r="AC111" s="25"/>
      <c r="AD111" s="25"/>
      <c r="AE111" s="25"/>
      <c r="AF111" s="25"/>
      <c r="AG111" s="25"/>
      <c r="AH111" s="25"/>
      <c r="AI111" s="25"/>
      <c r="AJ111" s="25"/>
    </row>
    <row r="112" spans="1:36" ht="21" customHeight="1">
      <c r="A112" s="25"/>
      <c r="B112" s="25"/>
      <c r="C112" s="25"/>
      <c r="D112" s="25"/>
      <c r="E112" s="25"/>
      <c r="F112" s="25"/>
      <c r="G112" s="25"/>
      <c r="H112" s="25"/>
      <c r="I112" s="25"/>
      <c r="J112" s="25"/>
      <c r="K112" s="25"/>
      <c r="L112" s="25"/>
      <c r="M112" s="25"/>
      <c r="N112" s="25"/>
      <c r="O112" s="25"/>
      <c r="P112" s="25"/>
      <c r="Q112" s="25"/>
      <c r="R112" s="25"/>
      <c r="S112" s="25"/>
      <c r="T112" s="25"/>
      <c r="U112" s="229"/>
      <c r="V112" s="25"/>
      <c r="W112" s="25"/>
      <c r="X112" s="25"/>
      <c r="Y112" s="25"/>
      <c r="Z112" s="25"/>
      <c r="AA112" s="25"/>
      <c r="AB112" s="25"/>
      <c r="AC112" s="25"/>
      <c r="AD112" s="25"/>
      <c r="AE112" s="25"/>
      <c r="AF112" s="25"/>
      <c r="AG112" s="25"/>
      <c r="AH112" s="25"/>
      <c r="AI112" s="25"/>
      <c r="AJ112" s="25"/>
    </row>
    <row r="113" spans="1:36" ht="21" customHeight="1">
      <c r="A113" s="25"/>
      <c r="B113" s="25"/>
      <c r="C113" s="25"/>
      <c r="D113" s="25"/>
      <c r="E113" s="25"/>
      <c r="F113" s="25"/>
      <c r="G113" s="25"/>
      <c r="H113" s="25"/>
      <c r="I113" s="25"/>
      <c r="J113" s="25"/>
      <c r="K113" s="25"/>
      <c r="L113" s="25"/>
      <c r="M113" s="25"/>
      <c r="N113" s="25"/>
      <c r="O113" s="25"/>
      <c r="P113" s="25"/>
      <c r="Q113" s="25"/>
      <c r="R113" s="25"/>
      <c r="S113" s="25"/>
      <c r="T113" s="25"/>
      <c r="U113" s="229"/>
      <c r="V113" s="25"/>
      <c r="W113" s="25"/>
      <c r="X113" s="25"/>
      <c r="Y113" s="25"/>
      <c r="Z113" s="25"/>
      <c r="AA113" s="25"/>
      <c r="AB113" s="25"/>
      <c r="AC113" s="25"/>
      <c r="AD113" s="25"/>
      <c r="AE113" s="25"/>
      <c r="AF113" s="25"/>
      <c r="AG113" s="25"/>
      <c r="AH113" s="25"/>
      <c r="AI113" s="25"/>
      <c r="AJ113" s="25"/>
    </row>
    <row r="114" spans="1:36" ht="21" customHeight="1">
      <c r="A114" s="25"/>
      <c r="B114" s="25"/>
      <c r="C114" s="25"/>
      <c r="D114" s="25"/>
      <c r="E114" s="25"/>
      <c r="F114" s="25"/>
      <c r="G114" s="25"/>
      <c r="H114" s="25"/>
      <c r="I114" s="25"/>
      <c r="J114" s="25"/>
      <c r="K114" s="25"/>
      <c r="L114" s="25"/>
      <c r="M114" s="25"/>
      <c r="N114" s="25"/>
      <c r="O114" s="25"/>
      <c r="P114" s="25"/>
      <c r="Q114" s="25"/>
      <c r="R114" s="25"/>
      <c r="S114" s="25"/>
      <c r="T114" s="25"/>
      <c r="U114" s="229"/>
      <c r="V114" s="25"/>
      <c r="W114" s="25"/>
      <c r="X114" s="25"/>
      <c r="Y114" s="25"/>
      <c r="Z114" s="25"/>
      <c r="AA114" s="25"/>
      <c r="AB114" s="25"/>
      <c r="AC114" s="25"/>
      <c r="AD114" s="25"/>
      <c r="AE114" s="25"/>
      <c r="AF114" s="25"/>
      <c r="AG114" s="25"/>
      <c r="AH114" s="25"/>
      <c r="AI114" s="25"/>
      <c r="AJ114" s="25"/>
    </row>
    <row r="115" spans="1:36" ht="21" customHeight="1">
      <c r="A115" s="25"/>
      <c r="B115" s="25"/>
      <c r="C115" s="25"/>
      <c r="D115" s="25"/>
      <c r="E115" s="25"/>
      <c r="F115" s="25"/>
      <c r="G115" s="25"/>
      <c r="H115" s="25"/>
      <c r="I115" s="25"/>
      <c r="J115" s="25"/>
      <c r="K115" s="25"/>
      <c r="L115" s="25"/>
      <c r="M115" s="25"/>
      <c r="N115" s="25"/>
      <c r="O115" s="25"/>
      <c r="P115" s="25"/>
      <c r="Q115" s="25"/>
      <c r="R115" s="25"/>
      <c r="S115" s="25"/>
      <c r="T115" s="25"/>
      <c r="U115" s="229"/>
      <c r="V115" s="25"/>
      <c r="W115" s="25"/>
      <c r="X115" s="25"/>
      <c r="Y115" s="25"/>
      <c r="Z115" s="25"/>
      <c r="AA115" s="25"/>
      <c r="AB115" s="25"/>
      <c r="AC115" s="25"/>
      <c r="AD115" s="25"/>
      <c r="AE115" s="25"/>
      <c r="AF115" s="25"/>
      <c r="AG115" s="25"/>
      <c r="AH115" s="25"/>
      <c r="AI115" s="25"/>
      <c r="AJ115" s="25"/>
    </row>
    <row r="116" spans="1:36" ht="21" customHeight="1">
      <c r="A116" s="25"/>
      <c r="B116" s="25"/>
      <c r="C116" s="25"/>
      <c r="D116" s="25"/>
      <c r="E116" s="25"/>
      <c r="F116" s="25"/>
      <c r="G116" s="25"/>
      <c r="H116" s="25"/>
      <c r="I116" s="25"/>
      <c r="J116" s="25"/>
      <c r="K116" s="25"/>
      <c r="L116" s="25"/>
      <c r="M116" s="25"/>
      <c r="N116" s="25"/>
      <c r="O116" s="25"/>
      <c r="P116" s="25"/>
      <c r="Q116" s="25"/>
      <c r="R116" s="25"/>
      <c r="S116" s="25"/>
      <c r="T116" s="25"/>
      <c r="U116" s="229"/>
      <c r="V116" s="25"/>
      <c r="W116" s="25"/>
      <c r="X116" s="25"/>
      <c r="Y116" s="25"/>
      <c r="Z116" s="25"/>
      <c r="AA116" s="25"/>
      <c r="AB116" s="25"/>
      <c r="AC116" s="25"/>
      <c r="AD116" s="25"/>
      <c r="AE116" s="25"/>
      <c r="AF116" s="25"/>
      <c r="AG116" s="25"/>
      <c r="AH116" s="25"/>
      <c r="AI116" s="25"/>
      <c r="AJ116" s="25"/>
    </row>
    <row r="117" spans="1:36" ht="21" customHeight="1">
      <c r="A117" s="25"/>
      <c r="B117" s="25"/>
      <c r="C117" s="25"/>
      <c r="D117" s="25"/>
      <c r="E117" s="25"/>
      <c r="F117" s="25"/>
      <c r="G117" s="25"/>
      <c r="H117" s="25"/>
      <c r="I117" s="25"/>
      <c r="J117" s="25"/>
      <c r="K117" s="25"/>
      <c r="L117" s="25"/>
      <c r="M117" s="25"/>
      <c r="N117" s="25"/>
      <c r="O117" s="25"/>
      <c r="P117" s="25"/>
      <c r="Q117" s="25"/>
      <c r="R117" s="25"/>
      <c r="S117" s="25"/>
      <c r="T117" s="25"/>
      <c r="U117" s="229"/>
      <c r="V117" s="25"/>
      <c r="W117" s="25"/>
      <c r="X117" s="25"/>
      <c r="Y117" s="25"/>
      <c r="Z117" s="25"/>
      <c r="AA117" s="25"/>
      <c r="AB117" s="25"/>
      <c r="AC117" s="25"/>
      <c r="AD117" s="25"/>
      <c r="AE117" s="25"/>
      <c r="AF117" s="25"/>
      <c r="AG117" s="25"/>
      <c r="AH117" s="25"/>
      <c r="AI117" s="25"/>
      <c r="AJ117" s="25"/>
    </row>
    <row r="118" spans="1:36" ht="21" customHeight="1">
      <c r="A118" s="25"/>
      <c r="B118" s="25"/>
      <c r="C118" s="25"/>
      <c r="D118" s="25"/>
      <c r="E118" s="25"/>
      <c r="F118" s="25"/>
      <c r="G118" s="25"/>
      <c r="H118" s="25"/>
      <c r="I118" s="25"/>
      <c r="J118" s="25"/>
      <c r="K118" s="25"/>
      <c r="L118" s="25"/>
      <c r="M118" s="25"/>
      <c r="N118" s="25"/>
      <c r="O118" s="25"/>
      <c r="P118" s="25"/>
      <c r="Q118" s="25"/>
      <c r="R118" s="25"/>
      <c r="S118" s="25"/>
      <c r="T118" s="25"/>
      <c r="U118" s="229"/>
      <c r="V118" s="25"/>
      <c r="W118" s="25"/>
      <c r="X118" s="25"/>
      <c r="Y118" s="25"/>
      <c r="Z118" s="25"/>
      <c r="AA118" s="25"/>
      <c r="AB118" s="25"/>
      <c r="AC118" s="25"/>
      <c r="AD118" s="25"/>
      <c r="AE118" s="25"/>
      <c r="AF118" s="25"/>
      <c r="AG118" s="25"/>
      <c r="AH118" s="25"/>
      <c r="AI118" s="25"/>
      <c r="AJ118" s="25"/>
    </row>
    <row r="119" spans="1:36" ht="21" customHeight="1">
      <c r="A119" s="25"/>
      <c r="B119" s="25"/>
      <c r="C119" s="25"/>
      <c r="D119" s="25"/>
      <c r="E119" s="25"/>
      <c r="F119" s="25"/>
      <c r="G119" s="25"/>
      <c r="H119" s="25"/>
      <c r="I119" s="25"/>
      <c r="J119" s="25"/>
      <c r="K119" s="25"/>
      <c r="L119" s="25"/>
      <c r="M119" s="25"/>
      <c r="N119" s="25"/>
      <c r="O119" s="25"/>
      <c r="P119" s="25"/>
      <c r="Q119" s="25"/>
      <c r="R119" s="25"/>
      <c r="S119" s="25"/>
      <c r="T119" s="25"/>
      <c r="U119" s="229"/>
      <c r="V119" s="25"/>
      <c r="W119" s="25"/>
      <c r="X119" s="25"/>
      <c r="Y119" s="25"/>
      <c r="Z119" s="25"/>
      <c r="AA119" s="25"/>
      <c r="AB119" s="25"/>
      <c r="AC119" s="25"/>
      <c r="AD119" s="25"/>
      <c r="AE119" s="25"/>
      <c r="AF119" s="25"/>
      <c r="AG119" s="25"/>
      <c r="AH119" s="25"/>
      <c r="AI119" s="25"/>
      <c r="AJ119" s="25"/>
    </row>
    <row r="120" spans="1:36" ht="21" customHeight="1">
      <c r="A120" s="25"/>
      <c r="B120" s="25"/>
      <c r="C120" s="25"/>
      <c r="D120" s="25"/>
      <c r="E120" s="25"/>
      <c r="F120" s="25"/>
      <c r="G120" s="25"/>
      <c r="H120" s="25"/>
      <c r="I120" s="25"/>
      <c r="J120" s="25"/>
      <c r="K120" s="25"/>
      <c r="L120" s="25"/>
      <c r="M120" s="25"/>
      <c r="N120" s="25"/>
      <c r="O120" s="25"/>
      <c r="P120" s="25"/>
      <c r="Q120" s="25"/>
      <c r="R120" s="25"/>
      <c r="S120" s="25"/>
      <c r="T120" s="25"/>
      <c r="U120" s="229"/>
      <c r="V120" s="25"/>
      <c r="W120" s="25"/>
      <c r="X120" s="25"/>
      <c r="Y120" s="25"/>
      <c r="Z120" s="25"/>
      <c r="AA120" s="25"/>
      <c r="AB120" s="25"/>
      <c r="AC120" s="25"/>
      <c r="AD120" s="25"/>
      <c r="AE120" s="25"/>
      <c r="AF120" s="25"/>
      <c r="AG120" s="25"/>
      <c r="AH120" s="25"/>
      <c r="AI120" s="25"/>
      <c r="AJ120" s="25"/>
    </row>
    <row r="121" spans="1:36" ht="21" customHeight="1">
      <c r="A121" s="25"/>
      <c r="B121" s="25"/>
      <c r="C121" s="25"/>
      <c r="D121" s="25"/>
      <c r="E121" s="25"/>
      <c r="F121" s="25"/>
      <c r="G121" s="25"/>
      <c r="H121" s="25"/>
      <c r="I121" s="25"/>
      <c r="J121" s="25"/>
      <c r="K121" s="25"/>
      <c r="L121" s="25"/>
      <c r="M121" s="25"/>
      <c r="N121" s="25"/>
      <c r="O121" s="25"/>
      <c r="P121" s="25"/>
      <c r="Q121" s="25"/>
      <c r="R121" s="25"/>
      <c r="S121" s="25"/>
      <c r="T121" s="25"/>
      <c r="U121" s="229"/>
      <c r="V121" s="25"/>
      <c r="W121" s="25"/>
      <c r="X121" s="25"/>
      <c r="Y121" s="25"/>
      <c r="Z121" s="25"/>
      <c r="AA121" s="25"/>
      <c r="AB121" s="25"/>
      <c r="AC121" s="25"/>
      <c r="AD121" s="25"/>
      <c r="AE121" s="25"/>
      <c r="AF121" s="25"/>
      <c r="AG121" s="25"/>
      <c r="AH121" s="25"/>
      <c r="AI121" s="25"/>
      <c r="AJ121" s="25"/>
    </row>
    <row r="122" spans="1:36" ht="21" customHeight="1">
      <c r="A122" s="25"/>
      <c r="B122" s="25"/>
      <c r="C122" s="25"/>
      <c r="D122" s="25"/>
      <c r="E122" s="25"/>
      <c r="F122" s="25"/>
      <c r="G122" s="25"/>
      <c r="H122" s="25"/>
      <c r="I122" s="25"/>
      <c r="J122" s="25"/>
      <c r="K122" s="25"/>
      <c r="L122" s="25"/>
      <c r="M122" s="25"/>
      <c r="N122" s="25"/>
      <c r="O122" s="25"/>
      <c r="P122" s="25"/>
      <c r="Q122" s="25"/>
      <c r="R122" s="25"/>
      <c r="S122" s="25"/>
      <c r="T122" s="25"/>
      <c r="U122" s="229"/>
      <c r="V122" s="25"/>
      <c r="W122" s="25"/>
      <c r="X122" s="25"/>
      <c r="Y122" s="25"/>
      <c r="Z122" s="25"/>
      <c r="AA122" s="25"/>
      <c r="AB122" s="25"/>
      <c r="AC122" s="25"/>
      <c r="AD122" s="25"/>
      <c r="AE122" s="25"/>
      <c r="AF122" s="25"/>
      <c r="AG122" s="25"/>
      <c r="AH122" s="25"/>
      <c r="AI122" s="25"/>
      <c r="AJ122" s="25"/>
    </row>
    <row r="123" spans="1:36" ht="21" customHeight="1">
      <c r="A123" s="25"/>
      <c r="B123" s="25"/>
      <c r="C123" s="25"/>
      <c r="D123" s="25"/>
      <c r="E123" s="25"/>
      <c r="F123" s="25"/>
      <c r="G123" s="25"/>
      <c r="H123" s="25"/>
      <c r="I123" s="25"/>
      <c r="J123" s="25"/>
      <c r="K123" s="25"/>
      <c r="L123" s="25"/>
      <c r="M123" s="25"/>
      <c r="N123" s="25"/>
      <c r="O123" s="25"/>
      <c r="P123" s="25"/>
      <c r="Q123" s="25"/>
      <c r="R123" s="25"/>
      <c r="S123" s="25"/>
      <c r="T123" s="25"/>
      <c r="U123" s="229"/>
      <c r="V123" s="25"/>
      <c r="W123" s="25"/>
      <c r="X123" s="25"/>
      <c r="Y123" s="25"/>
      <c r="Z123" s="25"/>
      <c r="AA123" s="25"/>
      <c r="AB123" s="25"/>
      <c r="AC123" s="25"/>
      <c r="AD123" s="25"/>
      <c r="AE123" s="25"/>
      <c r="AF123" s="25"/>
      <c r="AG123" s="25"/>
      <c r="AH123" s="25"/>
      <c r="AI123" s="25"/>
      <c r="AJ123" s="25"/>
    </row>
    <row r="124" spans="1:36" ht="21" customHeight="1">
      <c r="A124" s="25"/>
      <c r="B124" s="25"/>
      <c r="C124" s="25"/>
      <c r="D124" s="25"/>
      <c r="E124" s="25"/>
      <c r="F124" s="25"/>
      <c r="G124" s="25"/>
      <c r="H124" s="25"/>
      <c r="I124" s="25"/>
      <c r="J124" s="25"/>
      <c r="K124" s="25"/>
      <c r="L124" s="25"/>
      <c r="M124" s="25"/>
      <c r="N124" s="25"/>
      <c r="O124" s="25"/>
      <c r="P124" s="25"/>
      <c r="Q124" s="25"/>
      <c r="R124" s="25"/>
      <c r="S124" s="25"/>
      <c r="T124" s="25"/>
      <c r="U124" s="229"/>
      <c r="V124" s="25"/>
      <c r="W124" s="25"/>
      <c r="X124" s="25"/>
      <c r="Y124" s="25"/>
      <c r="Z124" s="25"/>
      <c r="AA124" s="25"/>
      <c r="AB124" s="25"/>
      <c r="AC124" s="25"/>
      <c r="AD124" s="25"/>
      <c r="AE124" s="25"/>
      <c r="AF124" s="25"/>
      <c r="AG124" s="25"/>
      <c r="AH124" s="25"/>
      <c r="AI124" s="25"/>
      <c r="AJ124" s="25"/>
    </row>
    <row r="125" spans="1:36" ht="21" customHeight="1">
      <c r="A125" s="25"/>
      <c r="B125" s="25"/>
      <c r="C125" s="25"/>
      <c r="D125" s="25"/>
      <c r="E125" s="25"/>
      <c r="F125" s="25"/>
      <c r="G125" s="25"/>
      <c r="H125" s="25"/>
      <c r="I125" s="25"/>
      <c r="J125" s="25"/>
      <c r="K125" s="25"/>
      <c r="L125" s="25"/>
      <c r="M125" s="25"/>
      <c r="N125" s="25"/>
      <c r="O125" s="25"/>
      <c r="P125" s="25"/>
      <c r="Q125" s="25"/>
      <c r="R125" s="25"/>
      <c r="S125" s="25"/>
      <c r="T125" s="25"/>
      <c r="U125" s="229"/>
      <c r="V125" s="25"/>
      <c r="W125" s="25"/>
      <c r="X125" s="25"/>
      <c r="Y125" s="25"/>
      <c r="Z125" s="25"/>
      <c r="AA125" s="25"/>
      <c r="AB125" s="25"/>
      <c r="AC125" s="25"/>
      <c r="AD125" s="25"/>
      <c r="AE125" s="25"/>
      <c r="AF125" s="25"/>
      <c r="AG125" s="25"/>
      <c r="AH125" s="25"/>
      <c r="AI125" s="25"/>
      <c r="AJ125" s="25"/>
    </row>
    <row r="126" spans="1:36" ht="21" customHeight="1">
      <c r="A126" s="25"/>
      <c r="B126" s="25"/>
      <c r="C126" s="25"/>
      <c r="D126" s="25"/>
      <c r="E126" s="25"/>
      <c r="F126" s="25"/>
      <c r="G126" s="25"/>
      <c r="H126" s="25"/>
      <c r="I126" s="25"/>
      <c r="J126" s="25"/>
      <c r="K126" s="25"/>
      <c r="L126" s="25"/>
      <c r="M126" s="25"/>
      <c r="N126" s="25"/>
      <c r="O126" s="25"/>
      <c r="P126" s="25"/>
      <c r="Q126" s="25"/>
      <c r="R126" s="25"/>
      <c r="S126" s="25"/>
      <c r="T126" s="25"/>
      <c r="U126" s="229"/>
      <c r="V126" s="25"/>
      <c r="W126" s="25"/>
      <c r="X126" s="25"/>
      <c r="Y126" s="25"/>
      <c r="Z126" s="25"/>
      <c r="AA126" s="25"/>
      <c r="AB126" s="25"/>
      <c r="AC126" s="25"/>
      <c r="AD126" s="25"/>
      <c r="AE126" s="25"/>
      <c r="AF126" s="25"/>
      <c r="AG126" s="25"/>
      <c r="AH126" s="25"/>
      <c r="AI126" s="25"/>
      <c r="AJ126" s="25"/>
    </row>
    <row r="127" spans="1:36" ht="21" customHeight="1">
      <c r="A127" s="25"/>
      <c r="B127" s="25"/>
      <c r="C127" s="25"/>
      <c r="D127" s="25"/>
      <c r="E127" s="25"/>
      <c r="F127" s="25"/>
      <c r="G127" s="25"/>
      <c r="H127" s="25"/>
      <c r="I127" s="25"/>
      <c r="J127" s="25"/>
      <c r="K127" s="25"/>
      <c r="L127" s="25"/>
      <c r="M127" s="25"/>
      <c r="N127" s="25"/>
      <c r="O127" s="25"/>
      <c r="P127" s="25"/>
      <c r="Q127" s="25"/>
      <c r="R127" s="25"/>
      <c r="S127" s="25"/>
      <c r="T127" s="25"/>
      <c r="U127" s="229"/>
      <c r="V127" s="25"/>
      <c r="W127" s="25"/>
      <c r="X127" s="25"/>
      <c r="Y127" s="25"/>
      <c r="Z127" s="25"/>
      <c r="AA127" s="25"/>
      <c r="AB127" s="25"/>
      <c r="AC127" s="25"/>
      <c r="AD127" s="25"/>
      <c r="AE127" s="25"/>
      <c r="AF127" s="25"/>
      <c r="AG127" s="25"/>
      <c r="AH127" s="25"/>
      <c r="AI127" s="25"/>
      <c r="AJ127" s="25"/>
    </row>
    <row r="128" spans="1:36" ht="21" customHeight="1">
      <c r="A128" s="25"/>
      <c r="B128" s="25"/>
      <c r="C128" s="25"/>
      <c r="D128" s="25"/>
      <c r="E128" s="25"/>
      <c r="F128" s="25"/>
      <c r="G128" s="25"/>
      <c r="H128" s="25"/>
      <c r="I128" s="25"/>
      <c r="J128" s="25"/>
      <c r="K128" s="25"/>
      <c r="L128" s="25"/>
      <c r="M128" s="25"/>
      <c r="N128" s="25"/>
      <c r="O128" s="25"/>
      <c r="P128" s="25"/>
      <c r="Q128" s="25"/>
      <c r="R128" s="25"/>
      <c r="S128" s="25"/>
      <c r="T128" s="25"/>
      <c r="U128" s="229"/>
      <c r="V128" s="25"/>
      <c r="W128" s="25"/>
      <c r="X128" s="25"/>
      <c r="Y128" s="25"/>
      <c r="Z128" s="25"/>
      <c r="AA128" s="25"/>
      <c r="AB128" s="25"/>
      <c r="AC128" s="25"/>
      <c r="AD128" s="25"/>
      <c r="AE128" s="25"/>
      <c r="AF128" s="25"/>
      <c r="AG128" s="25"/>
      <c r="AH128" s="25"/>
      <c r="AI128" s="25"/>
      <c r="AJ128" s="25"/>
    </row>
    <row r="129" spans="1:36" ht="21" customHeight="1">
      <c r="A129" s="25"/>
      <c r="B129" s="25"/>
      <c r="C129" s="25"/>
      <c r="D129" s="25"/>
      <c r="E129" s="25"/>
      <c r="F129" s="25"/>
      <c r="G129" s="25"/>
      <c r="H129" s="25"/>
      <c r="I129" s="25"/>
      <c r="J129" s="25"/>
      <c r="K129" s="25"/>
      <c r="L129" s="25"/>
      <c r="M129" s="25"/>
      <c r="N129" s="25"/>
      <c r="O129" s="25"/>
      <c r="P129" s="25"/>
      <c r="Q129" s="25"/>
      <c r="R129" s="25"/>
      <c r="S129" s="25"/>
      <c r="T129" s="25"/>
      <c r="U129" s="229"/>
      <c r="V129" s="25"/>
      <c r="W129" s="25"/>
      <c r="X129" s="25"/>
      <c r="Y129" s="25"/>
      <c r="Z129" s="25"/>
      <c r="AA129" s="25"/>
      <c r="AB129" s="25"/>
      <c r="AC129" s="25"/>
      <c r="AD129" s="25"/>
      <c r="AE129" s="25"/>
      <c r="AF129" s="25"/>
      <c r="AG129" s="25"/>
      <c r="AH129" s="25"/>
      <c r="AI129" s="25"/>
      <c r="AJ129" s="25"/>
    </row>
    <row r="130" spans="1:36" ht="21" customHeight="1">
      <c r="A130" s="25"/>
      <c r="B130" s="25"/>
      <c r="C130" s="25"/>
      <c r="D130" s="25"/>
      <c r="E130" s="25"/>
      <c r="F130" s="25"/>
      <c r="G130" s="25"/>
      <c r="H130" s="25"/>
      <c r="I130" s="25"/>
      <c r="J130" s="25"/>
      <c r="K130" s="25"/>
      <c r="L130" s="25"/>
      <c r="M130" s="25"/>
      <c r="N130" s="25"/>
      <c r="O130" s="25"/>
      <c r="P130" s="25"/>
      <c r="Q130" s="25"/>
      <c r="R130" s="25"/>
      <c r="S130" s="25"/>
      <c r="T130" s="25"/>
      <c r="U130" s="229"/>
      <c r="V130" s="25"/>
      <c r="W130" s="25"/>
      <c r="X130" s="25"/>
      <c r="Y130" s="25"/>
      <c r="Z130" s="25"/>
      <c r="AA130" s="25"/>
      <c r="AB130" s="25"/>
      <c r="AC130" s="25"/>
      <c r="AD130" s="25"/>
      <c r="AE130" s="25"/>
      <c r="AF130" s="25"/>
      <c r="AG130" s="25"/>
      <c r="AH130" s="25"/>
      <c r="AI130" s="25"/>
      <c r="AJ130" s="25"/>
    </row>
    <row r="131" spans="1:36" ht="21" customHeight="1">
      <c r="A131" s="25"/>
      <c r="B131" s="25"/>
      <c r="C131" s="25"/>
      <c r="D131" s="25"/>
      <c r="E131" s="25"/>
      <c r="F131" s="25"/>
      <c r="G131" s="25"/>
      <c r="H131" s="25"/>
      <c r="I131" s="25"/>
      <c r="J131" s="25"/>
      <c r="K131" s="25"/>
      <c r="L131" s="25"/>
      <c r="M131" s="25"/>
      <c r="N131" s="25"/>
      <c r="O131" s="25"/>
      <c r="P131" s="25"/>
      <c r="Q131" s="25"/>
      <c r="R131" s="25"/>
      <c r="S131" s="25"/>
      <c r="T131" s="25"/>
      <c r="U131" s="229"/>
      <c r="V131" s="25"/>
      <c r="W131" s="25"/>
      <c r="X131" s="25"/>
      <c r="Y131" s="25"/>
      <c r="Z131" s="25"/>
      <c r="AA131" s="25"/>
      <c r="AB131" s="25"/>
      <c r="AC131" s="25"/>
      <c r="AD131" s="25"/>
      <c r="AE131" s="25"/>
      <c r="AF131" s="25"/>
      <c r="AG131" s="25"/>
      <c r="AH131" s="25"/>
      <c r="AI131" s="25"/>
      <c r="AJ131" s="25"/>
    </row>
    <row r="132" spans="1:36" ht="21" customHeight="1">
      <c r="A132" s="25"/>
      <c r="B132" s="25"/>
      <c r="C132" s="25"/>
      <c r="D132" s="25"/>
      <c r="E132" s="25"/>
      <c r="F132" s="25"/>
      <c r="G132" s="25"/>
      <c r="H132" s="25"/>
      <c r="I132" s="25"/>
      <c r="J132" s="25"/>
      <c r="K132" s="25"/>
      <c r="L132" s="25"/>
      <c r="M132" s="25"/>
      <c r="N132" s="25"/>
      <c r="O132" s="25"/>
      <c r="P132" s="25"/>
      <c r="Q132" s="25"/>
      <c r="R132" s="25"/>
      <c r="S132" s="25"/>
      <c r="T132" s="25"/>
      <c r="U132" s="229"/>
      <c r="V132" s="25"/>
      <c r="W132" s="25"/>
      <c r="X132" s="25"/>
      <c r="Y132" s="25"/>
      <c r="Z132" s="25"/>
      <c r="AA132" s="25"/>
      <c r="AB132" s="25"/>
      <c r="AC132" s="25"/>
      <c r="AD132" s="25"/>
      <c r="AE132" s="25"/>
      <c r="AF132" s="25"/>
      <c r="AG132" s="25"/>
      <c r="AH132" s="25"/>
      <c r="AI132" s="25"/>
      <c r="AJ132" s="25"/>
    </row>
    <row r="133" spans="1:36" ht="21" customHeight="1">
      <c r="A133" s="25"/>
      <c r="B133" s="25"/>
      <c r="C133" s="25"/>
      <c r="D133" s="25"/>
      <c r="E133" s="25"/>
      <c r="F133" s="25"/>
      <c r="G133" s="25"/>
      <c r="H133" s="25"/>
      <c r="I133" s="25"/>
      <c r="J133" s="25"/>
      <c r="K133" s="25"/>
      <c r="L133" s="25"/>
      <c r="M133" s="25"/>
      <c r="N133" s="25"/>
      <c r="O133" s="25"/>
      <c r="P133" s="25"/>
      <c r="Q133" s="25"/>
      <c r="R133" s="25"/>
      <c r="S133" s="25"/>
      <c r="T133" s="25"/>
      <c r="U133" s="229"/>
      <c r="V133" s="25"/>
      <c r="W133" s="25"/>
      <c r="X133" s="25"/>
      <c r="Y133" s="25"/>
      <c r="Z133" s="25"/>
      <c r="AA133" s="25"/>
      <c r="AB133" s="25"/>
      <c r="AC133" s="25"/>
      <c r="AD133" s="25"/>
      <c r="AE133" s="25"/>
      <c r="AF133" s="25"/>
      <c r="AG133" s="25"/>
      <c r="AH133" s="25"/>
      <c r="AI133" s="25"/>
      <c r="AJ133" s="25"/>
    </row>
    <row r="134" spans="1:36" ht="21" customHeight="1">
      <c r="A134" s="25"/>
      <c r="B134" s="25"/>
      <c r="C134" s="25"/>
      <c r="D134" s="25"/>
      <c r="E134" s="25"/>
      <c r="F134" s="25"/>
      <c r="G134" s="25"/>
      <c r="H134" s="25"/>
      <c r="I134" s="25"/>
      <c r="J134" s="25"/>
      <c r="K134" s="25"/>
      <c r="L134" s="25"/>
      <c r="M134" s="25"/>
      <c r="N134" s="25"/>
      <c r="O134" s="25"/>
      <c r="P134" s="25"/>
      <c r="Q134" s="25"/>
      <c r="R134" s="25"/>
      <c r="S134" s="25"/>
      <c r="T134" s="25"/>
      <c r="U134" s="229"/>
      <c r="V134" s="25"/>
      <c r="W134" s="25"/>
      <c r="X134" s="25"/>
      <c r="Y134" s="25"/>
      <c r="Z134" s="25"/>
      <c r="AA134" s="25"/>
      <c r="AB134" s="25"/>
      <c r="AC134" s="25"/>
      <c r="AD134" s="25"/>
      <c r="AE134" s="25"/>
      <c r="AF134" s="25"/>
      <c r="AG134" s="25"/>
      <c r="AH134" s="25"/>
      <c r="AI134" s="25"/>
      <c r="AJ134" s="25"/>
    </row>
    <row r="135" spans="1:36" ht="21" customHeight="1">
      <c r="A135" s="25"/>
      <c r="B135" s="25"/>
      <c r="C135" s="25"/>
      <c r="D135" s="25"/>
      <c r="E135" s="25"/>
      <c r="F135" s="25"/>
      <c r="G135" s="25"/>
      <c r="H135" s="25"/>
      <c r="I135" s="25"/>
      <c r="J135" s="25"/>
      <c r="K135" s="25"/>
      <c r="L135" s="25"/>
      <c r="M135" s="25"/>
      <c r="N135" s="25"/>
      <c r="O135" s="25"/>
      <c r="P135" s="25"/>
      <c r="Q135" s="25"/>
      <c r="R135" s="25"/>
      <c r="S135" s="25"/>
      <c r="T135" s="25"/>
      <c r="U135" s="229"/>
      <c r="V135" s="25"/>
      <c r="W135" s="25"/>
      <c r="X135" s="25"/>
      <c r="Y135" s="25"/>
      <c r="Z135" s="25"/>
      <c r="AA135" s="25"/>
      <c r="AB135" s="25"/>
      <c r="AC135" s="25"/>
      <c r="AD135" s="25"/>
      <c r="AE135" s="25"/>
      <c r="AF135" s="25"/>
      <c r="AG135" s="25"/>
      <c r="AH135" s="25"/>
      <c r="AI135" s="25"/>
      <c r="AJ135" s="25"/>
    </row>
    <row r="136" spans="1:36" ht="21" customHeight="1">
      <c r="A136" s="25"/>
      <c r="B136" s="25"/>
      <c r="C136" s="25"/>
      <c r="D136" s="25"/>
      <c r="E136" s="25"/>
      <c r="F136" s="25"/>
      <c r="G136" s="25"/>
      <c r="H136" s="25"/>
      <c r="I136" s="25"/>
      <c r="J136" s="25"/>
      <c r="K136" s="25"/>
      <c r="L136" s="25"/>
      <c r="M136" s="25"/>
      <c r="N136" s="25"/>
      <c r="O136" s="25"/>
      <c r="P136" s="25"/>
      <c r="Q136" s="25"/>
      <c r="R136" s="25"/>
      <c r="S136" s="25"/>
      <c r="T136" s="25"/>
      <c r="U136" s="229"/>
      <c r="V136" s="25"/>
      <c r="W136" s="25"/>
      <c r="X136" s="25"/>
      <c r="Y136" s="25"/>
      <c r="Z136" s="25"/>
      <c r="AA136" s="25"/>
      <c r="AB136" s="25"/>
      <c r="AC136" s="25"/>
      <c r="AD136" s="25"/>
      <c r="AE136" s="25"/>
      <c r="AF136" s="25"/>
      <c r="AG136" s="25"/>
      <c r="AH136" s="25"/>
      <c r="AI136" s="25"/>
      <c r="AJ136" s="25"/>
    </row>
    <row r="137" spans="1:36" ht="21" customHeight="1">
      <c r="A137" s="25"/>
      <c r="B137" s="25"/>
      <c r="C137" s="25"/>
      <c r="D137" s="25"/>
      <c r="E137" s="25"/>
      <c r="F137" s="25"/>
      <c r="G137" s="25"/>
      <c r="H137" s="25"/>
      <c r="I137" s="25"/>
      <c r="J137" s="25"/>
      <c r="K137" s="25"/>
      <c r="L137" s="25"/>
      <c r="M137" s="25"/>
      <c r="N137" s="25"/>
      <c r="O137" s="25"/>
      <c r="P137" s="25"/>
      <c r="Q137" s="25"/>
      <c r="R137" s="25"/>
      <c r="S137" s="25"/>
      <c r="T137" s="25"/>
      <c r="U137" s="229"/>
      <c r="V137" s="25"/>
      <c r="W137" s="25"/>
      <c r="X137" s="25"/>
      <c r="Y137" s="25"/>
      <c r="Z137" s="25"/>
      <c r="AA137" s="25"/>
      <c r="AB137" s="25"/>
      <c r="AC137" s="25"/>
      <c r="AD137" s="25"/>
      <c r="AE137" s="25"/>
      <c r="AF137" s="25"/>
      <c r="AG137" s="25"/>
      <c r="AH137" s="25"/>
      <c r="AI137" s="25"/>
      <c r="AJ137" s="25"/>
    </row>
    <row r="138" spans="1:36" ht="21" customHeight="1">
      <c r="A138" s="25"/>
      <c r="B138" s="25"/>
      <c r="C138" s="25"/>
      <c r="D138" s="25"/>
      <c r="E138" s="25"/>
      <c r="F138" s="25"/>
      <c r="G138" s="25"/>
      <c r="H138" s="25"/>
      <c r="I138" s="25"/>
      <c r="J138" s="25"/>
      <c r="K138" s="25"/>
      <c r="L138" s="25"/>
      <c r="M138" s="25"/>
      <c r="N138" s="25"/>
      <c r="O138" s="25"/>
      <c r="P138" s="25"/>
      <c r="Q138" s="25"/>
      <c r="R138" s="25"/>
      <c r="S138" s="25"/>
      <c r="T138" s="25"/>
      <c r="U138" s="229"/>
      <c r="V138" s="25"/>
      <c r="W138" s="25"/>
      <c r="X138" s="25"/>
      <c r="Y138" s="25"/>
      <c r="Z138" s="25"/>
      <c r="AA138" s="25"/>
      <c r="AB138" s="25"/>
      <c r="AC138" s="25"/>
      <c r="AD138" s="25"/>
      <c r="AE138" s="25"/>
      <c r="AF138" s="25"/>
      <c r="AG138" s="25"/>
      <c r="AH138" s="25"/>
      <c r="AI138" s="25"/>
      <c r="AJ138" s="25"/>
    </row>
    <row r="139" spans="1:36" ht="21" customHeight="1">
      <c r="A139" s="25"/>
      <c r="B139" s="25"/>
      <c r="C139" s="25"/>
      <c r="D139" s="25"/>
      <c r="E139" s="25"/>
      <c r="F139" s="25"/>
      <c r="G139" s="25"/>
      <c r="H139" s="25"/>
      <c r="I139" s="25"/>
      <c r="J139" s="25"/>
      <c r="K139" s="25"/>
      <c r="L139" s="25"/>
      <c r="M139" s="25"/>
      <c r="N139" s="25"/>
      <c r="O139" s="25"/>
      <c r="P139" s="25"/>
      <c r="Q139" s="25"/>
      <c r="R139" s="25"/>
      <c r="S139" s="25"/>
      <c r="T139" s="25"/>
      <c r="U139" s="229"/>
      <c r="V139" s="25"/>
      <c r="W139" s="25"/>
      <c r="X139" s="25"/>
      <c r="Y139" s="25"/>
      <c r="Z139" s="25"/>
      <c r="AA139" s="25"/>
      <c r="AB139" s="25"/>
      <c r="AC139" s="25"/>
      <c r="AD139" s="25"/>
      <c r="AE139" s="25"/>
      <c r="AF139" s="25"/>
      <c r="AG139" s="25"/>
      <c r="AH139" s="25"/>
      <c r="AI139" s="25"/>
      <c r="AJ139" s="25"/>
    </row>
    <row r="140" spans="1:36" ht="21" customHeight="1">
      <c r="A140" s="25"/>
      <c r="B140" s="25"/>
      <c r="C140" s="25"/>
      <c r="D140" s="25"/>
      <c r="E140" s="25"/>
      <c r="F140" s="25"/>
      <c r="G140" s="25"/>
      <c r="H140" s="25"/>
      <c r="I140" s="25"/>
      <c r="J140" s="25"/>
      <c r="K140" s="25"/>
      <c r="L140" s="25"/>
      <c r="M140" s="25"/>
      <c r="N140" s="25"/>
      <c r="O140" s="25"/>
      <c r="P140" s="25"/>
      <c r="Q140" s="25"/>
      <c r="R140" s="25"/>
      <c r="S140" s="25"/>
      <c r="T140" s="25"/>
      <c r="U140" s="229"/>
      <c r="V140" s="25"/>
      <c r="W140" s="25"/>
      <c r="X140" s="25"/>
      <c r="Y140" s="25"/>
      <c r="Z140" s="25"/>
      <c r="AA140" s="25"/>
      <c r="AB140" s="25"/>
      <c r="AC140" s="25"/>
      <c r="AD140" s="25"/>
      <c r="AE140" s="25"/>
      <c r="AF140" s="25"/>
      <c r="AG140" s="25"/>
      <c r="AH140" s="25"/>
      <c r="AI140" s="25"/>
      <c r="AJ140" s="25"/>
    </row>
    <row r="141" spans="1:36" ht="21" customHeight="1">
      <c r="A141" s="25"/>
      <c r="B141" s="25"/>
      <c r="C141" s="25"/>
      <c r="D141" s="25"/>
      <c r="E141" s="25"/>
      <c r="F141" s="25"/>
      <c r="G141" s="25"/>
      <c r="H141" s="25"/>
      <c r="I141" s="25"/>
      <c r="J141" s="25"/>
      <c r="K141" s="25"/>
      <c r="L141" s="25"/>
      <c r="M141" s="25"/>
      <c r="N141" s="25"/>
      <c r="O141" s="25"/>
      <c r="P141" s="25"/>
      <c r="Q141" s="25"/>
      <c r="R141" s="25"/>
      <c r="S141" s="25"/>
      <c r="T141" s="25"/>
      <c r="U141" s="229"/>
      <c r="V141" s="25"/>
      <c r="W141" s="25"/>
      <c r="X141" s="25"/>
      <c r="Y141" s="25"/>
      <c r="Z141" s="25"/>
      <c r="AA141" s="25"/>
      <c r="AB141" s="25"/>
      <c r="AC141" s="25"/>
      <c r="AD141" s="25"/>
      <c r="AE141" s="25"/>
      <c r="AF141" s="25"/>
      <c r="AG141" s="25"/>
      <c r="AH141" s="25"/>
      <c r="AI141" s="25"/>
      <c r="AJ141" s="25"/>
    </row>
    <row r="142" spans="1:36" ht="21" customHeight="1">
      <c r="A142" s="25"/>
      <c r="B142" s="25"/>
      <c r="C142" s="25"/>
      <c r="D142" s="25"/>
      <c r="E142" s="25"/>
      <c r="F142" s="25"/>
      <c r="G142" s="25"/>
      <c r="H142" s="25"/>
      <c r="I142" s="25"/>
      <c r="J142" s="25"/>
      <c r="K142" s="25"/>
      <c r="L142" s="25"/>
      <c r="M142" s="25"/>
      <c r="N142" s="25"/>
      <c r="O142" s="25"/>
      <c r="P142" s="25"/>
      <c r="Q142" s="25"/>
      <c r="R142" s="25"/>
      <c r="S142" s="25"/>
      <c r="T142" s="25"/>
      <c r="U142" s="229"/>
      <c r="V142" s="25"/>
      <c r="W142" s="25"/>
      <c r="X142" s="25"/>
      <c r="Y142" s="25"/>
      <c r="Z142" s="25"/>
      <c r="AA142" s="25"/>
      <c r="AB142" s="25"/>
      <c r="AC142" s="25"/>
      <c r="AD142" s="25"/>
      <c r="AE142" s="25"/>
      <c r="AF142" s="25"/>
      <c r="AG142" s="25"/>
      <c r="AH142" s="25"/>
      <c r="AI142" s="25"/>
      <c r="AJ142" s="25"/>
    </row>
    <row r="143" spans="1:36" ht="21" customHeight="1">
      <c r="A143" s="25"/>
      <c r="B143" s="25"/>
      <c r="C143" s="25"/>
      <c r="D143" s="25"/>
      <c r="E143" s="25"/>
      <c r="F143" s="25"/>
      <c r="G143" s="25"/>
      <c r="H143" s="25"/>
      <c r="I143" s="25"/>
      <c r="J143" s="25"/>
      <c r="K143" s="25"/>
      <c r="L143" s="25"/>
      <c r="M143" s="25"/>
      <c r="N143" s="25"/>
      <c r="O143" s="25"/>
      <c r="P143" s="25"/>
      <c r="Q143" s="25"/>
      <c r="R143" s="25"/>
      <c r="S143" s="25"/>
      <c r="T143" s="25"/>
      <c r="U143" s="229"/>
      <c r="V143" s="25"/>
      <c r="W143" s="25"/>
      <c r="X143" s="25"/>
      <c r="Y143" s="25"/>
      <c r="Z143" s="25"/>
      <c r="AA143" s="25"/>
      <c r="AB143" s="25"/>
      <c r="AC143" s="25"/>
      <c r="AD143" s="25"/>
      <c r="AE143" s="25"/>
      <c r="AF143" s="25"/>
      <c r="AG143" s="25"/>
      <c r="AH143" s="25"/>
      <c r="AI143" s="25"/>
      <c r="AJ143" s="25"/>
    </row>
    <row r="144" spans="1:36" ht="21" customHeight="1">
      <c r="A144" s="25"/>
      <c r="B144" s="25"/>
      <c r="C144" s="25"/>
      <c r="D144" s="25"/>
      <c r="E144" s="25"/>
      <c r="F144" s="25"/>
      <c r="G144" s="25"/>
      <c r="H144" s="25"/>
      <c r="I144" s="25"/>
      <c r="J144" s="25"/>
      <c r="K144" s="25"/>
      <c r="L144" s="25"/>
      <c r="M144" s="25"/>
      <c r="N144" s="25"/>
      <c r="O144" s="25"/>
      <c r="P144" s="25"/>
      <c r="Q144" s="25"/>
      <c r="R144" s="25"/>
      <c r="S144" s="25"/>
      <c r="T144" s="25"/>
      <c r="U144" s="229"/>
      <c r="V144" s="25"/>
      <c r="W144" s="25"/>
      <c r="X144" s="25"/>
      <c r="Y144" s="25"/>
      <c r="Z144" s="25"/>
      <c r="AA144" s="25"/>
      <c r="AB144" s="25"/>
      <c r="AC144" s="25"/>
      <c r="AD144" s="25"/>
      <c r="AE144" s="25"/>
      <c r="AF144" s="25"/>
      <c r="AG144" s="25"/>
      <c r="AH144" s="25"/>
      <c r="AI144" s="25"/>
      <c r="AJ144" s="25"/>
    </row>
    <row r="145" spans="1:36" ht="21" customHeight="1">
      <c r="A145" s="25"/>
      <c r="B145" s="25"/>
      <c r="C145" s="25"/>
      <c r="D145" s="25"/>
      <c r="E145" s="25"/>
      <c r="F145" s="25"/>
      <c r="G145" s="25"/>
      <c r="H145" s="25"/>
      <c r="I145" s="25"/>
      <c r="J145" s="25"/>
      <c r="K145" s="25"/>
      <c r="L145" s="25"/>
      <c r="M145" s="25"/>
      <c r="N145" s="25"/>
      <c r="O145" s="25"/>
      <c r="P145" s="25"/>
      <c r="Q145" s="25"/>
      <c r="R145" s="25"/>
      <c r="S145" s="25"/>
      <c r="T145" s="25"/>
      <c r="U145" s="229"/>
      <c r="V145" s="25"/>
      <c r="W145" s="25"/>
      <c r="X145" s="25"/>
      <c r="Y145" s="25"/>
      <c r="Z145" s="25"/>
      <c r="AA145" s="25"/>
      <c r="AB145" s="25"/>
      <c r="AC145" s="25"/>
      <c r="AD145" s="25"/>
      <c r="AE145" s="25"/>
      <c r="AF145" s="25"/>
      <c r="AG145" s="25"/>
      <c r="AH145" s="25"/>
      <c r="AI145" s="25"/>
      <c r="AJ145" s="25"/>
    </row>
    <row r="146" spans="1:36" ht="21" customHeight="1">
      <c r="A146" s="25"/>
      <c r="B146" s="25"/>
      <c r="C146" s="25"/>
      <c r="D146" s="25"/>
      <c r="E146" s="25"/>
      <c r="F146" s="25"/>
      <c r="G146" s="25"/>
      <c r="H146" s="25"/>
      <c r="I146" s="25"/>
      <c r="J146" s="25"/>
      <c r="K146" s="25"/>
      <c r="L146" s="25"/>
      <c r="M146" s="25"/>
      <c r="N146" s="25"/>
      <c r="O146" s="25"/>
      <c r="P146" s="25"/>
      <c r="Q146" s="25"/>
      <c r="R146" s="25"/>
      <c r="S146" s="25"/>
      <c r="T146" s="25"/>
      <c r="U146" s="229"/>
      <c r="V146" s="25"/>
      <c r="W146" s="25"/>
      <c r="X146" s="25"/>
      <c r="Y146" s="25"/>
      <c r="Z146" s="25"/>
      <c r="AA146" s="25"/>
      <c r="AB146" s="25"/>
      <c r="AC146" s="25"/>
      <c r="AD146" s="25"/>
      <c r="AE146" s="25"/>
      <c r="AF146" s="25"/>
      <c r="AG146" s="25"/>
      <c r="AH146" s="25"/>
      <c r="AI146" s="25"/>
      <c r="AJ146" s="25"/>
    </row>
    <row r="147" spans="1:36" ht="21" customHeight="1">
      <c r="A147" s="25"/>
      <c r="B147" s="25"/>
      <c r="C147" s="25"/>
      <c r="D147" s="25"/>
      <c r="E147" s="25"/>
      <c r="F147" s="25"/>
      <c r="G147" s="25"/>
      <c r="H147" s="25"/>
      <c r="I147" s="25"/>
      <c r="J147" s="25"/>
      <c r="K147" s="25"/>
      <c r="L147" s="25"/>
      <c r="M147" s="25"/>
      <c r="N147" s="25"/>
      <c r="O147" s="25"/>
      <c r="P147" s="25"/>
      <c r="Q147" s="25"/>
      <c r="R147" s="25"/>
      <c r="S147" s="25"/>
      <c r="T147" s="25"/>
      <c r="U147" s="229"/>
      <c r="V147" s="25"/>
      <c r="W147" s="25"/>
      <c r="X147" s="25"/>
      <c r="Y147" s="25"/>
      <c r="Z147" s="25"/>
      <c r="AA147" s="25"/>
      <c r="AB147" s="25"/>
      <c r="AC147" s="25"/>
      <c r="AD147" s="25"/>
      <c r="AE147" s="25"/>
      <c r="AF147" s="25"/>
      <c r="AG147" s="25"/>
      <c r="AH147" s="25"/>
      <c r="AI147" s="25"/>
      <c r="AJ147" s="25"/>
    </row>
    <row r="148" spans="1:36" ht="21" customHeight="1">
      <c r="A148" s="25"/>
      <c r="B148" s="25"/>
      <c r="C148" s="25"/>
      <c r="D148" s="25"/>
      <c r="E148" s="25"/>
      <c r="F148" s="25"/>
      <c r="G148" s="25"/>
      <c r="H148" s="25"/>
      <c r="I148" s="25"/>
      <c r="J148" s="25"/>
      <c r="K148" s="25"/>
      <c r="L148" s="25"/>
      <c r="M148" s="25"/>
      <c r="N148" s="25"/>
      <c r="O148" s="25"/>
      <c r="P148" s="25"/>
      <c r="Q148" s="25"/>
      <c r="R148" s="25"/>
      <c r="S148" s="25"/>
      <c r="T148" s="25"/>
      <c r="U148" s="229"/>
      <c r="V148" s="25"/>
      <c r="W148" s="25"/>
      <c r="X148" s="25"/>
      <c r="Y148" s="25"/>
      <c r="Z148" s="25"/>
      <c r="AA148" s="25"/>
      <c r="AB148" s="25"/>
      <c r="AC148" s="25"/>
      <c r="AD148" s="25"/>
      <c r="AE148" s="25"/>
      <c r="AF148" s="25"/>
      <c r="AG148" s="25"/>
      <c r="AH148" s="25"/>
      <c r="AI148" s="25"/>
      <c r="AJ148" s="25"/>
    </row>
    <row r="149" spans="1:36" ht="21" customHeight="1">
      <c r="A149" s="25"/>
      <c r="B149" s="25"/>
      <c r="C149" s="25"/>
      <c r="D149" s="25"/>
      <c r="E149" s="25"/>
      <c r="F149" s="25"/>
      <c r="G149" s="25"/>
      <c r="H149" s="25"/>
      <c r="I149" s="25"/>
      <c r="J149" s="25"/>
      <c r="K149" s="25"/>
      <c r="L149" s="25"/>
      <c r="M149" s="25"/>
      <c r="N149" s="25"/>
      <c r="O149" s="25"/>
      <c r="P149" s="25"/>
      <c r="Q149" s="25"/>
      <c r="R149" s="25"/>
      <c r="S149" s="25"/>
      <c r="T149" s="25"/>
      <c r="U149" s="229"/>
      <c r="V149" s="25"/>
      <c r="W149" s="25"/>
      <c r="X149" s="25"/>
      <c r="Y149" s="25"/>
      <c r="Z149" s="25"/>
      <c r="AA149" s="25"/>
      <c r="AB149" s="25"/>
      <c r="AC149" s="25"/>
      <c r="AD149" s="25"/>
      <c r="AE149" s="25"/>
      <c r="AF149" s="25"/>
      <c r="AG149" s="25"/>
      <c r="AH149" s="25"/>
      <c r="AI149" s="25"/>
      <c r="AJ149" s="25"/>
    </row>
    <row r="150" spans="1:36" ht="21" customHeight="1">
      <c r="A150" s="25"/>
      <c r="B150" s="25"/>
      <c r="C150" s="25"/>
      <c r="D150" s="25"/>
      <c r="E150" s="25"/>
      <c r="F150" s="25"/>
      <c r="G150" s="25"/>
      <c r="H150" s="25"/>
      <c r="I150" s="25"/>
      <c r="J150" s="25"/>
      <c r="K150" s="25"/>
      <c r="L150" s="25"/>
      <c r="M150" s="25"/>
      <c r="N150" s="25"/>
      <c r="O150" s="25"/>
      <c r="P150" s="25"/>
      <c r="Q150" s="25"/>
      <c r="R150" s="25"/>
      <c r="S150" s="25"/>
      <c r="T150" s="25"/>
      <c r="U150" s="229"/>
      <c r="V150" s="25"/>
      <c r="W150" s="25"/>
      <c r="X150" s="25"/>
      <c r="Y150" s="25"/>
      <c r="Z150" s="25"/>
      <c r="AA150" s="25"/>
      <c r="AB150" s="25"/>
      <c r="AC150" s="25"/>
      <c r="AD150" s="25"/>
      <c r="AE150" s="25"/>
      <c r="AF150" s="25"/>
      <c r="AG150" s="25"/>
      <c r="AH150" s="25"/>
      <c r="AI150" s="25"/>
      <c r="AJ150" s="25"/>
    </row>
    <row r="151" spans="1:36" ht="21" customHeight="1">
      <c r="A151" s="25"/>
      <c r="B151" s="25"/>
      <c r="C151" s="25"/>
      <c r="D151" s="25"/>
      <c r="E151" s="25"/>
      <c r="F151" s="25"/>
      <c r="G151" s="25"/>
      <c r="H151" s="25"/>
      <c r="I151" s="25"/>
      <c r="J151" s="25"/>
      <c r="K151" s="25"/>
      <c r="L151" s="25"/>
      <c r="M151" s="25"/>
      <c r="N151" s="25"/>
      <c r="O151" s="25"/>
      <c r="P151" s="25"/>
      <c r="Q151" s="25"/>
      <c r="R151" s="25"/>
      <c r="S151" s="25"/>
      <c r="T151" s="25"/>
      <c r="U151" s="229"/>
      <c r="V151" s="25"/>
      <c r="W151" s="25"/>
      <c r="X151" s="25"/>
      <c r="Y151" s="25"/>
      <c r="Z151" s="25"/>
      <c r="AA151" s="25"/>
      <c r="AB151" s="25"/>
      <c r="AC151" s="25"/>
      <c r="AD151" s="25"/>
      <c r="AE151" s="25"/>
      <c r="AF151" s="25"/>
      <c r="AG151" s="25"/>
      <c r="AH151" s="25"/>
      <c r="AI151" s="25"/>
      <c r="AJ151" s="25"/>
    </row>
    <row r="152" spans="1:36" ht="21" customHeight="1">
      <c r="A152" s="25"/>
      <c r="B152" s="25"/>
      <c r="C152" s="25"/>
      <c r="D152" s="25"/>
      <c r="E152" s="25"/>
      <c r="F152" s="25"/>
      <c r="G152" s="25"/>
      <c r="H152" s="25"/>
      <c r="I152" s="25"/>
      <c r="J152" s="25"/>
      <c r="K152" s="25"/>
      <c r="L152" s="25"/>
      <c r="M152" s="25"/>
      <c r="N152" s="25"/>
      <c r="O152" s="25"/>
      <c r="P152" s="25"/>
      <c r="Q152" s="25"/>
      <c r="R152" s="25"/>
      <c r="S152" s="25"/>
      <c r="T152" s="25"/>
      <c r="U152" s="229"/>
      <c r="V152" s="25"/>
      <c r="W152" s="25"/>
      <c r="X152" s="25"/>
      <c r="Y152" s="25"/>
      <c r="Z152" s="25"/>
      <c r="AA152" s="25"/>
      <c r="AB152" s="25"/>
      <c r="AC152" s="25"/>
      <c r="AD152" s="25"/>
      <c r="AE152" s="25"/>
      <c r="AF152" s="25"/>
      <c r="AG152" s="25"/>
      <c r="AH152" s="25"/>
      <c r="AI152" s="25"/>
      <c r="AJ152" s="25"/>
    </row>
    <row r="153" spans="1:36" ht="21" customHeight="1">
      <c r="A153" s="25"/>
      <c r="B153" s="25"/>
      <c r="C153" s="25"/>
      <c r="D153" s="25"/>
      <c r="E153" s="25"/>
      <c r="F153" s="25"/>
      <c r="G153" s="25"/>
      <c r="H153" s="25"/>
      <c r="I153" s="25"/>
      <c r="J153" s="25"/>
      <c r="K153" s="25"/>
      <c r="L153" s="25"/>
      <c r="M153" s="25"/>
      <c r="N153" s="25"/>
      <c r="O153" s="25"/>
      <c r="P153" s="25"/>
      <c r="Q153" s="25"/>
      <c r="R153" s="25"/>
      <c r="S153" s="25"/>
      <c r="T153" s="25"/>
      <c r="U153" s="229"/>
      <c r="V153" s="25"/>
      <c r="W153" s="25"/>
      <c r="X153" s="25"/>
      <c r="Y153" s="25"/>
      <c r="Z153" s="25"/>
      <c r="AA153" s="25"/>
      <c r="AB153" s="25"/>
      <c r="AC153" s="25"/>
      <c r="AD153" s="25"/>
      <c r="AE153" s="25"/>
      <c r="AF153" s="25"/>
      <c r="AG153" s="25"/>
      <c r="AH153" s="25"/>
      <c r="AI153" s="25"/>
      <c r="AJ153" s="25"/>
    </row>
    <row r="154" spans="1:36" ht="21" customHeight="1">
      <c r="A154" s="25"/>
      <c r="B154" s="25"/>
      <c r="C154" s="25"/>
      <c r="D154" s="25"/>
      <c r="E154" s="25"/>
      <c r="F154" s="25"/>
      <c r="G154" s="25"/>
      <c r="H154" s="25"/>
      <c r="I154" s="25"/>
      <c r="J154" s="25"/>
      <c r="K154" s="25"/>
      <c r="L154" s="25"/>
      <c r="M154" s="25"/>
      <c r="N154" s="25"/>
      <c r="O154" s="25"/>
      <c r="P154" s="25"/>
      <c r="Q154" s="25"/>
      <c r="R154" s="25"/>
      <c r="S154" s="25"/>
      <c r="T154" s="25"/>
      <c r="U154" s="229"/>
      <c r="V154" s="25"/>
      <c r="W154" s="25"/>
      <c r="X154" s="25"/>
      <c r="Y154" s="25"/>
      <c r="Z154" s="25"/>
      <c r="AA154" s="25"/>
      <c r="AB154" s="25"/>
      <c r="AC154" s="25"/>
      <c r="AD154" s="25"/>
      <c r="AE154" s="25"/>
      <c r="AF154" s="25"/>
      <c r="AG154" s="25"/>
      <c r="AH154" s="25"/>
      <c r="AI154" s="25"/>
      <c r="AJ154" s="25"/>
    </row>
    <row r="155" spans="1:36" ht="21" customHeight="1">
      <c r="A155" s="25"/>
      <c r="B155" s="25"/>
      <c r="C155" s="25"/>
      <c r="D155" s="25"/>
      <c r="E155" s="25"/>
      <c r="F155" s="25"/>
      <c r="G155" s="25"/>
      <c r="H155" s="25"/>
      <c r="I155" s="25"/>
      <c r="J155" s="25"/>
      <c r="K155" s="25"/>
      <c r="L155" s="25"/>
      <c r="M155" s="25"/>
      <c r="N155" s="25"/>
      <c r="O155" s="25"/>
      <c r="P155" s="25"/>
      <c r="Q155" s="25"/>
      <c r="R155" s="25"/>
      <c r="S155" s="25"/>
      <c r="T155" s="25"/>
      <c r="U155" s="229"/>
      <c r="V155" s="25"/>
      <c r="W155" s="25"/>
      <c r="X155" s="25"/>
      <c r="Y155" s="25"/>
      <c r="Z155" s="25"/>
      <c r="AA155" s="25"/>
      <c r="AB155" s="25"/>
      <c r="AC155" s="25"/>
      <c r="AD155" s="25"/>
      <c r="AE155" s="25"/>
      <c r="AF155" s="25"/>
      <c r="AG155" s="25"/>
      <c r="AH155" s="25"/>
      <c r="AI155" s="25"/>
      <c r="AJ155" s="25"/>
    </row>
    <row r="156" spans="1:36" ht="21" customHeight="1">
      <c r="A156" s="25"/>
      <c r="B156" s="25"/>
      <c r="C156" s="25"/>
      <c r="D156" s="25"/>
      <c r="E156" s="25"/>
      <c r="F156" s="25"/>
      <c r="G156" s="25"/>
      <c r="H156" s="25"/>
      <c r="I156" s="25"/>
      <c r="J156" s="25"/>
      <c r="K156" s="25"/>
      <c r="L156" s="25"/>
      <c r="M156" s="25"/>
      <c r="N156" s="25"/>
      <c r="O156" s="25"/>
      <c r="P156" s="25"/>
      <c r="Q156" s="25"/>
      <c r="R156" s="25"/>
      <c r="S156" s="25"/>
      <c r="T156" s="25"/>
      <c r="U156" s="229"/>
      <c r="V156" s="25"/>
      <c r="W156" s="25"/>
      <c r="X156" s="25"/>
      <c r="Y156" s="25"/>
      <c r="Z156" s="25"/>
      <c r="AA156" s="25"/>
      <c r="AB156" s="25"/>
      <c r="AC156" s="25"/>
      <c r="AD156" s="25"/>
      <c r="AE156" s="25"/>
      <c r="AF156" s="25"/>
      <c r="AG156" s="25"/>
      <c r="AH156" s="25"/>
      <c r="AI156" s="25"/>
      <c r="AJ156" s="25"/>
    </row>
    <row r="157" spans="1:36" ht="21" customHeight="1">
      <c r="A157" s="25"/>
      <c r="B157" s="25"/>
      <c r="C157" s="25"/>
      <c r="D157" s="25"/>
      <c r="E157" s="25"/>
      <c r="F157" s="25"/>
      <c r="G157" s="25"/>
      <c r="H157" s="25"/>
      <c r="I157" s="25"/>
      <c r="J157" s="25"/>
      <c r="K157" s="25"/>
      <c r="L157" s="25"/>
      <c r="M157" s="25"/>
      <c r="N157" s="25"/>
      <c r="O157" s="25"/>
      <c r="P157" s="25"/>
      <c r="Q157" s="25"/>
      <c r="R157" s="25"/>
      <c r="S157" s="25"/>
      <c r="T157" s="25"/>
      <c r="U157" s="229"/>
      <c r="V157" s="25"/>
      <c r="W157" s="25"/>
      <c r="X157" s="25"/>
      <c r="Y157" s="25"/>
      <c r="Z157" s="25"/>
      <c r="AA157" s="25"/>
      <c r="AB157" s="25"/>
      <c r="AC157" s="25"/>
      <c r="AD157" s="25"/>
      <c r="AE157" s="25"/>
      <c r="AF157" s="25"/>
      <c r="AG157" s="25"/>
      <c r="AH157" s="25"/>
      <c r="AI157" s="25"/>
      <c r="AJ157" s="25"/>
    </row>
    <row r="158" spans="1:36" ht="21" customHeight="1">
      <c r="A158" s="25"/>
      <c r="B158" s="25"/>
      <c r="C158" s="25"/>
      <c r="D158" s="25"/>
      <c r="E158" s="25"/>
      <c r="F158" s="25"/>
      <c r="G158" s="25"/>
      <c r="H158" s="25"/>
      <c r="I158" s="25"/>
      <c r="J158" s="25"/>
      <c r="K158" s="25"/>
      <c r="L158" s="25"/>
      <c r="M158" s="25"/>
      <c r="N158" s="25"/>
      <c r="O158" s="25"/>
      <c r="P158" s="25"/>
      <c r="Q158" s="25"/>
      <c r="R158" s="25"/>
      <c r="S158" s="25"/>
      <c r="T158" s="25"/>
      <c r="U158" s="229"/>
      <c r="V158" s="25"/>
      <c r="W158" s="25"/>
      <c r="X158" s="25"/>
      <c r="Y158" s="25"/>
      <c r="Z158" s="25"/>
      <c r="AA158" s="25"/>
      <c r="AB158" s="25"/>
      <c r="AC158" s="25"/>
      <c r="AD158" s="25"/>
      <c r="AE158" s="25"/>
      <c r="AF158" s="25"/>
      <c r="AG158" s="25"/>
      <c r="AH158" s="25"/>
      <c r="AI158" s="25"/>
      <c r="AJ158" s="25"/>
    </row>
    <row r="159" spans="1:36" ht="21" customHeight="1">
      <c r="A159" s="25"/>
      <c r="B159" s="25"/>
      <c r="C159" s="25"/>
      <c r="D159" s="25"/>
      <c r="E159" s="25"/>
      <c r="F159" s="25"/>
      <c r="G159" s="25"/>
      <c r="H159" s="25"/>
      <c r="I159" s="25"/>
      <c r="J159" s="25"/>
      <c r="K159" s="25"/>
      <c r="L159" s="25"/>
      <c r="M159" s="25"/>
      <c r="N159" s="25"/>
      <c r="O159" s="25"/>
      <c r="P159" s="25"/>
      <c r="Q159" s="25"/>
      <c r="R159" s="25"/>
      <c r="S159" s="25"/>
      <c r="T159" s="25"/>
      <c r="U159" s="229"/>
      <c r="V159" s="25"/>
      <c r="W159" s="25"/>
      <c r="X159" s="25"/>
      <c r="Y159" s="25"/>
      <c r="Z159" s="25"/>
      <c r="AA159" s="25"/>
      <c r="AB159" s="25"/>
      <c r="AC159" s="25"/>
      <c r="AD159" s="25"/>
      <c r="AE159" s="25"/>
      <c r="AF159" s="25"/>
      <c r="AG159" s="25"/>
      <c r="AH159" s="25"/>
      <c r="AI159" s="25"/>
      <c r="AJ159" s="25"/>
    </row>
    <row r="160" spans="1:36" ht="21" customHeight="1">
      <c r="A160" s="25"/>
      <c r="B160" s="25"/>
      <c r="C160" s="25"/>
      <c r="D160" s="25"/>
      <c r="E160" s="25"/>
      <c r="F160" s="25"/>
      <c r="G160" s="25"/>
      <c r="H160" s="25"/>
      <c r="I160" s="25"/>
      <c r="J160" s="25"/>
      <c r="K160" s="25"/>
      <c r="L160" s="25"/>
      <c r="M160" s="25"/>
      <c r="N160" s="25"/>
      <c r="O160" s="25"/>
      <c r="P160" s="25"/>
      <c r="Q160" s="25"/>
      <c r="R160" s="25"/>
      <c r="S160" s="25"/>
      <c r="T160" s="25"/>
      <c r="U160" s="229"/>
      <c r="V160" s="25"/>
      <c r="W160" s="25"/>
      <c r="X160" s="25"/>
      <c r="Y160" s="25"/>
      <c r="Z160" s="25"/>
      <c r="AA160" s="25"/>
      <c r="AB160" s="25"/>
      <c r="AC160" s="25"/>
      <c r="AD160" s="25"/>
      <c r="AE160" s="25"/>
      <c r="AF160" s="25"/>
      <c r="AG160" s="25"/>
      <c r="AH160" s="25"/>
      <c r="AI160" s="25"/>
      <c r="AJ160" s="25"/>
    </row>
    <row r="161" spans="1:36" ht="21" customHeight="1">
      <c r="A161" s="25"/>
      <c r="B161" s="25"/>
      <c r="C161" s="25"/>
      <c r="D161" s="25"/>
      <c r="E161" s="25"/>
      <c r="F161" s="25"/>
      <c r="G161" s="25"/>
      <c r="H161" s="25"/>
      <c r="I161" s="25"/>
      <c r="J161" s="25"/>
      <c r="K161" s="25"/>
      <c r="L161" s="25"/>
      <c r="M161" s="25"/>
      <c r="N161" s="25"/>
      <c r="O161" s="25"/>
      <c r="P161" s="25"/>
      <c r="Q161" s="25"/>
      <c r="R161" s="25"/>
      <c r="S161" s="25"/>
      <c r="T161" s="25"/>
      <c r="U161" s="229"/>
      <c r="V161" s="25"/>
      <c r="W161" s="25"/>
      <c r="X161" s="25"/>
      <c r="Y161" s="25"/>
      <c r="Z161" s="25"/>
      <c r="AA161" s="25"/>
      <c r="AB161" s="25"/>
      <c r="AC161" s="25"/>
      <c r="AD161" s="25"/>
      <c r="AE161" s="25"/>
      <c r="AF161" s="25"/>
      <c r="AG161" s="25"/>
      <c r="AH161" s="25"/>
      <c r="AI161" s="25"/>
      <c r="AJ161" s="25"/>
    </row>
    <row r="162" spans="1:36" ht="21" customHeight="1">
      <c r="A162" s="25"/>
      <c r="B162" s="25"/>
      <c r="C162" s="25"/>
      <c r="D162" s="25"/>
      <c r="E162" s="25"/>
      <c r="F162" s="25"/>
      <c r="G162" s="25"/>
      <c r="H162" s="25"/>
      <c r="I162" s="25"/>
      <c r="J162" s="25"/>
      <c r="K162" s="25"/>
      <c r="L162" s="25"/>
      <c r="M162" s="25"/>
      <c r="N162" s="25"/>
      <c r="O162" s="25"/>
      <c r="P162" s="25"/>
      <c r="Q162" s="25"/>
      <c r="R162" s="25"/>
      <c r="S162" s="25"/>
      <c r="T162" s="25"/>
      <c r="U162" s="229"/>
      <c r="V162" s="25"/>
      <c r="W162" s="25"/>
      <c r="X162" s="25"/>
      <c r="Y162" s="25"/>
      <c r="Z162" s="25"/>
      <c r="AA162" s="25"/>
      <c r="AB162" s="25"/>
      <c r="AC162" s="25"/>
      <c r="AD162" s="25"/>
      <c r="AE162" s="25"/>
      <c r="AF162" s="25"/>
      <c r="AG162" s="25"/>
      <c r="AH162" s="25"/>
      <c r="AI162" s="25"/>
      <c r="AJ162" s="25"/>
    </row>
    <row r="163" spans="1:36" ht="21" customHeight="1">
      <c r="A163" s="25"/>
      <c r="B163" s="25"/>
      <c r="C163" s="25"/>
      <c r="D163" s="25"/>
      <c r="E163" s="25"/>
      <c r="F163" s="25"/>
      <c r="G163" s="25"/>
      <c r="H163" s="25"/>
      <c r="I163" s="25"/>
      <c r="J163" s="25"/>
      <c r="K163" s="25"/>
      <c r="L163" s="25"/>
      <c r="M163" s="25"/>
      <c r="N163" s="25"/>
      <c r="O163" s="25"/>
      <c r="P163" s="25"/>
      <c r="Q163" s="25"/>
      <c r="R163" s="25"/>
      <c r="S163" s="25"/>
      <c r="T163" s="25"/>
      <c r="U163" s="229"/>
      <c r="V163" s="25"/>
      <c r="W163" s="25"/>
      <c r="X163" s="25"/>
      <c r="Y163" s="25"/>
      <c r="Z163" s="25"/>
      <c r="AA163" s="25"/>
      <c r="AB163" s="25"/>
      <c r="AC163" s="25"/>
      <c r="AD163" s="25"/>
      <c r="AE163" s="25"/>
      <c r="AF163" s="25"/>
      <c r="AG163" s="25"/>
      <c r="AH163" s="25"/>
      <c r="AI163" s="25"/>
      <c r="AJ163" s="25"/>
    </row>
    <row r="164" spans="1:36" ht="21" customHeight="1">
      <c r="A164" s="25"/>
      <c r="B164" s="25"/>
      <c r="C164" s="25"/>
      <c r="D164" s="25"/>
      <c r="E164" s="25"/>
      <c r="F164" s="25"/>
      <c r="G164" s="25"/>
      <c r="H164" s="25"/>
      <c r="I164" s="25"/>
      <c r="J164" s="25"/>
      <c r="K164" s="25"/>
      <c r="L164" s="25"/>
      <c r="M164" s="25"/>
      <c r="N164" s="25"/>
      <c r="O164" s="25"/>
      <c r="P164" s="25"/>
      <c r="Q164" s="25"/>
      <c r="R164" s="25"/>
      <c r="S164" s="25"/>
      <c r="T164" s="25"/>
      <c r="U164" s="229"/>
      <c r="V164" s="25"/>
      <c r="W164" s="25"/>
      <c r="X164" s="25"/>
      <c r="Y164" s="25"/>
      <c r="Z164" s="25"/>
      <c r="AA164" s="25"/>
      <c r="AB164" s="25"/>
      <c r="AC164" s="25"/>
      <c r="AD164" s="25"/>
      <c r="AE164" s="25"/>
      <c r="AF164" s="25"/>
      <c r="AG164" s="25"/>
      <c r="AH164" s="25"/>
      <c r="AI164" s="25"/>
      <c r="AJ164" s="25"/>
    </row>
    <row r="165" spans="1:36" ht="21" customHeight="1">
      <c r="A165" s="25"/>
      <c r="B165" s="25"/>
      <c r="C165" s="25"/>
      <c r="D165" s="25"/>
      <c r="E165" s="25"/>
      <c r="F165" s="25"/>
      <c r="G165" s="25"/>
      <c r="H165" s="25"/>
      <c r="I165" s="25"/>
      <c r="J165" s="25"/>
      <c r="K165" s="25"/>
      <c r="L165" s="25"/>
      <c r="M165" s="25"/>
      <c r="N165" s="25"/>
      <c r="O165" s="25"/>
      <c r="P165" s="25"/>
      <c r="Q165" s="25"/>
      <c r="R165" s="25"/>
      <c r="S165" s="25"/>
      <c r="T165" s="25"/>
      <c r="U165" s="229"/>
      <c r="V165" s="25"/>
      <c r="W165" s="25"/>
      <c r="X165" s="25"/>
      <c r="Y165" s="25"/>
      <c r="Z165" s="25"/>
      <c r="AA165" s="25"/>
      <c r="AB165" s="25"/>
      <c r="AC165" s="25"/>
      <c r="AD165" s="25"/>
      <c r="AE165" s="25"/>
      <c r="AF165" s="25"/>
      <c r="AG165" s="25"/>
      <c r="AH165" s="25"/>
      <c r="AI165" s="25"/>
      <c r="AJ165" s="25"/>
    </row>
    <row r="166" spans="1:36" ht="21" customHeight="1">
      <c r="A166" s="25"/>
      <c r="B166" s="25"/>
      <c r="C166" s="25"/>
      <c r="D166" s="25"/>
      <c r="E166" s="25"/>
      <c r="F166" s="25"/>
      <c r="G166" s="25"/>
      <c r="H166" s="25"/>
      <c r="I166" s="25"/>
      <c r="J166" s="25"/>
      <c r="K166" s="25"/>
      <c r="L166" s="25"/>
      <c r="M166" s="25"/>
      <c r="N166" s="25"/>
      <c r="O166" s="25"/>
      <c r="P166" s="25"/>
      <c r="Q166" s="25"/>
      <c r="R166" s="25"/>
      <c r="S166" s="25"/>
      <c r="T166" s="25"/>
      <c r="U166" s="229"/>
      <c r="V166" s="25"/>
      <c r="W166" s="25"/>
      <c r="X166" s="25"/>
      <c r="Y166" s="25"/>
      <c r="Z166" s="25"/>
      <c r="AA166" s="25"/>
      <c r="AB166" s="25"/>
      <c r="AC166" s="25"/>
      <c r="AD166" s="25"/>
      <c r="AE166" s="25"/>
      <c r="AF166" s="25"/>
      <c r="AG166" s="25"/>
      <c r="AH166" s="25"/>
      <c r="AI166" s="25"/>
      <c r="AJ166" s="25"/>
    </row>
    <row r="167" spans="1:36" ht="21" customHeight="1">
      <c r="A167" s="25"/>
      <c r="B167" s="25"/>
      <c r="C167" s="25"/>
      <c r="D167" s="25"/>
      <c r="E167" s="25"/>
      <c r="F167" s="25"/>
      <c r="G167" s="25"/>
      <c r="H167" s="25"/>
      <c r="I167" s="25"/>
      <c r="J167" s="25"/>
      <c r="K167" s="25"/>
      <c r="L167" s="25"/>
      <c r="M167" s="25"/>
      <c r="N167" s="25"/>
      <c r="O167" s="25"/>
      <c r="P167" s="25"/>
      <c r="Q167" s="25"/>
      <c r="R167" s="25"/>
      <c r="S167" s="25"/>
      <c r="T167" s="25"/>
      <c r="U167" s="229"/>
      <c r="V167" s="25"/>
      <c r="W167" s="25"/>
      <c r="X167" s="25"/>
      <c r="Y167" s="25"/>
      <c r="Z167" s="25"/>
      <c r="AA167" s="25"/>
      <c r="AB167" s="25"/>
      <c r="AC167" s="25"/>
      <c r="AD167" s="25"/>
      <c r="AE167" s="25"/>
      <c r="AF167" s="25"/>
      <c r="AG167" s="25"/>
      <c r="AH167" s="25"/>
      <c r="AI167" s="25"/>
      <c r="AJ167" s="25"/>
    </row>
    <row r="168" spans="1:36" ht="21" customHeight="1">
      <c r="A168" s="25"/>
      <c r="B168" s="25"/>
      <c r="C168" s="25"/>
      <c r="D168" s="25"/>
      <c r="E168" s="25"/>
      <c r="F168" s="25"/>
      <c r="G168" s="25"/>
      <c r="H168" s="25"/>
      <c r="I168" s="25"/>
      <c r="J168" s="25"/>
      <c r="K168" s="25"/>
      <c r="L168" s="25"/>
      <c r="M168" s="25"/>
      <c r="N168" s="25"/>
      <c r="O168" s="25"/>
      <c r="P168" s="25"/>
      <c r="Q168" s="25"/>
      <c r="R168" s="25"/>
      <c r="S168" s="25"/>
      <c r="T168" s="25"/>
      <c r="U168" s="229"/>
      <c r="V168" s="25"/>
      <c r="W168" s="25"/>
      <c r="X168" s="25"/>
      <c r="Y168" s="25"/>
      <c r="Z168" s="25"/>
      <c r="AA168" s="25"/>
      <c r="AB168" s="25"/>
      <c r="AC168" s="25"/>
      <c r="AD168" s="25"/>
      <c r="AE168" s="25"/>
      <c r="AF168" s="25"/>
      <c r="AG168" s="25"/>
      <c r="AH168" s="25"/>
      <c r="AI168" s="25"/>
      <c r="AJ168" s="25"/>
    </row>
    <row r="169" spans="1:36" ht="21" customHeight="1">
      <c r="A169" s="25"/>
      <c r="B169" s="25"/>
      <c r="C169" s="25"/>
      <c r="D169" s="25"/>
      <c r="E169" s="25"/>
      <c r="F169" s="25"/>
      <c r="G169" s="25"/>
      <c r="H169" s="25"/>
      <c r="I169" s="25"/>
      <c r="J169" s="25"/>
      <c r="K169" s="25"/>
      <c r="L169" s="25"/>
      <c r="M169" s="25"/>
      <c r="N169" s="25"/>
      <c r="O169" s="25"/>
      <c r="P169" s="25"/>
      <c r="Q169" s="25"/>
      <c r="R169" s="25"/>
      <c r="S169" s="25"/>
      <c r="T169" s="25"/>
      <c r="U169" s="229"/>
      <c r="V169" s="25"/>
      <c r="W169" s="25"/>
      <c r="X169" s="25"/>
      <c r="Y169" s="25"/>
      <c r="Z169" s="25"/>
      <c r="AA169" s="25"/>
      <c r="AB169" s="25"/>
      <c r="AC169" s="25"/>
      <c r="AD169" s="25"/>
      <c r="AE169" s="25"/>
      <c r="AF169" s="25"/>
      <c r="AG169" s="25"/>
      <c r="AH169" s="25"/>
      <c r="AI169" s="25"/>
      <c r="AJ169" s="25"/>
    </row>
    <row r="170" spans="1:36" ht="21" customHeight="1">
      <c r="A170" s="25"/>
      <c r="B170" s="25"/>
      <c r="C170" s="25"/>
      <c r="D170" s="25"/>
      <c r="E170" s="25"/>
      <c r="F170" s="25"/>
      <c r="G170" s="25"/>
      <c r="H170" s="25"/>
      <c r="I170" s="25"/>
      <c r="J170" s="25"/>
      <c r="K170" s="25"/>
      <c r="L170" s="25"/>
      <c r="M170" s="25"/>
      <c r="N170" s="25"/>
      <c r="O170" s="25"/>
      <c r="P170" s="25"/>
      <c r="Q170" s="25"/>
      <c r="R170" s="25"/>
      <c r="S170" s="25"/>
      <c r="T170" s="25"/>
      <c r="U170" s="229"/>
      <c r="V170" s="25"/>
      <c r="W170" s="25"/>
      <c r="X170" s="25"/>
      <c r="Y170" s="25"/>
      <c r="Z170" s="25"/>
      <c r="AA170" s="25"/>
      <c r="AB170" s="25"/>
      <c r="AC170" s="25"/>
      <c r="AD170" s="25"/>
      <c r="AE170" s="25"/>
      <c r="AF170" s="25"/>
      <c r="AG170" s="25"/>
      <c r="AH170" s="25"/>
      <c r="AI170" s="25"/>
      <c r="AJ170" s="25"/>
    </row>
    <row r="171" spans="1:36" ht="21" customHeight="1">
      <c r="A171" s="25"/>
      <c r="B171" s="25"/>
      <c r="C171" s="25"/>
      <c r="D171" s="25"/>
      <c r="E171" s="25"/>
      <c r="F171" s="25"/>
      <c r="G171" s="25"/>
      <c r="H171" s="25"/>
      <c r="I171" s="25"/>
      <c r="J171" s="25"/>
      <c r="K171" s="25"/>
      <c r="L171" s="25"/>
      <c r="M171" s="25"/>
      <c r="N171" s="25"/>
      <c r="O171" s="25"/>
      <c r="P171" s="25"/>
      <c r="Q171" s="25"/>
      <c r="R171" s="25"/>
      <c r="S171" s="25"/>
      <c r="T171" s="25"/>
      <c r="U171" s="229"/>
      <c r="V171" s="25"/>
      <c r="W171" s="25"/>
      <c r="X171" s="25"/>
      <c r="Y171" s="25"/>
      <c r="Z171" s="25"/>
      <c r="AA171" s="25"/>
      <c r="AB171" s="25"/>
      <c r="AC171" s="25"/>
      <c r="AD171" s="25"/>
      <c r="AE171" s="25"/>
      <c r="AF171" s="25"/>
      <c r="AG171" s="25"/>
      <c r="AH171" s="25"/>
      <c r="AI171" s="25"/>
      <c r="AJ171" s="25"/>
    </row>
    <row r="172" spans="1:36" ht="21" customHeight="1">
      <c r="A172" s="25"/>
      <c r="B172" s="25"/>
      <c r="C172" s="25"/>
      <c r="D172" s="25"/>
      <c r="E172" s="25"/>
      <c r="F172" s="25"/>
      <c r="G172" s="25"/>
      <c r="H172" s="25"/>
      <c r="I172" s="25"/>
      <c r="J172" s="25"/>
      <c r="K172" s="25"/>
      <c r="L172" s="25"/>
      <c r="M172" s="25"/>
      <c r="N172" s="25"/>
      <c r="O172" s="25"/>
      <c r="P172" s="25"/>
      <c r="Q172" s="25"/>
      <c r="R172" s="25"/>
      <c r="S172" s="25"/>
      <c r="T172" s="25"/>
      <c r="U172" s="229"/>
      <c r="V172" s="25"/>
      <c r="W172" s="25"/>
      <c r="X172" s="25"/>
      <c r="Y172" s="25"/>
      <c r="Z172" s="25"/>
      <c r="AA172" s="25"/>
      <c r="AB172" s="25"/>
      <c r="AC172" s="25"/>
      <c r="AD172" s="25"/>
      <c r="AE172" s="25"/>
      <c r="AF172" s="25"/>
      <c r="AG172" s="25"/>
      <c r="AH172" s="25"/>
      <c r="AI172" s="25"/>
      <c r="AJ172" s="25"/>
    </row>
    <row r="173" spans="1:36" ht="21" customHeight="1">
      <c r="A173" s="25"/>
      <c r="B173" s="25"/>
      <c r="C173" s="25"/>
      <c r="D173" s="25"/>
      <c r="E173" s="25"/>
      <c r="F173" s="25"/>
      <c r="G173" s="25"/>
      <c r="H173" s="25"/>
      <c r="I173" s="25"/>
      <c r="J173" s="25"/>
      <c r="K173" s="25"/>
      <c r="L173" s="25"/>
      <c r="M173" s="25"/>
      <c r="N173" s="25"/>
      <c r="O173" s="25"/>
      <c r="P173" s="25"/>
      <c r="Q173" s="25"/>
      <c r="R173" s="25"/>
      <c r="S173" s="25"/>
      <c r="T173" s="25"/>
      <c r="U173" s="229"/>
      <c r="V173" s="25"/>
      <c r="W173" s="25"/>
      <c r="X173" s="25"/>
      <c r="Y173" s="25"/>
      <c r="Z173" s="25"/>
      <c r="AA173" s="25"/>
      <c r="AB173" s="25"/>
      <c r="AC173" s="25"/>
      <c r="AD173" s="25"/>
      <c r="AE173" s="25"/>
      <c r="AF173" s="25"/>
      <c r="AG173" s="25"/>
      <c r="AH173" s="25"/>
      <c r="AI173" s="25"/>
      <c r="AJ173" s="25"/>
    </row>
    <row r="174" spans="1:36" ht="21" customHeight="1">
      <c r="A174" s="25"/>
      <c r="B174" s="25"/>
      <c r="C174" s="25"/>
      <c r="D174" s="25"/>
      <c r="E174" s="25"/>
      <c r="F174" s="25"/>
      <c r="G174" s="25"/>
      <c r="H174" s="25"/>
      <c r="I174" s="25"/>
      <c r="J174" s="25"/>
      <c r="K174" s="25"/>
      <c r="L174" s="25"/>
      <c r="M174" s="25"/>
      <c r="N174" s="25"/>
      <c r="O174" s="25"/>
      <c r="P174" s="25"/>
      <c r="Q174" s="25"/>
      <c r="R174" s="25"/>
      <c r="S174" s="25"/>
      <c r="T174" s="25"/>
      <c r="U174" s="229"/>
      <c r="V174" s="25"/>
      <c r="W174" s="25"/>
      <c r="X174" s="25"/>
      <c r="Y174" s="25"/>
      <c r="Z174" s="25"/>
      <c r="AA174" s="25"/>
      <c r="AB174" s="25"/>
      <c r="AC174" s="25"/>
      <c r="AD174" s="25"/>
      <c r="AE174" s="25"/>
      <c r="AF174" s="25"/>
      <c r="AG174" s="25"/>
      <c r="AH174" s="25"/>
      <c r="AI174" s="25"/>
      <c r="AJ174" s="25"/>
    </row>
    <row r="175" spans="1:36" ht="21" customHeight="1">
      <c r="A175" s="25"/>
      <c r="B175" s="25"/>
      <c r="C175" s="25"/>
      <c r="D175" s="25"/>
      <c r="E175" s="25"/>
      <c r="F175" s="25"/>
      <c r="G175" s="25"/>
      <c r="H175" s="25"/>
      <c r="I175" s="25"/>
      <c r="J175" s="25"/>
      <c r="K175" s="25"/>
      <c r="L175" s="25"/>
      <c r="M175" s="25"/>
      <c r="N175" s="25"/>
      <c r="O175" s="25"/>
      <c r="P175" s="25"/>
      <c r="Q175" s="25"/>
      <c r="R175" s="25"/>
      <c r="S175" s="25"/>
      <c r="T175" s="25"/>
      <c r="U175" s="229"/>
      <c r="V175" s="25"/>
      <c r="W175" s="25"/>
      <c r="X175" s="25"/>
      <c r="Y175" s="25"/>
      <c r="Z175" s="25"/>
      <c r="AA175" s="25"/>
      <c r="AB175" s="25"/>
      <c r="AC175" s="25"/>
      <c r="AD175" s="25"/>
      <c r="AE175" s="25"/>
      <c r="AF175" s="25"/>
      <c r="AG175" s="25"/>
      <c r="AH175" s="25"/>
      <c r="AI175" s="25"/>
      <c r="AJ175" s="25"/>
    </row>
    <row r="176" spans="1:36" ht="21" customHeight="1">
      <c r="A176" s="25"/>
      <c r="B176" s="25"/>
      <c r="C176" s="25"/>
      <c r="D176" s="25"/>
      <c r="E176" s="25"/>
      <c r="F176" s="25"/>
      <c r="G176" s="25"/>
      <c r="H176" s="25"/>
      <c r="I176" s="25"/>
      <c r="J176" s="25"/>
      <c r="K176" s="25"/>
      <c r="L176" s="25"/>
      <c r="M176" s="25"/>
      <c r="N176" s="25"/>
      <c r="O176" s="25"/>
      <c r="P176" s="25"/>
      <c r="Q176" s="25"/>
      <c r="R176" s="25"/>
      <c r="S176" s="25"/>
      <c r="T176" s="25"/>
      <c r="U176" s="229"/>
      <c r="V176" s="25"/>
      <c r="W176" s="25"/>
      <c r="X176" s="25"/>
      <c r="Y176" s="25"/>
      <c r="Z176" s="25"/>
      <c r="AA176" s="25"/>
      <c r="AB176" s="25"/>
      <c r="AC176" s="25"/>
      <c r="AD176" s="25"/>
      <c r="AE176" s="25"/>
      <c r="AF176" s="25"/>
      <c r="AG176" s="25"/>
      <c r="AH176" s="25"/>
      <c r="AI176" s="25"/>
      <c r="AJ176" s="25"/>
    </row>
    <row r="177" spans="1:36" ht="21" customHeight="1">
      <c r="A177" s="25"/>
      <c r="B177" s="25"/>
      <c r="C177" s="25"/>
      <c r="D177" s="25"/>
      <c r="E177" s="25"/>
      <c r="F177" s="25"/>
      <c r="G177" s="25"/>
      <c r="H177" s="25"/>
      <c r="I177" s="25"/>
      <c r="J177" s="25"/>
      <c r="K177" s="25"/>
      <c r="L177" s="25"/>
      <c r="M177" s="25"/>
      <c r="N177" s="25"/>
      <c r="O177" s="25"/>
      <c r="P177" s="25"/>
      <c r="Q177" s="25"/>
      <c r="R177" s="25"/>
      <c r="S177" s="25"/>
      <c r="T177" s="25"/>
      <c r="U177" s="229"/>
      <c r="V177" s="25"/>
      <c r="W177" s="25"/>
      <c r="X177" s="25"/>
      <c r="Y177" s="25"/>
      <c r="Z177" s="25"/>
      <c r="AA177" s="25"/>
      <c r="AB177" s="25"/>
      <c r="AC177" s="25"/>
      <c r="AD177" s="25"/>
      <c r="AE177" s="25"/>
      <c r="AF177" s="25"/>
      <c r="AG177" s="25"/>
      <c r="AH177" s="25"/>
      <c r="AI177" s="25"/>
      <c r="AJ177" s="25"/>
    </row>
    <row r="178" spans="1:36" ht="21" customHeight="1">
      <c r="A178" s="25"/>
      <c r="B178" s="25"/>
      <c r="C178" s="25"/>
      <c r="D178" s="25"/>
      <c r="E178" s="25"/>
      <c r="F178" s="25"/>
      <c r="G178" s="25"/>
      <c r="H178" s="25"/>
      <c r="I178" s="25"/>
      <c r="J178" s="25"/>
      <c r="K178" s="25"/>
      <c r="L178" s="25"/>
      <c r="M178" s="25"/>
      <c r="N178" s="25"/>
      <c r="O178" s="25"/>
      <c r="P178" s="25"/>
      <c r="Q178" s="25"/>
      <c r="R178" s="25"/>
      <c r="S178" s="25"/>
      <c r="T178" s="25"/>
      <c r="U178" s="229"/>
      <c r="V178" s="25"/>
      <c r="W178" s="25"/>
      <c r="X178" s="25"/>
      <c r="Y178" s="25"/>
      <c r="Z178" s="25"/>
      <c r="AA178" s="25"/>
      <c r="AB178" s="25"/>
      <c r="AC178" s="25"/>
      <c r="AD178" s="25"/>
      <c r="AE178" s="25"/>
      <c r="AF178" s="25"/>
      <c r="AG178" s="25"/>
      <c r="AH178" s="25"/>
      <c r="AI178" s="25"/>
      <c r="AJ178" s="25"/>
    </row>
    <row r="179" spans="1:36" ht="21" customHeight="1">
      <c r="A179" s="25"/>
      <c r="B179" s="25"/>
      <c r="C179" s="25"/>
      <c r="D179" s="25"/>
      <c r="E179" s="25"/>
      <c r="F179" s="25"/>
      <c r="G179" s="25"/>
      <c r="H179" s="25"/>
      <c r="I179" s="25"/>
      <c r="J179" s="25"/>
      <c r="K179" s="25"/>
      <c r="L179" s="25"/>
      <c r="M179" s="25"/>
      <c r="N179" s="25"/>
      <c r="O179" s="25"/>
      <c r="P179" s="25"/>
      <c r="Q179" s="25"/>
      <c r="R179" s="25"/>
      <c r="S179" s="25"/>
      <c r="T179" s="25"/>
      <c r="U179" s="229"/>
      <c r="V179" s="25"/>
      <c r="W179" s="25"/>
      <c r="X179" s="25"/>
      <c r="Y179" s="25"/>
      <c r="Z179" s="25"/>
      <c r="AA179" s="25"/>
      <c r="AB179" s="25"/>
      <c r="AC179" s="25"/>
      <c r="AD179" s="25"/>
      <c r="AE179" s="25"/>
      <c r="AF179" s="25"/>
      <c r="AG179" s="25"/>
      <c r="AH179" s="25"/>
      <c r="AI179" s="25"/>
      <c r="AJ179" s="25"/>
    </row>
    <row r="180" spans="1:36" ht="21" customHeight="1">
      <c r="A180" s="25"/>
      <c r="B180" s="25"/>
      <c r="C180" s="25"/>
      <c r="D180" s="25"/>
      <c r="E180" s="25"/>
      <c r="F180" s="25"/>
      <c r="G180" s="25"/>
      <c r="H180" s="25"/>
      <c r="I180" s="25"/>
      <c r="J180" s="25"/>
      <c r="K180" s="25"/>
      <c r="L180" s="25"/>
      <c r="M180" s="25"/>
      <c r="N180" s="25"/>
      <c r="O180" s="25"/>
      <c r="P180" s="25"/>
      <c r="Q180" s="25"/>
      <c r="R180" s="25"/>
      <c r="S180" s="25"/>
      <c r="T180" s="25"/>
      <c r="U180" s="229"/>
      <c r="V180" s="25"/>
      <c r="W180" s="25"/>
      <c r="X180" s="25"/>
      <c r="Y180" s="25"/>
      <c r="Z180" s="25"/>
      <c r="AA180" s="25"/>
      <c r="AB180" s="25"/>
      <c r="AC180" s="25"/>
      <c r="AD180" s="25"/>
      <c r="AE180" s="25"/>
      <c r="AF180" s="25"/>
      <c r="AG180" s="25"/>
      <c r="AH180" s="25"/>
      <c r="AI180" s="25"/>
      <c r="AJ180" s="25"/>
    </row>
    <row r="181" spans="1:36" ht="21" customHeight="1">
      <c r="A181" s="25"/>
      <c r="B181" s="25"/>
      <c r="C181" s="25"/>
      <c r="D181" s="25"/>
      <c r="E181" s="25"/>
      <c r="F181" s="25"/>
      <c r="G181" s="25"/>
      <c r="H181" s="25"/>
      <c r="I181" s="25"/>
      <c r="J181" s="25"/>
      <c r="K181" s="25"/>
      <c r="L181" s="25"/>
      <c r="M181" s="25"/>
      <c r="N181" s="25"/>
      <c r="O181" s="25"/>
      <c r="P181" s="25"/>
      <c r="Q181" s="25"/>
      <c r="R181" s="25"/>
      <c r="S181" s="25"/>
      <c r="T181" s="25"/>
      <c r="U181" s="229"/>
      <c r="V181" s="25"/>
      <c r="W181" s="25"/>
      <c r="X181" s="25"/>
      <c r="Y181" s="25"/>
      <c r="Z181" s="25"/>
      <c r="AA181" s="25"/>
      <c r="AB181" s="25"/>
      <c r="AC181" s="25"/>
      <c r="AD181" s="25"/>
      <c r="AE181" s="25"/>
      <c r="AF181" s="25"/>
      <c r="AG181" s="25"/>
      <c r="AH181" s="25"/>
      <c r="AI181" s="25"/>
      <c r="AJ181" s="25"/>
    </row>
    <row r="182" spans="1:36" ht="21" customHeight="1">
      <c r="A182" s="25"/>
      <c r="B182" s="25"/>
      <c r="C182" s="25"/>
      <c r="D182" s="25"/>
      <c r="E182" s="25"/>
      <c r="F182" s="25"/>
      <c r="G182" s="25"/>
      <c r="H182" s="25"/>
      <c r="I182" s="25"/>
      <c r="J182" s="25"/>
      <c r="K182" s="25"/>
      <c r="L182" s="25"/>
      <c r="M182" s="25"/>
      <c r="N182" s="25"/>
      <c r="O182" s="25"/>
      <c r="P182" s="25"/>
      <c r="Q182" s="25"/>
      <c r="R182" s="25"/>
      <c r="S182" s="25"/>
      <c r="T182" s="25"/>
      <c r="U182" s="229"/>
      <c r="V182" s="25"/>
      <c r="W182" s="25"/>
      <c r="X182" s="25"/>
      <c r="Y182" s="25"/>
      <c r="Z182" s="25"/>
      <c r="AA182" s="25"/>
      <c r="AB182" s="25"/>
      <c r="AC182" s="25"/>
      <c r="AD182" s="25"/>
      <c r="AE182" s="25"/>
      <c r="AF182" s="25"/>
      <c r="AG182" s="25"/>
      <c r="AH182" s="25"/>
      <c r="AI182" s="25"/>
      <c r="AJ182" s="25"/>
    </row>
    <row r="183" spans="1:36" ht="21" customHeight="1">
      <c r="A183" s="25"/>
      <c r="B183" s="25"/>
      <c r="C183" s="25"/>
      <c r="D183" s="25"/>
      <c r="E183" s="25"/>
      <c r="F183" s="25"/>
      <c r="G183" s="25"/>
      <c r="H183" s="25"/>
      <c r="I183" s="25"/>
      <c r="J183" s="25"/>
      <c r="K183" s="25"/>
      <c r="L183" s="25"/>
      <c r="M183" s="25"/>
      <c r="N183" s="25"/>
      <c r="O183" s="25"/>
      <c r="P183" s="25"/>
      <c r="Q183" s="25"/>
      <c r="R183" s="25"/>
      <c r="S183" s="25"/>
      <c r="T183" s="25"/>
      <c r="U183" s="229"/>
      <c r="V183" s="25"/>
      <c r="W183" s="25"/>
      <c r="X183" s="25"/>
      <c r="Y183" s="25"/>
      <c r="Z183" s="25"/>
      <c r="AA183" s="25"/>
      <c r="AB183" s="25"/>
      <c r="AC183" s="25"/>
      <c r="AD183" s="25"/>
      <c r="AE183" s="25"/>
      <c r="AF183" s="25"/>
      <c r="AG183" s="25"/>
      <c r="AH183" s="25"/>
      <c r="AI183" s="25"/>
      <c r="AJ183" s="25"/>
    </row>
    <row r="184" spans="1:36" ht="21" customHeight="1">
      <c r="A184" s="25"/>
      <c r="B184" s="25"/>
      <c r="C184" s="25"/>
      <c r="D184" s="25"/>
      <c r="E184" s="25"/>
      <c r="F184" s="25"/>
      <c r="G184" s="25"/>
      <c r="H184" s="25"/>
      <c r="I184" s="25"/>
      <c r="J184" s="25"/>
      <c r="K184" s="25"/>
      <c r="L184" s="25"/>
      <c r="M184" s="25"/>
      <c r="N184" s="25"/>
      <c r="O184" s="25"/>
      <c r="P184" s="25"/>
      <c r="Q184" s="25"/>
      <c r="R184" s="25"/>
      <c r="S184" s="25"/>
      <c r="T184" s="25"/>
      <c r="U184" s="229"/>
      <c r="V184" s="25"/>
      <c r="W184" s="25"/>
      <c r="X184" s="25"/>
      <c r="Y184" s="25"/>
      <c r="Z184" s="25"/>
      <c r="AA184" s="25"/>
      <c r="AB184" s="25"/>
      <c r="AC184" s="25"/>
      <c r="AD184" s="25"/>
      <c r="AE184" s="25"/>
      <c r="AF184" s="25"/>
      <c r="AG184" s="25"/>
      <c r="AH184" s="25"/>
      <c r="AI184" s="25"/>
      <c r="AJ184" s="25"/>
    </row>
    <row r="185" spans="1:36" ht="21" customHeight="1">
      <c r="A185" s="25"/>
      <c r="B185" s="25"/>
      <c r="C185" s="25"/>
      <c r="D185" s="25"/>
      <c r="E185" s="25"/>
      <c r="F185" s="25"/>
      <c r="G185" s="25"/>
      <c r="H185" s="25"/>
      <c r="I185" s="25"/>
      <c r="J185" s="25"/>
      <c r="K185" s="25"/>
      <c r="L185" s="25"/>
      <c r="M185" s="25"/>
      <c r="N185" s="25"/>
      <c r="O185" s="25"/>
      <c r="P185" s="25"/>
      <c r="Q185" s="25"/>
      <c r="R185" s="25"/>
      <c r="S185" s="25"/>
      <c r="T185" s="25"/>
      <c r="U185" s="229"/>
      <c r="V185" s="25"/>
      <c r="W185" s="25"/>
      <c r="X185" s="25"/>
      <c r="Y185" s="25"/>
      <c r="Z185" s="25"/>
      <c r="AA185" s="25"/>
      <c r="AB185" s="25"/>
      <c r="AC185" s="25"/>
      <c r="AD185" s="25"/>
      <c r="AE185" s="25"/>
      <c r="AF185" s="25"/>
      <c r="AG185" s="25"/>
      <c r="AH185" s="25"/>
      <c r="AI185" s="25"/>
      <c r="AJ185" s="25"/>
    </row>
    <row r="186" spans="1:36" ht="21" customHeight="1">
      <c r="A186" s="25"/>
      <c r="B186" s="25"/>
      <c r="C186" s="25"/>
      <c r="D186" s="25"/>
      <c r="E186" s="25"/>
      <c r="F186" s="25"/>
      <c r="G186" s="25"/>
      <c r="H186" s="25"/>
      <c r="I186" s="25"/>
      <c r="J186" s="25"/>
      <c r="K186" s="25"/>
      <c r="L186" s="25"/>
      <c r="M186" s="25"/>
      <c r="N186" s="25"/>
      <c r="O186" s="25"/>
      <c r="P186" s="25"/>
      <c r="Q186" s="25"/>
      <c r="R186" s="25"/>
      <c r="S186" s="25"/>
      <c r="T186" s="25"/>
      <c r="U186" s="229"/>
      <c r="V186" s="25"/>
      <c r="W186" s="25"/>
      <c r="X186" s="25"/>
      <c r="Y186" s="25"/>
      <c r="Z186" s="25"/>
      <c r="AA186" s="25"/>
      <c r="AB186" s="25"/>
      <c r="AC186" s="25"/>
      <c r="AD186" s="25"/>
      <c r="AE186" s="25"/>
      <c r="AF186" s="25"/>
      <c r="AG186" s="25"/>
      <c r="AH186" s="25"/>
      <c r="AI186" s="25"/>
      <c r="AJ186" s="25"/>
    </row>
    <row r="187" spans="1:36" ht="21" customHeight="1">
      <c r="A187" s="25"/>
      <c r="B187" s="25"/>
      <c r="C187" s="25"/>
      <c r="D187" s="25"/>
      <c r="E187" s="25"/>
      <c r="F187" s="25"/>
      <c r="G187" s="25"/>
      <c r="H187" s="25"/>
      <c r="I187" s="25"/>
      <c r="J187" s="25"/>
      <c r="K187" s="25"/>
      <c r="L187" s="25"/>
      <c r="M187" s="25"/>
      <c r="N187" s="25"/>
      <c r="O187" s="25"/>
      <c r="P187" s="25"/>
      <c r="Q187" s="25"/>
      <c r="R187" s="25"/>
      <c r="S187" s="25"/>
      <c r="T187" s="25"/>
      <c r="U187" s="229"/>
      <c r="V187" s="25"/>
      <c r="W187" s="25"/>
      <c r="X187" s="25"/>
      <c r="Y187" s="25"/>
      <c r="Z187" s="25"/>
      <c r="AA187" s="25"/>
      <c r="AB187" s="25"/>
      <c r="AC187" s="25"/>
      <c r="AD187" s="25"/>
      <c r="AE187" s="25"/>
      <c r="AF187" s="25"/>
      <c r="AG187" s="25"/>
      <c r="AH187" s="25"/>
      <c r="AI187" s="25"/>
      <c r="AJ187" s="25"/>
    </row>
    <row r="188" spans="1:36" ht="21" customHeight="1">
      <c r="A188" s="25"/>
      <c r="B188" s="25"/>
      <c r="C188" s="25"/>
      <c r="D188" s="25"/>
      <c r="E188" s="25"/>
      <c r="F188" s="25"/>
      <c r="G188" s="25"/>
      <c r="H188" s="25"/>
      <c r="I188" s="25"/>
      <c r="J188" s="25"/>
      <c r="K188" s="25"/>
      <c r="L188" s="25"/>
      <c r="M188" s="25"/>
      <c r="N188" s="25"/>
      <c r="O188" s="25"/>
      <c r="P188" s="25"/>
      <c r="Q188" s="25"/>
      <c r="R188" s="25"/>
      <c r="S188" s="25"/>
      <c r="T188" s="25"/>
      <c r="U188" s="229"/>
      <c r="V188" s="25"/>
      <c r="W188" s="25"/>
      <c r="X188" s="25"/>
      <c r="Y188" s="25"/>
      <c r="Z188" s="25"/>
      <c r="AA188" s="25"/>
      <c r="AB188" s="25"/>
      <c r="AC188" s="25"/>
      <c r="AD188" s="25"/>
      <c r="AE188" s="25"/>
      <c r="AF188" s="25"/>
      <c r="AG188" s="25"/>
      <c r="AH188" s="25"/>
      <c r="AI188" s="25"/>
      <c r="AJ188" s="25"/>
    </row>
    <row r="189" spans="1:36" ht="21" customHeight="1">
      <c r="A189" s="25"/>
      <c r="B189" s="25"/>
      <c r="C189" s="25"/>
      <c r="D189" s="25"/>
      <c r="E189" s="25"/>
      <c r="F189" s="25"/>
      <c r="G189" s="25"/>
      <c r="H189" s="25"/>
      <c r="I189" s="25"/>
      <c r="J189" s="25"/>
      <c r="K189" s="25"/>
      <c r="L189" s="25"/>
      <c r="M189" s="25"/>
      <c r="N189" s="25"/>
      <c r="O189" s="25"/>
      <c r="P189" s="25"/>
      <c r="Q189" s="25"/>
      <c r="R189" s="25"/>
      <c r="S189" s="25"/>
      <c r="T189" s="25"/>
      <c r="U189" s="229"/>
      <c r="V189" s="25"/>
      <c r="W189" s="25"/>
      <c r="X189" s="25"/>
      <c r="Y189" s="25"/>
      <c r="Z189" s="25"/>
      <c r="AA189" s="25"/>
      <c r="AB189" s="25"/>
      <c r="AC189" s="25"/>
      <c r="AD189" s="25"/>
      <c r="AE189" s="25"/>
      <c r="AF189" s="25"/>
      <c r="AG189" s="25"/>
      <c r="AH189" s="25"/>
      <c r="AI189" s="25"/>
      <c r="AJ189" s="25"/>
    </row>
    <row r="190" spans="1:36" ht="21" customHeight="1">
      <c r="A190" s="25"/>
      <c r="B190" s="25"/>
      <c r="C190" s="25"/>
      <c r="D190" s="25"/>
      <c r="E190" s="25"/>
      <c r="F190" s="25"/>
      <c r="G190" s="25"/>
      <c r="H190" s="25"/>
      <c r="I190" s="25"/>
      <c r="J190" s="25"/>
      <c r="K190" s="25"/>
      <c r="L190" s="25"/>
      <c r="M190" s="25"/>
      <c r="N190" s="25"/>
      <c r="O190" s="25"/>
      <c r="P190" s="25"/>
      <c r="Q190" s="25"/>
      <c r="R190" s="25"/>
      <c r="S190" s="25"/>
      <c r="T190" s="25"/>
      <c r="U190" s="229"/>
      <c r="V190" s="25"/>
      <c r="W190" s="25"/>
      <c r="X190" s="25"/>
      <c r="Y190" s="25"/>
      <c r="Z190" s="25"/>
      <c r="AA190" s="25"/>
      <c r="AB190" s="25"/>
      <c r="AC190" s="25"/>
      <c r="AD190" s="25"/>
      <c r="AE190" s="25"/>
      <c r="AF190" s="25"/>
      <c r="AG190" s="25"/>
      <c r="AH190" s="25"/>
      <c r="AI190" s="25"/>
      <c r="AJ190" s="25"/>
    </row>
    <row r="191" spans="1:36" ht="21" customHeight="1">
      <c r="A191" s="25"/>
      <c r="B191" s="25"/>
      <c r="C191" s="25"/>
      <c r="D191" s="25"/>
      <c r="E191" s="25"/>
      <c r="F191" s="25"/>
      <c r="G191" s="25"/>
      <c r="H191" s="25"/>
      <c r="I191" s="25"/>
      <c r="J191" s="25"/>
      <c r="K191" s="25"/>
      <c r="L191" s="25"/>
      <c r="M191" s="25"/>
      <c r="N191" s="25"/>
      <c r="O191" s="25"/>
      <c r="P191" s="25"/>
      <c r="Q191" s="25"/>
      <c r="R191" s="25"/>
      <c r="S191" s="25"/>
      <c r="T191" s="25"/>
      <c r="U191" s="229"/>
      <c r="V191" s="25"/>
      <c r="W191" s="25"/>
      <c r="X191" s="25"/>
      <c r="Y191" s="25"/>
      <c r="Z191" s="25"/>
      <c r="AA191" s="25"/>
      <c r="AB191" s="25"/>
      <c r="AC191" s="25"/>
      <c r="AD191" s="25"/>
      <c r="AE191" s="25"/>
      <c r="AF191" s="25"/>
      <c r="AG191" s="25"/>
      <c r="AH191" s="25"/>
      <c r="AI191" s="25"/>
      <c r="AJ191" s="25"/>
    </row>
    <row r="192" spans="1:36" ht="21" customHeight="1">
      <c r="A192" s="25"/>
      <c r="B192" s="25"/>
      <c r="C192" s="25"/>
      <c r="D192" s="25"/>
      <c r="E192" s="25"/>
      <c r="F192" s="25"/>
      <c r="G192" s="25"/>
      <c r="H192" s="25"/>
      <c r="I192" s="25"/>
      <c r="J192" s="25"/>
      <c r="K192" s="25"/>
      <c r="L192" s="25"/>
      <c r="M192" s="25"/>
      <c r="N192" s="25"/>
      <c r="O192" s="25"/>
      <c r="P192" s="25"/>
      <c r="Q192" s="25"/>
      <c r="R192" s="25"/>
      <c r="S192" s="25"/>
      <c r="T192" s="25"/>
      <c r="U192" s="229"/>
      <c r="V192" s="25"/>
      <c r="W192" s="25"/>
      <c r="X192" s="25"/>
      <c r="Y192" s="25"/>
      <c r="Z192" s="25"/>
      <c r="AA192" s="25"/>
      <c r="AB192" s="25"/>
      <c r="AC192" s="25"/>
      <c r="AD192" s="25"/>
      <c r="AE192" s="25"/>
      <c r="AF192" s="25"/>
      <c r="AG192" s="25"/>
      <c r="AH192" s="25"/>
      <c r="AI192" s="25"/>
      <c r="AJ192" s="25"/>
    </row>
    <row r="193" spans="1:36" ht="21" customHeight="1">
      <c r="A193" s="25"/>
      <c r="B193" s="25"/>
      <c r="C193" s="25"/>
      <c r="D193" s="25"/>
      <c r="E193" s="25"/>
      <c r="F193" s="25"/>
      <c r="G193" s="25"/>
      <c r="H193" s="25"/>
      <c r="I193" s="25"/>
      <c r="J193" s="25"/>
      <c r="K193" s="25"/>
      <c r="L193" s="25"/>
      <c r="M193" s="25"/>
      <c r="N193" s="25"/>
      <c r="O193" s="25"/>
      <c r="P193" s="25"/>
      <c r="Q193" s="25"/>
      <c r="R193" s="25"/>
      <c r="S193" s="25"/>
      <c r="T193" s="25"/>
      <c r="U193" s="229"/>
      <c r="V193" s="25"/>
      <c r="W193" s="25"/>
      <c r="X193" s="25"/>
      <c r="Y193" s="25"/>
      <c r="Z193" s="25"/>
      <c r="AA193" s="25"/>
      <c r="AB193" s="25"/>
      <c r="AC193" s="25"/>
      <c r="AD193" s="25"/>
      <c r="AE193" s="25"/>
      <c r="AF193" s="25"/>
      <c r="AG193" s="25"/>
      <c r="AH193" s="25"/>
      <c r="AI193" s="25"/>
      <c r="AJ193" s="25"/>
    </row>
    <row r="194" spans="1:36" ht="21" customHeight="1">
      <c r="A194" s="25"/>
      <c r="B194" s="25"/>
      <c r="C194" s="25"/>
      <c r="D194" s="25"/>
      <c r="E194" s="25"/>
      <c r="F194" s="25"/>
      <c r="G194" s="25"/>
      <c r="H194" s="25"/>
      <c r="I194" s="25"/>
      <c r="J194" s="25"/>
      <c r="K194" s="25"/>
      <c r="L194" s="25"/>
      <c r="M194" s="25"/>
      <c r="N194" s="25"/>
      <c r="O194" s="25"/>
      <c r="P194" s="25"/>
      <c r="Q194" s="25"/>
      <c r="R194" s="25"/>
      <c r="S194" s="25"/>
      <c r="T194" s="25"/>
      <c r="U194" s="229"/>
      <c r="V194" s="25"/>
      <c r="W194" s="25"/>
      <c r="X194" s="25"/>
      <c r="Y194" s="25"/>
      <c r="Z194" s="25"/>
      <c r="AA194" s="25"/>
      <c r="AB194" s="25"/>
      <c r="AC194" s="25"/>
      <c r="AD194" s="25"/>
      <c r="AE194" s="25"/>
      <c r="AF194" s="25"/>
      <c r="AG194" s="25"/>
      <c r="AH194" s="25"/>
      <c r="AI194" s="25"/>
      <c r="AJ194" s="25"/>
    </row>
    <row r="195" spans="1:36" ht="21" customHeight="1">
      <c r="A195" s="25"/>
      <c r="B195" s="25"/>
      <c r="C195" s="25"/>
      <c r="D195" s="25"/>
      <c r="E195" s="25"/>
      <c r="F195" s="25"/>
      <c r="G195" s="25"/>
      <c r="H195" s="25"/>
      <c r="I195" s="25"/>
      <c r="J195" s="25"/>
      <c r="K195" s="25"/>
      <c r="L195" s="25"/>
      <c r="M195" s="25"/>
      <c r="N195" s="25"/>
      <c r="O195" s="25"/>
      <c r="P195" s="25"/>
      <c r="Q195" s="25"/>
      <c r="R195" s="25"/>
      <c r="S195" s="25"/>
      <c r="T195" s="25"/>
      <c r="U195" s="229"/>
      <c r="V195" s="25"/>
      <c r="W195" s="25"/>
      <c r="X195" s="25"/>
      <c r="Y195" s="25"/>
      <c r="Z195" s="25"/>
      <c r="AA195" s="25"/>
      <c r="AB195" s="25"/>
      <c r="AC195" s="25"/>
      <c r="AD195" s="25"/>
      <c r="AE195" s="25"/>
      <c r="AF195" s="25"/>
      <c r="AG195" s="25"/>
      <c r="AH195" s="25"/>
      <c r="AI195" s="25"/>
      <c r="AJ195" s="25"/>
    </row>
    <row r="196" spans="1:36" ht="21" customHeight="1">
      <c r="A196" s="25"/>
      <c r="B196" s="25"/>
      <c r="C196" s="25"/>
      <c r="D196" s="25"/>
      <c r="E196" s="25"/>
      <c r="F196" s="25"/>
      <c r="G196" s="25"/>
      <c r="H196" s="25"/>
      <c r="I196" s="25"/>
      <c r="J196" s="25"/>
      <c r="K196" s="25"/>
      <c r="L196" s="25"/>
      <c r="M196" s="25"/>
      <c r="N196" s="25"/>
      <c r="O196" s="25"/>
      <c r="P196" s="25"/>
      <c r="Q196" s="25"/>
      <c r="R196" s="25"/>
      <c r="S196" s="25"/>
      <c r="T196" s="25"/>
      <c r="U196" s="229"/>
      <c r="V196" s="25"/>
      <c r="W196" s="25"/>
      <c r="X196" s="25"/>
      <c r="Y196" s="25"/>
      <c r="Z196" s="25"/>
      <c r="AA196" s="25"/>
      <c r="AB196" s="25"/>
      <c r="AC196" s="25"/>
      <c r="AD196" s="25"/>
      <c r="AE196" s="25"/>
      <c r="AF196" s="25"/>
      <c r="AG196" s="25"/>
      <c r="AH196" s="25"/>
      <c r="AI196" s="25"/>
      <c r="AJ196" s="25"/>
    </row>
    <row r="197" spans="1:36" ht="21" customHeight="1">
      <c r="A197" s="25"/>
      <c r="B197" s="25"/>
      <c r="C197" s="25"/>
      <c r="D197" s="25"/>
      <c r="E197" s="25"/>
      <c r="F197" s="25"/>
      <c r="G197" s="25"/>
      <c r="H197" s="25"/>
      <c r="I197" s="25"/>
      <c r="J197" s="25"/>
      <c r="K197" s="25"/>
      <c r="L197" s="25"/>
      <c r="M197" s="25"/>
      <c r="N197" s="25"/>
      <c r="O197" s="25"/>
      <c r="P197" s="25"/>
      <c r="Q197" s="25"/>
      <c r="R197" s="25"/>
      <c r="S197" s="25"/>
      <c r="T197" s="25"/>
      <c r="U197" s="229"/>
      <c r="V197" s="25"/>
      <c r="W197" s="25"/>
      <c r="X197" s="25"/>
      <c r="Y197" s="25"/>
      <c r="Z197" s="25"/>
      <c r="AA197" s="25"/>
      <c r="AB197" s="25"/>
      <c r="AC197" s="25"/>
      <c r="AD197" s="25"/>
      <c r="AE197" s="25"/>
      <c r="AF197" s="25"/>
      <c r="AG197" s="25"/>
      <c r="AH197" s="25"/>
      <c r="AI197" s="25"/>
      <c r="AJ197" s="25"/>
    </row>
    <row r="198" spans="1:36" ht="21" customHeight="1">
      <c r="A198" s="25"/>
      <c r="B198" s="25"/>
      <c r="C198" s="25"/>
      <c r="D198" s="25"/>
      <c r="E198" s="25"/>
      <c r="F198" s="25"/>
      <c r="G198" s="25"/>
      <c r="H198" s="25"/>
      <c r="I198" s="25"/>
      <c r="J198" s="25"/>
      <c r="K198" s="25"/>
      <c r="L198" s="25"/>
      <c r="M198" s="25"/>
      <c r="N198" s="25"/>
      <c r="O198" s="25"/>
      <c r="P198" s="25"/>
      <c r="Q198" s="25"/>
      <c r="R198" s="25"/>
      <c r="S198" s="25"/>
      <c r="T198" s="25"/>
      <c r="U198" s="229"/>
      <c r="V198" s="25"/>
      <c r="W198" s="25"/>
      <c r="X198" s="25"/>
      <c r="Y198" s="25"/>
      <c r="Z198" s="25"/>
      <c r="AA198" s="25"/>
      <c r="AB198" s="25"/>
      <c r="AC198" s="25"/>
      <c r="AD198" s="25"/>
      <c r="AE198" s="25"/>
      <c r="AF198" s="25"/>
      <c r="AG198" s="25"/>
      <c r="AH198" s="25"/>
      <c r="AI198" s="25"/>
      <c r="AJ198" s="25"/>
    </row>
    <row r="199" spans="1:36" ht="21" customHeight="1">
      <c r="A199" s="25"/>
      <c r="B199" s="25"/>
      <c r="C199" s="25"/>
      <c r="D199" s="25"/>
      <c r="E199" s="25"/>
      <c r="F199" s="25"/>
      <c r="G199" s="25"/>
      <c r="H199" s="25"/>
      <c r="I199" s="25"/>
      <c r="J199" s="25"/>
      <c r="K199" s="25"/>
      <c r="L199" s="25"/>
      <c r="M199" s="25"/>
      <c r="N199" s="25"/>
      <c r="O199" s="25"/>
      <c r="P199" s="25"/>
      <c r="Q199" s="25"/>
      <c r="R199" s="25"/>
      <c r="S199" s="25"/>
      <c r="T199" s="25"/>
      <c r="U199" s="229"/>
      <c r="V199" s="25"/>
      <c r="W199" s="25"/>
      <c r="X199" s="25"/>
      <c r="Y199" s="25"/>
      <c r="Z199" s="25"/>
      <c r="AA199" s="25"/>
      <c r="AB199" s="25"/>
      <c r="AC199" s="25"/>
      <c r="AD199" s="25"/>
      <c r="AE199" s="25"/>
      <c r="AF199" s="25"/>
      <c r="AG199" s="25"/>
      <c r="AH199" s="25"/>
      <c r="AI199" s="25"/>
      <c r="AJ199" s="25"/>
    </row>
    <row r="200" spans="1:36" ht="21" customHeight="1">
      <c r="A200" s="25"/>
      <c r="B200" s="25"/>
      <c r="C200" s="25"/>
      <c r="D200" s="25"/>
      <c r="E200" s="25"/>
      <c r="F200" s="25"/>
      <c r="G200" s="25"/>
      <c r="H200" s="25"/>
      <c r="I200" s="25"/>
      <c r="J200" s="25"/>
      <c r="K200" s="25"/>
      <c r="L200" s="25"/>
      <c r="M200" s="25"/>
      <c r="N200" s="25"/>
      <c r="O200" s="25"/>
      <c r="P200" s="25"/>
      <c r="Q200" s="25"/>
      <c r="R200" s="25"/>
      <c r="S200" s="25"/>
      <c r="T200" s="25"/>
      <c r="U200" s="229"/>
      <c r="V200" s="25"/>
      <c r="W200" s="25"/>
      <c r="X200" s="25"/>
      <c r="Y200" s="25"/>
      <c r="Z200" s="25"/>
      <c r="AA200" s="25"/>
      <c r="AB200" s="25"/>
      <c r="AC200" s="25"/>
      <c r="AD200" s="25"/>
      <c r="AE200" s="25"/>
      <c r="AF200" s="25"/>
      <c r="AG200" s="25"/>
      <c r="AH200" s="25"/>
      <c r="AI200" s="25"/>
      <c r="AJ200" s="25"/>
    </row>
    <row r="201" spans="1:36" ht="21" customHeight="1">
      <c r="A201" s="25"/>
      <c r="B201" s="25"/>
      <c r="C201" s="25"/>
      <c r="D201" s="25"/>
      <c r="E201" s="25"/>
      <c r="F201" s="25"/>
      <c r="G201" s="25"/>
      <c r="H201" s="25"/>
      <c r="I201" s="25"/>
      <c r="J201" s="25"/>
      <c r="K201" s="25"/>
      <c r="L201" s="25"/>
      <c r="M201" s="25"/>
      <c r="N201" s="25"/>
      <c r="O201" s="25"/>
      <c r="P201" s="25"/>
      <c r="Q201" s="25"/>
      <c r="R201" s="25"/>
      <c r="S201" s="25"/>
      <c r="T201" s="25"/>
      <c r="U201" s="229"/>
      <c r="V201" s="25"/>
      <c r="W201" s="25"/>
      <c r="X201" s="25"/>
      <c r="Y201" s="25"/>
      <c r="Z201" s="25"/>
      <c r="AA201" s="25"/>
      <c r="AB201" s="25"/>
      <c r="AC201" s="25"/>
      <c r="AD201" s="25"/>
      <c r="AE201" s="25"/>
      <c r="AF201" s="25"/>
      <c r="AG201" s="25"/>
      <c r="AH201" s="25"/>
      <c r="AI201" s="25"/>
      <c r="AJ201" s="25"/>
    </row>
    <row r="202" spans="1:36" ht="21" customHeight="1">
      <c r="A202" s="25"/>
      <c r="B202" s="25"/>
      <c r="C202" s="25"/>
      <c r="D202" s="25"/>
      <c r="E202" s="25"/>
      <c r="F202" s="25"/>
      <c r="G202" s="25"/>
      <c r="H202" s="25"/>
      <c r="I202" s="25"/>
      <c r="J202" s="25"/>
      <c r="K202" s="25"/>
      <c r="L202" s="25"/>
      <c r="M202" s="25"/>
      <c r="N202" s="25"/>
      <c r="O202" s="25"/>
      <c r="P202" s="25"/>
      <c r="Q202" s="25"/>
      <c r="R202" s="25"/>
      <c r="S202" s="25"/>
      <c r="T202" s="25"/>
      <c r="U202" s="229"/>
      <c r="V202" s="25"/>
      <c r="W202" s="25"/>
      <c r="X202" s="25"/>
      <c r="Y202" s="25"/>
      <c r="Z202" s="25"/>
      <c r="AA202" s="25"/>
      <c r="AB202" s="25"/>
      <c r="AC202" s="25"/>
      <c r="AD202" s="25"/>
      <c r="AE202" s="25"/>
      <c r="AF202" s="25"/>
      <c r="AG202" s="25"/>
      <c r="AH202" s="25"/>
      <c r="AI202" s="25"/>
      <c r="AJ202" s="25"/>
    </row>
    <row r="203" spans="1:36" ht="21" customHeight="1">
      <c r="A203" s="25"/>
      <c r="B203" s="25"/>
      <c r="C203" s="25"/>
      <c r="D203" s="25"/>
      <c r="E203" s="25"/>
      <c r="F203" s="25"/>
      <c r="G203" s="25"/>
      <c r="H203" s="25"/>
      <c r="I203" s="25"/>
      <c r="J203" s="25"/>
      <c r="K203" s="25"/>
      <c r="L203" s="25"/>
      <c r="M203" s="25"/>
      <c r="N203" s="25"/>
      <c r="O203" s="25"/>
      <c r="P203" s="25"/>
      <c r="Q203" s="25"/>
      <c r="R203" s="25"/>
      <c r="S203" s="25"/>
      <c r="T203" s="25"/>
      <c r="U203" s="229"/>
      <c r="V203" s="25"/>
      <c r="W203" s="25"/>
      <c r="X203" s="25"/>
      <c r="Y203" s="25"/>
      <c r="Z203" s="25"/>
      <c r="AA203" s="25"/>
      <c r="AB203" s="25"/>
      <c r="AC203" s="25"/>
      <c r="AD203" s="25"/>
      <c r="AE203" s="25"/>
      <c r="AF203" s="25"/>
      <c r="AG203" s="25"/>
      <c r="AH203" s="25"/>
      <c r="AI203" s="25"/>
      <c r="AJ203" s="25"/>
    </row>
    <row r="204" spans="1:36" ht="21" customHeight="1">
      <c r="A204" s="25"/>
      <c r="B204" s="25"/>
      <c r="C204" s="25"/>
      <c r="D204" s="25"/>
      <c r="E204" s="25"/>
      <c r="F204" s="25"/>
      <c r="G204" s="25"/>
      <c r="H204" s="25"/>
      <c r="I204" s="25"/>
      <c r="J204" s="25"/>
      <c r="K204" s="25"/>
      <c r="L204" s="25"/>
      <c r="M204" s="25"/>
      <c r="N204" s="25"/>
      <c r="O204" s="25"/>
      <c r="P204" s="25"/>
      <c r="Q204" s="25"/>
      <c r="R204" s="25"/>
      <c r="S204" s="25"/>
      <c r="T204" s="25"/>
      <c r="U204" s="229"/>
      <c r="V204" s="25"/>
      <c r="W204" s="25"/>
      <c r="X204" s="25"/>
      <c r="Y204" s="25"/>
      <c r="Z204" s="25"/>
      <c r="AA204" s="25"/>
      <c r="AB204" s="25"/>
      <c r="AC204" s="25"/>
      <c r="AD204" s="25"/>
      <c r="AE204" s="25"/>
      <c r="AF204" s="25"/>
      <c r="AG204" s="25"/>
      <c r="AH204" s="25"/>
      <c r="AI204" s="25"/>
      <c r="AJ204" s="25"/>
    </row>
    <row r="205" spans="1:36" ht="21" customHeight="1">
      <c r="A205" s="25"/>
      <c r="B205" s="25"/>
      <c r="C205" s="25"/>
      <c r="D205" s="25"/>
      <c r="E205" s="25"/>
      <c r="F205" s="25"/>
      <c r="G205" s="25"/>
      <c r="H205" s="25"/>
      <c r="I205" s="25"/>
      <c r="J205" s="25"/>
      <c r="K205" s="25"/>
      <c r="L205" s="25"/>
      <c r="M205" s="25"/>
      <c r="N205" s="25"/>
      <c r="O205" s="25"/>
      <c r="P205" s="25"/>
      <c r="Q205" s="25"/>
      <c r="R205" s="25"/>
      <c r="S205" s="25"/>
      <c r="T205" s="25"/>
      <c r="U205" s="229"/>
      <c r="V205" s="25"/>
      <c r="W205" s="25"/>
      <c r="X205" s="25"/>
      <c r="Y205" s="25"/>
      <c r="Z205" s="25"/>
      <c r="AA205" s="25"/>
      <c r="AB205" s="25"/>
      <c r="AC205" s="25"/>
      <c r="AD205" s="25"/>
      <c r="AE205" s="25"/>
      <c r="AF205" s="25"/>
      <c r="AG205" s="25"/>
      <c r="AH205" s="25"/>
      <c r="AI205" s="25"/>
      <c r="AJ205" s="25"/>
    </row>
    <row r="206" spans="1:36" ht="21" customHeight="1">
      <c r="A206" s="25"/>
      <c r="B206" s="25"/>
      <c r="C206" s="25"/>
      <c r="D206" s="25"/>
      <c r="E206" s="25"/>
      <c r="F206" s="25"/>
      <c r="G206" s="25"/>
      <c r="H206" s="25"/>
      <c r="I206" s="25"/>
      <c r="J206" s="25"/>
      <c r="K206" s="25"/>
      <c r="L206" s="25"/>
      <c r="M206" s="25"/>
      <c r="N206" s="25"/>
      <c r="O206" s="25"/>
      <c r="P206" s="25"/>
      <c r="Q206" s="25"/>
      <c r="R206" s="25"/>
      <c r="S206" s="25"/>
      <c r="T206" s="25"/>
      <c r="U206" s="229"/>
      <c r="V206" s="25"/>
      <c r="W206" s="25"/>
      <c r="X206" s="25"/>
      <c r="Y206" s="25"/>
      <c r="Z206" s="25"/>
      <c r="AA206" s="25"/>
      <c r="AB206" s="25"/>
      <c r="AC206" s="25"/>
      <c r="AD206" s="25"/>
      <c r="AE206" s="25"/>
      <c r="AF206" s="25"/>
      <c r="AG206" s="25"/>
      <c r="AH206" s="25"/>
      <c r="AI206" s="25"/>
      <c r="AJ206" s="25"/>
    </row>
    <row r="207" spans="1:36" ht="21" customHeight="1">
      <c r="A207" s="25"/>
      <c r="B207" s="25"/>
      <c r="C207" s="25"/>
      <c r="D207" s="25"/>
      <c r="E207" s="25"/>
      <c r="F207" s="25"/>
      <c r="G207" s="25"/>
      <c r="H207" s="25"/>
      <c r="I207" s="25"/>
      <c r="J207" s="25"/>
      <c r="K207" s="25"/>
      <c r="L207" s="25"/>
      <c r="M207" s="25"/>
      <c r="N207" s="25"/>
      <c r="O207" s="25"/>
      <c r="P207" s="25"/>
      <c r="Q207" s="25"/>
      <c r="R207" s="25"/>
      <c r="S207" s="25"/>
      <c r="T207" s="25"/>
      <c r="U207" s="229"/>
      <c r="V207" s="25"/>
      <c r="W207" s="25"/>
      <c r="X207" s="25"/>
      <c r="Y207" s="25"/>
      <c r="Z207" s="25"/>
      <c r="AA207" s="25"/>
      <c r="AB207" s="25"/>
      <c r="AC207" s="25"/>
      <c r="AD207" s="25"/>
      <c r="AE207" s="25"/>
      <c r="AF207" s="25"/>
      <c r="AG207" s="25"/>
      <c r="AH207" s="25"/>
      <c r="AI207" s="25"/>
      <c r="AJ207" s="25"/>
    </row>
    <row r="208" spans="1:36" ht="21" customHeight="1">
      <c r="A208" s="25"/>
      <c r="B208" s="25"/>
      <c r="C208" s="25"/>
      <c r="D208" s="25"/>
      <c r="E208" s="25"/>
      <c r="F208" s="25"/>
      <c r="G208" s="25"/>
      <c r="H208" s="25"/>
      <c r="I208" s="25"/>
      <c r="J208" s="25"/>
      <c r="K208" s="25"/>
      <c r="L208" s="25"/>
      <c r="M208" s="25"/>
      <c r="N208" s="25"/>
      <c r="O208" s="25"/>
      <c r="P208" s="25"/>
      <c r="Q208" s="25"/>
      <c r="R208" s="25"/>
      <c r="S208" s="25"/>
      <c r="T208" s="25"/>
      <c r="U208" s="229"/>
      <c r="V208" s="25"/>
      <c r="W208" s="25"/>
      <c r="X208" s="25"/>
      <c r="Y208" s="25"/>
      <c r="Z208" s="25"/>
      <c r="AA208" s="25"/>
      <c r="AB208" s="25"/>
      <c r="AC208" s="25"/>
      <c r="AD208" s="25"/>
      <c r="AE208" s="25"/>
      <c r="AF208" s="25"/>
      <c r="AG208" s="25"/>
      <c r="AH208" s="25"/>
      <c r="AI208" s="25"/>
      <c r="AJ208" s="25"/>
    </row>
    <row r="209" spans="1:36" ht="21" customHeight="1">
      <c r="A209" s="25"/>
      <c r="B209" s="25"/>
      <c r="C209" s="25"/>
      <c r="D209" s="25"/>
      <c r="E209" s="25"/>
      <c r="F209" s="25"/>
      <c r="G209" s="25"/>
      <c r="H209" s="25"/>
      <c r="I209" s="25"/>
      <c r="J209" s="25"/>
      <c r="K209" s="25"/>
      <c r="L209" s="25"/>
      <c r="M209" s="25"/>
      <c r="N209" s="25"/>
      <c r="O209" s="25"/>
      <c r="P209" s="25"/>
      <c r="Q209" s="25"/>
      <c r="R209" s="25"/>
      <c r="S209" s="25"/>
      <c r="T209" s="25"/>
      <c r="U209" s="229"/>
      <c r="V209" s="25"/>
      <c r="W209" s="25"/>
      <c r="X209" s="25"/>
      <c r="Y209" s="25"/>
      <c r="Z209" s="25"/>
      <c r="AA209" s="25"/>
      <c r="AB209" s="25"/>
      <c r="AC209" s="25"/>
      <c r="AD209" s="25"/>
      <c r="AE209" s="25"/>
      <c r="AF209" s="25"/>
      <c r="AG209" s="25"/>
      <c r="AH209" s="25"/>
      <c r="AI209" s="25"/>
      <c r="AJ209" s="25"/>
    </row>
    <row r="210" spans="1:36" ht="21" customHeight="1">
      <c r="A210" s="25"/>
      <c r="B210" s="25"/>
      <c r="C210" s="25"/>
      <c r="D210" s="25"/>
      <c r="E210" s="25"/>
      <c r="F210" s="25"/>
      <c r="G210" s="25"/>
      <c r="H210" s="25"/>
      <c r="I210" s="25"/>
      <c r="J210" s="25"/>
      <c r="K210" s="25"/>
      <c r="L210" s="25"/>
      <c r="M210" s="25"/>
      <c r="N210" s="25"/>
      <c r="O210" s="25"/>
      <c r="P210" s="25"/>
      <c r="Q210" s="25"/>
      <c r="R210" s="25"/>
      <c r="S210" s="25"/>
      <c r="T210" s="25"/>
      <c r="U210" s="229"/>
      <c r="V210" s="25"/>
      <c r="W210" s="25"/>
      <c r="X210" s="25"/>
      <c r="Y210" s="25"/>
      <c r="Z210" s="25"/>
      <c r="AA210" s="25"/>
      <c r="AB210" s="25"/>
      <c r="AC210" s="25"/>
      <c r="AD210" s="25"/>
      <c r="AE210" s="25"/>
      <c r="AF210" s="25"/>
      <c r="AG210" s="25"/>
      <c r="AH210" s="25"/>
      <c r="AI210" s="25"/>
      <c r="AJ210" s="25"/>
    </row>
    <row r="211" spans="1:36" ht="21" customHeight="1">
      <c r="A211" s="25"/>
      <c r="B211" s="25"/>
      <c r="C211" s="25"/>
      <c r="D211" s="25"/>
      <c r="E211" s="25"/>
      <c r="F211" s="25"/>
      <c r="G211" s="25"/>
      <c r="H211" s="25"/>
      <c r="I211" s="25"/>
      <c r="J211" s="25"/>
      <c r="K211" s="25"/>
      <c r="L211" s="25"/>
      <c r="M211" s="25"/>
      <c r="N211" s="25"/>
      <c r="O211" s="25"/>
      <c r="P211" s="25"/>
      <c r="Q211" s="25"/>
      <c r="R211" s="25"/>
      <c r="S211" s="25"/>
      <c r="T211" s="25"/>
      <c r="U211" s="229"/>
      <c r="V211" s="25"/>
      <c r="W211" s="25"/>
      <c r="X211" s="25"/>
      <c r="Y211" s="25"/>
      <c r="Z211" s="25"/>
      <c r="AA211" s="25"/>
      <c r="AB211" s="25"/>
      <c r="AC211" s="25"/>
      <c r="AD211" s="25"/>
      <c r="AE211" s="25"/>
      <c r="AF211" s="25"/>
      <c r="AG211" s="25"/>
      <c r="AH211" s="25"/>
      <c r="AI211" s="25"/>
      <c r="AJ211" s="25"/>
    </row>
    <row r="212" spans="1:36" ht="21" customHeight="1">
      <c r="A212" s="25"/>
      <c r="B212" s="25"/>
      <c r="C212" s="25"/>
      <c r="D212" s="25"/>
      <c r="E212" s="25"/>
      <c r="F212" s="25"/>
      <c r="G212" s="25"/>
      <c r="H212" s="25"/>
      <c r="I212" s="25"/>
      <c r="J212" s="25"/>
      <c r="K212" s="25"/>
      <c r="L212" s="25"/>
      <c r="M212" s="25"/>
      <c r="N212" s="25"/>
      <c r="O212" s="25"/>
      <c r="P212" s="25"/>
      <c r="Q212" s="25"/>
      <c r="R212" s="25"/>
      <c r="S212" s="25"/>
      <c r="T212" s="25"/>
      <c r="U212" s="229"/>
      <c r="V212" s="25"/>
      <c r="W212" s="25"/>
      <c r="X212" s="25"/>
      <c r="Y212" s="25"/>
      <c r="Z212" s="25"/>
      <c r="AA212" s="25"/>
      <c r="AB212" s="25"/>
      <c r="AC212" s="25"/>
      <c r="AD212" s="25"/>
      <c r="AE212" s="25"/>
      <c r="AF212" s="25"/>
      <c r="AG212" s="25"/>
      <c r="AH212" s="25"/>
      <c r="AI212" s="25"/>
      <c r="AJ212" s="25"/>
    </row>
    <row r="213" spans="1:36" ht="21" customHeight="1">
      <c r="A213" s="25"/>
      <c r="B213" s="25"/>
      <c r="C213" s="25"/>
      <c r="D213" s="25"/>
      <c r="E213" s="25"/>
      <c r="F213" s="25"/>
      <c r="G213" s="25"/>
      <c r="H213" s="25"/>
      <c r="I213" s="25"/>
      <c r="J213" s="25"/>
      <c r="K213" s="25"/>
      <c r="L213" s="25"/>
      <c r="M213" s="25"/>
      <c r="N213" s="25"/>
      <c r="O213" s="25"/>
      <c r="P213" s="25"/>
      <c r="Q213" s="25"/>
      <c r="R213" s="25"/>
      <c r="S213" s="25"/>
      <c r="T213" s="25"/>
      <c r="U213" s="229"/>
      <c r="V213" s="25"/>
      <c r="W213" s="25"/>
      <c r="X213" s="25"/>
      <c r="Y213" s="25"/>
      <c r="Z213" s="25"/>
      <c r="AA213" s="25"/>
      <c r="AB213" s="25"/>
      <c r="AC213" s="25"/>
      <c r="AD213" s="25"/>
      <c r="AE213" s="25"/>
      <c r="AF213" s="25"/>
      <c r="AG213" s="25"/>
      <c r="AH213" s="25"/>
      <c r="AI213" s="25"/>
      <c r="AJ213" s="25"/>
    </row>
    <row r="214" spans="1:36" ht="21" customHeight="1">
      <c r="A214" s="25"/>
      <c r="B214" s="25"/>
      <c r="C214" s="25"/>
      <c r="D214" s="25"/>
      <c r="E214" s="25"/>
      <c r="F214" s="25"/>
      <c r="G214" s="25"/>
      <c r="H214" s="25"/>
      <c r="I214" s="25"/>
      <c r="J214" s="25"/>
      <c r="K214" s="25"/>
      <c r="L214" s="25"/>
      <c r="M214" s="25"/>
      <c r="N214" s="25"/>
      <c r="O214" s="25"/>
      <c r="P214" s="25"/>
      <c r="Q214" s="25"/>
      <c r="R214" s="25"/>
      <c r="S214" s="25"/>
      <c r="T214" s="25"/>
      <c r="U214" s="229"/>
      <c r="V214" s="25"/>
      <c r="W214" s="25"/>
      <c r="X214" s="25"/>
      <c r="Y214" s="25"/>
      <c r="Z214" s="25"/>
      <c r="AA214" s="25"/>
      <c r="AB214" s="25"/>
      <c r="AC214" s="25"/>
      <c r="AD214" s="25"/>
      <c r="AE214" s="25"/>
      <c r="AF214" s="25"/>
      <c r="AG214" s="25"/>
      <c r="AH214" s="25"/>
      <c r="AI214" s="25"/>
      <c r="AJ214" s="25"/>
    </row>
    <row r="215" spans="1:36" ht="21" customHeight="1">
      <c r="A215" s="25"/>
      <c r="B215" s="25"/>
      <c r="C215" s="25"/>
      <c r="D215" s="25"/>
      <c r="E215" s="25"/>
      <c r="F215" s="25"/>
      <c r="G215" s="25"/>
      <c r="H215" s="25"/>
      <c r="I215" s="25"/>
      <c r="J215" s="25"/>
      <c r="K215" s="25"/>
      <c r="L215" s="25"/>
      <c r="M215" s="25"/>
      <c r="N215" s="25"/>
      <c r="O215" s="25"/>
      <c r="P215" s="25"/>
      <c r="Q215" s="25"/>
      <c r="R215" s="25"/>
      <c r="S215" s="25"/>
      <c r="T215" s="25"/>
      <c r="U215" s="229"/>
      <c r="V215" s="25"/>
      <c r="W215" s="25"/>
      <c r="X215" s="25"/>
      <c r="Y215" s="25"/>
      <c r="Z215" s="25"/>
      <c r="AA215" s="25"/>
      <c r="AB215" s="25"/>
      <c r="AC215" s="25"/>
      <c r="AD215" s="25"/>
      <c r="AE215" s="25"/>
      <c r="AF215" s="25"/>
      <c r="AG215" s="25"/>
      <c r="AH215" s="25"/>
      <c r="AI215" s="25"/>
      <c r="AJ215" s="25"/>
    </row>
    <row r="216" spans="1:36" ht="21" customHeight="1">
      <c r="A216" s="25"/>
      <c r="B216" s="25"/>
      <c r="C216" s="25"/>
      <c r="D216" s="25"/>
      <c r="E216" s="25"/>
      <c r="F216" s="25"/>
      <c r="G216" s="25"/>
      <c r="H216" s="25"/>
      <c r="I216" s="25"/>
      <c r="J216" s="25"/>
      <c r="K216" s="25"/>
      <c r="L216" s="25"/>
      <c r="M216" s="25"/>
      <c r="N216" s="25"/>
      <c r="O216" s="25"/>
      <c r="P216" s="25"/>
      <c r="Q216" s="25"/>
      <c r="R216" s="25"/>
      <c r="S216" s="25"/>
      <c r="T216" s="25"/>
      <c r="U216" s="229"/>
      <c r="V216" s="25"/>
      <c r="W216" s="25"/>
      <c r="X216" s="25"/>
      <c r="Y216" s="25"/>
      <c r="Z216" s="25"/>
      <c r="AA216" s="25"/>
      <c r="AB216" s="25"/>
      <c r="AC216" s="25"/>
      <c r="AD216" s="25"/>
      <c r="AE216" s="25"/>
      <c r="AF216" s="25"/>
      <c r="AG216" s="25"/>
      <c r="AH216" s="25"/>
      <c r="AI216" s="25"/>
      <c r="AJ216" s="25"/>
    </row>
    <row r="217" spans="1:36" ht="21" customHeight="1">
      <c r="A217" s="25"/>
      <c r="B217" s="25"/>
      <c r="C217" s="25"/>
      <c r="D217" s="25"/>
      <c r="E217" s="25"/>
      <c r="F217" s="25"/>
      <c r="G217" s="25"/>
      <c r="H217" s="25"/>
      <c r="I217" s="25"/>
      <c r="J217" s="25"/>
      <c r="K217" s="25"/>
      <c r="L217" s="25"/>
      <c r="M217" s="25"/>
      <c r="N217" s="25"/>
      <c r="O217" s="25"/>
      <c r="P217" s="25"/>
      <c r="Q217" s="25"/>
      <c r="R217" s="25"/>
      <c r="S217" s="25"/>
      <c r="T217" s="25"/>
      <c r="U217" s="229"/>
      <c r="V217" s="25"/>
      <c r="W217" s="25"/>
      <c r="X217" s="25"/>
      <c r="Y217" s="25"/>
      <c r="Z217" s="25"/>
      <c r="AA217" s="25"/>
      <c r="AB217" s="25"/>
      <c r="AC217" s="25"/>
      <c r="AD217" s="25"/>
      <c r="AE217" s="25"/>
      <c r="AF217" s="25"/>
      <c r="AG217" s="25"/>
      <c r="AH217" s="25"/>
      <c r="AI217" s="25"/>
      <c r="AJ217" s="25"/>
    </row>
    <row r="218" spans="1:36" ht="21" customHeight="1">
      <c r="A218" s="25"/>
      <c r="B218" s="25"/>
      <c r="C218" s="25"/>
      <c r="D218" s="25"/>
      <c r="E218" s="25"/>
      <c r="F218" s="25"/>
      <c r="G218" s="25"/>
      <c r="H218" s="25"/>
      <c r="I218" s="25"/>
      <c r="J218" s="25"/>
      <c r="K218" s="25"/>
      <c r="L218" s="25"/>
      <c r="M218" s="25"/>
      <c r="N218" s="25"/>
      <c r="O218" s="25"/>
      <c r="P218" s="25"/>
      <c r="Q218" s="25"/>
      <c r="R218" s="25"/>
      <c r="S218" s="25"/>
      <c r="T218" s="25"/>
      <c r="U218" s="229"/>
      <c r="V218" s="25"/>
      <c r="W218" s="25"/>
      <c r="X218" s="25"/>
      <c r="Y218" s="25"/>
      <c r="Z218" s="25"/>
      <c r="AA218" s="25"/>
      <c r="AB218" s="25"/>
      <c r="AC218" s="25"/>
      <c r="AD218" s="25"/>
      <c r="AE218" s="25"/>
      <c r="AF218" s="25"/>
      <c r="AG218" s="25"/>
      <c r="AH218" s="25"/>
      <c r="AI218" s="25"/>
      <c r="AJ218" s="25"/>
    </row>
    <row r="219" spans="1:36" ht="21" customHeight="1">
      <c r="A219" s="25"/>
      <c r="B219" s="25"/>
      <c r="C219" s="25"/>
      <c r="D219" s="25"/>
      <c r="E219" s="25"/>
      <c r="F219" s="25"/>
      <c r="G219" s="25"/>
      <c r="H219" s="25"/>
      <c r="I219" s="25"/>
      <c r="J219" s="25"/>
      <c r="K219" s="25"/>
      <c r="L219" s="25"/>
      <c r="M219" s="25"/>
      <c r="N219" s="25"/>
      <c r="O219" s="25"/>
      <c r="P219" s="25"/>
      <c r="Q219" s="25"/>
      <c r="R219" s="25"/>
      <c r="S219" s="25"/>
      <c r="T219" s="25"/>
      <c r="U219" s="229"/>
      <c r="V219" s="25"/>
      <c r="W219" s="25"/>
      <c r="X219" s="25"/>
      <c r="Y219" s="25"/>
      <c r="Z219" s="25"/>
      <c r="AA219" s="25"/>
      <c r="AB219" s="25"/>
      <c r="AC219" s="25"/>
      <c r="AD219" s="25"/>
      <c r="AE219" s="25"/>
      <c r="AF219" s="25"/>
      <c r="AG219" s="25"/>
      <c r="AH219" s="25"/>
      <c r="AI219" s="25"/>
      <c r="AJ219" s="25"/>
    </row>
    <row r="220" spans="1:36" ht="21" customHeight="1">
      <c r="A220" s="25"/>
      <c r="B220" s="25"/>
      <c r="C220" s="25"/>
      <c r="D220" s="25"/>
      <c r="E220" s="25"/>
      <c r="F220" s="25"/>
      <c r="G220" s="25"/>
      <c r="H220" s="25"/>
      <c r="I220" s="25"/>
      <c r="J220" s="25"/>
      <c r="K220" s="25"/>
      <c r="L220" s="25"/>
      <c r="M220" s="25"/>
      <c r="N220" s="25"/>
      <c r="O220" s="25"/>
      <c r="P220" s="25"/>
      <c r="Q220" s="25"/>
      <c r="R220" s="25"/>
      <c r="S220" s="25"/>
      <c r="T220" s="25"/>
      <c r="U220" s="229"/>
      <c r="V220" s="25"/>
      <c r="W220" s="25"/>
      <c r="X220" s="25"/>
      <c r="Y220" s="25"/>
      <c r="Z220" s="25"/>
      <c r="AA220" s="25"/>
      <c r="AB220" s="25"/>
      <c r="AC220" s="25"/>
      <c r="AD220" s="25"/>
      <c r="AE220" s="25"/>
      <c r="AF220" s="25"/>
      <c r="AG220" s="25"/>
      <c r="AH220" s="25"/>
      <c r="AI220" s="25"/>
      <c r="AJ220" s="25"/>
    </row>
    <row r="221" spans="1:36" ht="21" customHeight="1">
      <c r="A221" s="25"/>
      <c r="B221" s="25"/>
      <c r="C221" s="25"/>
      <c r="D221" s="25"/>
      <c r="E221" s="25"/>
      <c r="F221" s="25"/>
      <c r="G221" s="25"/>
      <c r="H221" s="25"/>
      <c r="I221" s="25"/>
      <c r="J221" s="25"/>
      <c r="K221" s="25"/>
      <c r="L221" s="25"/>
      <c r="M221" s="25"/>
      <c r="N221" s="25"/>
      <c r="O221" s="25"/>
      <c r="P221" s="25"/>
      <c r="Q221" s="25"/>
      <c r="R221" s="25"/>
      <c r="S221" s="25"/>
      <c r="T221" s="25"/>
      <c r="U221" s="229"/>
      <c r="V221" s="25"/>
      <c r="W221" s="25"/>
      <c r="X221" s="25"/>
      <c r="Y221" s="25"/>
      <c r="Z221" s="25"/>
      <c r="AA221" s="25"/>
      <c r="AB221" s="25"/>
      <c r="AC221" s="25"/>
      <c r="AD221" s="25"/>
      <c r="AE221" s="25"/>
      <c r="AF221" s="25"/>
      <c r="AG221" s="25"/>
      <c r="AH221" s="25"/>
      <c r="AI221" s="25"/>
      <c r="AJ221" s="25"/>
    </row>
    <row r="222" spans="1:36" ht="21" customHeight="1">
      <c r="A222" s="25"/>
      <c r="B222" s="25"/>
      <c r="C222" s="25"/>
      <c r="D222" s="25"/>
      <c r="E222" s="25"/>
      <c r="F222" s="25"/>
      <c r="G222" s="25"/>
      <c r="H222" s="25"/>
      <c r="I222" s="25"/>
      <c r="J222" s="25"/>
      <c r="K222" s="25"/>
      <c r="L222" s="25"/>
      <c r="M222" s="25"/>
      <c r="N222" s="25"/>
      <c r="O222" s="25"/>
      <c r="P222" s="25"/>
      <c r="Q222" s="25"/>
      <c r="R222" s="25"/>
      <c r="S222" s="25"/>
      <c r="T222" s="25"/>
      <c r="U222" s="229"/>
      <c r="V222" s="25"/>
      <c r="W222" s="25"/>
      <c r="X222" s="25"/>
      <c r="Y222" s="25"/>
      <c r="Z222" s="25"/>
      <c r="AA222" s="25"/>
      <c r="AB222" s="25"/>
      <c r="AC222" s="25"/>
      <c r="AD222" s="25"/>
      <c r="AE222" s="25"/>
      <c r="AF222" s="25"/>
      <c r="AG222" s="25"/>
      <c r="AH222" s="25"/>
      <c r="AI222" s="25"/>
      <c r="AJ222" s="25"/>
    </row>
    <row r="223" spans="1:36" ht="21" customHeight="1">
      <c r="A223" s="25"/>
      <c r="B223" s="25"/>
      <c r="C223" s="25"/>
      <c r="D223" s="25"/>
      <c r="E223" s="25"/>
      <c r="F223" s="25"/>
      <c r="G223" s="25"/>
      <c r="H223" s="25"/>
      <c r="I223" s="25"/>
      <c r="J223" s="25"/>
      <c r="K223" s="25"/>
      <c r="L223" s="25"/>
      <c r="M223" s="25"/>
      <c r="N223" s="25"/>
      <c r="O223" s="25"/>
      <c r="P223" s="25"/>
      <c r="Q223" s="25"/>
      <c r="R223" s="25"/>
      <c r="S223" s="25"/>
      <c r="T223" s="25"/>
      <c r="U223" s="229"/>
      <c r="V223" s="25"/>
      <c r="W223" s="25"/>
      <c r="X223" s="25"/>
      <c r="Y223" s="25"/>
      <c r="Z223" s="25"/>
      <c r="AA223" s="25"/>
      <c r="AB223" s="25"/>
      <c r="AC223" s="25"/>
      <c r="AD223" s="25"/>
      <c r="AE223" s="25"/>
      <c r="AF223" s="25"/>
      <c r="AG223" s="25"/>
      <c r="AH223" s="25"/>
      <c r="AI223" s="25"/>
      <c r="AJ223" s="25"/>
    </row>
    <row r="224" spans="1:36" ht="21" customHeight="1">
      <c r="A224" s="25"/>
      <c r="B224" s="25"/>
      <c r="C224" s="25"/>
      <c r="D224" s="25"/>
      <c r="E224" s="25"/>
      <c r="F224" s="25"/>
      <c r="G224" s="25"/>
      <c r="H224" s="25"/>
      <c r="I224" s="25"/>
      <c r="J224" s="25"/>
      <c r="K224" s="25"/>
      <c r="L224" s="25"/>
      <c r="M224" s="25"/>
      <c r="N224" s="25"/>
      <c r="O224" s="25"/>
      <c r="P224" s="25"/>
      <c r="Q224" s="25"/>
      <c r="R224" s="25"/>
      <c r="S224" s="25"/>
      <c r="T224" s="25"/>
      <c r="U224" s="229"/>
      <c r="V224" s="25"/>
      <c r="W224" s="25"/>
      <c r="X224" s="25"/>
      <c r="Y224" s="25"/>
      <c r="Z224" s="25"/>
      <c r="AA224" s="25"/>
      <c r="AB224" s="25"/>
      <c r="AC224" s="25"/>
      <c r="AD224" s="25"/>
      <c r="AE224" s="25"/>
      <c r="AF224" s="25"/>
      <c r="AG224" s="25"/>
      <c r="AH224" s="25"/>
      <c r="AI224" s="25"/>
      <c r="AJ224" s="25"/>
    </row>
    <row r="225" spans="1:36" ht="21" customHeight="1">
      <c r="A225" s="25"/>
      <c r="B225" s="25"/>
      <c r="C225" s="25"/>
      <c r="D225" s="25"/>
      <c r="E225" s="25"/>
      <c r="F225" s="25"/>
      <c r="G225" s="25"/>
      <c r="H225" s="25"/>
      <c r="I225" s="25"/>
      <c r="J225" s="25"/>
      <c r="K225" s="25"/>
      <c r="L225" s="25"/>
      <c r="M225" s="25"/>
      <c r="N225" s="25"/>
      <c r="O225" s="25"/>
      <c r="P225" s="25"/>
      <c r="Q225" s="25"/>
      <c r="R225" s="25"/>
      <c r="S225" s="25"/>
      <c r="T225" s="25"/>
      <c r="U225" s="229"/>
      <c r="V225" s="25"/>
      <c r="W225" s="25"/>
      <c r="X225" s="25"/>
      <c r="Y225" s="25"/>
      <c r="Z225" s="25"/>
      <c r="AA225" s="25"/>
      <c r="AB225" s="25"/>
      <c r="AC225" s="25"/>
      <c r="AD225" s="25"/>
      <c r="AE225" s="25"/>
      <c r="AF225" s="25"/>
      <c r="AG225" s="25"/>
      <c r="AH225" s="25"/>
      <c r="AI225" s="25"/>
      <c r="AJ225" s="25"/>
    </row>
    <row r="226" spans="1:36" ht="21" customHeight="1">
      <c r="A226" s="25"/>
      <c r="B226" s="25"/>
      <c r="C226" s="25"/>
      <c r="D226" s="25"/>
      <c r="E226" s="25"/>
      <c r="F226" s="25"/>
      <c r="G226" s="25"/>
      <c r="H226" s="25"/>
      <c r="I226" s="25"/>
      <c r="J226" s="25"/>
      <c r="K226" s="25"/>
      <c r="L226" s="25"/>
      <c r="M226" s="25"/>
      <c r="N226" s="25"/>
      <c r="O226" s="25"/>
      <c r="P226" s="25"/>
      <c r="Q226" s="25"/>
      <c r="R226" s="25"/>
      <c r="S226" s="25"/>
      <c r="T226" s="25"/>
      <c r="U226" s="229"/>
      <c r="V226" s="25"/>
      <c r="W226" s="25"/>
      <c r="X226" s="25"/>
      <c r="Y226" s="25"/>
      <c r="Z226" s="25"/>
      <c r="AA226" s="25"/>
      <c r="AB226" s="25"/>
      <c r="AC226" s="25"/>
      <c r="AD226" s="25"/>
      <c r="AE226" s="25"/>
      <c r="AF226" s="25"/>
      <c r="AG226" s="25"/>
      <c r="AH226" s="25"/>
      <c r="AI226" s="25"/>
      <c r="AJ226" s="25"/>
    </row>
    <row r="227" spans="1:36" ht="21" customHeight="1">
      <c r="A227" s="25"/>
      <c r="B227" s="25"/>
      <c r="C227" s="25"/>
      <c r="D227" s="25"/>
      <c r="E227" s="25"/>
      <c r="F227" s="25"/>
      <c r="G227" s="25"/>
      <c r="H227" s="25"/>
      <c r="I227" s="25"/>
      <c r="J227" s="25"/>
      <c r="K227" s="25"/>
      <c r="L227" s="25"/>
      <c r="M227" s="25"/>
      <c r="N227" s="25"/>
      <c r="O227" s="25"/>
      <c r="P227" s="25"/>
      <c r="Q227" s="25"/>
      <c r="R227" s="25"/>
      <c r="S227" s="25"/>
      <c r="T227" s="25"/>
      <c r="U227" s="229"/>
      <c r="V227" s="25"/>
      <c r="W227" s="25"/>
      <c r="X227" s="25"/>
      <c r="Y227" s="25"/>
      <c r="Z227" s="25"/>
      <c r="AA227" s="25"/>
      <c r="AB227" s="25"/>
      <c r="AC227" s="25"/>
      <c r="AD227" s="25"/>
      <c r="AE227" s="25"/>
      <c r="AF227" s="25"/>
      <c r="AG227" s="25"/>
      <c r="AH227" s="25"/>
      <c r="AI227" s="25"/>
      <c r="AJ227" s="25"/>
    </row>
    <row r="228" spans="1:36" ht="21" customHeight="1">
      <c r="A228" s="25"/>
      <c r="B228" s="25"/>
      <c r="C228" s="25"/>
      <c r="D228" s="25"/>
      <c r="E228" s="25"/>
      <c r="F228" s="25"/>
      <c r="G228" s="25"/>
      <c r="H228" s="25"/>
      <c r="I228" s="25"/>
      <c r="J228" s="25"/>
      <c r="K228" s="25"/>
      <c r="L228" s="25"/>
      <c r="M228" s="25"/>
      <c r="N228" s="25"/>
      <c r="O228" s="25"/>
      <c r="P228" s="25"/>
      <c r="Q228" s="25"/>
      <c r="R228" s="25"/>
      <c r="S228" s="25"/>
      <c r="T228" s="25"/>
      <c r="U228" s="229"/>
      <c r="V228" s="25"/>
      <c r="W228" s="25"/>
      <c r="X228" s="25"/>
      <c r="Y228" s="25"/>
      <c r="Z228" s="25"/>
      <c r="AA228" s="25"/>
      <c r="AB228" s="25"/>
      <c r="AC228" s="25"/>
      <c r="AD228" s="25"/>
      <c r="AE228" s="25"/>
      <c r="AF228" s="25"/>
      <c r="AG228" s="25"/>
      <c r="AH228" s="25"/>
      <c r="AI228" s="25"/>
      <c r="AJ228" s="25"/>
    </row>
    <row r="229" spans="1:36" ht="21" customHeight="1">
      <c r="A229" s="25"/>
      <c r="B229" s="25"/>
      <c r="C229" s="25"/>
      <c r="D229" s="25"/>
      <c r="E229" s="25"/>
      <c r="F229" s="25"/>
      <c r="G229" s="25"/>
      <c r="H229" s="25"/>
      <c r="I229" s="25"/>
      <c r="J229" s="25"/>
      <c r="K229" s="25"/>
      <c r="L229" s="25"/>
      <c r="M229" s="25"/>
      <c r="N229" s="25"/>
      <c r="O229" s="25"/>
      <c r="P229" s="25"/>
      <c r="Q229" s="25"/>
      <c r="R229" s="25"/>
      <c r="S229" s="25"/>
      <c r="T229" s="25"/>
      <c r="U229" s="229"/>
      <c r="V229" s="25"/>
      <c r="W229" s="25"/>
      <c r="X229" s="25"/>
      <c r="Y229" s="25"/>
      <c r="Z229" s="25"/>
      <c r="AA229" s="25"/>
      <c r="AB229" s="25"/>
      <c r="AC229" s="25"/>
      <c r="AD229" s="25"/>
      <c r="AE229" s="25"/>
      <c r="AF229" s="25"/>
      <c r="AG229" s="25"/>
      <c r="AH229" s="25"/>
      <c r="AI229" s="25"/>
      <c r="AJ229" s="25"/>
    </row>
    <row r="230" spans="1:36" ht="21" customHeight="1">
      <c r="A230" s="25"/>
      <c r="B230" s="25"/>
      <c r="C230" s="25"/>
      <c r="D230" s="25"/>
      <c r="E230" s="25"/>
      <c r="F230" s="25"/>
      <c r="G230" s="25"/>
      <c r="H230" s="25"/>
      <c r="I230" s="25"/>
      <c r="J230" s="25"/>
      <c r="K230" s="25"/>
      <c r="L230" s="25"/>
      <c r="M230" s="25"/>
      <c r="N230" s="25"/>
      <c r="O230" s="25"/>
      <c r="P230" s="25"/>
      <c r="Q230" s="25"/>
      <c r="R230" s="25"/>
      <c r="S230" s="25"/>
      <c r="T230" s="25"/>
      <c r="U230" s="229"/>
      <c r="V230" s="25"/>
      <c r="W230" s="25"/>
      <c r="X230" s="25"/>
      <c r="Y230" s="25"/>
      <c r="Z230" s="25"/>
      <c r="AA230" s="25"/>
      <c r="AB230" s="25"/>
      <c r="AC230" s="25"/>
      <c r="AD230" s="25"/>
      <c r="AE230" s="25"/>
      <c r="AF230" s="25"/>
      <c r="AG230" s="25"/>
      <c r="AH230" s="25"/>
      <c r="AI230" s="25"/>
      <c r="AJ230" s="25"/>
    </row>
    <row r="231" spans="1:36" ht="21" customHeight="1">
      <c r="A231" s="25"/>
      <c r="B231" s="25"/>
      <c r="C231" s="25"/>
      <c r="D231" s="25"/>
      <c r="E231" s="25"/>
      <c r="F231" s="25"/>
      <c r="G231" s="25"/>
      <c r="H231" s="25"/>
      <c r="I231" s="25"/>
      <c r="J231" s="25"/>
      <c r="K231" s="25"/>
      <c r="L231" s="25"/>
      <c r="M231" s="25"/>
      <c r="N231" s="25"/>
      <c r="O231" s="25"/>
      <c r="P231" s="25"/>
      <c r="Q231" s="25"/>
      <c r="R231" s="25"/>
      <c r="S231" s="25"/>
      <c r="T231" s="25"/>
      <c r="U231" s="229"/>
      <c r="V231" s="25"/>
      <c r="W231" s="25"/>
      <c r="X231" s="25"/>
      <c r="Y231" s="25"/>
      <c r="Z231" s="25"/>
      <c r="AA231" s="25"/>
      <c r="AB231" s="25"/>
      <c r="AC231" s="25"/>
      <c r="AD231" s="25"/>
      <c r="AE231" s="25"/>
      <c r="AF231" s="25"/>
      <c r="AG231" s="25"/>
      <c r="AH231" s="25"/>
      <c r="AI231" s="25"/>
      <c r="AJ231" s="25"/>
    </row>
    <row r="232" spans="1:36" ht="21" customHeight="1">
      <c r="A232" s="25"/>
      <c r="B232" s="25"/>
      <c r="C232" s="25"/>
      <c r="D232" s="25"/>
      <c r="E232" s="25"/>
      <c r="F232" s="25"/>
      <c r="G232" s="25"/>
      <c r="H232" s="25"/>
      <c r="I232" s="25"/>
      <c r="J232" s="25"/>
      <c r="K232" s="25"/>
      <c r="L232" s="25"/>
      <c r="M232" s="25"/>
      <c r="N232" s="25"/>
      <c r="O232" s="25"/>
      <c r="P232" s="25"/>
      <c r="Q232" s="25"/>
      <c r="R232" s="25"/>
      <c r="S232" s="25"/>
      <c r="T232" s="25"/>
      <c r="U232" s="229"/>
      <c r="V232" s="25"/>
      <c r="W232" s="25"/>
      <c r="X232" s="25"/>
      <c r="Y232" s="25"/>
      <c r="Z232" s="25"/>
      <c r="AA232" s="25"/>
      <c r="AB232" s="25"/>
      <c r="AC232" s="25"/>
      <c r="AD232" s="25"/>
      <c r="AE232" s="25"/>
      <c r="AF232" s="25"/>
      <c r="AG232" s="25"/>
      <c r="AH232" s="25"/>
      <c r="AI232" s="25"/>
      <c r="AJ232" s="25"/>
    </row>
    <row r="233" spans="1:36" ht="21" customHeight="1">
      <c r="A233" s="25"/>
      <c r="B233" s="25"/>
      <c r="C233" s="25"/>
      <c r="D233" s="25"/>
      <c r="E233" s="25"/>
      <c r="F233" s="25"/>
      <c r="G233" s="25"/>
      <c r="H233" s="25"/>
      <c r="I233" s="25"/>
      <c r="J233" s="25"/>
      <c r="K233" s="25"/>
      <c r="L233" s="25"/>
      <c r="M233" s="25"/>
      <c r="N233" s="25"/>
      <c r="O233" s="25"/>
      <c r="P233" s="25"/>
      <c r="Q233" s="25"/>
      <c r="R233" s="25"/>
      <c r="S233" s="25"/>
      <c r="T233" s="25"/>
      <c r="U233" s="229"/>
      <c r="V233" s="25"/>
      <c r="W233" s="25"/>
      <c r="X233" s="25"/>
      <c r="Y233" s="25"/>
      <c r="Z233" s="25"/>
      <c r="AA233" s="25"/>
      <c r="AB233" s="25"/>
      <c r="AC233" s="25"/>
      <c r="AD233" s="25"/>
      <c r="AE233" s="25"/>
      <c r="AF233" s="25"/>
      <c r="AG233" s="25"/>
      <c r="AH233" s="25"/>
      <c r="AI233" s="25"/>
      <c r="AJ233" s="25"/>
    </row>
    <row r="234" spans="1:36" ht="21" customHeight="1">
      <c r="A234" s="25"/>
      <c r="B234" s="25"/>
      <c r="C234" s="25"/>
      <c r="D234" s="25"/>
      <c r="E234" s="25"/>
      <c r="F234" s="25"/>
      <c r="G234" s="25"/>
      <c r="H234" s="25"/>
      <c r="I234" s="25"/>
      <c r="J234" s="25"/>
      <c r="K234" s="25"/>
      <c r="L234" s="25"/>
      <c r="M234" s="25"/>
      <c r="N234" s="25"/>
      <c r="O234" s="25"/>
      <c r="P234" s="25"/>
      <c r="Q234" s="25"/>
      <c r="R234" s="25"/>
      <c r="S234" s="25"/>
      <c r="T234" s="25"/>
      <c r="U234" s="229"/>
      <c r="V234" s="25"/>
      <c r="W234" s="25"/>
      <c r="X234" s="25"/>
      <c r="Y234" s="25"/>
      <c r="Z234" s="25"/>
      <c r="AA234" s="25"/>
      <c r="AB234" s="25"/>
      <c r="AC234" s="25"/>
      <c r="AD234" s="25"/>
      <c r="AE234" s="25"/>
      <c r="AF234" s="25"/>
      <c r="AG234" s="25"/>
      <c r="AH234" s="25"/>
      <c r="AI234" s="25"/>
      <c r="AJ234" s="25"/>
    </row>
    <row r="235" spans="1:36" ht="21" customHeight="1">
      <c r="A235" s="25"/>
      <c r="B235" s="25"/>
      <c r="C235" s="25"/>
      <c r="D235" s="25"/>
      <c r="E235" s="25"/>
      <c r="F235" s="25"/>
      <c r="G235" s="25"/>
      <c r="H235" s="25"/>
      <c r="I235" s="25"/>
      <c r="J235" s="25"/>
      <c r="K235" s="25"/>
      <c r="L235" s="25"/>
      <c r="M235" s="25"/>
      <c r="N235" s="25"/>
      <c r="O235" s="25"/>
      <c r="P235" s="25"/>
      <c r="Q235" s="25"/>
      <c r="R235" s="25"/>
      <c r="S235" s="25"/>
      <c r="T235" s="25"/>
      <c r="U235" s="229"/>
      <c r="V235" s="25"/>
      <c r="W235" s="25"/>
      <c r="X235" s="25"/>
      <c r="Y235" s="25"/>
      <c r="Z235" s="25"/>
      <c r="AA235" s="25"/>
      <c r="AB235" s="25"/>
      <c r="AC235" s="25"/>
      <c r="AD235" s="25"/>
      <c r="AE235" s="25"/>
      <c r="AF235" s="25"/>
      <c r="AG235" s="25"/>
      <c r="AH235" s="25"/>
      <c r="AI235" s="25"/>
      <c r="AJ235" s="25"/>
    </row>
    <row r="236" spans="1:36" ht="21" customHeight="1">
      <c r="A236" s="25"/>
      <c r="B236" s="25"/>
      <c r="C236" s="25"/>
      <c r="D236" s="25"/>
      <c r="E236" s="25"/>
      <c r="F236" s="25"/>
      <c r="G236" s="25"/>
      <c r="H236" s="25"/>
      <c r="I236" s="25"/>
      <c r="J236" s="25"/>
      <c r="K236" s="25"/>
      <c r="L236" s="25"/>
      <c r="M236" s="25"/>
      <c r="N236" s="25"/>
      <c r="O236" s="25"/>
      <c r="P236" s="25"/>
      <c r="Q236" s="25"/>
      <c r="R236" s="25"/>
      <c r="S236" s="25"/>
      <c r="T236" s="25"/>
      <c r="U236" s="229"/>
      <c r="V236" s="25"/>
      <c r="W236" s="25"/>
      <c r="X236" s="25"/>
      <c r="Y236" s="25"/>
      <c r="Z236" s="25"/>
      <c r="AA236" s="25"/>
      <c r="AB236" s="25"/>
      <c r="AC236" s="25"/>
      <c r="AD236" s="25"/>
      <c r="AE236" s="25"/>
      <c r="AF236" s="25"/>
      <c r="AG236" s="25"/>
      <c r="AH236" s="25"/>
      <c r="AI236" s="25"/>
      <c r="AJ236" s="25"/>
    </row>
    <row r="237" spans="1:36" ht="21" customHeight="1">
      <c r="A237" s="25"/>
      <c r="B237" s="25"/>
      <c r="C237" s="25"/>
      <c r="D237" s="25"/>
      <c r="E237" s="25"/>
      <c r="F237" s="25"/>
      <c r="G237" s="25"/>
      <c r="H237" s="25"/>
      <c r="I237" s="25"/>
      <c r="J237" s="25"/>
      <c r="K237" s="25"/>
      <c r="L237" s="25"/>
      <c r="M237" s="25"/>
      <c r="N237" s="25"/>
      <c r="O237" s="25"/>
      <c r="P237" s="25"/>
      <c r="Q237" s="25"/>
      <c r="R237" s="25"/>
      <c r="S237" s="25"/>
      <c r="T237" s="25"/>
      <c r="U237" s="229"/>
      <c r="V237" s="25"/>
      <c r="W237" s="25"/>
      <c r="X237" s="25"/>
      <c r="Y237" s="25"/>
      <c r="Z237" s="25"/>
      <c r="AA237" s="25"/>
      <c r="AB237" s="25"/>
      <c r="AC237" s="25"/>
      <c r="AD237" s="25"/>
      <c r="AE237" s="25"/>
      <c r="AF237" s="25"/>
      <c r="AG237" s="25"/>
      <c r="AH237" s="25"/>
      <c r="AI237" s="25"/>
      <c r="AJ237" s="25"/>
    </row>
    <row r="238" spans="1:36" ht="21" customHeight="1">
      <c r="A238" s="25"/>
      <c r="B238" s="25"/>
      <c r="C238" s="25"/>
      <c r="D238" s="25"/>
      <c r="E238" s="25"/>
      <c r="F238" s="25"/>
      <c r="G238" s="25"/>
      <c r="H238" s="25"/>
      <c r="I238" s="25"/>
      <c r="J238" s="25"/>
      <c r="K238" s="25"/>
      <c r="L238" s="25"/>
      <c r="M238" s="25"/>
      <c r="N238" s="25"/>
      <c r="O238" s="25"/>
      <c r="P238" s="25"/>
      <c r="Q238" s="25"/>
      <c r="R238" s="25"/>
      <c r="S238" s="25"/>
      <c r="T238" s="25"/>
      <c r="U238" s="229"/>
      <c r="V238" s="25"/>
      <c r="W238" s="25"/>
      <c r="X238" s="25"/>
      <c r="Y238" s="25"/>
      <c r="Z238" s="25"/>
      <c r="AA238" s="25"/>
      <c r="AB238" s="25"/>
      <c r="AC238" s="25"/>
      <c r="AD238" s="25"/>
      <c r="AE238" s="25"/>
      <c r="AF238" s="25"/>
      <c r="AG238" s="25"/>
      <c r="AH238" s="25"/>
      <c r="AI238" s="25"/>
      <c r="AJ238" s="25"/>
    </row>
    <row r="239" spans="1:36" ht="21" customHeight="1">
      <c r="A239" s="25"/>
      <c r="B239" s="25"/>
      <c r="C239" s="25"/>
      <c r="D239" s="25"/>
      <c r="E239" s="25"/>
      <c r="F239" s="25"/>
      <c r="G239" s="25"/>
      <c r="H239" s="25"/>
      <c r="I239" s="25"/>
      <c r="J239" s="25"/>
      <c r="K239" s="25"/>
      <c r="L239" s="25"/>
      <c r="M239" s="25"/>
      <c r="N239" s="25"/>
      <c r="O239" s="25"/>
      <c r="P239" s="25"/>
      <c r="Q239" s="25"/>
      <c r="R239" s="25"/>
      <c r="S239" s="25"/>
      <c r="T239" s="25"/>
      <c r="U239" s="229"/>
      <c r="V239" s="25"/>
      <c r="W239" s="25"/>
      <c r="X239" s="25"/>
      <c r="Y239" s="25"/>
      <c r="Z239" s="25"/>
      <c r="AA239" s="25"/>
      <c r="AB239" s="25"/>
      <c r="AC239" s="25"/>
      <c r="AD239" s="25"/>
      <c r="AE239" s="25"/>
      <c r="AF239" s="25"/>
      <c r="AG239" s="25"/>
      <c r="AH239" s="25"/>
      <c r="AI239" s="25"/>
      <c r="AJ239" s="25"/>
    </row>
    <row r="240" spans="1:36" ht="21" customHeight="1">
      <c r="A240" s="25"/>
      <c r="B240" s="25"/>
      <c r="C240" s="25"/>
      <c r="D240" s="25"/>
      <c r="E240" s="25"/>
      <c r="F240" s="25"/>
      <c r="G240" s="25"/>
      <c r="H240" s="25"/>
      <c r="I240" s="25"/>
      <c r="J240" s="25"/>
      <c r="K240" s="25"/>
      <c r="L240" s="25"/>
      <c r="M240" s="25"/>
      <c r="N240" s="25"/>
      <c r="O240" s="25"/>
      <c r="P240" s="25"/>
      <c r="Q240" s="25"/>
      <c r="R240" s="25"/>
      <c r="S240" s="25"/>
      <c r="T240" s="25"/>
      <c r="U240" s="229"/>
      <c r="V240" s="25"/>
      <c r="W240" s="25"/>
      <c r="X240" s="25"/>
      <c r="Y240" s="25"/>
      <c r="Z240" s="25"/>
      <c r="AA240" s="25"/>
      <c r="AB240" s="25"/>
      <c r="AC240" s="25"/>
      <c r="AD240" s="25"/>
      <c r="AE240" s="25"/>
      <c r="AF240" s="25"/>
      <c r="AG240" s="25"/>
      <c r="AH240" s="25"/>
      <c r="AI240" s="25"/>
      <c r="AJ240" s="25"/>
    </row>
    <row r="241" spans="1:36" ht="21" customHeight="1">
      <c r="A241" s="25"/>
      <c r="B241" s="25"/>
      <c r="C241" s="25"/>
      <c r="D241" s="25"/>
      <c r="E241" s="25"/>
      <c r="F241" s="25"/>
      <c r="G241" s="25"/>
      <c r="H241" s="25"/>
      <c r="I241" s="25"/>
      <c r="J241" s="25"/>
      <c r="K241" s="25"/>
      <c r="L241" s="25"/>
      <c r="M241" s="25"/>
      <c r="N241" s="25"/>
      <c r="O241" s="25"/>
      <c r="P241" s="25"/>
      <c r="Q241" s="25"/>
      <c r="R241" s="25"/>
      <c r="S241" s="25"/>
      <c r="T241" s="25"/>
      <c r="U241" s="229"/>
      <c r="V241" s="25"/>
      <c r="W241" s="25"/>
      <c r="X241" s="25"/>
      <c r="Y241" s="25"/>
      <c r="Z241" s="25"/>
      <c r="AA241" s="25"/>
      <c r="AB241" s="25"/>
      <c r="AC241" s="25"/>
      <c r="AD241" s="25"/>
      <c r="AE241" s="25"/>
      <c r="AF241" s="25"/>
      <c r="AG241" s="25"/>
      <c r="AH241" s="25"/>
      <c r="AI241" s="25"/>
      <c r="AJ241" s="25"/>
    </row>
    <row r="242" spans="1:36" ht="21" customHeight="1">
      <c r="A242" s="25"/>
      <c r="B242" s="25"/>
      <c r="C242" s="25"/>
      <c r="D242" s="25"/>
      <c r="E242" s="25"/>
      <c r="F242" s="25"/>
      <c r="G242" s="25"/>
      <c r="H242" s="25"/>
      <c r="I242" s="25"/>
      <c r="J242" s="25"/>
      <c r="K242" s="25"/>
      <c r="L242" s="25"/>
      <c r="M242" s="25"/>
      <c r="N242" s="25"/>
      <c r="O242" s="25"/>
      <c r="P242" s="25"/>
      <c r="Q242" s="25"/>
      <c r="R242" s="25"/>
      <c r="S242" s="25"/>
      <c r="T242" s="25"/>
      <c r="U242" s="229"/>
      <c r="V242" s="25"/>
      <c r="W242" s="25"/>
      <c r="X242" s="25"/>
      <c r="Y242" s="25"/>
      <c r="Z242" s="25"/>
      <c r="AA242" s="25"/>
      <c r="AB242" s="25"/>
      <c r="AC242" s="25"/>
      <c r="AD242" s="25"/>
      <c r="AE242" s="25"/>
      <c r="AF242" s="25"/>
      <c r="AG242" s="25"/>
      <c r="AH242" s="25"/>
      <c r="AI242" s="25"/>
      <c r="AJ242" s="25"/>
    </row>
    <row r="243" spans="1:36" ht="21" customHeight="1">
      <c r="A243" s="25"/>
      <c r="B243" s="25"/>
      <c r="C243" s="25"/>
      <c r="D243" s="25"/>
      <c r="E243" s="25"/>
      <c r="F243" s="25"/>
      <c r="G243" s="25"/>
      <c r="H243" s="25"/>
      <c r="I243" s="25"/>
      <c r="J243" s="25"/>
      <c r="K243" s="25"/>
      <c r="L243" s="25"/>
      <c r="M243" s="25"/>
      <c r="N243" s="25"/>
      <c r="O243" s="25"/>
      <c r="P243" s="25"/>
      <c r="Q243" s="25"/>
      <c r="R243" s="25"/>
      <c r="S243" s="25"/>
      <c r="T243" s="25"/>
      <c r="U243" s="229"/>
      <c r="V243" s="25"/>
      <c r="W243" s="25"/>
      <c r="X243" s="25"/>
      <c r="Y243" s="25"/>
      <c r="Z243" s="25"/>
      <c r="AA243" s="25"/>
      <c r="AB243" s="25"/>
      <c r="AC243" s="25"/>
      <c r="AD243" s="25"/>
      <c r="AE243" s="25"/>
      <c r="AF243" s="25"/>
      <c r="AG243" s="25"/>
      <c r="AH243" s="25"/>
      <c r="AI243" s="25"/>
      <c r="AJ243" s="25"/>
    </row>
    <row r="244" spans="1:36" ht="21" customHeight="1">
      <c r="A244" s="25"/>
      <c r="B244" s="25"/>
      <c r="C244" s="25"/>
      <c r="D244" s="25"/>
      <c r="E244" s="25"/>
      <c r="F244" s="25"/>
      <c r="G244" s="25"/>
      <c r="H244" s="25"/>
      <c r="I244" s="25"/>
      <c r="J244" s="25"/>
      <c r="K244" s="25"/>
      <c r="L244" s="25"/>
      <c r="M244" s="25"/>
      <c r="N244" s="25"/>
      <c r="O244" s="25"/>
      <c r="P244" s="25"/>
      <c r="Q244" s="25"/>
      <c r="R244" s="25"/>
      <c r="S244" s="25"/>
      <c r="T244" s="25"/>
      <c r="U244" s="229"/>
      <c r="V244" s="25"/>
      <c r="W244" s="25"/>
      <c r="X244" s="25"/>
      <c r="Y244" s="25"/>
      <c r="Z244" s="25"/>
      <c r="AA244" s="25"/>
      <c r="AB244" s="25"/>
      <c r="AC244" s="25"/>
      <c r="AD244" s="25"/>
      <c r="AE244" s="25"/>
      <c r="AF244" s="25"/>
      <c r="AG244" s="25"/>
      <c r="AH244" s="25"/>
      <c r="AI244" s="25"/>
      <c r="AJ244" s="25"/>
    </row>
    <row r="245" spans="1:36" ht="21" customHeight="1">
      <c r="A245" s="25"/>
      <c r="B245" s="25"/>
      <c r="C245" s="25"/>
      <c r="D245" s="25"/>
      <c r="E245" s="25"/>
      <c r="F245" s="25"/>
      <c r="G245" s="25"/>
      <c r="H245" s="25"/>
      <c r="I245" s="25"/>
      <c r="J245" s="25"/>
      <c r="K245" s="25"/>
      <c r="L245" s="25"/>
      <c r="M245" s="25"/>
      <c r="N245" s="25"/>
      <c r="O245" s="25"/>
      <c r="P245" s="25"/>
      <c r="Q245" s="25"/>
      <c r="R245" s="25"/>
      <c r="S245" s="25"/>
      <c r="T245" s="25"/>
      <c r="U245" s="229"/>
      <c r="V245" s="25"/>
      <c r="W245" s="25"/>
      <c r="X245" s="25"/>
      <c r="Y245" s="25"/>
      <c r="Z245" s="25"/>
      <c r="AA245" s="25"/>
      <c r="AB245" s="25"/>
      <c r="AC245" s="25"/>
      <c r="AD245" s="25"/>
      <c r="AE245" s="25"/>
      <c r="AF245" s="25"/>
      <c r="AG245" s="25"/>
      <c r="AH245" s="25"/>
      <c r="AI245" s="25"/>
      <c r="AJ245" s="25"/>
    </row>
    <row r="246" spans="1:36" ht="21" customHeight="1">
      <c r="A246" s="25"/>
      <c r="B246" s="25"/>
      <c r="C246" s="25"/>
      <c r="D246" s="25"/>
      <c r="E246" s="25"/>
      <c r="F246" s="25"/>
      <c r="G246" s="25"/>
      <c r="H246" s="25"/>
      <c r="I246" s="25"/>
      <c r="J246" s="25"/>
      <c r="K246" s="25"/>
      <c r="L246" s="25"/>
      <c r="M246" s="25"/>
      <c r="N246" s="25"/>
      <c r="O246" s="25"/>
      <c r="P246" s="25"/>
      <c r="Q246" s="25"/>
      <c r="R246" s="25"/>
      <c r="S246" s="25"/>
      <c r="T246" s="25"/>
      <c r="U246" s="229"/>
      <c r="V246" s="25"/>
      <c r="W246" s="25"/>
      <c r="X246" s="25"/>
      <c r="Y246" s="25"/>
      <c r="Z246" s="25"/>
      <c r="AA246" s="25"/>
      <c r="AB246" s="25"/>
      <c r="AC246" s="25"/>
      <c r="AD246" s="25"/>
      <c r="AE246" s="25"/>
      <c r="AF246" s="25"/>
      <c r="AG246" s="25"/>
      <c r="AH246" s="25"/>
      <c r="AI246" s="25"/>
      <c r="AJ246" s="25"/>
    </row>
    <row r="247" spans="1:36" ht="21" customHeight="1">
      <c r="A247" s="25"/>
      <c r="B247" s="25"/>
      <c r="C247" s="25"/>
      <c r="D247" s="25"/>
      <c r="E247" s="25"/>
      <c r="F247" s="25"/>
      <c r="G247" s="25"/>
      <c r="H247" s="25"/>
      <c r="I247" s="25"/>
      <c r="J247" s="25"/>
      <c r="K247" s="25"/>
      <c r="L247" s="25"/>
      <c r="M247" s="25"/>
      <c r="N247" s="25"/>
      <c r="O247" s="25"/>
      <c r="P247" s="25"/>
      <c r="Q247" s="25"/>
      <c r="R247" s="25"/>
      <c r="S247" s="25"/>
      <c r="T247" s="25"/>
      <c r="U247" s="229"/>
      <c r="V247" s="25"/>
      <c r="W247" s="25"/>
      <c r="X247" s="25"/>
      <c r="Y247" s="25"/>
      <c r="Z247" s="25"/>
      <c r="AA247" s="25"/>
      <c r="AB247" s="25"/>
      <c r="AC247" s="25"/>
      <c r="AD247" s="25"/>
      <c r="AE247" s="25"/>
      <c r="AF247" s="25"/>
      <c r="AG247" s="25"/>
      <c r="AH247" s="25"/>
      <c r="AI247" s="25"/>
      <c r="AJ247" s="25"/>
    </row>
    <row r="248" spans="1:36" ht="21" customHeight="1">
      <c r="A248" s="25"/>
      <c r="B248" s="25"/>
      <c r="C248" s="25"/>
      <c r="D248" s="25"/>
      <c r="E248" s="25"/>
      <c r="F248" s="25"/>
      <c r="G248" s="25"/>
      <c r="H248" s="25"/>
      <c r="I248" s="25"/>
      <c r="J248" s="25"/>
      <c r="K248" s="25"/>
      <c r="L248" s="25"/>
      <c r="M248" s="25"/>
      <c r="N248" s="25"/>
      <c r="O248" s="25"/>
      <c r="P248" s="25"/>
      <c r="Q248" s="25"/>
      <c r="R248" s="25"/>
      <c r="S248" s="25"/>
      <c r="T248" s="25"/>
      <c r="U248" s="229"/>
      <c r="V248" s="25"/>
      <c r="W248" s="25"/>
      <c r="X248" s="25"/>
      <c r="Y248" s="25"/>
      <c r="Z248" s="25"/>
      <c r="AA248" s="25"/>
      <c r="AB248" s="25"/>
      <c r="AC248" s="25"/>
      <c r="AD248" s="25"/>
      <c r="AE248" s="25"/>
      <c r="AF248" s="25"/>
      <c r="AG248" s="25"/>
      <c r="AH248" s="25"/>
      <c r="AI248" s="25"/>
      <c r="AJ248" s="25"/>
    </row>
    <row r="249" spans="1:36" ht="21" customHeight="1">
      <c r="A249" s="25"/>
      <c r="B249" s="25"/>
      <c r="C249" s="25"/>
      <c r="D249" s="25"/>
      <c r="E249" s="25"/>
      <c r="F249" s="25"/>
      <c r="G249" s="25"/>
      <c r="H249" s="25"/>
      <c r="I249" s="25"/>
      <c r="J249" s="25"/>
      <c r="K249" s="25"/>
      <c r="L249" s="25"/>
      <c r="M249" s="25"/>
      <c r="N249" s="25"/>
      <c r="O249" s="25"/>
      <c r="P249" s="25"/>
      <c r="Q249" s="25"/>
      <c r="R249" s="25"/>
      <c r="S249" s="25"/>
      <c r="T249" s="25"/>
      <c r="U249" s="229"/>
      <c r="V249" s="25"/>
      <c r="W249" s="25"/>
      <c r="X249" s="25"/>
      <c r="Y249" s="25"/>
      <c r="Z249" s="25"/>
      <c r="AA249" s="25"/>
      <c r="AB249" s="25"/>
      <c r="AC249" s="25"/>
      <c r="AD249" s="25"/>
      <c r="AE249" s="25"/>
      <c r="AF249" s="25"/>
      <c r="AG249" s="25"/>
      <c r="AH249" s="25"/>
      <c r="AI249" s="25"/>
      <c r="AJ249" s="25"/>
    </row>
    <row r="250" spans="1:36" ht="21" customHeight="1">
      <c r="A250" s="25"/>
      <c r="B250" s="25"/>
      <c r="C250" s="25"/>
      <c r="D250" s="25"/>
      <c r="E250" s="25"/>
      <c r="F250" s="25"/>
      <c r="G250" s="25"/>
      <c r="H250" s="25"/>
      <c r="I250" s="25"/>
      <c r="J250" s="25"/>
      <c r="K250" s="25"/>
      <c r="L250" s="25"/>
      <c r="M250" s="25"/>
      <c r="N250" s="25"/>
      <c r="O250" s="25"/>
      <c r="P250" s="25"/>
      <c r="Q250" s="25"/>
      <c r="R250" s="25"/>
      <c r="S250" s="25"/>
      <c r="T250" s="25"/>
      <c r="U250" s="229"/>
      <c r="V250" s="25"/>
      <c r="W250" s="25"/>
      <c r="X250" s="25"/>
      <c r="Y250" s="25"/>
      <c r="Z250" s="25"/>
      <c r="AA250" s="25"/>
      <c r="AB250" s="25"/>
      <c r="AC250" s="25"/>
      <c r="AD250" s="25"/>
      <c r="AE250" s="25"/>
      <c r="AF250" s="25"/>
      <c r="AG250" s="25"/>
      <c r="AH250" s="25"/>
      <c r="AI250" s="25"/>
      <c r="AJ250" s="25"/>
    </row>
    <row r="251" spans="1:36" ht="21" customHeight="1">
      <c r="A251" s="25"/>
      <c r="B251" s="25"/>
      <c r="C251" s="25"/>
      <c r="D251" s="25"/>
      <c r="E251" s="25"/>
      <c r="F251" s="25"/>
      <c r="G251" s="25"/>
      <c r="H251" s="25"/>
      <c r="I251" s="25"/>
      <c r="J251" s="25"/>
      <c r="K251" s="25"/>
      <c r="L251" s="25"/>
      <c r="M251" s="25"/>
      <c r="N251" s="25"/>
      <c r="O251" s="25"/>
      <c r="P251" s="25"/>
      <c r="Q251" s="25"/>
      <c r="R251" s="25"/>
      <c r="S251" s="25"/>
      <c r="T251" s="25"/>
      <c r="U251" s="229"/>
      <c r="V251" s="25"/>
      <c r="W251" s="25"/>
      <c r="X251" s="25"/>
      <c r="Y251" s="25"/>
      <c r="Z251" s="25"/>
      <c r="AA251" s="25"/>
      <c r="AB251" s="25"/>
      <c r="AC251" s="25"/>
      <c r="AD251" s="25"/>
      <c r="AE251" s="25"/>
      <c r="AF251" s="25"/>
      <c r="AG251" s="25"/>
      <c r="AH251" s="25"/>
      <c r="AI251" s="25"/>
      <c r="AJ251" s="25"/>
    </row>
    <row r="252" spans="1:36" ht="21" customHeight="1">
      <c r="A252" s="25"/>
      <c r="B252" s="25"/>
      <c r="C252" s="25"/>
      <c r="D252" s="25"/>
      <c r="E252" s="25"/>
      <c r="F252" s="25"/>
      <c r="G252" s="25"/>
      <c r="H252" s="25"/>
      <c r="I252" s="25"/>
      <c r="J252" s="25"/>
      <c r="K252" s="25"/>
      <c r="L252" s="25"/>
      <c r="M252" s="25"/>
      <c r="N252" s="25"/>
      <c r="O252" s="25"/>
      <c r="P252" s="25"/>
      <c r="Q252" s="25"/>
      <c r="R252" s="25"/>
      <c r="S252" s="25"/>
      <c r="T252" s="25"/>
      <c r="U252" s="229"/>
      <c r="V252" s="25"/>
      <c r="W252" s="25"/>
      <c r="X252" s="25"/>
      <c r="Y252" s="25"/>
      <c r="Z252" s="25"/>
      <c r="AA252" s="25"/>
      <c r="AB252" s="25"/>
      <c r="AC252" s="25"/>
      <c r="AD252" s="25"/>
      <c r="AE252" s="25"/>
      <c r="AF252" s="25"/>
      <c r="AG252" s="25"/>
      <c r="AH252" s="25"/>
      <c r="AI252" s="25"/>
      <c r="AJ252" s="25"/>
    </row>
    <row r="253" spans="1:36" ht="21" customHeight="1">
      <c r="A253" s="25"/>
      <c r="B253" s="25"/>
      <c r="C253" s="25"/>
      <c r="D253" s="25"/>
      <c r="E253" s="25"/>
      <c r="F253" s="25"/>
      <c r="G253" s="25"/>
      <c r="H253" s="25"/>
      <c r="I253" s="25"/>
      <c r="J253" s="25"/>
      <c r="K253" s="25"/>
      <c r="L253" s="25"/>
      <c r="M253" s="25"/>
      <c r="N253" s="25"/>
      <c r="O253" s="25"/>
      <c r="P253" s="25"/>
      <c r="Q253" s="25"/>
      <c r="R253" s="25"/>
      <c r="S253" s="25"/>
      <c r="T253" s="25"/>
      <c r="U253" s="229"/>
      <c r="V253" s="25"/>
      <c r="W253" s="25"/>
      <c r="X253" s="25"/>
      <c r="Y253" s="25"/>
      <c r="Z253" s="25"/>
      <c r="AA253" s="25"/>
      <c r="AB253" s="25"/>
      <c r="AC253" s="25"/>
      <c r="AD253" s="25"/>
      <c r="AE253" s="25"/>
      <c r="AF253" s="25"/>
      <c r="AG253" s="25"/>
      <c r="AH253" s="25"/>
      <c r="AI253" s="25"/>
      <c r="AJ253" s="25"/>
    </row>
    <row r="254" spans="1:36" ht="21" customHeight="1">
      <c r="A254" s="25"/>
      <c r="B254" s="25"/>
      <c r="C254" s="25"/>
      <c r="D254" s="25"/>
      <c r="E254" s="25"/>
      <c r="F254" s="25"/>
      <c r="G254" s="25"/>
      <c r="H254" s="25"/>
      <c r="I254" s="25"/>
      <c r="J254" s="25"/>
      <c r="K254" s="25"/>
      <c r="L254" s="25"/>
      <c r="M254" s="25"/>
      <c r="N254" s="25"/>
      <c r="O254" s="25"/>
      <c r="P254" s="25"/>
      <c r="Q254" s="25"/>
      <c r="R254" s="25"/>
      <c r="S254" s="25"/>
      <c r="T254" s="25"/>
      <c r="U254" s="229"/>
      <c r="V254" s="25"/>
      <c r="W254" s="25"/>
      <c r="X254" s="25"/>
      <c r="Y254" s="25"/>
      <c r="Z254" s="25"/>
      <c r="AA254" s="25"/>
      <c r="AB254" s="25"/>
      <c r="AC254" s="25"/>
      <c r="AD254" s="25"/>
      <c r="AE254" s="25"/>
      <c r="AF254" s="25"/>
      <c r="AG254" s="25"/>
      <c r="AH254" s="25"/>
      <c r="AI254" s="25"/>
      <c r="AJ254" s="25"/>
    </row>
    <row r="255" spans="1:36" ht="21" customHeight="1">
      <c r="A255" s="25"/>
      <c r="B255" s="25"/>
      <c r="C255" s="25"/>
      <c r="D255" s="25"/>
      <c r="E255" s="25"/>
      <c r="F255" s="25"/>
      <c r="G255" s="25"/>
      <c r="H255" s="25"/>
      <c r="I255" s="25"/>
      <c r="J255" s="25"/>
      <c r="K255" s="25"/>
      <c r="L255" s="25"/>
      <c r="M255" s="25"/>
      <c r="N255" s="25"/>
      <c r="O255" s="25"/>
      <c r="P255" s="25"/>
      <c r="Q255" s="25"/>
      <c r="R255" s="25"/>
      <c r="S255" s="25"/>
      <c r="T255" s="25"/>
      <c r="U255" s="229"/>
      <c r="V255" s="25"/>
      <c r="W255" s="25"/>
      <c r="X255" s="25"/>
      <c r="Y255" s="25"/>
      <c r="Z255" s="25"/>
      <c r="AA255" s="25"/>
      <c r="AB255" s="25"/>
      <c r="AC255" s="25"/>
      <c r="AD255" s="25"/>
      <c r="AE255" s="25"/>
      <c r="AF255" s="25"/>
      <c r="AG255" s="25"/>
      <c r="AH255" s="25"/>
      <c r="AI255" s="25"/>
      <c r="AJ255" s="25"/>
    </row>
    <row r="256" spans="1:36" ht="21" customHeight="1">
      <c r="A256" s="25"/>
      <c r="B256" s="25"/>
      <c r="C256" s="25"/>
      <c r="D256" s="25"/>
      <c r="E256" s="25"/>
      <c r="F256" s="25"/>
      <c r="G256" s="25"/>
      <c r="H256" s="25"/>
      <c r="I256" s="25"/>
      <c r="J256" s="25"/>
      <c r="K256" s="25"/>
      <c r="L256" s="25"/>
      <c r="M256" s="25"/>
      <c r="N256" s="25"/>
      <c r="O256" s="25"/>
      <c r="P256" s="25"/>
      <c r="Q256" s="25"/>
      <c r="R256" s="25"/>
      <c r="S256" s="25"/>
      <c r="T256" s="25"/>
      <c r="U256" s="229"/>
      <c r="V256" s="25"/>
      <c r="W256" s="25"/>
      <c r="X256" s="25"/>
      <c r="Y256" s="25"/>
      <c r="Z256" s="25"/>
      <c r="AA256" s="25"/>
      <c r="AB256" s="25"/>
      <c r="AC256" s="25"/>
      <c r="AD256" s="25"/>
      <c r="AE256" s="25"/>
      <c r="AF256" s="25"/>
      <c r="AG256" s="25"/>
      <c r="AH256" s="25"/>
      <c r="AI256" s="25"/>
      <c r="AJ256" s="25"/>
    </row>
    <row r="257" spans="1:36" ht="21" customHeight="1">
      <c r="A257" s="25"/>
      <c r="B257" s="25"/>
      <c r="C257" s="25"/>
      <c r="D257" s="25"/>
      <c r="E257" s="25"/>
      <c r="F257" s="25"/>
      <c r="G257" s="25"/>
      <c r="H257" s="25"/>
      <c r="I257" s="25"/>
      <c r="J257" s="25"/>
      <c r="K257" s="25"/>
      <c r="L257" s="25"/>
      <c r="M257" s="25"/>
      <c r="N257" s="25"/>
      <c r="O257" s="25"/>
      <c r="P257" s="25"/>
      <c r="Q257" s="25"/>
      <c r="R257" s="25"/>
      <c r="S257" s="25"/>
      <c r="T257" s="25"/>
      <c r="U257" s="229"/>
      <c r="V257" s="25"/>
      <c r="W257" s="25"/>
      <c r="X257" s="25"/>
      <c r="Y257" s="25"/>
      <c r="Z257" s="25"/>
      <c r="AA257" s="25"/>
      <c r="AB257" s="25"/>
      <c r="AC257" s="25"/>
      <c r="AD257" s="25"/>
      <c r="AE257" s="25"/>
      <c r="AF257" s="25"/>
      <c r="AG257" s="25"/>
      <c r="AH257" s="25"/>
      <c r="AI257" s="25"/>
      <c r="AJ257" s="25"/>
    </row>
    <row r="258" spans="1:36" ht="21" customHeight="1">
      <c r="A258" s="25"/>
      <c r="B258" s="25"/>
      <c r="C258" s="25"/>
      <c r="D258" s="25"/>
      <c r="E258" s="25"/>
      <c r="F258" s="25"/>
      <c r="G258" s="25"/>
      <c r="H258" s="25"/>
      <c r="I258" s="25"/>
      <c r="J258" s="25"/>
      <c r="K258" s="25"/>
      <c r="L258" s="25"/>
      <c r="M258" s="25"/>
      <c r="N258" s="25"/>
      <c r="O258" s="25"/>
      <c r="P258" s="25"/>
      <c r="Q258" s="25"/>
      <c r="R258" s="25"/>
      <c r="S258" s="25"/>
      <c r="T258" s="25"/>
      <c r="U258" s="229"/>
      <c r="V258" s="25"/>
      <c r="W258" s="25"/>
      <c r="X258" s="25"/>
      <c r="Y258" s="25"/>
      <c r="Z258" s="25"/>
      <c r="AA258" s="25"/>
      <c r="AB258" s="25"/>
      <c r="AC258" s="25"/>
      <c r="AD258" s="25"/>
      <c r="AE258" s="25"/>
      <c r="AF258" s="25"/>
      <c r="AG258" s="25"/>
      <c r="AH258" s="25"/>
      <c r="AI258" s="25"/>
      <c r="AJ258" s="25"/>
    </row>
    <row r="259" spans="1:36" ht="21" customHeight="1">
      <c r="A259" s="25"/>
      <c r="B259" s="25"/>
      <c r="C259" s="25"/>
      <c r="D259" s="25"/>
      <c r="E259" s="25"/>
      <c r="F259" s="25"/>
      <c r="G259" s="25"/>
      <c r="H259" s="25"/>
      <c r="I259" s="25"/>
      <c r="J259" s="25"/>
      <c r="K259" s="25"/>
      <c r="L259" s="25"/>
      <c r="M259" s="25"/>
      <c r="N259" s="25"/>
      <c r="O259" s="25"/>
      <c r="P259" s="25"/>
      <c r="Q259" s="25"/>
      <c r="R259" s="25"/>
      <c r="S259" s="25"/>
      <c r="T259" s="25"/>
      <c r="U259" s="229"/>
      <c r="V259" s="25"/>
      <c r="W259" s="25"/>
      <c r="X259" s="25"/>
      <c r="Y259" s="25"/>
      <c r="Z259" s="25"/>
      <c r="AA259" s="25"/>
      <c r="AB259" s="25"/>
      <c r="AC259" s="25"/>
      <c r="AD259" s="25"/>
      <c r="AE259" s="25"/>
      <c r="AF259" s="25"/>
      <c r="AG259" s="25"/>
      <c r="AH259" s="25"/>
      <c r="AI259" s="25"/>
      <c r="AJ259" s="25"/>
    </row>
    <row r="260" spans="1:36" ht="21" customHeight="1">
      <c r="A260" s="25"/>
      <c r="B260" s="25"/>
      <c r="C260" s="25"/>
      <c r="D260" s="25"/>
      <c r="E260" s="25"/>
      <c r="F260" s="25"/>
      <c r="G260" s="25"/>
      <c r="H260" s="25"/>
      <c r="I260" s="25"/>
      <c r="J260" s="25"/>
      <c r="K260" s="25"/>
      <c r="L260" s="25"/>
      <c r="M260" s="25"/>
      <c r="N260" s="25"/>
      <c r="O260" s="25"/>
      <c r="P260" s="25"/>
      <c r="Q260" s="25"/>
      <c r="R260" s="25"/>
      <c r="S260" s="25"/>
      <c r="T260" s="25"/>
      <c r="U260" s="229"/>
      <c r="V260" s="25"/>
      <c r="W260" s="25"/>
      <c r="X260" s="25"/>
      <c r="Y260" s="25"/>
      <c r="Z260" s="25"/>
      <c r="AA260" s="25"/>
      <c r="AB260" s="25"/>
      <c r="AC260" s="25"/>
      <c r="AD260" s="25"/>
      <c r="AE260" s="25"/>
      <c r="AF260" s="25"/>
      <c r="AG260" s="25"/>
      <c r="AH260" s="25"/>
      <c r="AI260" s="25"/>
      <c r="AJ260" s="25"/>
    </row>
    <row r="261" spans="1:36" ht="21" customHeight="1">
      <c r="A261" s="25"/>
      <c r="B261" s="25"/>
      <c r="C261" s="25"/>
      <c r="D261" s="25"/>
      <c r="E261" s="25"/>
      <c r="F261" s="25"/>
      <c r="G261" s="25"/>
      <c r="H261" s="25"/>
      <c r="I261" s="25"/>
      <c r="J261" s="25"/>
      <c r="K261" s="25"/>
      <c r="L261" s="25"/>
      <c r="M261" s="25"/>
      <c r="N261" s="25"/>
      <c r="O261" s="25"/>
      <c r="P261" s="25"/>
      <c r="Q261" s="25"/>
      <c r="R261" s="25"/>
      <c r="S261" s="25"/>
      <c r="T261" s="25"/>
      <c r="U261" s="229"/>
      <c r="V261" s="25"/>
      <c r="W261" s="25"/>
      <c r="X261" s="25"/>
      <c r="Y261" s="25"/>
      <c r="Z261" s="25"/>
      <c r="AA261" s="25"/>
      <c r="AB261" s="25"/>
      <c r="AC261" s="25"/>
      <c r="AD261" s="25"/>
      <c r="AE261" s="25"/>
      <c r="AF261" s="25"/>
      <c r="AG261" s="25"/>
      <c r="AH261" s="25"/>
      <c r="AI261" s="25"/>
      <c r="AJ261" s="25"/>
    </row>
    <row r="262" spans="1:36" ht="21" customHeight="1">
      <c r="A262" s="25"/>
      <c r="B262" s="25"/>
      <c r="C262" s="25"/>
      <c r="D262" s="25"/>
      <c r="E262" s="25"/>
      <c r="F262" s="25"/>
      <c r="G262" s="25"/>
      <c r="H262" s="25"/>
      <c r="I262" s="25"/>
      <c r="J262" s="25"/>
      <c r="K262" s="25"/>
      <c r="L262" s="25"/>
      <c r="M262" s="25"/>
      <c r="N262" s="25"/>
      <c r="O262" s="25"/>
      <c r="P262" s="25"/>
      <c r="Q262" s="25"/>
      <c r="R262" s="25"/>
      <c r="S262" s="25"/>
      <c r="T262" s="25"/>
      <c r="U262" s="229"/>
      <c r="V262" s="25"/>
      <c r="W262" s="25"/>
      <c r="X262" s="25"/>
      <c r="Y262" s="25"/>
      <c r="Z262" s="25"/>
      <c r="AA262" s="25"/>
      <c r="AB262" s="25"/>
      <c r="AC262" s="25"/>
      <c r="AD262" s="25"/>
      <c r="AE262" s="25"/>
      <c r="AF262" s="25"/>
      <c r="AG262" s="25"/>
      <c r="AH262" s="25"/>
      <c r="AI262" s="25"/>
      <c r="AJ262" s="25"/>
    </row>
    <row r="263" spans="1:36" ht="21" customHeight="1">
      <c r="A263" s="25"/>
      <c r="B263" s="25"/>
      <c r="C263" s="25"/>
      <c r="D263" s="25"/>
      <c r="E263" s="25"/>
      <c r="F263" s="25"/>
      <c r="G263" s="25"/>
      <c r="H263" s="25"/>
      <c r="I263" s="25"/>
      <c r="J263" s="25"/>
      <c r="K263" s="25"/>
      <c r="L263" s="25"/>
      <c r="M263" s="25"/>
      <c r="N263" s="25"/>
      <c r="O263" s="25"/>
      <c r="P263" s="25"/>
      <c r="Q263" s="25"/>
      <c r="R263" s="25"/>
      <c r="S263" s="25"/>
      <c r="T263" s="25"/>
      <c r="U263" s="229"/>
      <c r="V263" s="25"/>
      <c r="W263" s="25"/>
      <c r="X263" s="25"/>
      <c r="Y263" s="25"/>
      <c r="Z263" s="25"/>
      <c r="AA263" s="25"/>
      <c r="AB263" s="25"/>
      <c r="AC263" s="25"/>
      <c r="AD263" s="25"/>
      <c r="AE263" s="25"/>
      <c r="AF263" s="25"/>
      <c r="AG263" s="25"/>
      <c r="AH263" s="25"/>
      <c r="AI263" s="25"/>
      <c r="AJ263" s="25"/>
    </row>
    <row r="264" spans="1:36" ht="21" customHeight="1">
      <c r="A264" s="25"/>
      <c r="B264" s="25"/>
      <c r="C264" s="25"/>
      <c r="D264" s="25"/>
      <c r="E264" s="25"/>
      <c r="F264" s="25"/>
      <c r="G264" s="25"/>
      <c r="H264" s="25"/>
      <c r="I264" s="25"/>
      <c r="J264" s="25"/>
      <c r="K264" s="25"/>
      <c r="L264" s="25"/>
      <c r="M264" s="25"/>
      <c r="N264" s="25"/>
      <c r="O264" s="25"/>
      <c r="P264" s="25"/>
      <c r="Q264" s="25"/>
      <c r="R264" s="25"/>
      <c r="S264" s="25"/>
      <c r="T264" s="25"/>
      <c r="U264" s="229"/>
      <c r="V264" s="25"/>
      <c r="W264" s="25"/>
      <c r="X264" s="25"/>
      <c r="Y264" s="25"/>
      <c r="Z264" s="25"/>
      <c r="AA264" s="25"/>
      <c r="AB264" s="25"/>
      <c r="AC264" s="25"/>
      <c r="AD264" s="25"/>
      <c r="AE264" s="25"/>
      <c r="AF264" s="25"/>
      <c r="AG264" s="25"/>
      <c r="AH264" s="25"/>
      <c r="AI264" s="25"/>
      <c r="AJ264" s="25"/>
    </row>
    <row r="265" spans="1:36" ht="21" customHeight="1">
      <c r="A265" s="25"/>
      <c r="B265" s="25"/>
      <c r="C265" s="25"/>
      <c r="D265" s="25"/>
      <c r="E265" s="25"/>
      <c r="F265" s="25"/>
      <c r="G265" s="25"/>
      <c r="H265" s="25"/>
      <c r="I265" s="25"/>
      <c r="J265" s="25"/>
      <c r="K265" s="25"/>
      <c r="L265" s="25"/>
      <c r="M265" s="25"/>
      <c r="N265" s="25"/>
      <c r="O265" s="25"/>
      <c r="P265" s="25"/>
      <c r="Q265" s="25"/>
      <c r="R265" s="25"/>
      <c r="S265" s="25"/>
      <c r="T265" s="25"/>
      <c r="U265" s="229"/>
      <c r="V265" s="25"/>
      <c r="W265" s="25"/>
      <c r="X265" s="25"/>
      <c r="Y265" s="25"/>
      <c r="Z265" s="25"/>
      <c r="AA265" s="25"/>
      <c r="AB265" s="25"/>
      <c r="AC265" s="25"/>
      <c r="AD265" s="25"/>
      <c r="AE265" s="25"/>
      <c r="AF265" s="25"/>
      <c r="AG265" s="25"/>
      <c r="AH265" s="25"/>
      <c r="AI265" s="25"/>
      <c r="AJ265" s="25"/>
    </row>
    <row r="266" spans="1:36" ht="21" customHeight="1">
      <c r="A266" s="25"/>
      <c r="B266" s="25"/>
      <c r="C266" s="25"/>
      <c r="D266" s="25"/>
      <c r="E266" s="25"/>
      <c r="F266" s="25"/>
      <c r="G266" s="25"/>
      <c r="H266" s="25"/>
      <c r="I266" s="25"/>
      <c r="J266" s="25"/>
      <c r="K266" s="25"/>
      <c r="L266" s="25"/>
      <c r="M266" s="25"/>
      <c r="N266" s="25"/>
      <c r="O266" s="25"/>
      <c r="P266" s="25"/>
      <c r="Q266" s="25"/>
      <c r="R266" s="25"/>
      <c r="S266" s="25"/>
      <c r="T266" s="25"/>
      <c r="U266" s="229"/>
      <c r="V266" s="25"/>
      <c r="W266" s="25"/>
      <c r="X266" s="25"/>
      <c r="Y266" s="25"/>
      <c r="Z266" s="25"/>
      <c r="AA266" s="25"/>
      <c r="AB266" s="25"/>
      <c r="AC266" s="25"/>
      <c r="AD266" s="25"/>
      <c r="AE266" s="25"/>
      <c r="AF266" s="25"/>
      <c r="AG266" s="25"/>
      <c r="AH266" s="25"/>
      <c r="AI266" s="25"/>
      <c r="AJ266" s="25"/>
    </row>
    <row r="267" spans="1:36" ht="21" customHeight="1">
      <c r="A267" s="25"/>
      <c r="B267" s="25"/>
      <c r="C267" s="25"/>
      <c r="D267" s="25"/>
      <c r="E267" s="25"/>
      <c r="F267" s="25"/>
      <c r="G267" s="25"/>
      <c r="H267" s="25"/>
      <c r="I267" s="25"/>
      <c r="J267" s="25"/>
      <c r="K267" s="25"/>
      <c r="L267" s="25"/>
      <c r="M267" s="25"/>
      <c r="N267" s="25"/>
      <c r="O267" s="25"/>
      <c r="P267" s="25"/>
      <c r="Q267" s="25"/>
      <c r="R267" s="25"/>
      <c r="S267" s="25"/>
      <c r="T267" s="25"/>
      <c r="U267" s="229"/>
      <c r="V267" s="25"/>
      <c r="W267" s="25"/>
      <c r="X267" s="25"/>
      <c r="Y267" s="25"/>
      <c r="Z267" s="25"/>
      <c r="AA267" s="25"/>
      <c r="AB267" s="25"/>
      <c r="AC267" s="25"/>
      <c r="AD267" s="25"/>
      <c r="AE267" s="25"/>
      <c r="AF267" s="25"/>
      <c r="AG267" s="25"/>
      <c r="AH267" s="25"/>
      <c r="AI267" s="25"/>
      <c r="AJ267" s="25"/>
    </row>
    <row r="268" spans="1:36" ht="21" customHeight="1">
      <c r="A268" s="25"/>
      <c r="B268" s="25"/>
      <c r="C268" s="25"/>
      <c r="D268" s="25"/>
      <c r="E268" s="25"/>
      <c r="F268" s="25"/>
      <c r="G268" s="25"/>
      <c r="H268" s="25"/>
      <c r="I268" s="25"/>
      <c r="J268" s="25"/>
      <c r="K268" s="25"/>
      <c r="L268" s="25"/>
      <c r="M268" s="25"/>
      <c r="N268" s="25"/>
      <c r="O268" s="25"/>
      <c r="P268" s="25"/>
      <c r="Q268" s="25"/>
      <c r="R268" s="25"/>
      <c r="S268" s="25"/>
      <c r="T268" s="25"/>
      <c r="U268" s="229"/>
      <c r="V268" s="25"/>
      <c r="W268" s="25"/>
      <c r="X268" s="25"/>
      <c r="Y268" s="25"/>
      <c r="Z268" s="25"/>
      <c r="AA268" s="25"/>
      <c r="AB268" s="25"/>
      <c r="AC268" s="25"/>
      <c r="AD268" s="25"/>
      <c r="AE268" s="25"/>
      <c r="AF268" s="25"/>
      <c r="AG268" s="25"/>
      <c r="AH268" s="25"/>
      <c r="AI268" s="25"/>
      <c r="AJ268" s="25"/>
    </row>
    <row r="269" spans="1:36" ht="21" customHeight="1">
      <c r="A269" s="25"/>
      <c r="B269" s="25"/>
      <c r="C269" s="25"/>
      <c r="D269" s="25"/>
      <c r="E269" s="25"/>
      <c r="F269" s="25"/>
      <c r="G269" s="25"/>
      <c r="H269" s="25"/>
      <c r="I269" s="25"/>
      <c r="J269" s="25"/>
      <c r="K269" s="25"/>
      <c r="L269" s="25"/>
      <c r="M269" s="25"/>
      <c r="N269" s="25"/>
      <c r="O269" s="25"/>
      <c r="P269" s="25"/>
      <c r="Q269" s="25"/>
      <c r="R269" s="25"/>
      <c r="S269" s="25"/>
      <c r="T269" s="25"/>
      <c r="U269" s="229"/>
      <c r="V269" s="25"/>
      <c r="W269" s="25"/>
      <c r="X269" s="25"/>
      <c r="Y269" s="25"/>
      <c r="Z269" s="25"/>
      <c r="AA269" s="25"/>
      <c r="AB269" s="25"/>
      <c r="AC269" s="25"/>
      <c r="AD269" s="25"/>
      <c r="AE269" s="25"/>
      <c r="AF269" s="25"/>
      <c r="AG269" s="25"/>
      <c r="AH269" s="25"/>
      <c r="AI269" s="25"/>
      <c r="AJ269" s="25"/>
    </row>
    <row r="270" spans="1:36" ht="21" customHeight="1">
      <c r="A270" s="25"/>
      <c r="B270" s="25"/>
      <c r="C270" s="25"/>
      <c r="D270" s="25"/>
      <c r="E270" s="25"/>
      <c r="F270" s="25"/>
      <c r="G270" s="25"/>
      <c r="H270" s="25"/>
      <c r="I270" s="25"/>
      <c r="J270" s="25"/>
      <c r="K270" s="25"/>
      <c r="L270" s="25"/>
      <c r="M270" s="25"/>
      <c r="N270" s="25"/>
      <c r="O270" s="25"/>
      <c r="P270" s="25"/>
      <c r="Q270" s="25"/>
      <c r="R270" s="25"/>
      <c r="S270" s="25"/>
      <c r="T270" s="25"/>
      <c r="U270" s="229"/>
      <c r="V270" s="25"/>
      <c r="W270" s="25"/>
      <c r="X270" s="25"/>
      <c r="Y270" s="25"/>
      <c r="Z270" s="25"/>
      <c r="AA270" s="25"/>
      <c r="AB270" s="25"/>
      <c r="AC270" s="25"/>
      <c r="AD270" s="25"/>
      <c r="AE270" s="25"/>
      <c r="AF270" s="25"/>
      <c r="AG270" s="25"/>
      <c r="AH270" s="25"/>
      <c r="AI270" s="25"/>
      <c r="AJ270" s="25"/>
    </row>
    <row r="271" spans="1:36" ht="21" customHeight="1">
      <c r="A271" s="25"/>
      <c r="B271" s="25"/>
      <c r="C271" s="25"/>
      <c r="D271" s="25"/>
      <c r="E271" s="25"/>
      <c r="F271" s="25"/>
      <c r="G271" s="25"/>
      <c r="H271" s="25"/>
      <c r="I271" s="25"/>
      <c r="J271" s="25"/>
      <c r="K271" s="25"/>
      <c r="L271" s="25"/>
      <c r="M271" s="25"/>
      <c r="N271" s="25"/>
      <c r="O271" s="25"/>
      <c r="P271" s="25"/>
      <c r="Q271" s="25"/>
      <c r="R271" s="25"/>
      <c r="S271" s="25"/>
      <c r="T271" s="25"/>
      <c r="U271" s="229"/>
      <c r="V271" s="25"/>
      <c r="W271" s="25"/>
      <c r="X271" s="25"/>
      <c r="Y271" s="25"/>
      <c r="Z271" s="25"/>
      <c r="AA271" s="25"/>
      <c r="AB271" s="25"/>
      <c r="AC271" s="25"/>
      <c r="AD271" s="25"/>
      <c r="AE271" s="25"/>
      <c r="AF271" s="25"/>
      <c r="AG271" s="25"/>
      <c r="AH271" s="25"/>
      <c r="AI271" s="25"/>
      <c r="AJ271" s="25"/>
    </row>
    <row r="272" spans="1:36" ht="21" customHeight="1">
      <c r="A272" s="25"/>
      <c r="B272" s="25"/>
      <c r="C272" s="25"/>
      <c r="D272" s="25"/>
      <c r="E272" s="25"/>
      <c r="F272" s="25"/>
      <c r="G272" s="25"/>
      <c r="H272" s="25"/>
      <c r="I272" s="25"/>
      <c r="J272" s="25"/>
      <c r="K272" s="25"/>
      <c r="L272" s="25"/>
      <c r="M272" s="25"/>
      <c r="N272" s="25"/>
      <c r="O272" s="25"/>
      <c r="P272" s="25"/>
      <c r="Q272" s="25"/>
      <c r="R272" s="25"/>
      <c r="S272" s="25"/>
      <c r="T272" s="25"/>
      <c r="U272" s="229"/>
      <c r="V272" s="25"/>
      <c r="W272" s="25"/>
      <c r="X272" s="25"/>
      <c r="Y272" s="25"/>
      <c r="Z272" s="25"/>
      <c r="AA272" s="25"/>
      <c r="AB272" s="25"/>
      <c r="AC272" s="25"/>
      <c r="AD272" s="25"/>
      <c r="AE272" s="25"/>
      <c r="AF272" s="25"/>
      <c r="AG272" s="25"/>
      <c r="AH272" s="25"/>
      <c r="AI272" s="25"/>
      <c r="AJ272" s="25"/>
    </row>
    <row r="273" spans="1:36" ht="21" customHeight="1">
      <c r="A273" s="25"/>
      <c r="B273" s="25"/>
      <c r="C273" s="25"/>
      <c r="D273" s="25"/>
      <c r="E273" s="25"/>
      <c r="F273" s="25"/>
      <c r="G273" s="25"/>
      <c r="H273" s="25"/>
      <c r="I273" s="25"/>
      <c r="J273" s="25"/>
      <c r="K273" s="25"/>
      <c r="L273" s="25"/>
      <c r="M273" s="25"/>
      <c r="N273" s="25"/>
      <c r="O273" s="25"/>
      <c r="P273" s="25"/>
      <c r="Q273" s="25"/>
      <c r="R273" s="25"/>
      <c r="S273" s="25"/>
      <c r="T273" s="25"/>
      <c r="U273" s="229"/>
      <c r="V273" s="25"/>
      <c r="W273" s="25"/>
      <c r="X273" s="25"/>
      <c r="Y273" s="25"/>
      <c r="Z273" s="25"/>
      <c r="AA273" s="25"/>
      <c r="AB273" s="25"/>
      <c r="AC273" s="25"/>
      <c r="AD273" s="25"/>
      <c r="AE273" s="25"/>
      <c r="AF273" s="25"/>
      <c r="AG273" s="25"/>
      <c r="AH273" s="25"/>
      <c r="AI273" s="25"/>
      <c r="AJ273" s="25"/>
    </row>
    <row r="274" spans="1:36" ht="21" customHeight="1">
      <c r="A274" s="25"/>
      <c r="B274" s="25"/>
      <c r="C274" s="25"/>
      <c r="D274" s="25"/>
      <c r="E274" s="25"/>
      <c r="F274" s="25"/>
      <c r="G274" s="25"/>
      <c r="H274" s="25"/>
      <c r="I274" s="25"/>
      <c r="J274" s="25"/>
      <c r="K274" s="25"/>
      <c r="L274" s="25"/>
      <c r="M274" s="25"/>
      <c r="N274" s="25"/>
      <c r="O274" s="25"/>
      <c r="P274" s="25"/>
      <c r="Q274" s="25"/>
      <c r="R274" s="25"/>
      <c r="S274" s="25"/>
      <c r="T274" s="25"/>
      <c r="U274" s="229"/>
      <c r="V274" s="25"/>
      <c r="W274" s="25"/>
      <c r="X274" s="25"/>
      <c r="Y274" s="25"/>
      <c r="Z274" s="25"/>
      <c r="AA274" s="25"/>
      <c r="AB274" s="25"/>
      <c r="AC274" s="25"/>
      <c r="AD274" s="25"/>
      <c r="AE274" s="25"/>
      <c r="AF274" s="25"/>
      <c r="AG274" s="25"/>
      <c r="AH274" s="25"/>
      <c r="AI274" s="25"/>
      <c r="AJ274" s="25"/>
    </row>
    <row r="275" spans="1:36" ht="21" customHeight="1">
      <c r="U275" s="504"/>
    </row>
    <row r="276" spans="1:36" ht="21" customHeight="1">
      <c r="U276" s="504"/>
    </row>
    <row r="277" spans="1:36" ht="21" customHeight="1">
      <c r="U277" s="504"/>
    </row>
    <row r="278" spans="1:36" ht="21" customHeight="1">
      <c r="U278" s="504"/>
    </row>
    <row r="279" spans="1:36" ht="15.75" customHeight="1"/>
    <row r="280" spans="1:36" ht="15.75" customHeight="1"/>
    <row r="281" spans="1:36" ht="15.75" customHeight="1"/>
    <row r="282" spans="1:36" ht="15.75" customHeight="1"/>
    <row r="283" spans="1:36" ht="15.75" customHeight="1"/>
    <row r="284" spans="1:36" ht="15.75" customHeight="1"/>
    <row r="285" spans="1:36" ht="15.75" customHeight="1"/>
    <row r="286" spans="1:36" ht="15.75" customHeight="1"/>
    <row r="287" spans="1:36" ht="15.75" customHeight="1"/>
    <row r="288" spans="1:3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74" xr:uid="{00000000-0009-0000-0000-000003000000}">
    <filterColumn colId="1">
      <filters>
        <filter val="Saleha Khan"/>
      </filters>
    </filterColumn>
  </autoFilter>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N1000"/>
  <sheetViews>
    <sheetView zoomScale="98" zoomScaleNormal="98" workbookViewId="0">
      <pane xSplit="5" ySplit="1" topLeftCell="R13" activePane="bottomRight" state="frozen"/>
      <selection activeCell="O75" sqref="O75:P75"/>
      <selection pane="topRight" activeCell="O75" sqref="O75:P75"/>
      <selection pane="bottomLeft" activeCell="O75" sqref="O75:P75"/>
      <selection pane="bottomRight" activeCell="B13" sqref="B13"/>
    </sheetView>
  </sheetViews>
  <sheetFormatPr defaultColWidth="12.59765625" defaultRowHeight="15" customHeight="1"/>
  <cols>
    <col min="1" max="1" width="5.19921875" customWidth="1"/>
    <col min="2" max="2" width="23.69921875" customWidth="1"/>
    <col min="3" max="3" width="15.69921875" customWidth="1"/>
    <col min="4" max="4" width="10.5" customWidth="1"/>
    <col min="5" max="5" width="11.19921875" customWidth="1"/>
    <col min="6" max="6" width="14.69921875" customWidth="1"/>
    <col min="7" max="7" width="15.09765625" customWidth="1"/>
    <col min="8" max="8" width="13.59765625" customWidth="1"/>
    <col min="9" max="9" width="9.5" customWidth="1"/>
    <col min="10" max="10" width="11.8984375" customWidth="1"/>
    <col min="11" max="11" width="7.59765625" customWidth="1"/>
    <col min="12" max="12" width="8.59765625" customWidth="1"/>
    <col min="13" max="13" width="8.69921875" customWidth="1"/>
    <col min="14" max="15" width="12.69921875" customWidth="1"/>
    <col min="16" max="16" width="13.59765625" customWidth="1"/>
    <col min="17" max="17" width="21.59765625" customWidth="1"/>
    <col min="18" max="18" width="10.69921875" customWidth="1"/>
    <col min="19" max="19" width="16.19921875" customWidth="1"/>
    <col min="20" max="20" width="20.69921875" customWidth="1"/>
    <col min="21" max="21" width="19.8984375" customWidth="1"/>
    <col min="22" max="22" width="12.59765625" customWidth="1"/>
    <col min="23" max="24" width="16.59765625" customWidth="1"/>
    <col min="25" max="25" width="12.8984375" customWidth="1"/>
    <col min="26" max="27" width="16.59765625" customWidth="1"/>
    <col min="28" max="40" width="12.69921875" customWidth="1"/>
  </cols>
  <sheetData>
    <row r="1" spans="1:40" ht="75" customHeight="1">
      <c r="A1" s="493" t="s">
        <v>0</v>
      </c>
      <c r="B1" s="494" t="s">
        <v>1</v>
      </c>
      <c r="C1" s="495" t="s">
        <v>48</v>
      </c>
      <c r="D1" s="495" t="s">
        <v>2</v>
      </c>
      <c r="E1" s="495" t="s">
        <v>3</v>
      </c>
      <c r="F1" s="721" t="s">
        <v>265</v>
      </c>
      <c r="G1" s="721" t="s">
        <v>266</v>
      </c>
      <c r="H1" s="495" t="s">
        <v>4</v>
      </c>
      <c r="I1" s="495" t="s">
        <v>49</v>
      </c>
      <c r="J1" s="495" t="s">
        <v>50</v>
      </c>
      <c r="K1" s="495" t="s">
        <v>51</v>
      </c>
      <c r="L1" s="495" t="s">
        <v>52</v>
      </c>
      <c r="M1" s="495" t="s">
        <v>53</v>
      </c>
      <c r="N1" s="495" t="s">
        <v>8</v>
      </c>
      <c r="O1" s="495" t="s">
        <v>55</v>
      </c>
      <c r="P1" s="495" t="s">
        <v>56</v>
      </c>
      <c r="Q1" s="495" t="s">
        <v>57</v>
      </c>
      <c r="R1" s="495" t="s">
        <v>12</v>
      </c>
      <c r="S1" s="495" t="s">
        <v>13</v>
      </c>
      <c r="T1" s="495" t="s">
        <v>14</v>
      </c>
      <c r="U1" s="741" t="s">
        <v>267</v>
      </c>
      <c r="V1" s="742" t="s">
        <v>268</v>
      </c>
      <c r="W1" s="743" t="s">
        <v>269</v>
      </c>
      <c r="X1" s="743" t="s">
        <v>270</v>
      </c>
      <c r="Y1" s="743" t="s">
        <v>271</v>
      </c>
      <c r="Z1" s="743" t="s">
        <v>272</v>
      </c>
      <c r="AA1" s="743" t="s">
        <v>273</v>
      </c>
      <c r="AB1" s="743" t="s">
        <v>274</v>
      </c>
      <c r="AC1" s="743" t="s">
        <v>275</v>
      </c>
      <c r="AD1" s="743" t="s">
        <v>276</v>
      </c>
      <c r="AE1" s="743" t="s">
        <v>277</v>
      </c>
      <c r="AF1" s="743" t="s">
        <v>278</v>
      </c>
      <c r="AG1" s="743" t="s">
        <v>279</v>
      </c>
      <c r="AH1" s="743" t="s">
        <v>280</v>
      </c>
      <c r="AI1" s="743" t="s">
        <v>1060</v>
      </c>
      <c r="AJ1" s="743" t="s">
        <v>281</v>
      </c>
      <c r="AK1" s="743" t="s">
        <v>194</v>
      </c>
      <c r="AL1" s="743" t="s">
        <v>195</v>
      </c>
      <c r="AM1" s="743" t="s">
        <v>196</v>
      </c>
      <c r="AN1" s="743" t="s">
        <v>197</v>
      </c>
    </row>
    <row r="2" spans="1:40" ht="21" hidden="1" customHeight="1">
      <c r="A2" s="127">
        <v>1</v>
      </c>
      <c r="B2" s="5" t="s">
        <v>198</v>
      </c>
      <c r="C2" s="5" t="s">
        <v>199</v>
      </c>
      <c r="D2" s="5">
        <v>10000</v>
      </c>
      <c r="E2" s="5">
        <v>8000</v>
      </c>
      <c r="F2" s="5"/>
      <c r="G2" s="5"/>
      <c r="H2" s="5" t="s">
        <v>282</v>
      </c>
      <c r="I2" s="117">
        <v>8000</v>
      </c>
      <c r="J2" s="5">
        <v>4000</v>
      </c>
      <c r="K2" s="5">
        <v>6000</v>
      </c>
      <c r="L2" s="5">
        <v>8000</v>
      </c>
      <c r="M2" s="5">
        <v>4000</v>
      </c>
      <c r="N2" s="5">
        <v>8000</v>
      </c>
      <c r="O2" s="5">
        <v>8000</v>
      </c>
      <c r="P2" s="5">
        <v>4000</v>
      </c>
      <c r="Q2" s="5">
        <v>6000</v>
      </c>
      <c r="R2" s="5">
        <v>8000</v>
      </c>
      <c r="S2" s="117">
        <v>8000</v>
      </c>
      <c r="T2" s="5">
        <v>8000</v>
      </c>
      <c r="U2" s="177">
        <f t="shared" ref="U2:U16" si="0">SUM(I2:T2)</f>
        <v>80000</v>
      </c>
      <c r="V2" s="270" t="e">
        <f>'[1]2022'!U2</f>
        <v>#REF!</v>
      </c>
      <c r="W2" s="270">
        <f t="shared" ref="W2:AH2" si="1">I2</f>
        <v>8000</v>
      </c>
      <c r="X2" s="270">
        <f t="shared" si="1"/>
        <v>4000</v>
      </c>
      <c r="Y2" s="270">
        <f t="shared" si="1"/>
        <v>6000</v>
      </c>
      <c r="Z2" s="270">
        <f t="shared" si="1"/>
        <v>8000</v>
      </c>
      <c r="AA2" s="270">
        <f t="shared" si="1"/>
        <v>4000</v>
      </c>
      <c r="AB2" s="270">
        <f t="shared" si="1"/>
        <v>8000</v>
      </c>
      <c r="AC2" s="270">
        <f t="shared" si="1"/>
        <v>8000</v>
      </c>
      <c r="AD2" s="270">
        <f t="shared" si="1"/>
        <v>4000</v>
      </c>
      <c r="AE2" s="270">
        <f t="shared" si="1"/>
        <v>6000</v>
      </c>
      <c r="AF2" s="270">
        <f t="shared" si="1"/>
        <v>8000</v>
      </c>
      <c r="AG2" s="270">
        <f t="shared" si="1"/>
        <v>8000</v>
      </c>
      <c r="AH2" s="270">
        <f t="shared" si="1"/>
        <v>8000</v>
      </c>
      <c r="AI2" s="251">
        <f>SUM(W2:AH2)</f>
        <v>80000</v>
      </c>
      <c r="AJ2" s="251">
        <f>U2-W2-X2-Y2-Z2-AA2-AB2-AC2-AD2-AE2-AF2-AG2-AH2</f>
        <v>0</v>
      </c>
      <c r="AK2" s="251" t="s">
        <v>283</v>
      </c>
      <c r="AL2" s="251" t="s">
        <v>283</v>
      </c>
      <c r="AM2" s="251"/>
      <c r="AN2" s="270" t="e">
        <f>AK2+AL2+AM2</f>
        <v>#VALUE!</v>
      </c>
    </row>
    <row r="3" spans="1:40" ht="21" hidden="1" customHeight="1">
      <c r="A3" s="127">
        <v>2</v>
      </c>
      <c r="B3" s="5" t="s">
        <v>284</v>
      </c>
      <c r="C3" s="5" t="s">
        <v>199</v>
      </c>
      <c r="D3" s="52">
        <v>6000</v>
      </c>
      <c r="E3" s="5">
        <v>6000</v>
      </c>
      <c r="F3" s="5"/>
      <c r="G3" s="5"/>
      <c r="H3" s="5" t="s">
        <v>282</v>
      </c>
      <c r="I3" s="117" t="s">
        <v>30</v>
      </c>
      <c r="J3" s="5" t="s">
        <v>30</v>
      </c>
      <c r="K3" s="56">
        <v>6000</v>
      </c>
      <c r="L3" s="56">
        <v>6000</v>
      </c>
      <c r="M3" s="5">
        <v>6000</v>
      </c>
      <c r="N3" s="5">
        <v>5500</v>
      </c>
      <c r="O3" s="5">
        <v>6000</v>
      </c>
      <c r="P3" s="5">
        <v>6000</v>
      </c>
      <c r="Q3" s="5">
        <v>6000</v>
      </c>
      <c r="R3" s="162">
        <v>6000</v>
      </c>
      <c r="S3" s="250">
        <f>E3/23*17</f>
        <v>4434.782608695652</v>
      </c>
      <c r="T3" s="162">
        <v>6000</v>
      </c>
      <c r="U3" s="744">
        <f t="shared" si="0"/>
        <v>57934.782608695648</v>
      </c>
      <c r="V3" s="251"/>
      <c r="W3" s="251"/>
      <c r="X3" s="251"/>
      <c r="Y3" s="251"/>
      <c r="Z3" s="251"/>
      <c r="AA3" s="251">
        <f>M3</f>
        <v>6000</v>
      </c>
      <c r="AB3" s="251">
        <v>5500</v>
      </c>
      <c r="AC3" s="270">
        <f t="shared" ref="AC3:AH3" si="2">O3</f>
        <v>6000</v>
      </c>
      <c r="AD3" s="270">
        <f t="shared" si="2"/>
        <v>6000</v>
      </c>
      <c r="AE3" s="270">
        <f t="shared" si="2"/>
        <v>6000</v>
      </c>
      <c r="AF3" s="270">
        <f t="shared" si="2"/>
        <v>6000</v>
      </c>
      <c r="AG3" s="270">
        <f t="shared" si="2"/>
        <v>4434.782608695652</v>
      </c>
      <c r="AH3" s="270">
        <f t="shared" si="2"/>
        <v>6000</v>
      </c>
      <c r="AI3" s="251"/>
      <c r="AJ3" s="251"/>
      <c r="AK3" s="251"/>
      <c r="AL3" s="251"/>
      <c r="AM3" s="251"/>
      <c r="AN3" s="270"/>
    </row>
    <row r="4" spans="1:40" ht="21" hidden="1" customHeight="1">
      <c r="A4" s="127">
        <v>3</v>
      </c>
      <c r="B4" s="5" t="s">
        <v>129</v>
      </c>
      <c r="C4" s="5" t="s">
        <v>199</v>
      </c>
      <c r="D4" s="52">
        <v>13000</v>
      </c>
      <c r="E4" s="52">
        <v>8000</v>
      </c>
      <c r="F4" s="52"/>
      <c r="G4" s="52"/>
      <c r="H4" s="5" t="s">
        <v>282</v>
      </c>
      <c r="I4" s="117">
        <v>8000</v>
      </c>
      <c r="J4" s="5">
        <v>8000</v>
      </c>
      <c r="K4" s="5">
        <f>E4/20*15</f>
        <v>6000</v>
      </c>
      <c r="L4" s="5">
        <v>8000</v>
      </c>
      <c r="M4" s="117">
        <v>0</v>
      </c>
      <c r="N4" s="5">
        <v>8000</v>
      </c>
      <c r="O4" s="5">
        <v>8000</v>
      </c>
      <c r="P4" s="5">
        <v>8000</v>
      </c>
      <c r="Q4" s="5">
        <v>8000</v>
      </c>
      <c r="R4" s="162">
        <v>8000</v>
      </c>
      <c r="S4" s="162">
        <v>8000</v>
      </c>
      <c r="T4" s="162">
        <v>8000</v>
      </c>
      <c r="U4" s="744">
        <f t="shared" si="0"/>
        <v>86000</v>
      </c>
      <c r="V4" s="251">
        <f>'2022'!AN3</f>
        <v>20045.454545454551</v>
      </c>
      <c r="W4" s="251">
        <f t="shared" ref="W4:AH4" si="3">I4</f>
        <v>8000</v>
      </c>
      <c r="X4" s="251">
        <f t="shared" si="3"/>
        <v>8000</v>
      </c>
      <c r="Y4" s="251">
        <f t="shared" si="3"/>
        <v>6000</v>
      </c>
      <c r="Z4" s="251">
        <f t="shared" si="3"/>
        <v>8000</v>
      </c>
      <c r="AA4" s="251">
        <f t="shared" si="3"/>
        <v>0</v>
      </c>
      <c r="AB4" s="251">
        <f t="shared" si="3"/>
        <v>8000</v>
      </c>
      <c r="AC4" s="251">
        <f t="shared" si="3"/>
        <v>8000</v>
      </c>
      <c r="AD4" s="251">
        <f t="shared" si="3"/>
        <v>8000</v>
      </c>
      <c r="AE4" s="251">
        <f t="shared" si="3"/>
        <v>8000</v>
      </c>
      <c r="AF4" s="251">
        <f t="shared" si="3"/>
        <v>8000</v>
      </c>
      <c r="AG4" s="251">
        <f t="shared" si="3"/>
        <v>8000</v>
      </c>
      <c r="AH4" s="251">
        <f t="shared" si="3"/>
        <v>8000</v>
      </c>
      <c r="AI4" s="251">
        <f>SUM(W4:AH4)</f>
        <v>86000</v>
      </c>
      <c r="AJ4" s="251">
        <f>U4-W4-X4-Y4-Z4-AA4-AB4-AC4-AD4-AE4-AF4-AG4-AH4</f>
        <v>0</v>
      </c>
      <c r="AK4" s="251">
        <f>'2022'!G3</f>
        <v>5000</v>
      </c>
      <c r="AL4" s="251">
        <f>'2021'!S3</f>
        <v>15045.454545454546</v>
      </c>
      <c r="AM4" s="251">
        <v>0</v>
      </c>
      <c r="AN4" s="270">
        <f>AK4+AL4+AM4</f>
        <v>20045.454545454544</v>
      </c>
    </row>
    <row r="5" spans="1:40" ht="21" hidden="1" customHeight="1">
      <c r="A5" s="127">
        <v>4</v>
      </c>
      <c r="B5" s="5" t="s">
        <v>285</v>
      </c>
      <c r="C5" s="5" t="s">
        <v>199</v>
      </c>
      <c r="D5" s="52">
        <v>6000</v>
      </c>
      <c r="E5" s="5">
        <v>6000</v>
      </c>
      <c r="F5" s="5"/>
      <c r="G5" s="5"/>
      <c r="H5" s="5" t="s">
        <v>282</v>
      </c>
      <c r="I5" s="117" t="s">
        <v>30</v>
      </c>
      <c r="J5" s="117" t="s">
        <v>30</v>
      </c>
      <c r="K5" s="117" t="s">
        <v>30</v>
      </c>
      <c r="L5" s="117" t="s">
        <v>30</v>
      </c>
      <c r="M5" s="117" t="s">
        <v>30</v>
      </c>
      <c r="N5" s="117" t="s">
        <v>30</v>
      </c>
      <c r="O5" s="5">
        <v>6000</v>
      </c>
      <c r="P5" s="5">
        <v>6000</v>
      </c>
      <c r="Q5" s="5">
        <v>6000</v>
      </c>
      <c r="R5" s="162">
        <v>6000</v>
      </c>
      <c r="S5" s="162">
        <v>6000</v>
      </c>
      <c r="T5" s="162">
        <v>6000</v>
      </c>
      <c r="U5" s="744">
        <f t="shared" si="0"/>
        <v>36000</v>
      </c>
      <c r="V5" s="251">
        <f>SUM(O5:P5)</f>
        <v>12000</v>
      </c>
      <c r="W5" s="251">
        <v>0</v>
      </c>
      <c r="X5" s="251">
        <v>0</v>
      </c>
      <c r="Y5" s="251">
        <v>0</v>
      </c>
      <c r="Z5" s="251">
        <v>0</v>
      </c>
      <c r="AA5" s="251">
        <v>0</v>
      </c>
      <c r="AB5" s="251">
        <v>0</v>
      </c>
      <c r="AC5" s="251">
        <v>0</v>
      </c>
      <c r="AD5" s="251">
        <v>0</v>
      </c>
      <c r="AE5" s="251">
        <f t="shared" ref="AE5:AH5" si="4">Q5</f>
        <v>6000</v>
      </c>
      <c r="AF5" s="251">
        <f t="shared" si="4"/>
        <v>6000</v>
      </c>
      <c r="AG5" s="251">
        <f t="shared" si="4"/>
        <v>6000</v>
      </c>
      <c r="AH5" s="251">
        <f t="shared" si="4"/>
        <v>6000</v>
      </c>
      <c r="AI5" s="251">
        <f>SUM(W5:AH5)</f>
        <v>24000</v>
      </c>
      <c r="AJ5" s="251">
        <f>SUM(O5:P5)</f>
        <v>12000</v>
      </c>
      <c r="AK5" s="251">
        <v>0</v>
      </c>
      <c r="AL5" s="251">
        <v>0</v>
      </c>
      <c r="AM5" s="251">
        <v>0</v>
      </c>
      <c r="AN5" s="270">
        <f>SUM(AJ5:AM5)</f>
        <v>12000</v>
      </c>
    </row>
    <row r="6" spans="1:40" ht="30.75" hidden="1" customHeight="1">
      <c r="A6" s="127">
        <v>5</v>
      </c>
      <c r="B6" s="56" t="s">
        <v>203</v>
      </c>
      <c r="C6" s="56" t="s">
        <v>131</v>
      </c>
      <c r="D6" s="128">
        <v>40000</v>
      </c>
      <c r="E6" s="128">
        <v>10000</v>
      </c>
      <c r="F6" s="118">
        <v>44798</v>
      </c>
      <c r="G6" s="118">
        <v>45163</v>
      </c>
      <c r="H6" s="56" t="s">
        <v>282</v>
      </c>
      <c r="I6" s="163">
        <v>0</v>
      </c>
      <c r="J6" s="56">
        <v>0</v>
      </c>
      <c r="K6" s="56">
        <v>0</v>
      </c>
      <c r="L6" s="56">
        <v>10000</v>
      </c>
      <c r="M6" s="56">
        <v>10000</v>
      </c>
      <c r="N6" s="56">
        <v>10000</v>
      </c>
      <c r="O6" s="163">
        <f>E6/21*12</f>
        <v>5714.2857142857147</v>
      </c>
      <c r="P6" s="163">
        <v>10000</v>
      </c>
      <c r="Q6" s="163">
        <v>2000</v>
      </c>
      <c r="R6" s="171">
        <v>2000</v>
      </c>
      <c r="S6" s="171">
        <v>5000</v>
      </c>
      <c r="T6" s="171">
        <v>5000</v>
      </c>
      <c r="U6" s="252">
        <f t="shared" si="0"/>
        <v>59714.285714285717</v>
      </c>
      <c r="V6" s="249" t="e">
        <f>'[1]2022'!U6</f>
        <v>#REF!</v>
      </c>
      <c r="W6" s="249">
        <f t="shared" ref="W6:AE6" si="5">I6</f>
        <v>0</v>
      </c>
      <c r="X6" s="249">
        <f t="shared" si="5"/>
        <v>0</v>
      </c>
      <c r="Y6" s="249">
        <f t="shared" si="5"/>
        <v>0</v>
      </c>
      <c r="Z6" s="249">
        <f t="shared" si="5"/>
        <v>10000</v>
      </c>
      <c r="AA6" s="249">
        <f t="shared" si="5"/>
        <v>10000</v>
      </c>
      <c r="AB6" s="249">
        <f t="shared" si="5"/>
        <v>10000</v>
      </c>
      <c r="AC6" s="1135">
        <f t="shared" si="5"/>
        <v>5714.2857142857147</v>
      </c>
      <c r="AD6" s="249">
        <f t="shared" si="5"/>
        <v>10000</v>
      </c>
      <c r="AE6" s="249">
        <f t="shared" si="5"/>
        <v>2000</v>
      </c>
      <c r="AF6" s="249"/>
      <c r="AG6" s="249"/>
      <c r="AH6" s="249"/>
      <c r="AI6" s="1135">
        <f>SUM(W6:AH6)</f>
        <v>47714.285714285717</v>
      </c>
      <c r="AJ6" s="249">
        <f>U6-W6-X6-Y6-Z6-AA6-AB6-AC6-AD6-AE6-AF6-AG6-AH6</f>
        <v>12000.000000000004</v>
      </c>
      <c r="AK6" s="249" t="e">
        <f>'[1]2022'!AK7</f>
        <v>#REF!</v>
      </c>
      <c r="AL6" s="249" t="e">
        <f>'[1]2021'!S6-'[1]2021'!AD6-'[1]2021'!AE6-'[1]2021'!AF6-'[1]2021'!AG6-'[1]2021'!AH6-'[1]2021'!AI6-'[1]2021'!AJ6</f>
        <v>#REF!</v>
      </c>
      <c r="AM6" s="249"/>
      <c r="AN6" s="290" t="e">
        <f t="shared" ref="AN6:AN8" si="6">AK6+AL6+AM6</f>
        <v>#REF!</v>
      </c>
    </row>
    <row r="7" spans="1:40" ht="21" hidden="1" customHeight="1">
      <c r="A7" s="127">
        <v>6</v>
      </c>
      <c r="B7" s="5" t="s">
        <v>201</v>
      </c>
      <c r="C7" s="5" t="s">
        <v>131</v>
      </c>
      <c r="D7" s="52">
        <v>25000</v>
      </c>
      <c r="E7" s="52">
        <v>5000</v>
      </c>
      <c r="F7" s="119">
        <v>44830</v>
      </c>
      <c r="G7" s="119">
        <v>45195</v>
      </c>
      <c r="H7" s="5" t="s">
        <v>282</v>
      </c>
      <c r="I7" s="117">
        <f>E7/22*12</f>
        <v>2727.2727272727275</v>
      </c>
      <c r="J7" s="5">
        <v>5000</v>
      </c>
      <c r="K7" s="5">
        <v>5000</v>
      </c>
      <c r="L7" s="5">
        <v>5000</v>
      </c>
      <c r="M7" s="5">
        <v>5000</v>
      </c>
      <c r="N7" s="5">
        <v>5000</v>
      </c>
      <c r="O7" s="5">
        <v>5000</v>
      </c>
      <c r="P7" s="5">
        <v>5000</v>
      </c>
      <c r="Q7" s="117">
        <f>E7/21*9</f>
        <v>2142.8571428571431</v>
      </c>
      <c r="R7" s="171">
        <v>5000</v>
      </c>
      <c r="S7" s="171">
        <v>5000</v>
      </c>
      <c r="T7" s="171">
        <v>5000</v>
      </c>
      <c r="U7" s="744">
        <f t="shared" si="0"/>
        <v>54870.129870129873</v>
      </c>
      <c r="V7" s="251" t="e">
        <f>'[1]2022'!U4</f>
        <v>#REF!</v>
      </c>
      <c r="W7" s="1136">
        <f t="shared" ref="W7:AE7" si="7">I7</f>
        <v>2727.2727272727275</v>
      </c>
      <c r="X7" s="251">
        <f t="shared" si="7"/>
        <v>5000</v>
      </c>
      <c r="Y7" s="251">
        <f t="shared" si="7"/>
        <v>5000</v>
      </c>
      <c r="Z7" s="251">
        <f t="shared" si="7"/>
        <v>5000</v>
      </c>
      <c r="AA7" s="251">
        <f t="shared" si="7"/>
        <v>5000</v>
      </c>
      <c r="AB7" s="251">
        <f t="shared" si="7"/>
        <v>5000</v>
      </c>
      <c r="AC7" s="251">
        <f t="shared" si="7"/>
        <v>5000</v>
      </c>
      <c r="AD7" s="251">
        <f t="shared" si="7"/>
        <v>5000</v>
      </c>
      <c r="AE7" s="1136">
        <f t="shared" si="7"/>
        <v>2142.8571428571431</v>
      </c>
      <c r="AF7" s="249"/>
      <c r="AG7" s="249"/>
      <c r="AH7" s="249"/>
      <c r="AI7" s="1135">
        <f>SUM(W7:AH7)</f>
        <v>39870.129870129873</v>
      </c>
      <c r="AJ7" s="249">
        <f>U7-W7-X7-Y7-Z7-AA7-AB7-AC7-AD7-AE7-AF7-AG7-AH7</f>
        <v>15000.000000000002</v>
      </c>
      <c r="AK7" s="249" t="s">
        <v>283</v>
      </c>
      <c r="AL7" s="249" t="s">
        <v>283</v>
      </c>
      <c r="AM7" s="249" t="s">
        <v>283</v>
      </c>
      <c r="AN7" s="290" t="e">
        <f t="shared" si="6"/>
        <v>#VALUE!</v>
      </c>
    </row>
    <row r="8" spans="1:40" ht="22.5" hidden="1" customHeight="1">
      <c r="A8" s="127">
        <v>7</v>
      </c>
      <c r="B8" s="56" t="s">
        <v>204</v>
      </c>
      <c r="C8" s="56" t="s">
        <v>93</v>
      </c>
      <c r="D8" s="128">
        <v>30000</v>
      </c>
      <c r="E8" s="128">
        <v>5000</v>
      </c>
      <c r="F8" s="118">
        <v>44799</v>
      </c>
      <c r="G8" s="118">
        <v>45164</v>
      </c>
      <c r="H8" s="56" t="s">
        <v>282</v>
      </c>
      <c r="I8" s="163">
        <v>0</v>
      </c>
      <c r="J8" s="56">
        <v>5000</v>
      </c>
      <c r="K8" s="56">
        <v>5000</v>
      </c>
      <c r="L8" s="56">
        <v>5000</v>
      </c>
      <c r="M8" s="163">
        <v>0</v>
      </c>
      <c r="N8" s="56">
        <v>5000</v>
      </c>
      <c r="O8" s="163">
        <v>5000</v>
      </c>
      <c r="P8" s="163">
        <v>5000</v>
      </c>
      <c r="Q8" s="163">
        <v>5000</v>
      </c>
      <c r="R8" s="171">
        <v>5000</v>
      </c>
      <c r="S8" s="175">
        <f>E8/23*19</f>
        <v>4130.434782608696</v>
      </c>
      <c r="T8" s="171">
        <f>E8/20*8</f>
        <v>2000</v>
      </c>
      <c r="U8" s="252">
        <f t="shared" si="0"/>
        <v>46130.434782608696</v>
      </c>
      <c r="V8" s="249" t="e">
        <f>'[1]2022'!U7</f>
        <v>#REF!</v>
      </c>
      <c r="W8" s="249">
        <f>I8</f>
        <v>0</v>
      </c>
      <c r="X8" s="249"/>
      <c r="Y8" s="249"/>
      <c r="Z8" s="249"/>
      <c r="AA8" s="249"/>
      <c r="AB8" s="249"/>
      <c r="AC8" s="249"/>
      <c r="AD8" s="249"/>
      <c r="AE8" s="249"/>
      <c r="AF8" s="249"/>
      <c r="AG8" s="249"/>
      <c r="AH8" s="249"/>
      <c r="AI8" s="251">
        <f>SUM(W8:AH8)</f>
        <v>0</v>
      </c>
      <c r="AJ8" s="251">
        <f>U8-W8-X8-Y8-Z8-AA8-AB8-AC8-AD8-AE8-AF8-AG8-AH8</f>
        <v>46130.434782608696</v>
      </c>
      <c r="AK8" s="251"/>
      <c r="AL8" s="251"/>
      <c r="AM8" s="251"/>
      <c r="AN8" s="270">
        <f t="shared" si="6"/>
        <v>0</v>
      </c>
    </row>
    <row r="9" spans="1:40" ht="22.5" hidden="1" customHeight="1">
      <c r="A9" s="127">
        <v>8</v>
      </c>
      <c r="B9" s="56" t="s">
        <v>286</v>
      </c>
      <c r="C9" s="56" t="s">
        <v>93</v>
      </c>
      <c r="D9" s="128">
        <v>6000</v>
      </c>
      <c r="E9" s="128">
        <v>4000</v>
      </c>
      <c r="F9" s="118">
        <v>45271</v>
      </c>
      <c r="G9" s="118">
        <v>45819</v>
      </c>
      <c r="H9" s="56" t="s">
        <v>282</v>
      </c>
      <c r="I9" s="163" t="s">
        <v>30</v>
      </c>
      <c r="J9" s="56" t="s">
        <v>30</v>
      </c>
      <c r="K9" s="56" t="s">
        <v>30</v>
      </c>
      <c r="L9" s="56" t="s">
        <v>30</v>
      </c>
      <c r="M9" s="163" t="s">
        <v>30</v>
      </c>
      <c r="N9" s="56" t="s">
        <v>30</v>
      </c>
      <c r="O9" s="163" t="s">
        <v>30</v>
      </c>
      <c r="P9" s="163" t="s">
        <v>30</v>
      </c>
      <c r="Q9" s="163" t="s">
        <v>30</v>
      </c>
      <c r="R9" s="171" t="s">
        <v>30</v>
      </c>
      <c r="S9" s="175">
        <v>5000</v>
      </c>
      <c r="T9" s="171">
        <f>E9/25*11</f>
        <v>1760</v>
      </c>
      <c r="U9" s="252">
        <f t="shared" si="0"/>
        <v>6760</v>
      </c>
      <c r="V9" s="249"/>
      <c r="W9" s="249">
        <f>S9</f>
        <v>5000</v>
      </c>
      <c r="X9" s="249"/>
      <c r="Y9" s="249"/>
      <c r="Z9" s="249"/>
      <c r="AA9" s="249"/>
      <c r="AB9" s="249"/>
      <c r="AC9" s="249"/>
      <c r="AD9" s="249"/>
      <c r="AE9" s="249"/>
      <c r="AF9" s="249"/>
      <c r="AG9" s="249">
        <f>S9</f>
        <v>5000</v>
      </c>
      <c r="AH9" s="249"/>
      <c r="AI9" s="251"/>
      <c r="AJ9" s="251"/>
      <c r="AK9" s="251"/>
      <c r="AL9" s="251"/>
      <c r="AM9" s="251"/>
      <c r="AN9" s="270"/>
    </row>
    <row r="10" spans="1:40" ht="21" hidden="1" customHeight="1">
      <c r="A10" s="127">
        <v>9</v>
      </c>
      <c r="B10" s="56" t="s">
        <v>248</v>
      </c>
      <c r="C10" s="56" t="s">
        <v>247</v>
      </c>
      <c r="D10" s="128">
        <v>10000</v>
      </c>
      <c r="E10" s="128">
        <v>6000</v>
      </c>
      <c r="F10" s="118">
        <v>44665</v>
      </c>
      <c r="G10" s="118">
        <v>45030</v>
      </c>
      <c r="H10" s="56" t="s">
        <v>282</v>
      </c>
      <c r="I10" s="56">
        <v>0</v>
      </c>
      <c r="J10" s="163">
        <f>E10/23*15.5</f>
        <v>4043.4782608695655</v>
      </c>
      <c r="K10" s="56">
        <v>4000</v>
      </c>
      <c r="L10" s="56">
        <v>3000</v>
      </c>
      <c r="M10" s="56">
        <v>4900</v>
      </c>
      <c r="N10" s="56">
        <v>5700</v>
      </c>
      <c r="O10" s="163">
        <f>E10-1800</f>
        <v>4200</v>
      </c>
      <c r="P10" s="163">
        <v>5500</v>
      </c>
      <c r="Q10" s="163">
        <v>0</v>
      </c>
      <c r="R10" s="175">
        <f>E10/22*15</f>
        <v>4090.909090909091</v>
      </c>
      <c r="S10" s="175">
        <v>0</v>
      </c>
      <c r="T10" s="171">
        <f>E10/20*7</f>
        <v>2100</v>
      </c>
      <c r="U10" s="252">
        <f t="shared" si="0"/>
        <v>37534.387351778656</v>
      </c>
      <c r="V10" s="249" t="e">
        <f>'[1]2022'!U49</f>
        <v>#REF!</v>
      </c>
      <c r="W10" s="249">
        <f>I10</f>
        <v>0</v>
      </c>
      <c r="X10" s="249"/>
      <c r="Y10" s="249"/>
      <c r="Z10" s="249"/>
      <c r="AA10" s="249"/>
      <c r="AB10" s="249"/>
      <c r="AC10" s="249"/>
      <c r="AD10" s="249"/>
      <c r="AE10" s="249"/>
      <c r="AF10" s="249"/>
      <c r="AG10" s="249"/>
      <c r="AH10" s="249"/>
      <c r="AI10" s="249">
        <f>SUM(W10:AH10)</f>
        <v>0</v>
      </c>
      <c r="AJ10" s="249">
        <f>U10-W10-X10-Y10-Z10-AA10-AB10-AC10-AD10-AE10-AF10-AG10-AH10</f>
        <v>37534.387351778656</v>
      </c>
      <c r="AK10" s="249" t="e">
        <f>V10</f>
        <v>#REF!</v>
      </c>
      <c r="AL10" s="249"/>
      <c r="AM10" s="249"/>
      <c r="AN10" s="290" t="e">
        <f>AJ10+AK10+AL10+AM10</f>
        <v>#REF!</v>
      </c>
    </row>
    <row r="11" spans="1:40" ht="21" hidden="1" customHeight="1">
      <c r="A11" s="127">
        <v>10</v>
      </c>
      <c r="B11" s="56" t="s">
        <v>287</v>
      </c>
      <c r="C11" s="56" t="s">
        <v>86</v>
      </c>
      <c r="D11" s="128">
        <v>6000</v>
      </c>
      <c r="E11" s="128">
        <v>10000</v>
      </c>
      <c r="F11" s="118">
        <v>45056</v>
      </c>
      <c r="G11" s="118">
        <v>45606</v>
      </c>
      <c r="H11" s="56" t="s">
        <v>282</v>
      </c>
      <c r="I11" s="163" t="s">
        <v>30</v>
      </c>
      <c r="J11" s="163" t="s">
        <v>30</v>
      </c>
      <c r="K11" s="163" t="s">
        <v>30</v>
      </c>
      <c r="L11" s="163" t="s">
        <v>30</v>
      </c>
      <c r="M11" s="163">
        <f>E11/22*12</f>
        <v>5454.545454545455</v>
      </c>
      <c r="N11" s="56">
        <v>7000</v>
      </c>
      <c r="O11" s="163">
        <v>10000</v>
      </c>
      <c r="P11" s="163">
        <f>E11/23*19</f>
        <v>8260.8695652173919</v>
      </c>
      <c r="Q11" s="163">
        <f>E11/21*12</f>
        <v>5714.2857142857147</v>
      </c>
      <c r="R11" s="175">
        <v>4000</v>
      </c>
      <c r="S11" s="171">
        <v>7000</v>
      </c>
      <c r="T11" s="171">
        <v>10000</v>
      </c>
      <c r="U11" s="252">
        <f t="shared" si="0"/>
        <v>57429.700734048565</v>
      </c>
      <c r="V11" s="249"/>
      <c r="W11" s="249"/>
      <c r="X11" s="249"/>
      <c r="Y11" s="249"/>
      <c r="Z11" s="249"/>
      <c r="AA11" s="249"/>
      <c r="AB11" s="249"/>
      <c r="AC11" s="249"/>
      <c r="AD11" s="249"/>
      <c r="AE11" s="249"/>
      <c r="AF11" s="249"/>
      <c r="AG11" s="249"/>
      <c r="AH11" s="249"/>
      <c r="AI11" s="251"/>
      <c r="AJ11" s="251"/>
      <c r="AK11" s="251"/>
      <c r="AL11" s="251"/>
      <c r="AM11" s="251"/>
      <c r="AN11" s="270"/>
    </row>
    <row r="12" spans="1:40" ht="21" hidden="1" customHeight="1">
      <c r="A12" s="127">
        <v>11</v>
      </c>
      <c r="B12" s="56" t="s">
        <v>288</v>
      </c>
      <c r="C12" s="56" t="s">
        <v>86</v>
      </c>
      <c r="D12" s="128">
        <v>10000</v>
      </c>
      <c r="E12" s="128">
        <v>6000</v>
      </c>
      <c r="F12" s="118">
        <v>44830</v>
      </c>
      <c r="G12" s="118">
        <v>45194</v>
      </c>
      <c r="H12" s="56" t="s">
        <v>282</v>
      </c>
      <c r="I12" s="56">
        <v>5000</v>
      </c>
      <c r="J12" s="163">
        <f>E12/23*8</f>
        <v>2086.9565217391305</v>
      </c>
      <c r="K12" s="56">
        <v>6000</v>
      </c>
      <c r="L12" s="56">
        <v>5000</v>
      </c>
      <c r="M12" s="56">
        <v>3000</v>
      </c>
      <c r="N12" s="56">
        <v>0</v>
      </c>
      <c r="O12" s="163">
        <v>0</v>
      </c>
      <c r="P12" s="163">
        <v>4000</v>
      </c>
      <c r="Q12" s="163">
        <v>4000</v>
      </c>
      <c r="R12" s="175">
        <f>E12/22*14</f>
        <v>3818.1818181818185</v>
      </c>
      <c r="S12" s="171">
        <v>3000</v>
      </c>
      <c r="T12" s="171">
        <f>E12/25*21</f>
        <v>5040</v>
      </c>
      <c r="U12" s="252">
        <f t="shared" si="0"/>
        <v>40945.138339920944</v>
      </c>
      <c r="V12" s="249" t="e">
        <f>'[1]2022'!U28</f>
        <v>#REF!</v>
      </c>
      <c r="W12" s="249">
        <f t="shared" ref="W12:AE12" si="8">I12</f>
        <v>5000</v>
      </c>
      <c r="X12" s="1135">
        <f t="shared" si="8"/>
        <v>2086.9565217391305</v>
      </c>
      <c r="Y12" s="249">
        <f t="shared" si="8"/>
        <v>6000</v>
      </c>
      <c r="Z12" s="249">
        <f t="shared" si="8"/>
        <v>5000</v>
      </c>
      <c r="AA12" s="249">
        <f t="shared" si="8"/>
        <v>3000</v>
      </c>
      <c r="AB12" s="249">
        <f t="shared" si="8"/>
        <v>0</v>
      </c>
      <c r="AC12" s="249">
        <f t="shared" si="8"/>
        <v>0</v>
      </c>
      <c r="AD12" s="249">
        <f t="shared" si="8"/>
        <v>4000</v>
      </c>
      <c r="AE12" s="249">
        <f t="shared" si="8"/>
        <v>4000</v>
      </c>
      <c r="AF12" s="249"/>
      <c r="AG12" s="249"/>
      <c r="AH12" s="249"/>
      <c r="AI12" s="1135">
        <f>SUM(W12:AH12)</f>
        <v>29086.956521739128</v>
      </c>
      <c r="AJ12" s="249">
        <f>U12-W12-X12-Y12-Z12-AA12-AB12-AC12-AD12-AE12-AF12-AG12-AH12</f>
        <v>11858.181818181816</v>
      </c>
      <c r="AK12" s="249"/>
      <c r="AL12" s="249"/>
      <c r="AM12" s="249"/>
      <c r="AN12" s="290">
        <f>AK12+AL12+AM12</f>
        <v>0</v>
      </c>
    </row>
    <row r="13" spans="1:40" ht="21" customHeight="1">
      <c r="A13" s="127">
        <v>12</v>
      </c>
      <c r="B13" s="56" t="s">
        <v>289</v>
      </c>
      <c r="C13" s="56" t="s">
        <v>86</v>
      </c>
      <c r="D13" s="128">
        <v>6000</v>
      </c>
      <c r="E13" s="128">
        <v>10000</v>
      </c>
      <c r="F13" s="118">
        <v>45056</v>
      </c>
      <c r="G13" s="118">
        <v>45606</v>
      </c>
      <c r="H13" s="56" t="s">
        <v>282</v>
      </c>
      <c r="I13" s="163" t="s">
        <v>30</v>
      </c>
      <c r="J13" s="163" t="s">
        <v>30</v>
      </c>
      <c r="K13" s="163" t="s">
        <v>30</v>
      </c>
      <c r="L13" s="163" t="s">
        <v>30</v>
      </c>
      <c r="M13" s="163">
        <f>E13/22*12</f>
        <v>5454.545454545455</v>
      </c>
      <c r="N13" s="56">
        <v>10000</v>
      </c>
      <c r="O13" s="163">
        <v>10000</v>
      </c>
      <c r="P13" s="163">
        <v>10000</v>
      </c>
      <c r="Q13" s="163">
        <v>10000</v>
      </c>
      <c r="R13" s="171">
        <v>10000</v>
      </c>
      <c r="S13" s="175">
        <f>R13/23*17</f>
        <v>7391.304347826087</v>
      </c>
      <c r="T13" s="171">
        <v>10000</v>
      </c>
      <c r="U13" s="252">
        <f t="shared" si="0"/>
        <v>72845.849802371551</v>
      </c>
      <c r="V13" s="249"/>
      <c r="W13" s="249"/>
      <c r="X13" s="249"/>
      <c r="Y13" s="249"/>
      <c r="Z13" s="249"/>
      <c r="AA13" s="249"/>
      <c r="AB13" s="249"/>
      <c r="AC13" s="249"/>
      <c r="AD13" s="249"/>
      <c r="AE13" s="249"/>
      <c r="AF13" s="249"/>
      <c r="AG13" s="249"/>
      <c r="AH13" s="249"/>
      <c r="AI13" s="251"/>
      <c r="AJ13" s="251"/>
      <c r="AK13" s="251"/>
      <c r="AL13" s="251"/>
      <c r="AM13" s="251"/>
      <c r="AN13" s="270"/>
    </row>
    <row r="14" spans="1:40" ht="21" hidden="1" customHeight="1">
      <c r="A14" s="127">
        <v>13</v>
      </c>
      <c r="B14" s="56" t="s">
        <v>90</v>
      </c>
      <c r="C14" s="56" t="s">
        <v>86</v>
      </c>
      <c r="D14" s="128">
        <v>40000</v>
      </c>
      <c r="E14" s="128">
        <v>5000</v>
      </c>
      <c r="F14" s="702">
        <v>44838</v>
      </c>
      <c r="G14" s="702">
        <v>45202</v>
      </c>
      <c r="H14" s="56" t="s">
        <v>282</v>
      </c>
      <c r="I14" s="163" t="s">
        <v>30</v>
      </c>
      <c r="J14" s="163" t="s">
        <v>30</v>
      </c>
      <c r="K14" s="163" t="s">
        <v>30</v>
      </c>
      <c r="L14" s="163" t="s">
        <v>30</v>
      </c>
      <c r="M14" s="163" t="s">
        <v>30</v>
      </c>
      <c r="N14" s="163" t="s">
        <v>30</v>
      </c>
      <c r="O14" s="163" t="s">
        <v>30</v>
      </c>
      <c r="P14" s="163" t="s">
        <v>30</v>
      </c>
      <c r="Q14" s="163" t="s">
        <v>30</v>
      </c>
      <c r="R14" s="175">
        <f>E14/22*6</f>
        <v>1363.6363636363637</v>
      </c>
      <c r="S14" s="175">
        <f>E14/23*13</f>
        <v>2826.086956521739</v>
      </c>
      <c r="T14" s="171">
        <f>E14/20*15</f>
        <v>3750</v>
      </c>
      <c r="U14" s="252">
        <f t="shared" si="0"/>
        <v>7939.723320158103</v>
      </c>
      <c r="V14" s="249"/>
      <c r="W14" s="249"/>
      <c r="X14" s="249"/>
      <c r="Y14" s="249"/>
      <c r="Z14" s="249"/>
      <c r="AA14" s="249"/>
      <c r="AB14" s="249"/>
      <c r="AC14" s="249"/>
      <c r="AD14" s="249"/>
      <c r="AE14" s="249"/>
      <c r="AF14" s="249"/>
      <c r="AG14" s="249"/>
      <c r="AH14" s="249"/>
      <c r="AI14" s="251"/>
      <c r="AJ14" s="251"/>
      <c r="AK14" s="251"/>
      <c r="AL14" s="251"/>
      <c r="AM14" s="251"/>
      <c r="AN14" s="270"/>
    </row>
    <row r="15" spans="1:40" ht="21" hidden="1" customHeight="1">
      <c r="A15" s="127">
        <v>14</v>
      </c>
      <c r="B15" s="56" t="s">
        <v>205</v>
      </c>
      <c r="C15" s="56" t="s">
        <v>86</v>
      </c>
      <c r="D15" s="128">
        <v>35000</v>
      </c>
      <c r="E15" s="128">
        <v>5000</v>
      </c>
      <c r="F15" s="702">
        <v>44812</v>
      </c>
      <c r="G15" s="702">
        <v>45177</v>
      </c>
      <c r="H15" s="56" t="s">
        <v>282</v>
      </c>
      <c r="I15" s="163">
        <v>5000</v>
      </c>
      <c r="J15" s="163">
        <v>2000</v>
      </c>
      <c r="K15" s="163" t="s">
        <v>30</v>
      </c>
      <c r="L15" s="163" t="s">
        <v>30</v>
      </c>
      <c r="M15" s="163" t="s">
        <v>30</v>
      </c>
      <c r="N15" s="163" t="s">
        <v>30</v>
      </c>
      <c r="O15" s="163" t="s">
        <v>30</v>
      </c>
      <c r="P15" s="163" t="s">
        <v>30</v>
      </c>
      <c r="Q15" s="163" t="s">
        <v>30</v>
      </c>
      <c r="R15" s="175">
        <v>2500</v>
      </c>
      <c r="S15" s="171">
        <v>2500</v>
      </c>
      <c r="T15" s="171">
        <v>5000</v>
      </c>
      <c r="U15" s="252">
        <f t="shared" si="0"/>
        <v>17000</v>
      </c>
      <c r="V15" s="249"/>
      <c r="W15" s="249"/>
      <c r="X15" s="249"/>
      <c r="Y15" s="249" t="str">
        <f t="shared" ref="Y15:AE15" si="9">K15</f>
        <v>NA</v>
      </c>
      <c r="Z15" s="249" t="str">
        <f t="shared" si="9"/>
        <v>NA</v>
      </c>
      <c r="AA15" s="249" t="str">
        <f t="shared" si="9"/>
        <v>NA</v>
      </c>
      <c r="AB15" s="249" t="str">
        <f t="shared" si="9"/>
        <v>NA</v>
      </c>
      <c r="AC15" s="249" t="str">
        <f t="shared" si="9"/>
        <v>NA</v>
      </c>
      <c r="AD15" s="249" t="str">
        <f t="shared" si="9"/>
        <v>NA</v>
      </c>
      <c r="AE15" s="249" t="str">
        <f t="shared" si="9"/>
        <v>NA</v>
      </c>
      <c r="AF15" s="249"/>
      <c r="AG15" s="249"/>
      <c r="AH15" s="249"/>
      <c r="AI15" s="251"/>
      <c r="AJ15" s="251"/>
      <c r="AK15" s="251"/>
      <c r="AL15" s="251">
        <f>AI15+AJ15+AK15</f>
        <v>0</v>
      </c>
      <c r="AM15" s="251"/>
      <c r="AN15" s="270"/>
    </row>
    <row r="16" spans="1:40" ht="21" hidden="1" customHeight="1">
      <c r="A16" s="127">
        <v>15</v>
      </c>
      <c r="B16" s="56" t="s">
        <v>206</v>
      </c>
      <c r="C16" s="56" t="s">
        <v>86</v>
      </c>
      <c r="D16" s="128">
        <v>25000</v>
      </c>
      <c r="E16" s="128">
        <v>5000</v>
      </c>
      <c r="F16" s="118">
        <v>44817</v>
      </c>
      <c r="G16" s="118">
        <v>45182</v>
      </c>
      <c r="H16" s="56" t="s">
        <v>282</v>
      </c>
      <c r="I16" s="163">
        <f>E16/22*13</f>
        <v>2954.5454545454545</v>
      </c>
      <c r="J16" s="163">
        <v>0</v>
      </c>
      <c r="K16" s="56">
        <v>10000</v>
      </c>
      <c r="L16" s="56">
        <v>10000</v>
      </c>
      <c r="M16" s="56">
        <v>10000</v>
      </c>
      <c r="N16" s="56">
        <v>10000</v>
      </c>
      <c r="O16" s="163">
        <v>10000</v>
      </c>
      <c r="P16" s="163">
        <v>10000</v>
      </c>
      <c r="Q16" s="163">
        <v>10000</v>
      </c>
      <c r="R16" s="162">
        <v>2500</v>
      </c>
      <c r="S16" s="162">
        <v>0</v>
      </c>
      <c r="T16" s="162">
        <v>2500</v>
      </c>
      <c r="U16" s="252">
        <f t="shared" si="0"/>
        <v>77954.545454545456</v>
      </c>
      <c r="V16" s="249" t="e">
        <f>'[1]2022'!U10</f>
        <v>#REF!</v>
      </c>
      <c r="W16" s="249"/>
      <c r="X16" s="249"/>
      <c r="Y16" s="249"/>
      <c r="Z16" s="249"/>
      <c r="AA16" s="249"/>
      <c r="AB16" s="249"/>
      <c r="AC16" s="249"/>
      <c r="AD16" s="249"/>
      <c r="AE16" s="249"/>
      <c r="AF16" s="251">
        <f t="shared" ref="AF16:AH16" si="10">R16</f>
        <v>2500</v>
      </c>
      <c r="AG16" s="251">
        <f t="shared" si="10"/>
        <v>0</v>
      </c>
      <c r="AH16" s="251">
        <f t="shared" si="10"/>
        <v>2500</v>
      </c>
      <c r="AI16" s="251">
        <f t="shared" ref="AI16:AI22" si="11">SUM(W16:AH16)</f>
        <v>5000</v>
      </c>
      <c r="AJ16" s="251">
        <f t="shared" ref="AJ16:AJ22" si="12">U16-W16-X16-Y16-Z16-AA16-AB16-AC16-AD16-AE16-AF16-AG16-AH16</f>
        <v>72954.545454545456</v>
      </c>
      <c r="AK16" s="251"/>
      <c r="AL16" s="251"/>
      <c r="AM16" s="251"/>
      <c r="AN16" s="270">
        <f t="shared" ref="AN16:AN22" si="13">AK16+AL16+AM16</f>
        <v>0</v>
      </c>
    </row>
    <row r="17" spans="1:40" ht="38.25" hidden="1" customHeight="1">
      <c r="A17" s="127">
        <v>16</v>
      </c>
      <c r="B17" s="722" t="s">
        <v>208</v>
      </c>
      <c r="C17" s="722" t="s">
        <v>76</v>
      </c>
      <c r="D17" s="722">
        <v>15000</v>
      </c>
      <c r="E17" s="722">
        <v>6000</v>
      </c>
      <c r="F17" s="723">
        <v>45228</v>
      </c>
      <c r="G17" s="723">
        <v>45594</v>
      </c>
      <c r="H17" s="722" t="s">
        <v>282</v>
      </c>
      <c r="I17" s="722">
        <v>10000</v>
      </c>
      <c r="J17" s="738">
        <f>E17/23*8</f>
        <v>2086.9565217391305</v>
      </c>
      <c r="K17" s="722">
        <v>10000</v>
      </c>
      <c r="L17" s="722">
        <v>10000</v>
      </c>
      <c r="M17" s="722">
        <v>10000</v>
      </c>
      <c r="N17" s="722">
        <v>10000</v>
      </c>
      <c r="O17" s="722">
        <v>10000</v>
      </c>
      <c r="P17" s="722">
        <v>10000</v>
      </c>
      <c r="Q17" s="722">
        <v>6000</v>
      </c>
      <c r="R17" s="722">
        <v>6000</v>
      </c>
      <c r="S17" s="171">
        <v>0</v>
      </c>
      <c r="T17" s="170">
        <v>6000</v>
      </c>
      <c r="U17" s="745">
        <f>SUM(I17:T17)-4000</f>
        <v>86086.956521739135</v>
      </c>
      <c r="V17" s="746" t="e">
        <f>'[1]2022'!U13</f>
        <v>#REF!</v>
      </c>
      <c r="W17" s="746">
        <v>200</v>
      </c>
      <c r="X17" s="746">
        <v>3478</v>
      </c>
      <c r="Y17" s="746">
        <v>4000</v>
      </c>
      <c r="Z17" s="746">
        <v>4000</v>
      </c>
      <c r="AA17" s="746">
        <v>4000</v>
      </c>
      <c r="AB17" s="746">
        <v>4000</v>
      </c>
      <c r="AC17" s="746">
        <v>4000</v>
      </c>
      <c r="AD17" s="746">
        <v>4000</v>
      </c>
      <c r="AE17" s="746"/>
      <c r="AF17" s="746"/>
      <c r="AG17" s="249">
        <f>S17</f>
        <v>0</v>
      </c>
      <c r="AH17" s="249"/>
      <c r="AI17" s="249">
        <f t="shared" si="11"/>
        <v>27678</v>
      </c>
      <c r="AJ17" s="249">
        <f t="shared" si="12"/>
        <v>58408.956521739135</v>
      </c>
      <c r="AK17" s="249"/>
      <c r="AL17" s="249"/>
      <c r="AM17" s="249"/>
      <c r="AN17" s="290">
        <f t="shared" si="13"/>
        <v>0</v>
      </c>
    </row>
    <row r="18" spans="1:40" ht="19.5" hidden="1" customHeight="1">
      <c r="A18" s="127">
        <v>17</v>
      </c>
      <c r="B18" s="56" t="s">
        <v>104</v>
      </c>
      <c r="C18" s="56" t="s">
        <v>76</v>
      </c>
      <c r="D18" s="128">
        <v>70000</v>
      </c>
      <c r="E18" s="128">
        <v>10000</v>
      </c>
      <c r="F18" s="118">
        <v>44710</v>
      </c>
      <c r="G18" s="118">
        <v>45074</v>
      </c>
      <c r="H18" s="56" t="s">
        <v>282</v>
      </c>
      <c r="I18" s="56">
        <v>10000</v>
      </c>
      <c r="J18" s="56">
        <v>10000</v>
      </c>
      <c r="K18" s="56">
        <v>10000</v>
      </c>
      <c r="L18" s="56">
        <v>10000</v>
      </c>
      <c r="M18" s="56">
        <v>10000</v>
      </c>
      <c r="N18" s="56">
        <v>10000</v>
      </c>
      <c r="O18" s="163">
        <v>10000</v>
      </c>
      <c r="P18" s="163">
        <v>10000</v>
      </c>
      <c r="Q18" s="163">
        <v>10000</v>
      </c>
      <c r="R18" s="175">
        <f>E18/22*15</f>
        <v>6818.181818181818</v>
      </c>
      <c r="S18" s="171">
        <v>10000</v>
      </c>
      <c r="T18" s="175">
        <v>10000</v>
      </c>
      <c r="U18" s="252">
        <f t="shared" ref="U18:U54" si="14">SUM(I18:T18)</f>
        <v>116818.18181818182</v>
      </c>
      <c r="V18" s="249" t="e">
        <f>'[1]2022'!U11</f>
        <v>#REF!</v>
      </c>
      <c r="W18" s="249"/>
      <c r="X18" s="249"/>
      <c r="Y18" s="249"/>
      <c r="Z18" s="249"/>
      <c r="AA18" s="249"/>
      <c r="AB18" s="249"/>
      <c r="AC18" s="249"/>
      <c r="AD18" s="249"/>
      <c r="AE18" s="249"/>
      <c r="AF18" s="249"/>
      <c r="AG18" s="249"/>
      <c r="AH18" s="249"/>
      <c r="AI18" s="249">
        <f t="shared" si="11"/>
        <v>0</v>
      </c>
      <c r="AJ18" s="249">
        <f t="shared" si="12"/>
        <v>116818.18181818182</v>
      </c>
      <c r="AK18" s="249"/>
      <c r="AL18" s="249"/>
      <c r="AM18" s="249"/>
      <c r="AN18" s="290">
        <f t="shared" si="13"/>
        <v>0</v>
      </c>
    </row>
    <row r="19" spans="1:40" ht="21" hidden="1" customHeight="1">
      <c r="A19" s="127">
        <v>18</v>
      </c>
      <c r="B19" s="56" t="s">
        <v>290</v>
      </c>
      <c r="C19" s="56" t="s">
        <v>76</v>
      </c>
      <c r="D19" s="128">
        <v>20000</v>
      </c>
      <c r="E19" s="128">
        <v>10000</v>
      </c>
      <c r="F19" s="118">
        <v>44945</v>
      </c>
      <c r="G19" s="118">
        <v>45309</v>
      </c>
      <c r="H19" s="56" t="s">
        <v>282</v>
      </c>
      <c r="I19" s="163">
        <f>8182+1818</f>
        <v>10000</v>
      </c>
      <c r="J19" s="163">
        <v>10000</v>
      </c>
      <c r="K19" s="163">
        <v>10000</v>
      </c>
      <c r="L19" s="163">
        <v>10000</v>
      </c>
      <c r="M19" s="56">
        <v>10000</v>
      </c>
      <c r="N19" s="56">
        <v>10000</v>
      </c>
      <c r="O19" s="163">
        <v>10000</v>
      </c>
      <c r="P19" s="163">
        <v>10000</v>
      </c>
      <c r="Q19" s="163">
        <f>E19/21*16</f>
        <v>7619.0476190476193</v>
      </c>
      <c r="R19" s="171">
        <v>8000</v>
      </c>
      <c r="S19" s="171">
        <v>7000</v>
      </c>
      <c r="T19" s="175">
        <v>5000</v>
      </c>
      <c r="U19" s="252">
        <f t="shared" si="14"/>
        <v>107619.04761904762</v>
      </c>
      <c r="V19" s="1135">
        <f>SUM(I19:T19)</f>
        <v>107619.04761904762</v>
      </c>
      <c r="W19" s="249"/>
      <c r="X19" s="249"/>
      <c r="Y19" s="249"/>
      <c r="Z19" s="249"/>
      <c r="AA19" s="249"/>
      <c r="AB19" s="249"/>
      <c r="AC19" s="249"/>
      <c r="AD19" s="249"/>
      <c r="AE19" s="249"/>
      <c r="AF19" s="249"/>
      <c r="AG19" s="249"/>
      <c r="AH19" s="249"/>
      <c r="AI19" s="249">
        <f t="shared" si="11"/>
        <v>0</v>
      </c>
      <c r="AJ19" s="249">
        <f t="shared" si="12"/>
        <v>107619.04761904762</v>
      </c>
      <c r="AK19" s="249"/>
      <c r="AL19" s="249"/>
      <c r="AM19" s="249"/>
      <c r="AN19" s="290">
        <f t="shared" si="13"/>
        <v>0</v>
      </c>
    </row>
    <row r="20" spans="1:40" ht="21" hidden="1" customHeight="1">
      <c r="A20" s="127">
        <v>19</v>
      </c>
      <c r="B20" s="56" t="s">
        <v>211</v>
      </c>
      <c r="C20" s="56" t="s">
        <v>212</v>
      </c>
      <c r="D20" s="128">
        <v>25000</v>
      </c>
      <c r="E20" s="128">
        <v>10000</v>
      </c>
      <c r="F20" s="118">
        <v>45049</v>
      </c>
      <c r="G20" s="118">
        <v>45599</v>
      </c>
      <c r="H20" s="56" t="s">
        <v>282</v>
      </c>
      <c r="I20" s="56">
        <v>10000</v>
      </c>
      <c r="J20" s="163">
        <f>E20/23*12</f>
        <v>5217.391304347826</v>
      </c>
      <c r="K20" s="56">
        <v>10000</v>
      </c>
      <c r="L20" s="56">
        <v>10000</v>
      </c>
      <c r="M20" s="56">
        <v>10000</v>
      </c>
      <c r="N20" s="56">
        <v>10000</v>
      </c>
      <c r="O20" s="163">
        <v>10000</v>
      </c>
      <c r="P20" s="163">
        <v>10000</v>
      </c>
      <c r="Q20" s="163">
        <v>10000</v>
      </c>
      <c r="R20" s="171">
        <v>10000</v>
      </c>
      <c r="S20" s="171">
        <v>10000</v>
      </c>
      <c r="T20" s="171">
        <v>10000</v>
      </c>
      <c r="U20" s="252">
        <f t="shared" si="14"/>
        <v>115217.39130434782</v>
      </c>
      <c r="V20" s="249" t="e">
        <f>'[1]2022'!U15</f>
        <v>#REF!</v>
      </c>
      <c r="W20" s="249"/>
      <c r="X20" s="249"/>
      <c r="Y20" s="249"/>
      <c r="Z20" s="249"/>
      <c r="AA20" s="249"/>
      <c r="AB20" s="249"/>
      <c r="AC20" s="249"/>
      <c r="AD20" s="249"/>
      <c r="AE20" s="249"/>
      <c r="AF20" s="249"/>
      <c r="AG20" s="249"/>
      <c r="AH20" s="249"/>
      <c r="AI20" s="249">
        <f t="shared" si="11"/>
        <v>0</v>
      </c>
      <c r="AJ20" s="249">
        <f t="shared" si="12"/>
        <v>115217.39130434782</v>
      </c>
      <c r="AK20" s="249"/>
      <c r="AL20" s="249"/>
      <c r="AM20" s="249"/>
      <c r="AN20" s="290">
        <f t="shared" si="13"/>
        <v>0</v>
      </c>
    </row>
    <row r="21" spans="1:40" ht="21" hidden="1" customHeight="1">
      <c r="A21" s="127">
        <v>20</v>
      </c>
      <c r="B21" s="56" t="s">
        <v>291</v>
      </c>
      <c r="C21" s="56" t="s">
        <v>212</v>
      </c>
      <c r="D21" s="128">
        <v>15000</v>
      </c>
      <c r="E21" s="128">
        <v>6000</v>
      </c>
      <c r="F21" s="118">
        <v>44841</v>
      </c>
      <c r="G21" s="118">
        <v>45206</v>
      </c>
      <c r="H21" s="56" t="s">
        <v>282</v>
      </c>
      <c r="I21" s="56">
        <v>6000</v>
      </c>
      <c r="J21" s="163">
        <f>E21/23*14</f>
        <v>3652.1739130434785</v>
      </c>
      <c r="K21" s="56">
        <v>6000</v>
      </c>
      <c r="L21" s="56">
        <v>6000</v>
      </c>
      <c r="M21" s="56">
        <v>6000</v>
      </c>
      <c r="N21" s="163">
        <v>6000</v>
      </c>
      <c r="O21" s="163">
        <v>6000</v>
      </c>
      <c r="P21" s="163">
        <v>6000</v>
      </c>
      <c r="Q21" s="163">
        <v>6000</v>
      </c>
      <c r="R21" s="162">
        <v>4000</v>
      </c>
      <c r="S21" s="250">
        <f>E21/23*18</f>
        <v>4695.652173913044</v>
      </c>
      <c r="T21" s="162">
        <f>E21/20*14</f>
        <v>4200</v>
      </c>
      <c r="U21" s="252">
        <f t="shared" si="14"/>
        <v>64547.826086956527</v>
      </c>
      <c r="V21" s="249" t="e">
        <f>'[1]2022'!U19</f>
        <v>#REF!</v>
      </c>
      <c r="W21" s="249"/>
      <c r="X21" s="249"/>
      <c r="Y21" s="249"/>
      <c r="Z21" s="249"/>
      <c r="AA21" s="249"/>
      <c r="AB21" s="249"/>
      <c r="AC21" s="249"/>
      <c r="AD21" s="249"/>
      <c r="AE21" s="249"/>
      <c r="AF21" s="251">
        <f t="shared" ref="AF21:AH21" si="15">R21</f>
        <v>4000</v>
      </c>
      <c r="AG21" s="1136">
        <f t="shared" si="15"/>
        <v>4695.652173913044</v>
      </c>
      <c r="AH21" s="251">
        <f t="shared" si="15"/>
        <v>4200</v>
      </c>
      <c r="AI21" s="1135">
        <f t="shared" si="11"/>
        <v>12895.652173913044</v>
      </c>
      <c r="AJ21" s="249">
        <f t="shared" si="12"/>
        <v>51652.173913043487</v>
      </c>
      <c r="AK21" s="249"/>
      <c r="AL21" s="249"/>
      <c r="AM21" s="249"/>
      <c r="AN21" s="290">
        <f t="shared" si="13"/>
        <v>0</v>
      </c>
    </row>
    <row r="22" spans="1:40" ht="21" hidden="1" customHeight="1">
      <c r="A22" s="127">
        <v>21</v>
      </c>
      <c r="B22" s="56" t="s">
        <v>292</v>
      </c>
      <c r="C22" s="56" t="s">
        <v>212</v>
      </c>
      <c r="D22" s="128">
        <v>25000</v>
      </c>
      <c r="E22" s="128">
        <v>10000</v>
      </c>
      <c r="F22" s="118">
        <v>44972</v>
      </c>
      <c r="G22" s="118">
        <v>45336</v>
      </c>
      <c r="H22" s="56" t="s">
        <v>282</v>
      </c>
      <c r="I22" s="56">
        <v>10000</v>
      </c>
      <c r="J22" s="56">
        <v>10000</v>
      </c>
      <c r="K22" s="56">
        <v>0</v>
      </c>
      <c r="L22" s="56">
        <v>10000</v>
      </c>
      <c r="M22" s="56">
        <v>10000</v>
      </c>
      <c r="N22" s="56">
        <v>4000</v>
      </c>
      <c r="O22" s="163">
        <v>4000</v>
      </c>
      <c r="P22" s="163">
        <v>4000</v>
      </c>
      <c r="Q22" s="163">
        <v>8000</v>
      </c>
      <c r="R22" s="171">
        <v>8000</v>
      </c>
      <c r="S22" s="171">
        <v>8000</v>
      </c>
      <c r="T22" s="171">
        <v>8000</v>
      </c>
      <c r="U22" s="252">
        <f t="shared" si="14"/>
        <v>84000</v>
      </c>
      <c r="V22" s="249">
        <f>SUM(K22:T22)</f>
        <v>64000</v>
      </c>
      <c r="W22" s="249">
        <v>10000</v>
      </c>
      <c r="X22" s="249">
        <v>10000</v>
      </c>
      <c r="Y22" s="249"/>
      <c r="Z22" s="249"/>
      <c r="AA22" s="249"/>
      <c r="AB22" s="249"/>
      <c r="AC22" s="249"/>
      <c r="AD22" s="249"/>
      <c r="AE22" s="249"/>
      <c r="AF22" s="249"/>
      <c r="AG22" s="249"/>
      <c r="AH22" s="249"/>
      <c r="AI22" s="249">
        <f t="shared" si="11"/>
        <v>20000</v>
      </c>
      <c r="AJ22" s="249">
        <f t="shared" si="12"/>
        <v>64000</v>
      </c>
      <c r="AK22" s="249"/>
      <c r="AL22" s="249"/>
      <c r="AM22" s="249"/>
      <c r="AN22" s="290">
        <f t="shared" si="13"/>
        <v>0</v>
      </c>
    </row>
    <row r="23" spans="1:40" ht="21" hidden="1" customHeight="1">
      <c r="A23" s="127">
        <v>22</v>
      </c>
      <c r="B23" s="56" t="s">
        <v>293</v>
      </c>
      <c r="C23" s="56" t="s">
        <v>212</v>
      </c>
      <c r="D23" s="128">
        <v>6000</v>
      </c>
      <c r="E23" s="128">
        <v>10000</v>
      </c>
      <c r="F23" s="118">
        <v>45164</v>
      </c>
      <c r="G23" s="118">
        <v>45714</v>
      </c>
      <c r="H23" s="56" t="s">
        <v>282</v>
      </c>
      <c r="I23" s="56" t="s">
        <v>30</v>
      </c>
      <c r="J23" s="56" t="s">
        <v>30</v>
      </c>
      <c r="K23" s="56" t="s">
        <v>30</v>
      </c>
      <c r="L23" s="56" t="s">
        <v>30</v>
      </c>
      <c r="M23" s="56" t="s">
        <v>30</v>
      </c>
      <c r="N23" s="56" t="s">
        <v>30</v>
      </c>
      <c r="O23" s="163" t="s">
        <v>30</v>
      </c>
      <c r="P23" s="163" t="s">
        <v>30</v>
      </c>
      <c r="Q23" s="163">
        <v>8000</v>
      </c>
      <c r="R23" s="171">
        <v>8000</v>
      </c>
      <c r="S23" s="171">
        <v>10000</v>
      </c>
      <c r="T23" s="171">
        <v>8000</v>
      </c>
      <c r="U23" s="252">
        <f t="shared" si="14"/>
        <v>34000</v>
      </c>
      <c r="V23" s="249"/>
      <c r="W23" s="249"/>
      <c r="X23" s="249"/>
      <c r="Y23" s="249"/>
      <c r="Z23" s="249"/>
      <c r="AA23" s="249"/>
      <c r="AB23" s="249"/>
      <c r="AC23" s="249"/>
      <c r="AD23" s="249"/>
      <c r="AE23" s="249"/>
      <c r="AF23" s="249"/>
      <c r="AG23" s="249"/>
      <c r="AH23" s="249"/>
      <c r="AI23" s="249"/>
      <c r="AJ23" s="249"/>
      <c r="AK23" s="249"/>
      <c r="AL23" s="249"/>
      <c r="AM23" s="249"/>
      <c r="AN23" s="290"/>
    </row>
    <row r="24" spans="1:40" ht="21" hidden="1" customHeight="1">
      <c r="A24" s="127">
        <v>23</v>
      </c>
      <c r="B24" s="56" t="s">
        <v>294</v>
      </c>
      <c r="C24" s="56" t="s">
        <v>212</v>
      </c>
      <c r="D24" s="128">
        <v>6000</v>
      </c>
      <c r="E24" s="128">
        <v>4000</v>
      </c>
      <c r="F24" s="118">
        <v>45227</v>
      </c>
      <c r="G24" s="118">
        <v>45775</v>
      </c>
      <c r="H24" s="56" t="s">
        <v>282</v>
      </c>
      <c r="I24" s="56" t="s">
        <v>30</v>
      </c>
      <c r="J24" s="56" t="s">
        <v>30</v>
      </c>
      <c r="K24" s="56" t="s">
        <v>30</v>
      </c>
      <c r="L24" s="56" t="s">
        <v>30</v>
      </c>
      <c r="M24" s="56" t="s">
        <v>30</v>
      </c>
      <c r="N24" s="56" t="s">
        <v>30</v>
      </c>
      <c r="O24" s="56" t="s">
        <v>30</v>
      </c>
      <c r="P24" s="56" t="s">
        <v>30</v>
      </c>
      <c r="Q24" s="56" t="s">
        <v>30</v>
      </c>
      <c r="R24" s="56" t="s">
        <v>30</v>
      </c>
      <c r="S24" s="175">
        <f>E24/27*24</f>
        <v>3555.5555555555557</v>
      </c>
      <c r="T24" s="171">
        <v>4000</v>
      </c>
      <c r="U24" s="252">
        <f t="shared" si="14"/>
        <v>7555.5555555555557</v>
      </c>
      <c r="V24" s="249"/>
      <c r="W24" s="249"/>
      <c r="X24" s="249"/>
      <c r="Y24" s="249"/>
      <c r="Z24" s="249"/>
      <c r="AA24" s="249"/>
      <c r="AB24" s="249"/>
      <c r="AC24" s="249"/>
      <c r="AD24" s="249"/>
      <c r="AE24" s="249"/>
      <c r="AF24" s="249"/>
      <c r="AG24" s="249"/>
      <c r="AH24" s="249"/>
      <c r="AI24" s="249"/>
      <c r="AJ24" s="249"/>
      <c r="AK24" s="249"/>
      <c r="AL24" s="249"/>
      <c r="AM24" s="249"/>
      <c r="AN24" s="290"/>
    </row>
    <row r="25" spans="1:40" ht="42.75" hidden="1" customHeight="1">
      <c r="A25" s="127">
        <v>24</v>
      </c>
      <c r="B25" s="56" t="s">
        <v>221</v>
      </c>
      <c r="C25" s="56" t="s">
        <v>150</v>
      </c>
      <c r="D25" s="128">
        <v>15000</v>
      </c>
      <c r="E25" s="128">
        <v>10000</v>
      </c>
      <c r="F25" s="118">
        <v>44936</v>
      </c>
      <c r="G25" s="118">
        <v>45301</v>
      </c>
      <c r="H25" s="56" t="s">
        <v>282</v>
      </c>
      <c r="I25" s="56">
        <f>3000+5000</f>
        <v>8000</v>
      </c>
      <c r="J25" s="163">
        <f>E25/23*18</f>
        <v>7826.086956521739</v>
      </c>
      <c r="K25" s="56">
        <v>10000</v>
      </c>
      <c r="L25" s="56">
        <v>10000</v>
      </c>
      <c r="M25" s="56">
        <v>10000</v>
      </c>
      <c r="N25" s="163">
        <f>E25/22*18</f>
        <v>8181.818181818182</v>
      </c>
      <c r="O25" s="56">
        <v>10000</v>
      </c>
      <c r="P25" s="56">
        <v>10000</v>
      </c>
      <c r="Q25" s="56">
        <v>10000</v>
      </c>
      <c r="R25" s="171">
        <v>10000</v>
      </c>
      <c r="S25" s="171">
        <v>10000</v>
      </c>
      <c r="T25" s="170">
        <v>10000</v>
      </c>
      <c r="U25" s="252">
        <f t="shared" si="14"/>
        <v>114007.90513833993</v>
      </c>
      <c r="V25" s="249" t="e">
        <f>'[1]2022'!U24</f>
        <v>#REF!</v>
      </c>
      <c r="W25" s="249"/>
      <c r="X25" s="249"/>
      <c r="Y25" s="249"/>
      <c r="Z25" s="249"/>
      <c r="AA25" s="249">
        <f t="shared" ref="AA25:AA26" si="16">M25</f>
        <v>10000</v>
      </c>
      <c r="AB25" s="249"/>
      <c r="AC25" s="249"/>
      <c r="AD25" s="249"/>
      <c r="AE25" s="249"/>
      <c r="AF25" s="249"/>
      <c r="AG25" s="249"/>
      <c r="AH25" s="249"/>
      <c r="AI25" s="249">
        <f>SUM(W25:AH25)</f>
        <v>10000</v>
      </c>
      <c r="AJ25" s="249">
        <f>U25-W25-X25-Y25-Z25-AA25-AB25-AC25-AD25-AE25-AF25-AG25-AH25</f>
        <v>104007.90513833993</v>
      </c>
      <c r="AK25" s="249"/>
      <c r="AL25" s="249"/>
      <c r="AM25" s="249"/>
      <c r="AN25" s="290">
        <f t="shared" ref="AN25:AN26" si="17">AK25+AL25+AM25</f>
        <v>0</v>
      </c>
    </row>
    <row r="26" spans="1:40" ht="45.75" hidden="1" customHeight="1">
      <c r="A26" s="127">
        <v>25</v>
      </c>
      <c r="B26" s="52" t="s">
        <v>295</v>
      </c>
      <c r="C26" s="5" t="s">
        <v>150</v>
      </c>
      <c r="D26" s="52">
        <v>6000</v>
      </c>
      <c r="E26" s="52">
        <v>6000</v>
      </c>
      <c r="F26" s="52"/>
      <c r="G26" s="52"/>
      <c r="H26" s="5" t="s">
        <v>282</v>
      </c>
      <c r="I26" s="5">
        <v>6000</v>
      </c>
      <c r="J26" s="5">
        <v>6000</v>
      </c>
      <c r="K26" s="5">
        <f>E26/20*15</f>
        <v>4500</v>
      </c>
      <c r="L26" s="5">
        <v>6000</v>
      </c>
      <c r="M26" s="5">
        <v>6000</v>
      </c>
      <c r="N26" s="5">
        <v>6000</v>
      </c>
      <c r="O26" s="5">
        <v>6000</v>
      </c>
      <c r="P26" s="5">
        <v>6000</v>
      </c>
      <c r="Q26" s="5">
        <v>6000</v>
      </c>
      <c r="R26" s="162">
        <v>6000</v>
      </c>
      <c r="S26" s="162">
        <v>6000</v>
      </c>
      <c r="T26" s="162">
        <v>6000</v>
      </c>
      <c r="U26" s="744">
        <f t="shared" si="14"/>
        <v>70500</v>
      </c>
      <c r="V26" s="251" t="e">
        <f>'[1]2022'!U22</f>
        <v>#REF!</v>
      </c>
      <c r="W26" s="251">
        <f t="shared" ref="W26:Y26" si="18">I26</f>
        <v>6000</v>
      </c>
      <c r="X26" s="251">
        <f t="shared" si="18"/>
        <v>6000</v>
      </c>
      <c r="Y26" s="251">
        <f t="shared" si="18"/>
        <v>4500</v>
      </c>
      <c r="Z26" s="251"/>
      <c r="AA26" s="251">
        <f t="shared" si="16"/>
        <v>6000</v>
      </c>
      <c r="AB26" s="251">
        <v>6000</v>
      </c>
      <c r="AC26" s="251">
        <f t="shared" ref="AC26:AH26" si="19">O26</f>
        <v>6000</v>
      </c>
      <c r="AD26" s="251">
        <f t="shared" si="19"/>
        <v>6000</v>
      </c>
      <c r="AE26" s="251">
        <f t="shared" si="19"/>
        <v>6000</v>
      </c>
      <c r="AF26" s="251">
        <f t="shared" si="19"/>
        <v>6000</v>
      </c>
      <c r="AG26" s="251">
        <f t="shared" si="19"/>
        <v>6000</v>
      </c>
      <c r="AH26" s="251">
        <f t="shared" si="19"/>
        <v>6000</v>
      </c>
      <c r="AI26" s="251">
        <f>SUM(W26:AH26)</f>
        <v>64500</v>
      </c>
      <c r="AJ26" s="251">
        <f>U26-W26-X26-Y26-Z26-AA26-AB26-AC26-AD26-AE26-AF26-AG26-AH26</f>
        <v>6000</v>
      </c>
      <c r="AK26" s="251"/>
      <c r="AL26" s="251"/>
      <c r="AM26" s="251"/>
      <c r="AN26" s="270">
        <f t="shared" si="17"/>
        <v>0</v>
      </c>
    </row>
    <row r="27" spans="1:40" ht="41.25" hidden="1" customHeight="1">
      <c r="A27" s="127">
        <v>26</v>
      </c>
      <c r="B27" s="703" t="s">
        <v>296</v>
      </c>
      <c r="C27" s="704" t="s">
        <v>150</v>
      </c>
      <c r="D27" s="703">
        <v>6000</v>
      </c>
      <c r="E27" s="703">
        <v>6000</v>
      </c>
      <c r="F27" s="703"/>
      <c r="G27" s="703"/>
      <c r="H27" s="704" t="s">
        <v>282</v>
      </c>
      <c r="I27" s="704" t="s">
        <v>30</v>
      </c>
      <c r="J27" s="704" t="s">
        <v>30</v>
      </c>
      <c r="K27" s="704" t="s">
        <v>30</v>
      </c>
      <c r="L27" s="704" t="s">
        <v>30</v>
      </c>
      <c r="M27" s="704" t="s">
        <v>30</v>
      </c>
      <c r="N27" s="704" t="s">
        <v>30</v>
      </c>
      <c r="O27" s="704">
        <v>0</v>
      </c>
      <c r="P27" s="704">
        <v>6000</v>
      </c>
      <c r="Q27" s="704">
        <v>6000</v>
      </c>
      <c r="R27" s="713">
        <v>6000</v>
      </c>
      <c r="S27" s="713">
        <v>6000</v>
      </c>
      <c r="T27" s="714">
        <v>6000</v>
      </c>
      <c r="U27" s="747">
        <f t="shared" si="14"/>
        <v>30000</v>
      </c>
      <c r="V27" s="715"/>
      <c r="W27" s="715"/>
      <c r="X27" s="715"/>
      <c r="Y27" s="715"/>
      <c r="Z27" s="715"/>
      <c r="AA27" s="715"/>
      <c r="AB27" s="715"/>
      <c r="AC27" s="715">
        <f t="shared" ref="AC27:AH27" si="20">O27</f>
        <v>0</v>
      </c>
      <c r="AD27" s="715">
        <f t="shared" si="20"/>
        <v>6000</v>
      </c>
      <c r="AE27" s="715">
        <f t="shared" si="20"/>
        <v>6000</v>
      </c>
      <c r="AF27" s="715">
        <f t="shared" si="20"/>
        <v>6000</v>
      </c>
      <c r="AG27" s="715">
        <f t="shared" si="20"/>
        <v>6000</v>
      </c>
      <c r="AH27" s="715">
        <f t="shared" si="20"/>
        <v>6000</v>
      </c>
      <c r="AI27" s="715"/>
      <c r="AJ27" s="715"/>
      <c r="AK27" s="715"/>
      <c r="AL27" s="715"/>
      <c r="AM27" s="715"/>
      <c r="AN27" s="720"/>
    </row>
    <row r="28" spans="1:40" ht="21" hidden="1" customHeight="1">
      <c r="A28" s="127">
        <v>27</v>
      </c>
      <c r="B28" s="56" t="s">
        <v>297</v>
      </c>
      <c r="C28" s="56" t="s">
        <v>150</v>
      </c>
      <c r="D28" s="128">
        <v>25000</v>
      </c>
      <c r="E28" s="128">
        <v>5000</v>
      </c>
      <c r="F28" s="118">
        <v>44937</v>
      </c>
      <c r="G28" s="128"/>
      <c r="H28" s="56" t="s">
        <v>282</v>
      </c>
      <c r="I28" s="56">
        <f>5000+5000</f>
        <v>10000</v>
      </c>
      <c r="J28" s="56">
        <v>5000</v>
      </c>
      <c r="K28" s="56">
        <v>5000</v>
      </c>
      <c r="L28" s="56">
        <v>5000</v>
      </c>
      <c r="M28" s="56">
        <v>5000</v>
      </c>
      <c r="N28" s="56">
        <v>5000</v>
      </c>
      <c r="O28" s="56">
        <v>5000</v>
      </c>
      <c r="P28" s="56">
        <v>5000</v>
      </c>
      <c r="Q28" s="56">
        <v>5000</v>
      </c>
      <c r="R28" s="171">
        <v>5000</v>
      </c>
      <c r="S28" s="171">
        <v>5000</v>
      </c>
      <c r="T28" s="171">
        <f>E28/20*10</f>
        <v>2500</v>
      </c>
      <c r="U28" s="252">
        <f t="shared" si="14"/>
        <v>62500</v>
      </c>
      <c r="V28" s="249" t="e">
        <f>'[1]2022'!U20</f>
        <v>#REF!</v>
      </c>
      <c r="W28" s="249"/>
      <c r="X28" s="249"/>
      <c r="Y28" s="249"/>
      <c r="Z28" s="249"/>
      <c r="AA28" s="249">
        <f>M28</f>
        <v>5000</v>
      </c>
      <c r="AB28" s="249"/>
      <c r="AC28" s="249"/>
      <c r="AD28" s="249"/>
      <c r="AE28" s="249"/>
      <c r="AF28" s="249"/>
      <c r="AG28" s="249"/>
      <c r="AH28" s="249"/>
      <c r="AI28" s="249">
        <f>SUM(W28:AH28)</f>
        <v>5000</v>
      </c>
      <c r="AJ28" s="249">
        <f>U28-W28-X28-Y28-Z28-AA28-AB28-AC28-AD28-AE28-AF28-AG28-AH28</f>
        <v>57500</v>
      </c>
      <c r="AK28" s="249"/>
      <c r="AL28" s="249"/>
      <c r="AM28" s="249"/>
      <c r="AN28" s="290">
        <f>AK28+AL28+AM28</f>
        <v>0</v>
      </c>
    </row>
    <row r="29" spans="1:40" ht="48" hidden="1" customHeight="1">
      <c r="A29" s="127">
        <v>28</v>
      </c>
      <c r="B29" s="5" t="s">
        <v>298</v>
      </c>
      <c r="C29" s="5" t="s">
        <v>150</v>
      </c>
      <c r="D29" s="52">
        <v>6000</v>
      </c>
      <c r="E29" s="52">
        <v>6000</v>
      </c>
      <c r="F29" s="52"/>
      <c r="G29" s="52"/>
      <c r="H29" s="5" t="s">
        <v>282</v>
      </c>
      <c r="I29" s="5" t="s">
        <v>30</v>
      </c>
      <c r="J29" s="5" t="s">
        <v>30</v>
      </c>
      <c r="K29" s="5" t="s">
        <v>30</v>
      </c>
      <c r="L29" s="163">
        <f>E29/21*15</f>
        <v>4285.7142857142862</v>
      </c>
      <c r="M29" s="56">
        <v>6000</v>
      </c>
      <c r="N29" s="56">
        <v>6000</v>
      </c>
      <c r="O29" s="5">
        <v>6000</v>
      </c>
      <c r="P29" s="5">
        <v>6000</v>
      </c>
      <c r="Q29" s="5">
        <v>6000</v>
      </c>
      <c r="R29" s="162">
        <v>6000</v>
      </c>
      <c r="S29" s="162">
        <f>E29</f>
        <v>6000</v>
      </c>
      <c r="T29" s="716">
        <v>6000</v>
      </c>
      <c r="U29" s="744">
        <f t="shared" si="14"/>
        <v>52285.71428571429</v>
      </c>
      <c r="V29" s="251"/>
      <c r="W29" s="251"/>
      <c r="X29" s="251"/>
      <c r="Y29" s="251"/>
      <c r="Z29" s="251"/>
      <c r="AA29" s="251"/>
      <c r="AB29" s="251"/>
      <c r="AC29" s="251">
        <f t="shared" ref="AC29:AH29" si="21">O29</f>
        <v>6000</v>
      </c>
      <c r="AD29" s="251">
        <f t="shared" si="21"/>
        <v>6000</v>
      </c>
      <c r="AE29" s="251">
        <f t="shared" si="21"/>
        <v>6000</v>
      </c>
      <c r="AF29" s="251">
        <f t="shared" si="21"/>
        <v>6000</v>
      </c>
      <c r="AG29" s="251">
        <f t="shared" si="21"/>
        <v>6000</v>
      </c>
      <c r="AH29" s="251">
        <f t="shared" si="21"/>
        <v>6000</v>
      </c>
      <c r="AI29" s="251"/>
      <c r="AJ29" s="251"/>
      <c r="AK29" s="251"/>
      <c r="AL29" s="251"/>
      <c r="AM29" s="251"/>
      <c r="AN29" s="270"/>
    </row>
    <row r="30" spans="1:40" ht="48" hidden="1" customHeight="1">
      <c r="A30" s="127">
        <v>29</v>
      </c>
      <c r="B30" s="724" t="s">
        <v>299</v>
      </c>
      <c r="C30" s="724" t="s">
        <v>150</v>
      </c>
      <c r="D30" s="725">
        <v>6000</v>
      </c>
      <c r="E30" s="725">
        <v>0</v>
      </c>
      <c r="F30" s="725" t="s">
        <v>300</v>
      </c>
      <c r="G30" s="725"/>
      <c r="H30" s="724" t="s">
        <v>282</v>
      </c>
      <c r="I30" s="724" t="s">
        <v>30</v>
      </c>
      <c r="J30" s="724" t="s">
        <v>30</v>
      </c>
      <c r="K30" s="724" t="s">
        <v>30</v>
      </c>
      <c r="L30" s="724" t="s">
        <v>30</v>
      </c>
      <c r="M30" s="724" t="s">
        <v>30</v>
      </c>
      <c r="N30" s="724" t="s">
        <v>30</v>
      </c>
      <c r="O30" s="724" t="s">
        <v>30</v>
      </c>
      <c r="P30" s="724" t="s">
        <v>30</v>
      </c>
      <c r="Q30" s="724" t="s">
        <v>30</v>
      </c>
      <c r="R30" s="724" t="s">
        <v>30</v>
      </c>
      <c r="S30" s="724" t="s">
        <v>30</v>
      </c>
      <c r="T30" s="748">
        <v>3000</v>
      </c>
      <c r="U30" s="749">
        <f t="shared" si="14"/>
        <v>3000</v>
      </c>
      <c r="V30" s="750"/>
      <c r="W30" s="750"/>
      <c r="X30" s="750"/>
      <c r="Y30" s="750"/>
      <c r="Z30" s="750"/>
      <c r="AA30" s="750"/>
      <c r="AB30" s="750"/>
      <c r="AC30" s="750"/>
      <c r="AD30" s="750"/>
      <c r="AE30" s="750"/>
      <c r="AF30" s="750"/>
      <c r="AG30" s="750"/>
      <c r="AH30" s="750">
        <f>T30-750</f>
        <v>2250</v>
      </c>
      <c r="AI30" s="750"/>
      <c r="AJ30" s="750"/>
      <c r="AK30" s="750"/>
      <c r="AL30" s="750"/>
      <c r="AM30" s="750"/>
      <c r="AN30" s="754"/>
    </row>
    <row r="31" spans="1:40" ht="21" hidden="1" customHeight="1">
      <c r="A31" s="127">
        <v>30</v>
      </c>
      <c r="B31" s="5" t="s">
        <v>218</v>
      </c>
      <c r="C31" s="5" t="s">
        <v>150</v>
      </c>
      <c r="D31" s="52">
        <v>6000</v>
      </c>
      <c r="E31" s="52">
        <v>6000</v>
      </c>
      <c r="F31" s="52"/>
      <c r="G31" s="52"/>
      <c r="H31" s="5" t="s">
        <v>282</v>
      </c>
      <c r="I31" s="117">
        <f>E31/22*7</f>
        <v>1909.0909090909092</v>
      </c>
      <c r="J31" s="117">
        <f>E31/23*12</f>
        <v>3130.434782608696</v>
      </c>
      <c r="K31" s="5">
        <v>3000</v>
      </c>
      <c r="L31" s="5">
        <v>6000</v>
      </c>
      <c r="M31" s="5">
        <v>6000</v>
      </c>
      <c r="N31" s="117">
        <f>E31/22*17</f>
        <v>4636.3636363636369</v>
      </c>
      <c r="O31" s="5">
        <v>6000</v>
      </c>
      <c r="P31" s="5">
        <v>6000</v>
      </c>
      <c r="Q31" s="5">
        <v>6000</v>
      </c>
      <c r="R31" s="162">
        <v>4000</v>
      </c>
      <c r="S31" s="162">
        <v>5000</v>
      </c>
      <c r="T31" s="162">
        <f>E31/20*15</f>
        <v>4500</v>
      </c>
      <c r="U31" s="744">
        <f t="shared" si="14"/>
        <v>56175.88932806324</v>
      </c>
      <c r="V31" s="251" t="e">
        <f>'[1]2022'!U21</f>
        <v>#REF!</v>
      </c>
      <c r="W31" s="1136">
        <f t="shared" ref="W31:AH31" si="22">I31</f>
        <v>1909.0909090909092</v>
      </c>
      <c r="X31" s="1136">
        <f t="shared" si="22"/>
        <v>3130.434782608696</v>
      </c>
      <c r="Y31" s="251">
        <f t="shared" si="22"/>
        <v>3000</v>
      </c>
      <c r="Z31" s="251">
        <f t="shared" si="22"/>
        <v>6000</v>
      </c>
      <c r="AA31" s="251">
        <f t="shared" si="22"/>
        <v>6000</v>
      </c>
      <c r="AB31" s="1136">
        <f t="shared" si="22"/>
        <v>4636.3636363636369</v>
      </c>
      <c r="AC31" s="251">
        <f t="shared" si="22"/>
        <v>6000</v>
      </c>
      <c r="AD31" s="251">
        <f t="shared" si="22"/>
        <v>6000</v>
      </c>
      <c r="AE31" s="251">
        <f t="shared" si="22"/>
        <v>6000</v>
      </c>
      <c r="AF31" s="251">
        <f t="shared" si="22"/>
        <v>4000</v>
      </c>
      <c r="AG31" s="251">
        <f t="shared" si="22"/>
        <v>5000</v>
      </c>
      <c r="AH31" s="251">
        <f t="shared" si="22"/>
        <v>4500</v>
      </c>
      <c r="AI31" s="1135">
        <f t="shared" ref="AI31:AI39" si="23">SUM(W31:AH31)</f>
        <v>56175.88932806324</v>
      </c>
      <c r="AJ31" s="249">
        <f t="shared" ref="AJ31:AJ39" si="24">U31-W31-X31-Y31-Z31-AA31-AB31-AC31-AD31-AE31-AF31-AG31-AH31</f>
        <v>0</v>
      </c>
      <c r="AK31" s="249"/>
      <c r="AL31" s="249"/>
      <c r="AM31" s="249"/>
      <c r="AN31" s="290">
        <f t="shared" ref="AN31:AN39" si="25">AK31+AL31+AM31</f>
        <v>0</v>
      </c>
    </row>
    <row r="32" spans="1:40" ht="30" hidden="1" customHeight="1">
      <c r="A32" s="127">
        <v>31</v>
      </c>
      <c r="B32" s="56" t="s">
        <v>301</v>
      </c>
      <c r="C32" s="56" t="s">
        <v>224</v>
      </c>
      <c r="D32" s="128">
        <v>25000</v>
      </c>
      <c r="E32" s="128">
        <v>5000</v>
      </c>
      <c r="F32" s="118">
        <v>44806</v>
      </c>
      <c r="G32" s="118">
        <v>45171</v>
      </c>
      <c r="H32" s="56" t="s">
        <v>84</v>
      </c>
      <c r="I32" s="56">
        <v>3500</v>
      </c>
      <c r="J32" s="56">
        <v>4000</v>
      </c>
      <c r="K32" s="56">
        <v>5000</v>
      </c>
      <c r="L32" s="56">
        <v>5000</v>
      </c>
      <c r="M32" s="739">
        <f>E32/22*16</f>
        <v>3636.3636363636365</v>
      </c>
      <c r="N32" s="171">
        <v>3000</v>
      </c>
      <c r="O32" s="163">
        <v>5000</v>
      </c>
      <c r="P32" s="163">
        <v>0</v>
      </c>
      <c r="Q32" s="163">
        <v>4000</v>
      </c>
      <c r="R32" s="171">
        <v>5000</v>
      </c>
      <c r="S32" s="171">
        <v>5000</v>
      </c>
      <c r="T32" s="171">
        <v>5000</v>
      </c>
      <c r="U32" s="252">
        <f t="shared" si="14"/>
        <v>48136.363636363632</v>
      </c>
      <c r="V32" s="249" t="e">
        <f>'[1]2022'!U59</f>
        <v>#REF!</v>
      </c>
      <c r="W32" s="249">
        <f t="shared" ref="W32:AE32" si="26">I32</f>
        <v>3500</v>
      </c>
      <c r="X32" s="249">
        <f t="shared" si="26"/>
        <v>4000</v>
      </c>
      <c r="Y32" s="249">
        <f t="shared" si="26"/>
        <v>5000</v>
      </c>
      <c r="Z32" s="249">
        <f t="shared" si="26"/>
        <v>5000</v>
      </c>
      <c r="AA32" s="1135">
        <f t="shared" si="26"/>
        <v>3636.3636363636365</v>
      </c>
      <c r="AB32" s="249">
        <f t="shared" si="26"/>
        <v>3000</v>
      </c>
      <c r="AC32" s="249">
        <f t="shared" si="26"/>
        <v>5000</v>
      </c>
      <c r="AD32" s="249">
        <f t="shared" si="26"/>
        <v>0</v>
      </c>
      <c r="AE32" s="249">
        <f t="shared" si="26"/>
        <v>4000</v>
      </c>
      <c r="AF32" s="249"/>
      <c r="AG32" s="249"/>
      <c r="AH32" s="249"/>
      <c r="AI32" s="1136">
        <f t="shared" si="23"/>
        <v>33136.363636363632</v>
      </c>
      <c r="AJ32" s="251">
        <f t="shared" si="24"/>
        <v>14999.999999999996</v>
      </c>
      <c r="AK32" s="251"/>
      <c r="AL32" s="251"/>
      <c r="AM32" s="251"/>
      <c r="AN32" s="270">
        <f t="shared" si="25"/>
        <v>0</v>
      </c>
    </row>
    <row r="33" spans="1:40" ht="21" hidden="1" customHeight="1">
      <c r="A33" s="127">
        <v>32</v>
      </c>
      <c r="B33" s="56" t="s">
        <v>228</v>
      </c>
      <c r="C33" s="56" t="s">
        <v>224</v>
      </c>
      <c r="D33" s="128">
        <v>6000</v>
      </c>
      <c r="E33" s="128">
        <v>10000</v>
      </c>
      <c r="F33" s="118">
        <v>44823</v>
      </c>
      <c r="G33" s="118">
        <v>45370</v>
      </c>
      <c r="H33" s="56" t="s">
        <v>282</v>
      </c>
      <c r="I33" s="56">
        <v>9000</v>
      </c>
      <c r="J33" s="56">
        <v>10000</v>
      </c>
      <c r="K33" s="56">
        <v>10000</v>
      </c>
      <c r="L33" s="56">
        <v>10000</v>
      </c>
      <c r="M33" s="170">
        <v>0</v>
      </c>
      <c r="N33" s="171">
        <v>10000</v>
      </c>
      <c r="O33" s="163">
        <v>9000</v>
      </c>
      <c r="P33" s="163">
        <v>8000</v>
      </c>
      <c r="Q33" s="163">
        <v>8000</v>
      </c>
      <c r="R33" s="171">
        <v>10000</v>
      </c>
      <c r="S33" s="171">
        <v>10000</v>
      </c>
      <c r="T33" s="171">
        <v>10000</v>
      </c>
      <c r="U33" s="252">
        <f t="shared" si="14"/>
        <v>104000</v>
      </c>
      <c r="V33" s="249" t="e">
        <f>'[1]2022'!U30</f>
        <v>#REF!</v>
      </c>
      <c r="W33" s="249"/>
      <c r="X33" s="249"/>
      <c r="Y33" s="249"/>
      <c r="Z33" s="249"/>
      <c r="AA33" s="249"/>
      <c r="AB33" s="249"/>
      <c r="AC33" s="249"/>
      <c r="AD33" s="249"/>
      <c r="AE33" s="249"/>
      <c r="AF33" s="249"/>
      <c r="AG33" s="249"/>
      <c r="AH33" s="249"/>
      <c r="AI33" s="249">
        <f t="shared" si="23"/>
        <v>0</v>
      </c>
      <c r="AJ33" s="249">
        <f t="shared" si="24"/>
        <v>104000</v>
      </c>
      <c r="AK33" s="249"/>
      <c r="AL33" s="249"/>
      <c r="AM33" s="249"/>
      <c r="AN33" s="290">
        <f t="shared" si="25"/>
        <v>0</v>
      </c>
    </row>
    <row r="34" spans="1:40" ht="21" hidden="1" customHeight="1">
      <c r="A34" s="127">
        <v>33</v>
      </c>
      <c r="B34" s="56" t="s">
        <v>302</v>
      </c>
      <c r="C34" s="56" t="s">
        <v>224</v>
      </c>
      <c r="D34" s="128">
        <v>15000</v>
      </c>
      <c r="E34" s="128">
        <v>6000</v>
      </c>
      <c r="F34" s="118">
        <v>45153</v>
      </c>
      <c r="G34" s="118">
        <v>45519</v>
      </c>
      <c r="H34" s="56" t="s">
        <v>282</v>
      </c>
      <c r="I34" s="56">
        <v>8000</v>
      </c>
      <c r="J34" s="56">
        <v>4000</v>
      </c>
      <c r="K34" s="56">
        <v>5000</v>
      </c>
      <c r="L34" s="56">
        <v>10000</v>
      </c>
      <c r="M34" s="56">
        <v>8000</v>
      </c>
      <c r="N34" s="176">
        <f>E34/22*10</f>
        <v>2727.2727272727275</v>
      </c>
      <c r="O34" s="163">
        <v>6000</v>
      </c>
      <c r="P34" s="163">
        <v>8783</v>
      </c>
      <c r="Q34" s="163">
        <v>6000</v>
      </c>
      <c r="R34" s="171">
        <v>6000</v>
      </c>
      <c r="S34" s="175">
        <f>E34/23*18</f>
        <v>4695.652173913044</v>
      </c>
      <c r="T34" s="171">
        <v>6000</v>
      </c>
      <c r="U34" s="252">
        <f t="shared" si="14"/>
        <v>75205.924901185776</v>
      </c>
      <c r="V34" s="249" t="e">
        <f>'[1]2022'!U32</f>
        <v>#REF!</v>
      </c>
      <c r="W34" s="249">
        <v>6957</v>
      </c>
      <c r="X34" s="249"/>
      <c r="Y34" s="249"/>
      <c r="Z34" s="249"/>
      <c r="AA34" s="249"/>
      <c r="AB34" s="249"/>
      <c r="AC34" s="249"/>
      <c r="AD34" s="249"/>
      <c r="AE34" s="249"/>
      <c r="AF34" s="249"/>
      <c r="AG34" s="249"/>
      <c r="AH34" s="249"/>
      <c r="AI34" s="251">
        <f t="shared" si="23"/>
        <v>6957</v>
      </c>
      <c r="AJ34" s="251">
        <f t="shared" si="24"/>
        <v>68248.924901185776</v>
      </c>
      <c r="AK34" s="251"/>
      <c r="AL34" s="251"/>
      <c r="AM34" s="251"/>
      <c r="AN34" s="270">
        <f t="shared" si="25"/>
        <v>0</v>
      </c>
    </row>
    <row r="35" spans="1:40" ht="21" hidden="1" customHeight="1">
      <c r="A35" s="127">
        <v>34</v>
      </c>
      <c r="B35" s="56" t="s">
        <v>303</v>
      </c>
      <c r="C35" s="56" t="s">
        <v>224</v>
      </c>
      <c r="D35" s="128">
        <v>15000</v>
      </c>
      <c r="E35" s="128">
        <v>6000</v>
      </c>
      <c r="F35" s="118">
        <v>45154</v>
      </c>
      <c r="G35" s="118">
        <v>45520</v>
      </c>
      <c r="H35" s="56" t="s">
        <v>282</v>
      </c>
      <c r="I35" s="56">
        <v>10000</v>
      </c>
      <c r="J35" s="56">
        <v>5000</v>
      </c>
      <c r="K35" s="56">
        <v>5000</v>
      </c>
      <c r="L35" s="56">
        <v>10000</v>
      </c>
      <c r="M35" s="56">
        <v>6000</v>
      </c>
      <c r="N35" s="56">
        <v>8000</v>
      </c>
      <c r="O35" s="163">
        <v>6000</v>
      </c>
      <c r="P35" s="163">
        <v>8609</v>
      </c>
      <c r="Q35" s="163">
        <v>6000</v>
      </c>
      <c r="R35" s="171">
        <v>6000</v>
      </c>
      <c r="S35" s="171">
        <v>6000</v>
      </c>
      <c r="T35" s="171">
        <v>6000</v>
      </c>
      <c r="U35" s="252">
        <f t="shared" si="14"/>
        <v>82609</v>
      </c>
      <c r="V35" s="249" t="e">
        <f>'[1]2022'!U31</f>
        <v>#REF!</v>
      </c>
      <c r="W35" s="249">
        <v>3478</v>
      </c>
      <c r="X35" s="249"/>
      <c r="Y35" s="249"/>
      <c r="Z35" s="249"/>
      <c r="AA35" s="249"/>
      <c r="AB35" s="249"/>
      <c r="AC35" s="249"/>
      <c r="AD35" s="249"/>
      <c r="AE35" s="249"/>
      <c r="AF35" s="249"/>
      <c r="AG35" s="249"/>
      <c r="AH35" s="249"/>
      <c r="AI35" s="249">
        <f t="shared" si="23"/>
        <v>3478</v>
      </c>
      <c r="AJ35" s="249">
        <f t="shared" si="24"/>
        <v>79131</v>
      </c>
      <c r="AK35" s="249"/>
      <c r="AL35" s="249"/>
      <c r="AM35" s="249"/>
      <c r="AN35" s="290">
        <f t="shared" si="25"/>
        <v>0</v>
      </c>
    </row>
    <row r="36" spans="1:40" ht="21" hidden="1" customHeight="1">
      <c r="A36" s="127">
        <v>35</v>
      </c>
      <c r="B36" s="5" t="s">
        <v>87</v>
      </c>
      <c r="C36" s="5" t="s">
        <v>224</v>
      </c>
      <c r="D36" s="52">
        <v>52000</v>
      </c>
      <c r="E36" s="52">
        <v>5000</v>
      </c>
      <c r="F36" s="119">
        <v>44491</v>
      </c>
      <c r="G36" s="119">
        <v>44856</v>
      </c>
      <c r="H36" s="5" t="s">
        <v>282</v>
      </c>
      <c r="I36" s="5">
        <v>5000</v>
      </c>
      <c r="J36" s="5">
        <v>5000</v>
      </c>
      <c r="K36" s="5">
        <v>0</v>
      </c>
      <c r="L36" s="5">
        <v>5000</v>
      </c>
      <c r="M36" s="5">
        <v>0</v>
      </c>
      <c r="N36" s="167">
        <v>5000</v>
      </c>
      <c r="O36" s="5">
        <v>5000</v>
      </c>
      <c r="P36" s="5">
        <v>5000</v>
      </c>
      <c r="Q36" s="5">
        <v>5000</v>
      </c>
      <c r="R36" s="162">
        <v>5000</v>
      </c>
      <c r="S36" s="162">
        <v>5000</v>
      </c>
      <c r="T36" s="162">
        <v>5000</v>
      </c>
      <c r="U36" s="744">
        <f t="shared" si="14"/>
        <v>50000</v>
      </c>
      <c r="V36" s="251" t="e">
        <f>'[1]On hold bonus'!B4</f>
        <v>#REF!</v>
      </c>
      <c r="W36" s="251">
        <f t="shared" ref="W36:X36" si="27">I36</f>
        <v>5000</v>
      </c>
      <c r="X36" s="251">
        <f t="shared" si="27"/>
        <v>5000</v>
      </c>
      <c r="Y36" s="251">
        <v>0</v>
      </c>
      <c r="Z36" s="251" t="s">
        <v>304</v>
      </c>
      <c r="AA36" s="251" t="s">
        <v>304</v>
      </c>
      <c r="AB36" s="251">
        <f t="shared" ref="AB36:AH36" si="28">N36</f>
        <v>5000</v>
      </c>
      <c r="AC36" s="251">
        <f t="shared" si="28"/>
        <v>5000</v>
      </c>
      <c r="AD36" s="251">
        <f t="shared" si="28"/>
        <v>5000</v>
      </c>
      <c r="AE36" s="251">
        <f t="shared" si="28"/>
        <v>5000</v>
      </c>
      <c r="AF36" s="251">
        <f t="shared" si="28"/>
        <v>5000</v>
      </c>
      <c r="AG36" s="251">
        <f t="shared" si="28"/>
        <v>5000</v>
      </c>
      <c r="AH36" s="251">
        <f t="shared" si="28"/>
        <v>5000</v>
      </c>
      <c r="AI36" s="251">
        <f t="shared" si="23"/>
        <v>45000</v>
      </c>
      <c r="AJ36" s="251" t="e">
        <f t="shared" si="24"/>
        <v>#VALUE!</v>
      </c>
      <c r="AK36" s="251"/>
      <c r="AL36" s="251"/>
      <c r="AM36" s="251"/>
      <c r="AN36" s="270">
        <f t="shared" si="25"/>
        <v>0</v>
      </c>
    </row>
    <row r="37" spans="1:40" ht="15.75" hidden="1" customHeight="1">
      <c r="A37" s="127">
        <v>36</v>
      </c>
      <c r="B37" s="56" t="s">
        <v>305</v>
      </c>
      <c r="C37" s="56" t="s">
        <v>224</v>
      </c>
      <c r="D37" s="128">
        <v>10000</v>
      </c>
      <c r="E37" s="128">
        <v>6000</v>
      </c>
      <c r="F37" s="118">
        <v>44841</v>
      </c>
      <c r="G37" s="118">
        <v>45206</v>
      </c>
      <c r="H37" s="56" t="s">
        <v>282</v>
      </c>
      <c r="I37" s="56">
        <v>0</v>
      </c>
      <c r="J37" s="56">
        <v>3000</v>
      </c>
      <c r="K37" s="56">
        <v>0</v>
      </c>
      <c r="L37" s="56">
        <v>0</v>
      </c>
      <c r="M37" s="163">
        <v>0</v>
      </c>
      <c r="N37" s="56">
        <v>2000</v>
      </c>
      <c r="O37" s="163">
        <v>0</v>
      </c>
      <c r="P37" s="163">
        <v>3000</v>
      </c>
      <c r="Q37" s="163">
        <v>0</v>
      </c>
      <c r="R37" s="171">
        <v>0</v>
      </c>
      <c r="S37" s="171">
        <v>0</v>
      </c>
      <c r="T37" s="170">
        <v>0</v>
      </c>
      <c r="U37" s="252">
        <f t="shared" si="14"/>
        <v>8000</v>
      </c>
      <c r="V37" s="249" t="e">
        <f>'[1]2022'!U51</f>
        <v>#REF!</v>
      </c>
      <c r="W37" s="249"/>
      <c r="X37" s="249"/>
      <c r="Y37" s="249"/>
      <c r="Z37" s="249"/>
      <c r="AA37" s="249"/>
      <c r="AB37" s="249"/>
      <c r="AC37" s="249"/>
      <c r="AD37" s="249"/>
      <c r="AE37" s="249"/>
      <c r="AF37" s="249"/>
      <c r="AG37" s="249"/>
      <c r="AH37" s="249"/>
      <c r="AI37" s="249">
        <f t="shared" si="23"/>
        <v>0</v>
      </c>
      <c r="AJ37" s="249">
        <f t="shared" si="24"/>
        <v>8000</v>
      </c>
      <c r="AK37" s="249"/>
      <c r="AL37" s="249"/>
      <c r="AM37" s="249"/>
      <c r="AN37" s="290">
        <f t="shared" si="25"/>
        <v>0</v>
      </c>
    </row>
    <row r="38" spans="1:40" ht="26.25" hidden="1" customHeight="1">
      <c r="A38" s="127">
        <v>37</v>
      </c>
      <c r="B38" s="56" t="s">
        <v>96</v>
      </c>
      <c r="C38" s="56" t="s">
        <v>224</v>
      </c>
      <c r="D38" s="128">
        <v>47000</v>
      </c>
      <c r="E38" s="128">
        <v>5000</v>
      </c>
      <c r="F38" s="118">
        <v>44814</v>
      </c>
      <c r="G38" s="118">
        <v>45179</v>
      </c>
      <c r="H38" s="56" t="s">
        <v>84</v>
      </c>
      <c r="I38" s="56">
        <v>4000</v>
      </c>
      <c r="J38" s="56">
        <v>4000</v>
      </c>
      <c r="K38" s="56">
        <v>5000</v>
      </c>
      <c r="L38" s="56">
        <v>5000</v>
      </c>
      <c r="M38" s="171">
        <v>4000</v>
      </c>
      <c r="N38" s="171">
        <v>4000</v>
      </c>
      <c r="O38" s="163">
        <f>E38/21*14</f>
        <v>3333.3333333333335</v>
      </c>
      <c r="P38" s="163">
        <v>3000</v>
      </c>
      <c r="Q38" s="163">
        <v>4000</v>
      </c>
      <c r="R38" s="171">
        <v>5000</v>
      </c>
      <c r="S38" s="171">
        <v>5000</v>
      </c>
      <c r="T38" s="171">
        <v>5000</v>
      </c>
      <c r="U38" s="252">
        <f t="shared" si="14"/>
        <v>51333.333333333328</v>
      </c>
      <c r="V38" s="249" t="e">
        <f>'[1]2022'!U56</f>
        <v>#REF!</v>
      </c>
      <c r="W38" s="249"/>
      <c r="X38" s="249"/>
      <c r="Y38" s="249"/>
      <c r="Z38" s="249"/>
      <c r="AA38" s="249"/>
      <c r="AB38" s="249"/>
      <c r="AC38" s="249"/>
      <c r="AD38" s="249"/>
      <c r="AE38" s="249"/>
      <c r="AF38" s="249"/>
      <c r="AG38" s="249"/>
      <c r="AH38" s="249"/>
      <c r="AI38" s="249">
        <f t="shared" si="23"/>
        <v>0</v>
      </c>
      <c r="AJ38" s="249">
        <f t="shared" si="24"/>
        <v>51333.333333333328</v>
      </c>
      <c r="AK38" s="249"/>
      <c r="AL38" s="249"/>
      <c r="AM38" s="249"/>
      <c r="AN38" s="290">
        <f t="shared" si="25"/>
        <v>0</v>
      </c>
    </row>
    <row r="39" spans="1:40" ht="21" hidden="1" customHeight="1">
      <c r="A39" s="127">
        <v>38</v>
      </c>
      <c r="B39" s="56" t="s">
        <v>306</v>
      </c>
      <c r="C39" s="56" t="s">
        <v>224</v>
      </c>
      <c r="D39" s="128">
        <v>25000</v>
      </c>
      <c r="E39" s="128">
        <v>10000</v>
      </c>
      <c r="F39" s="118">
        <v>44837</v>
      </c>
      <c r="G39" s="118">
        <v>45202</v>
      </c>
      <c r="H39" s="56" t="s">
        <v>282</v>
      </c>
      <c r="I39" s="56">
        <v>10000</v>
      </c>
      <c r="J39" s="56">
        <v>5000</v>
      </c>
      <c r="K39" s="56">
        <v>0</v>
      </c>
      <c r="L39" s="56">
        <v>5000</v>
      </c>
      <c r="M39" s="56">
        <v>0</v>
      </c>
      <c r="N39" s="56">
        <v>5000</v>
      </c>
      <c r="O39" s="56">
        <v>5000</v>
      </c>
      <c r="P39" s="163">
        <v>5000</v>
      </c>
      <c r="Q39" s="163">
        <v>10000</v>
      </c>
      <c r="R39" s="162">
        <v>10000</v>
      </c>
      <c r="S39" s="162">
        <v>10000</v>
      </c>
      <c r="T39" s="162">
        <v>10000</v>
      </c>
      <c r="U39" s="252">
        <f t="shared" si="14"/>
        <v>75000</v>
      </c>
      <c r="V39" s="249" t="s">
        <v>283</v>
      </c>
      <c r="W39" s="249"/>
      <c r="X39" s="249"/>
      <c r="Y39" s="249"/>
      <c r="Z39" s="249"/>
      <c r="AA39" s="249"/>
      <c r="AB39" s="249"/>
      <c r="AC39" s="249"/>
      <c r="AD39" s="249"/>
      <c r="AE39" s="249"/>
      <c r="AF39" s="251">
        <f t="shared" ref="AF39:AH39" si="29">R39</f>
        <v>10000</v>
      </c>
      <c r="AG39" s="251">
        <f t="shared" si="29"/>
        <v>10000</v>
      </c>
      <c r="AH39" s="251">
        <f t="shared" si="29"/>
        <v>10000</v>
      </c>
      <c r="AI39" s="251">
        <f t="shared" si="23"/>
        <v>30000</v>
      </c>
      <c r="AJ39" s="251">
        <f t="shared" si="24"/>
        <v>45000</v>
      </c>
      <c r="AK39" s="251"/>
      <c r="AL39" s="251"/>
      <c r="AM39" s="251"/>
      <c r="AN39" s="270">
        <f t="shared" si="25"/>
        <v>0</v>
      </c>
    </row>
    <row r="40" spans="1:40" ht="21" hidden="1" customHeight="1">
      <c r="A40" s="127">
        <v>39</v>
      </c>
      <c r="B40" s="56" t="s">
        <v>307</v>
      </c>
      <c r="C40" s="56" t="s">
        <v>224</v>
      </c>
      <c r="D40" s="128">
        <v>10000</v>
      </c>
      <c r="E40" s="128">
        <v>6000</v>
      </c>
      <c r="F40" s="118">
        <v>45166</v>
      </c>
      <c r="G40" s="118">
        <v>45531</v>
      </c>
      <c r="H40" s="56" t="s">
        <v>84</v>
      </c>
      <c r="I40" s="56" t="s">
        <v>30</v>
      </c>
      <c r="J40" s="56" t="s">
        <v>30</v>
      </c>
      <c r="K40" s="56" t="s">
        <v>30</v>
      </c>
      <c r="L40" s="56" t="s">
        <v>30</v>
      </c>
      <c r="M40" s="56" t="s">
        <v>30</v>
      </c>
      <c r="N40" s="56" t="s">
        <v>30</v>
      </c>
      <c r="O40" s="56" t="s">
        <v>30</v>
      </c>
      <c r="P40" s="56" t="s">
        <v>30</v>
      </c>
      <c r="Q40" s="56">
        <v>4500</v>
      </c>
      <c r="R40" s="171">
        <v>4000</v>
      </c>
      <c r="S40" s="171">
        <v>5000</v>
      </c>
      <c r="T40" s="171">
        <f t="shared" ref="T40:T41" si="30">E40/20*14</f>
        <v>4200</v>
      </c>
      <c r="U40" s="252">
        <f t="shared" si="14"/>
        <v>17700</v>
      </c>
      <c r="V40" s="249" t="s">
        <v>283</v>
      </c>
      <c r="W40" s="249"/>
      <c r="X40" s="249"/>
      <c r="Y40" s="249"/>
      <c r="Z40" s="249"/>
      <c r="AA40" s="249"/>
      <c r="AB40" s="249"/>
      <c r="AC40" s="249"/>
      <c r="AD40" s="249"/>
      <c r="AE40" s="249"/>
      <c r="AF40" s="249"/>
      <c r="AG40" s="249"/>
      <c r="AH40" s="249"/>
      <c r="AI40" s="251"/>
      <c r="AJ40" s="251"/>
      <c r="AK40" s="251"/>
      <c r="AL40" s="251"/>
      <c r="AM40" s="251"/>
      <c r="AN40" s="270"/>
    </row>
    <row r="41" spans="1:40" ht="21" hidden="1" customHeight="1">
      <c r="A41" s="127">
        <v>40</v>
      </c>
      <c r="B41" s="726" t="s">
        <v>308</v>
      </c>
      <c r="C41" s="726" t="s">
        <v>235</v>
      </c>
      <c r="D41" s="726">
        <v>25000</v>
      </c>
      <c r="E41" s="726">
        <v>5000</v>
      </c>
      <c r="F41" s="727">
        <v>44747</v>
      </c>
      <c r="G41" s="727">
        <v>45112</v>
      </c>
      <c r="H41" s="726" t="s">
        <v>282</v>
      </c>
      <c r="I41" s="726">
        <v>5000</v>
      </c>
      <c r="J41" s="726">
        <v>5000</v>
      </c>
      <c r="K41" s="726">
        <v>5000</v>
      </c>
      <c r="L41" s="726">
        <v>5000</v>
      </c>
      <c r="M41" s="726">
        <v>5000</v>
      </c>
      <c r="N41" s="726">
        <v>5000</v>
      </c>
      <c r="O41" s="726">
        <v>5000</v>
      </c>
      <c r="P41" s="726" t="s">
        <v>30</v>
      </c>
      <c r="Q41" s="726" t="s">
        <v>30</v>
      </c>
      <c r="R41" s="726" t="s">
        <v>30</v>
      </c>
      <c r="S41" s="726" t="s">
        <v>30</v>
      </c>
      <c r="T41" s="726">
        <f t="shared" si="30"/>
        <v>3500</v>
      </c>
      <c r="U41" s="751">
        <f t="shared" si="14"/>
        <v>38500</v>
      </c>
      <c r="V41" s="726" t="e">
        <f>'[1]2022'!U36</f>
        <v>#REF!</v>
      </c>
      <c r="W41" s="726"/>
      <c r="X41" s="726">
        <f>I41+J41+K41</f>
        <v>15000</v>
      </c>
      <c r="Y41" s="726"/>
      <c r="Z41" s="726"/>
      <c r="AA41" s="726">
        <v>15000</v>
      </c>
      <c r="AB41" s="726"/>
      <c r="AC41" s="1005" t="str">
        <f t="shared" ref="AC41:AG41" si="31">P41</f>
        <v>NA</v>
      </c>
      <c r="AD41" s="1005" t="str">
        <f t="shared" si="31"/>
        <v>NA</v>
      </c>
      <c r="AE41" s="1005" t="str">
        <f t="shared" si="31"/>
        <v>NA</v>
      </c>
      <c r="AF41" s="1005" t="str">
        <f t="shared" si="31"/>
        <v>NA</v>
      </c>
      <c r="AG41" s="1005">
        <f t="shared" si="31"/>
        <v>3500</v>
      </c>
      <c r="AH41" s="1006">
        <f>T41</f>
        <v>3500</v>
      </c>
      <c r="AI41" s="162"/>
      <c r="AJ41" s="162"/>
      <c r="AK41" s="162"/>
      <c r="AL41" s="162"/>
      <c r="AM41" s="162">
        <f>AJ41+AK41+AL41</f>
        <v>0</v>
      </c>
      <c r="AN41" s="162"/>
    </row>
    <row r="42" spans="1:40" ht="21" hidden="1" customHeight="1">
      <c r="A42" s="127">
        <v>41</v>
      </c>
      <c r="B42" s="5" t="s">
        <v>234</v>
      </c>
      <c r="C42" s="5" t="s">
        <v>235</v>
      </c>
      <c r="D42" s="52">
        <v>40000</v>
      </c>
      <c r="E42" s="52">
        <v>10000</v>
      </c>
      <c r="F42" s="119">
        <v>44817</v>
      </c>
      <c r="G42" s="119">
        <v>45182</v>
      </c>
      <c r="H42" s="5" t="s">
        <v>282</v>
      </c>
      <c r="I42" s="5">
        <v>10000</v>
      </c>
      <c r="J42" s="5">
        <v>10000</v>
      </c>
      <c r="K42" s="5">
        <v>10000</v>
      </c>
      <c r="L42" s="5">
        <v>10000</v>
      </c>
      <c r="M42" s="5">
        <v>10000</v>
      </c>
      <c r="N42" s="5">
        <v>10000</v>
      </c>
      <c r="O42" s="5">
        <v>10000</v>
      </c>
      <c r="P42" s="5">
        <v>10000</v>
      </c>
      <c r="Q42" s="5">
        <v>10000</v>
      </c>
      <c r="R42" s="162">
        <v>0</v>
      </c>
      <c r="S42" s="162">
        <v>0</v>
      </c>
      <c r="T42" s="162">
        <v>0</v>
      </c>
      <c r="U42" s="744">
        <f t="shared" si="14"/>
        <v>90000</v>
      </c>
      <c r="V42" s="251" t="e">
        <f>'[1]On hold bonus'!B47</f>
        <v>#REF!</v>
      </c>
      <c r="W42" s="251">
        <f t="shared" ref="W42:AA42" si="32">I42</f>
        <v>10000</v>
      </c>
      <c r="X42" s="251">
        <f t="shared" si="32"/>
        <v>10000</v>
      </c>
      <c r="Y42" s="251">
        <f t="shared" si="32"/>
        <v>10000</v>
      </c>
      <c r="Z42" s="251">
        <f t="shared" si="32"/>
        <v>10000</v>
      </c>
      <c r="AA42" s="251">
        <f t="shared" si="32"/>
        <v>10000</v>
      </c>
      <c r="AB42" s="251"/>
      <c r="AC42" s="251">
        <f t="shared" ref="AC42:AH42" si="33">O42</f>
        <v>10000</v>
      </c>
      <c r="AD42" s="251">
        <f t="shared" si="33"/>
        <v>10000</v>
      </c>
      <c r="AE42" s="251">
        <f t="shared" si="33"/>
        <v>10000</v>
      </c>
      <c r="AF42" s="251">
        <f t="shared" si="33"/>
        <v>0</v>
      </c>
      <c r="AG42" s="251">
        <f t="shared" si="33"/>
        <v>0</v>
      </c>
      <c r="AH42" s="251">
        <f t="shared" si="33"/>
        <v>0</v>
      </c>
      <c r="AI42" s="249">
        <f>SUM(W42:AH42)</f>
        <v>80000</v>
      </c>
      <c r="AJ42" s="249">
        <f>U42-W42-X42-Y42-Z42-AA42-AB42-AC42-AD42-AE42-AF42-AG42-AH42</f>
        <v>10000</v>
      </c>
      <c r="AK42" s="249"/>
      <c r="AL42" s="249"/>
      <c r="AM42" s="249"/>
      <c r="AN42" s="290">
        <f>AK42+AL42+AM42</f>
        <v>0</v>
      </c>
    </row>
    <row r="43" spans="1:40" ht="21" hidden="1" customHeight="1">
      <c r="A43" s="127">
        <v>42</v>
      </c>
      <c r="B43" s="56" t="s">
        <v>309</v>
      </c>
      <c r="C43" s="56" t="s">
        <v>235</v>
      </c>
      <c r="D43" s="128">
        <v>6000</v>
      </c>
      <c r="E43" s="128">
        <v>10000</v>
      </c>
      <c r="F43" s="118">
        <v>44679</v>
      </c>
      <c r="G43" s="118">
        <v>45227</v>
      </c>
      <c r="H43" s="56" t="s">
        <v>282</v>
      </c>
      <c r="I43" s="163">
        <f>E43/22*7</f>
        <v>3181.818181818182</v>
      </c>
      <c r="J43" s="163">
        <f>E43/23*14</f>
        <v>6086.9565217391309</v>
      </c>
      <c r="K43" s="56">
        <v>10000</v>
      </c>
      <c r="L43" s="56">
        <v>10000</v>
      </c>
      <c r="M43" s="56">
        <v>10000</v>
      </c>
      <c r="N43" s="56">
        <v>10000</v>
      </c>
      <c r="O43" s="163">
        <v>6000</v>
      </c>
      <c r="P43" s="163">
        <v>10000</v>
      </c>
      <c r="Q43" s="163">
        <v>5000</v>
      </c>
      <c r="R43" s="171">
        <v>4000</v>
      </c>
      <c r="S43" s="171">
        <v>5000</v>
      </c>
      <c r="T43" s="171"/>
      <c r="U43" s="252">
        <f t="shared" si="14"/>
        <v>79268.774703557312</v>
      </c>
      <c r="V43" s="249" t="e">
        <f>'[1]2022'!U63</f>
        <v>#REF!</v>
      </c>
      <c r="W43" s="249"/>
      <c r="X43" s="249"/>
      <c r="Y43" s="249"/>
      <c r="Z43" s="249"/>
      <c r="AA43" s="249"/>
      <c r="AB43" s="249"/>
      <c r="AC43" s="249"/>
      <c r="AD43" s="249"/>
      <c r="AE43" s="249"/>
      <c r="AF43" s="249"/>
      <c r="AG43" s="249"/>
      <c r="AH43" s="249"/>
      <c r="AI43" s="280"/>
      <c r="AJ43" s="280"/>
      <c r="AK43" s="280"/>
      <c r="AL43" s="280"/>
      <c r="AM43" s="280"/>
      <c r="AN43" s="280"/>
    </row>
    <row r="44" spans="1:40" ht="21" hidden="1" customHeight="1">
      <c r="A44" s="127">
        <v>43</v>
      </c>
      <c r="B44" s="56" t="s">
        <v>254</v>
      </c>
      <c r="C44" s="56" t="s">
        <v>79</v>
      </c>
      <c r="D44" s="128">
        <v>15000</v>
      </c>
      <c r="E44" s="128">
        <v>10000</v>
      </c>
      <c r="F44" s="118">
        <v>44945</v>
      </c>
      <c r="G44" s="118">
        <v>45310</v>
      </c>
      <c r="H44" s="56" t="s">
        <v>282</v>
      </c>
      <c r="I44" s="56">
        <v>8000</v>
      </c>
      <c r="J44" s="163">
        <v>8000</v>
      </c>
      <c r="K44" s="163">
        <v>7000</v>
      </c>
      <c r="L44" s="163">
        <v>7000</v>
      </c>
      <c r="M44" s="163">
        <f>E44/22*4</f>
        <v>1818.1818181818182</v>
      </c>
      <c r="N44" s="163">
        <v>5000</v>
      </c>
      <c r="O44" s="163">
        <v>7000</v>
      </c>
      <c r="P44" s="163">
        <v>7000</v>
      </c>
      <c r="Q44" s="163">
        <v>10000</v>
      </c>
      <c r="R44" s="171">
        <v>10000</v>
      </c>
      <c r="S44" s="175">
        <f>E44/23*18</f>
        <v>7826.086956521739</v>
      </c>
      <c r="T44" s="171">
        <f>E44/20*10</f>
        <v>5000</v>
      </c>
      <c r="U44" s="252">
        <f t="shared" si="14"/>
        <v>83644.268774703567</v>
      </c>
      <c r="V44" s="249" t="e">
        <f>'[1]2022'!U54</f>
        <v>#REF!</v>
      </c>
      <c r="W44" s="249"/>
      <c r="X44" s="249"/>
      <c r="Y44" s="249"/>
      <c r="Z44" s="249"/>
      <c r="AA44" s="249"/>
      <c r="AB44" s="249"/>
      <c r="AC44" s="249"/>
      <c r="AD44" s="249"/>
      <c r="AE44" s="249"/>
      <c r="AF44" s="249"/>
      <c r="AG44" s="249"/>
      <c r="AH44" s="249"/>
      <c r="AI44" s="249">
        <f t="shared" ref="AI44:AI52" si="34">SUM(W44:AH44)</f>
        <v>0</v>
      </c>
      <c r="AJ44" s="249">
        <f>U44-W44-X44-Y44-Z44-AA44-AB44-AC44-AD44-AE44-AF44-AG44-AH44</f>
        <v>83644.268774703567</v>
      </c>
      <c r="AK44" s="249"/>
      <c r="AL44" s="249"/>
      <c r="AM44" s="249"/>
      <c r="AN44" s="290">
        <f>AK44+AL44+AM44</f>
        <v>0</v>
      </c>
    </row>
    <row r="45" spans="1:40" ht="21" hidden="1" customHeight="1">
      <c r="A45" s="127">
        <v>44</v>
      </c>
      <c r="B45" s="56" t="s">
        <v>310</v>
      </c>
      <c r="C45" s="56" t="s">
        <v>79</v>
      </c>
      <c r="D45" s="128">
        <v>15000</v>
      </c>
      <c r="E45" s="128">
        <v>10000</v>
      </c>
      <c r="F45" s="118">
        <v>45075</v>
      </c>
      <c r="G45" s="118">
        <v>45441</v>
      </c>
      <c r="H45" s="56" t="s">
        <v>282</v>
      </c>
      <c r="I45" s="163">
        <f>E45/22*18</f>
        <v>8181.818181818182</v>
      </c>
      <c r="J45" s="56">
        <v>7000</v>
      </c>
      <c r="K45" s="56">
        <v>10000</v>
      </c>
      <c r="L45" s="56">
        <v>8000</v>
      </c>
      <c r="M45" s="56">
        <v>10000</v>
      </c>
      <c r="N45" s="56">
        <v>10000</v>
      </c>
      <c r="O45" s="163">
        <v>8000</v>
      </c>
      <c r="P45" s="163">
        <v>7000</v>
      </c>
      <c r="Q45" s="163">
        <v>7000</v>
      </c>
      <c r="R45" s="171">
        <v>8000</v>
      </c>
      <c r="S45" s="171">
        <v>5000</v>
      </c>
      <c r="T45" s="171">
        <v>6000</v>
      </c>
      <c r="U45" s="252">
        <f t="shared" si="14"/>
        <v>94181.818181818177</v>
      </c>
      <c r="V45" s="249" t="e">
        <f>'[1]2022'!U43</f>
        <v>#REF!</v>
      </c>
      <c r="W45" s="249"/>
      <c r="X45" s="249"/>
      <c r="Y45" s="249"/>
      <c r="Z45" s="249"/>
      <c r="AA45" s="249"/>
      <c r="AB45" s="249"/>
      <c r="AC45" s="249"/>
      <c r="AD45" s="249"/>
      <c r="AE45" s="249"/>
      <c r="AF45" s="249"/>
      <c r="AG45" s="249"/>
      <c r="AH45" s="249"/>
      <c r="AI45" s="249">
        <f t="shared" si="34"/>
        <v>0</v>
      </c>
      <c r="AJ45" s="249">
        <f>U45-W45-X45-Y45-Z45-AA45-AB45-AC45-AD45-AE45-AF45-AG45-AH45</f>
        <v>94181.818181818177</v>
      </c>
      <c r="AK45" s="249" t="e">
        <f>V45</f>
        <v>#REF!</v>
      </c>
      <c r="AL45" s="249"/>
      <c r="AM45" s="249"/>
      <c r="AN45" s="290" t="e">
        <f>AK45+AL45+AM45+AJ45</f>
        <v>#REF!</v>
      </c>
    </row>
    <row r="46" spans="1:40" ht="21" hidden="1" customHeight="1">
      <c r="A46" s="127">
        <v>45</v>
      </c>
      <c r="B46" s="5" t="s">
        <v>20</v>
      </c>
      <c r="C46" s="5" t="s">
        <v>79</v>
      </c>
      <c r="D46" s="52">
        <v>27000</v>
      </c>
      <c r="E46" s="52">
        <v>10000</v>
      </c>
      <c r="F46" s="52"/>
      <c r="G46" s="52"/>
      <c r="H46" s="5" t="s">
        <v>282</v>
      </c>
      <c r="I46" s="117">
        <v>10000</v>
      </c>
      <c r="J46" s="5">
        <v>10000</v>
      </c>
      <c r="K46" s="5">
        <v>10000</v>
      </c>
      <c r="L46" s="5">
        <v>10000</v>
      </c>
      <c r="M46" s="117">
        <f>E46/22*7</f>
        <v>3181.818181818182</v>
      </c>
      <c r="N46" s="117">
        <v>10000</v>
      </c>
      <c r="O46" s="5">
        <v>8000</v>
      </c>
      <c r="P46" s="5">
        <v>5000</v>
      </c>
      <c r="Q46" s="5">
        <v>10000</v>
      </c>
      <c r="R46" s="162">
        <v>10000</v>
      </c>
      <c r="S46" s="712">
        <f>E46/23*19</f>
        <v>8260.8695652173919</v>
      </c>
      <c r="T46" s="52">
        <f>E46/20*14</f>
        <v>7000</v>
      </c>
      <c r="U46" s="744">
        <f t="shared" si="14"/>
        <v>101442.68774703557</v>
      </c>
      <c r="V46" s="251" t="e">
        <f>'[1]2022'!U39</f>
        <v>#REF!</v>
      </c>
      <c r="W46" s="251">
        <f t="shared" ref="W46:Z46" si="35">I46</f>
        <v>10000</v>
      </c>
      <c r="X46" s="251">
        <f t="shared" si="35"/>
        <v>10000</v>
      </c>
      <c r="Y46" s="251">
        <f t="shared" si="35"/>
        <v>10000</v>
      </c>
      <c r="Z46" s="251">
        <f t="shared" si="35"/>
        <v>10000</v>
      </c>
      <c r="AA46" s="251">
        <v>10000</v>
      </c>
      <c r="AB46" s="753">
        <v>10000</v>
      </c>
      <c r="AC46" s="251">
        <f>O46-6818</f>
        <v>1182</v>
      </c>
      <c r="AD46" s="251">
        <f t="shared" ref="AD46:AH46" si="36">P46</f>
        <v>5000</v>
      </c>
      <c r="AE46" s="251">
        <f t="shared" si="36"/>
        <v>10000</v>
      </c>
      <c r="AF46" s="251">
        <f t="shared" si="36"/>
        <v>10000</v>
      </c>
      <c r="AG46" s="1136">
        <f t="shared" si="36"/>
        <v>8260.8695652173919</v>
      </c>
      <c r="AH46" s="251">
        <f t="shared" si="36"/>
        <v>7000</v>
      </c>
      <c r="AI46" s="1135">
        <f t="shared" si="34"/>
        <v>101442.86956521739</v>
      </c>
      <c r="AJ46" s="249" t="e">
        <f>U46-W46-X46-Y46-Z46-AA46-AC46-#REF!-AD46-AE46-AF46-AG46-AH46</f>
        <v>#REF!</v>
      </c>
      <c r="AK46" s="249"/>
      <c r="AL46" s="249"/>
      <c r="AM46" s="249"/>
      <c r="AN46" s="290">
        <f t="shared" ref="AN46:AN52" si="37">AK46+AL46+AM46</f>
        <v>0</v>
      </c>
    </row>
    <row r="47" spans="1:40" ht="21" hidden="1" customHeight="1">
      <c r="A47" s="127">
        <v>46</v>
      </c>
      <c r="B47" s="56" t="s">
        <v>311</v>
      </c>
      <c r="C47" s="56" t="s">
        <v>79</v>
      </c>
      <c r="D47" s="128">
        <v>38000</v>
      </c>
      <c r="E47" s="128">
        <v>5000</v>
      </c>
      <c r="F47" s="118">
        <v>45114</v>
      </c>
      <c r="G47" s="118">
        <v>45477</v>
      </c>
      <c r="H47" s="56" t="s">
        <v>282</v>
      </c>
      <c r="I47" s="163">
        <f>E47/22*7</f>
        <v>1590.909090909091</v>
      </c>
      <c r="J47" s="56">
        <v>5000</v>
      </c>
      <c r="K47" s="56">
        <v>5000</v>
      </c>
      <c r="L47" s="56">
        <v>5000</v>
      </c>
      <c r="M47" s="56">
        <v>5000</v>
      </c>
      <c r="N47" s="56">
        <v>5000</v>
      </c>
      <c r="O47" s="163">
        <v>5000</v>
      </c>
      <c r="P47" s="163">
        <v>5000</v>
      </c>
      <c r="Q47" s="163">
        <v>5000</v>
      </c>
      <c r="R47" s="171">
        <v>5000</v>
      </c>
      <c r="S47" s="175">
        <f>E47/23*15</f>
        <v>3260.8695652173915</v>
      </c>
      <c r="T47" s="171">
        <v>5000</v>
      </c>
      <c r="U47" s="252">
        <f t="shared" si="14"/>
        <v>54851.77865612648</v>
      </c>
      <c r="V47" s="249" t="s">
        <v>283</v>
      </c>
      <c r="W47" s="249"/>
      <c r="X47" s="249"/>
      <c r="Y47" s="249"/>
      <c r="Z47" s="249"/>
      <c r="AA47" s="249"/>
      <c r="AB47" s="249"/>
      <c r="AC47" s="249"/>
      <c r="AD47" s="249"/>
      <c r="AE47" s="249"/>
      <c r="AF47" s="249"/>
      <c r="AG47" s="249"/>
      <c r="AH47" s="249"/>
      <c r="AI47" s="249">
        <f t="shared" si="34"/>
        <v>0</v>
      </c>
      <c r="AJ47" s="249">
        <f>U47-W47-X47-Y47-Z47-AA47-AB47-AC47-AD47-AE47-AF47-AG47-AH47</f>
        <v>54851.77865612648</v>
      </c>
      <c r="AK47" s="249"/>
      <c r="AL47" s="249"/>
      <c r="AM47" s="249"/>
      <c r="AN47" s="290">
        <f t="shared" si="37"/>
        <v>0</v>
      </c>
    </row>
    <row r="48" spans="1:40" ht="29.25" hidden="1" customHeight="1">
      <c r="A48" s="127">
        <v>47</v>
      </c>
      <c r="B48" s="56" t="s">
        <v>241</v>
      </c>
      <c r="C48" s="56" t="s">
        <v>79</v>
      </c>
      <c r="D48" s="128">
        <v>20000</v>
      </c>
      <c r="E48" s="128">
        <v>5000</v>
      </c>
      <c r="F48" s="118">
        <v>44945</v>
      </c>
      <c r="G48" s="118">
        <v>45310</v>
      </c>
      <c r="H48" s="56" t="s">
        <v>282</v>
      </c>
      <c r="I48" s="56">
        <f>4909+909</f>
        <v>5818</v>
      </c>
      <c r="J48" s="163">
        <v>5000</v>
      </c>
      <c r="K48" s="163">
        <v>5000</v>
      </c>
      <c r="L48" s="163">
        <v>5000</v>
      </c>
      <c r="M48" s="56">
        <v>5000</v>
      </c>
      <c r="N48" s="56">
        <v>5000</v>
      </c>
      <c r="O48" s="163">
        <v>5000</v>
      </c>
      <c r="P48" s="163">
        <v>5000</v>
      </c>
      <c r="Q48" s="163">
        <v>5000</v>
      </c>
      <c r="R48" s="171">
        <v>5000</v>
      </c>
      <c r="S48" s="171">
        <v>5000</v>
      </c>
      <c r="T48" s="171">
        <f>E48/20*13</f>
        <v>3250</v>
      </c>
      <c r="U48" s="252">
        <f t="shared" si="14"/>
        <v>59068</v>
      </c>
      <c r="V48" s="249" t="s">
        <v>283</v>
      </c>
      <c r="W48" s="249"/>
      <c r="X48" s="249"/>
      <c r="Y48" s="249"/>
      <c r="Z48" s="249"/>
      <c r="AA48" s="249"/>
      <c r="AB48" s="249"/>
      <c r="AC48" s="249"/>
      <c r="AD48" s="249"/>
      <c r="AE48" s="249"/>
      <c r="AF48" s="249"/>
      <c r="AG48" s="249"/>
      <c r="AH48" s="249"/>
      <c r="AI48" s="249">
        <f t="shared" si="34"/>
        <v>0</v>
      </c>
      <c r="AJ48" s="249">
        <f>U48-W48-X48-Y48-Z48-AA48-AB48-AC48-AD48-AE48-AF48-AG48-AH48</f>
        <v>59068</v>
      </c>
      <c r="AK48" s="249"/>
      <c r="AL48" s="249"/>
      <c r="AM48" s="249"/>
      <c r="AN48" s="290">
        <f t="shared" si="37"/>
        <v>0</v>
      </c>
    </row>
    <row r="49" spans="1:40" ht="36" hidden="1" customHeight="1">
      <c r="A49" s="127">
        <v>48</v>
      </c>
      <c r="B49" s="128" t="s">
        <v>312</v>
      </c>
      <c r="C49" s="56" t="s">
        <v>79</v>
      </c>
      <c r="D49" s="128">
        <v>30000</v>
      </c>
      <c r="E49" s="128">
        <v>5000</v>
      </c>
      <c r="F49" s="118">
        <v>44806</v>
      </c>
      <c r="G49" s="118">
        <v>45171</v>
      </c>
      <c r="H49" s="56" t="s">
        <v>282</v>
      </c>
      <c r="I49" s="56">
        <v>5000</v>
      </c>
      <c r="J49" s="163">
        <f>E49/23*14.5</f>
        <v>3152.1739130434785</v>
      </c>
      <c r="K49" s="56">
        <f>E49/20*11</f>
        <v>2750</v>
      </c>
      <c r="L49" s="56">
        <v>5000</v>
      </c>
      <c r="M49" s="56">
        <v>5000</v>
      </c>
      <c r="N49" s="56">
        <v>0</v>
      </c>
      <c r="O49" s="163">
        <v>2000</v>
      </c>
      <c r="P49" s="163">
        <v>5000</v>
      </c>
      <c r="Q49" s="163">
        <v>4000</v>
      </c>
      <c r="R49" s="175">
        <f>E49/22*17</f>
        <v>3863.636363636364</v>
      </c>
      <c r="S49" s="175">
        <f>E49/23*12</f>
        <v>2608.695652173913</v>
      </c>
      <c r="T49" s="171">
        <f>E49/20*10</f>
        <v>2500</v>
      </c>
      <c r="U49" s="252">
        <f t="shared" si="14"/>
        <v>40874.505928853752</v>
      </c>
      <c r="V49" s="249" t="e">
        <f>'[1]2022'!U38</f>
        <v>#REF!</v>
      </c>
      <c r="W49" s="249"/>
      <c r="X49" s="249"/>
      <c r="Y49" s="249"/>
      <c r="Z49" s="249"/>
      <c r="AA49" s="249"/>
      <c r="AB49" s="249"/>
      <c r="AC49" s="249"/>
      <c r="AD49" s="249"/>
      <c r="AE49" s="249"/>
      <c r="AF49" s="249"/>
      <c r="AG49" s="249"/>
      <c r="AH49" s="249"/>
      <c r="AI49" s="249">
        <f t="shared" si="34"/>
        <v>0</v>
      </c>
      <c r="AJ49" s="249">
        <f>U49-W49-X49-Y49-Z49-AA49-AB49-AC49-AD49-AE49-AF49-AG49-AH49</f>
        <v>40874.505928853752</v>
      </c>
      <c r="AK49" s="249"/>
      <c r="AL49" s="249"/>
      <c r="AM49" s="249"/>
      <c r="AN49" s="290">
        <f t="shared" si="37"/>
        <v>0</v>
      </c>
    </row>
    <row r="50" spans="1:40" ht="37.5" hidden="1" customHeight="1">
      <c r="A50" s="127">
        <v>49</v>
      </c>
      <c r="B50" s="61" t="s">
        <v>237</v>
      </c>
      <c r="C50" s="61" t="s">
        <v>79</v>
      </c>
      <c r="D50" s="128">
        <v>10000</v>
      </c>
      <c r="E50" s="128">
        <v>6000</v>
      </c>
      <c r="F50" s="118">
        <v>45252</v>
      </c>
      <c r="G50" s="118">
        <v>45449</v>
      </c>
      <c r="H50" s="61" t="s">
        <v>282</v>
      </c>
      <c r="I50" s="56">
        <v>5000</v>
      </c>
      <c r="J50" s="163">
        <f>E50/23*17</f>
        <v>4434.782608695652</v>
      </c>
      <c r="K50" s="56">
        <f>E50/20*9.5</f>
        <v>2850</v>
      </c>
      <c r="L50" s="56">
        <v>8000</v>
      </c>
      <c r="M50" s="56">
        <v>5000</v>
      </c>
      <c r="N50" s="56">
        <v>5000</v>
      </c>
      <c r="O50" s="163">
        <v>10000</v>
      </c>
      <c r="P50" s="163" t="s">
        <v>30</v>
      </c>
      <c r="Q50" s="56" t="s">
        <v>30</v>
      </c>
      <c r="R50" s="171" t="s">
        <v>30</v>
      </c>
      <c r="S50" s="175">
        <f>E50/23*3</f>
        <v>782.60869565217399</v>
      </c>
      <c r="T50" s="171">
        <v>6000</v>
      </c>
      <c r="U50" s="752">
        <f t="shared" si="14"/>
        <v>47067.391304347824</v>
      </c>
      <c r="V50" s="237" t="e">
        <f>'[1]2022'!#REF!</f>
        <v>#REF!</v>
      </c>
      <c r="W50" s="237"/>
      <c r="X50" s="237"/>
      <c r="Y50" s="237"/>
      <c r="Z50" s="237"/>
      <c r="AA50" s="237"/>
      <c r="AB50" s="237"/>
      <c r="AC50" s="237"/>
      <c r="AD50" s="237" t="str">
        <f t="shared" ref="AD50:AF50" si="38">P50</f>
        <v>NA</v>
      </c>
      <c r="AE50" s="237" t="str">
        <f t="shared" si="38"/>
        <v>NA</v>
      </c>
      <c r="AF50" s="237" t="str">
        <f t="shared" si="38"/>
        <v>NA</v>
      </c>
      <c r="AG50" s="237"/>
      <c r="AH50" s="237"/>
      <c r="AI50" s="237">
        <f t="shared" si="34"/>
        <v>0</v>
      </c>
      <c r="AJ50" s="237" t="e">
        <f>U50-W50-X50-Y50-Z50-AA50-AB50-AC50-AD50-AE50-AF50-AG50-AH50</f>
        <v>#VALUE!</v>
      </c>
      <c r="AK50" s="237"/>
      <c r="AL50" s="237"/>
      <c r="AM50" s="237"/>
      <c r="AN50" s="277">
        <f t="shared" si="37"/>
        <v>0</v>
      </c>
    </row>
    <row r="51" spans="1:40" ht="21" hidden="1" customHeight="1">
      <c r="A51" s="127">
        <v>50</v>
      </c>
      <c r="B51" s="56" t="s">
        <v>244</v>
      </c>
      <c r="C51" s="56" t="s">
        <v>74</v>
      </c>
      <c r="D51" s="128">
        <v>28000</v>
      </c>
      <c r="E51" s="128">
        <v>7000</v>
      </c>
      <c r="F51" s="118">
        <v>45084</v>
      </c>
      <c r="H51" s="56" t="s">
        <v>282</v>
      </c>
      <c r="I51" s="56">
        <v>10000</v>
      </c>
      <c r="J51" s="56">
        <v>10000</v>
      </c>
      <c r="K51" s="56">
        <v>10000</v>
      </c>
      <c r="L51" s="56">
        <v>10000</v>
      </c>
      <c r="M51" s="163">
        <f>E51/22*16</f>
        <v>5090.909090909091</v>
      </c>
      <c r="N51" s="740">
        <v>6591</v>
      </c>
      <c r="O51" s="243">
        <v>7000</v>
      </c>
      <c r="P51" s="163">
        <v>7000</v>
      </c>
      <c r="Q51" s="163">
        <f>E51/21*6</f>
        <v>2000</v>
      </c>
      <c r="R51" s="163">
        <v>7000</v>
      </c>
      <c r="S51" s="163">
        <v>7000</v>
      </c>
      <c r="T51" s="171">
        <f>E51/20*16</f>
        <v>5600</v>
      </c>
      <c r="U51" s="252">
        <f>SUM(I51:T51)</f>
        <v>87281.909090909088</v>
      </c>
      <c r="V51" s="249" t="s">
        <v>283</v>
      </c>
      <c r="W51" s="249"/>
      <c r="X51" s="249"/>
      <c r="Y51" s="249"/>
      <c r="Z51" s="249"/>
      <c r="AA51" s="249"/>
      <c r="AB51" s="249"/>
      <c r="AC51" s="249"/>
      <c r="AD51" s="249"/>
      <c r="AE51" s="249"/>
      <c r="AF51" s="249"/>
      <c r="AG51" s="249"/>
      <c r="AH51" s="249"/>
      <c r="AI51" s="249">
        <f t="shared" si="34"/>
        <v>0</v>
      </c>
      <c r="AJ51" s="249">
        <f>U51-W51-X51-Y51-Z51-AA51-AB51-AC51-AD51-AE51-AF51-AG51-AH51</f>
        <v>87281.909090909088</v>
      </c>
      <c r="AK51" s="249"/>
      <c r="AL51" s="249"/>
      <c r="AM51" s="249"/>
      <c r="AN51" s="290">
        <f t="shared" si="37"/>
        <v>0</v>
      </c>
    </row>
    <row r="52" spans="1:40" ht="39" hidden="1" customHeight="1">
      <c r="A52" s="127">
        <v>51</v>
      </c>
      <c r="B52" s="56" t="s">
        <v>313</v>
      </c>
      <c r="C52" s="56" t="s">
        <v>74</v>
      </c>
      <c r="D52" s="128">
        <v>6000</v>
      </c>
      <c r="E52" s="128">
        <v>10000</v>
      </c>
      <c r="F52" s="118">
        <v>44881</v>
      </c>
      <c r="G52" s="118">
        <v>45246</v>
      </c>
      <c r="H52" s="56" t="s">
        <v>282</v>
      </c>
      <c r="I52" s="56">
        <v>3000</v>
      </c>
      <c r="J52" s="56">
        <v>4000</v>
      </c>
      <c r="K52" s="56">
        <v>5000</v>
      </c>
      <c r="L52" s="56">
        <v>5000</v>
      </c>
      <c r="M52" s="56">
        <v>5000</v>
      </c>
      <c r="N52" s="56">
        <v>5000</v>
      </c>
      <c r="O52" s="163">
        <v>5000</v>
      </c>
      <c r="P52" s="163">
        <v>4000</v>
      </c>
      <c r="Q52" s="163">
        <v>6000</v>
      </c>
      <c r="R52" s="175">
        <f>E52/22*17.5</f>
        <v>7954.545454545455</v>
      </c>
      <c r="S52" s="175">
        <v>3000</v>
      </c>
      <c r="T52" s="170">
        <v>0</v>
      </c>
      <c r="U52" s="252">
        <f t="shared" si="14"/>
        <v>52954.545454545456</v>
      </c>
      <c r="V52" s="249" t="s">
        <v>283</v>
      </c>
      <c r="W52" s="249"/>
      <c r="X52" s="249"/>
      <c r="Y52" s="249"/>
      <c r="Z52" s="249"/>
      <c r="AA52" s="249"/>
      <c r="AB52" s="249"/>
      <c r="AC52" s="249"/>
      <c r="AD52" s="249"/>
      <c r="AE52" s="249"/>
      <c r="AF52" s="249"/>
      <c r="AG52" s="249"/>
      <c r="AH52" s="249"/>
      <c r="AI52" s="249">
        <f t="shared" si="34"/>
        <v>0</v>
      </c>
      <c r="AJ52" s="249">
        <f>U52-X52-Y52-Z52-AA52-AB52</f>
        <v>52954.545454545456</v>
      </c>
      <c r="AK52" s="249" t="s">
        <v>283</v>
      </c>
      <c r="AL52" s="249" t="s">
        <v>283</v>
      </c>
      <c r="AM52" s="249"/>
      <c r="AN52" s="290" t="e">
        <f t="shared" si="37"/>
        <v>#VALUE!</v>
      </c>
    </row>
    <row r="53" spans="1:40" ht="26.25" hidden="1" customHeight="1">
      <c r="A53" s="127">
        <v>52</v>
      </c>
      <c r="B53" s="56" t="s">
        <v>314</v>
      </c>
      <c r="C53" s="56" t="s">
        <v>74</v>
      </c>
      <c r="D53" s="128">
        <v>6000</v>
      </c>
      <c r="E53" s="128">
        <v>4000</v>
      </c>
      <c r="F53" s="118">
        <v>45227</v>
      </c>
      <c r="G53" s="118">
        <v>45775</v>
      </c>
      <c r="H53" s="56" t="s">
        <v>282</v>
      </c>
      <c r="I53" s="56" t="s">
        <v>30</v>
      </c>
      <c r="J53" s="56" t="s">
        <v>30</v>
      </c>
      <c r="K53" s="56" t="s">
        <v>30</v>
      </c>
      <c r="L53" s="56" t="s">
        <v>30</v>
      </c>
      <c r="M53" s="56" t="s">
        <v>30</v>
      </c>
      <c r="N53" s="56" t="s">
        <v>30</v>
      </c>
      <c r="O53" s="56" t="s">
        <v>30</v>
      </c>
      <c r="P53" s="56" t="s">
        <v>30</v>
      </c>
      <c r="Q53" s="56" t="s">
        <v>30</v>
      </c>
      <c r="R53" s="56" t="s">
        <v>30</v>
      </c>
      <c r="S53" s="175">
        <f>E53/27*24</f>
        <v>3555.5555555555557</v>
      </c>
      <c r="T53" s="170">
        <v>3000</v>
      </c>
      <c r="U53" s="252">
        <f t="shared" si="14"/>
        <v>6555.5555555555557</v>
      </c>
      <c r="V53" s="249"/>
      <c r="W53" s="249"/>
      <c r="X53" s="249"/>
      <c r="Y53" s="249"/>
      <c r="Z53" s="249"/>
      <c r="AA53" s="249"/>
      <c r="AB53" s="249"/>
      <c r="AC53" s="249"/>
      <c r="AD53" s="249"/>
      <c r="AE53" s="249"/>
      <c r="AF53" s="249"/>
      <c r="AG53" s="249"/>
      <c r="AH53" s="249"/>
      <c r="AI53" s="249"/>
      <c r="AJ53" s="249"/>
      <c r="AK53" s="249"/>
      <c r="AL53" s="249"/>
      <c r="AM53" s="249"/>
      <c r="AN53" s="290"/>
    </row>
    <row r="54" spans="1:40" ht="21" hidden="1" customHeight="1">
      <c r="A54" s="127">
        <v>53</v>
      </c>
      <c r="B54" s="56" t="s">
        <v>315</v>
      </c>
      <c r="C54" s="56" t="s">
        <v>316</v>
      </c>
      <c r="D54" s="128">
        <v>12000</v>
      </c>
      <c r="E54" s="128">
        <v>6000</v>
      </c>
      <c r="F54" s="118">
        <v>45061</v>
      </c>
      <c r="G54" s="118"/>
      <c r="H54" s="56" t="s">
        <v>282</v>
      </c>
      <c r="I54" s="163" t="s">
        <v>30</v>
      </c>
      <c r="J54" s="163" t="s">
        <v>30</v>
      </c>
      <c r="K54" s="163" t="s">
        <v>30</v>
      </c>
      <c r="L54" s="163" t="s">
        <v>30</v>
      </c>
      <c r="M54" s="163">
        <f>E54/22*8</f>
        <v>2181.818181818182</v>
      </c>
      <c r="N54" s="163">
        <v>3000</v>
      </c>
      <c r="O54" s="56">
        <v>6000</v>
      </c>
      <c r="P54" s="56">
        <v>0</v>
      </c>
      <c r="Q54" s="56">
        <v>6000</v>
      </c>
      <c r="R54" s="171">
        <v>4000</v>
      </c>
      <c r="S54" s="250">
        <f>E54/23*15</f>
        <v>3913.0434782608695</v>
      </c>
      <c r="T54" s="250">
        <f>E54/20*14</f>
        <v>4200</v>
      </c>
      <c r="U54" s="252">
        <f t="shared" si="14"/>
        <v>29294.861660079052</v>
      </c>
      <c r="V54" s="251"/>
      <c r="W54" s="249"/>
      <c r="X54" s="249"/>
      <c r="Y54" s="249"/>
      <c r="AA54" s="163">
        <f>S54/22*8</f>
        <v>1422.9249011857708</v>
      </c>
      <c r="AB54" s="163">
        <v>3000</v>
      </c>
      <c r="AC54" s="56">
        <v>6000</v>
      </c>
      <c r="AD54" s="56">
        <v>0</v>
      </c>
      <c r="AE54" s="56">
        <v>6000</v>
      </c>
      <c r="AF54" s="171">
        <v>4000</v>
      </c>
      <c r="AG54" s="1136">
        <f>S54-2815</f>
        <v>1098.0434782608695</v>
      </c>
      <c r="AH54" s="251">
        <f>T54</f>
        <v>4200</v>
      </c>
      <c r="AI54" s="249">
        <f>SUM(W54:AH54)</f>
        <v>25720.96837944664</v>
      </c>
      <c r="AJ54" s="249">
        <f>SUM(M54:R54)+2824</f>
        <v>24005.818181818184</v>
      </c>
      <c r="AK54" s="249">
        <v>0</v>
      </c>
      <c r="AL54" s="249">
        <v>0</v>
      </c>
      <c r="AM54" s="249">
        <v>0</v>
      </c>
      <c r="AN54" s="290">
        <f>AJ54</f>
        <v>24005.818181818184</v>
      </c>
    </row>
    <row r="55" spans="1:40" ht="21" customHeight="1">
      <c r="A55" s="728"/>
      <c r="B55" s="729" t="s">
        <v>15</v>
      </c>
      <c r="C55" s="730"/>
      <c r="D55" s="731">
        <f>SUBTOTAL(9,D2:D26,D28,D29:D54)</f>
        <v>6000</v>
      </c>
      <c r="E55" s="731">
        <f>SUBTOTAL(9,E2:E26,E28:E54)</f>
        <v>10000</v>
      </c>
      <c r="F55" s="731"/>
      <c r="G55" s="731"/>
      <c r="H55" s="731">
        <f t="shared" ref="H55:U55" si="39">SUM(H49:H54)</f>
        <v>0</v>
      </c>
      <c r="I55" s="731">
        <f t="shared" si="39"/>
        <v>23000</v>
      </c>
      <c r="J55" s="731">
        <f t="shared" si="39"/>
        <v>21586.956521739128</v>
      </c>
      <c r="K55" s="731">
        <f t="shared" si="39"/>
        <v>20600</v>
      </c>
      <c r="L55" s="731">
        <f t="shared" si="39"/>
        <v>28000</v>
      </c>
      <c r="M55" s="731">
        <f t="shared" si="39"/>
        <v>22272.727272727272</v>
      </c>
      <c r="N55" s="731">
        <f t="shared" si="39"/>
        <v>19591</v>
      </c>
      <c r="O55" s="731">
        <f t="shared" si="39"/>
        <v>30000</v>
      </c>
      <c r="P55" s="731">
        <f t="shared" si="39"/>
        <v>16000</v>
      </c>
      <c r="Q55" s="731">
        <f t="shared" si="39"/>
        <v>18000</v>
      </c>
      <c r="R55" s="731">
        <f t="shared" si="39"/>
        <v>22818.18181818182</v>
      </c>
      <c r="S55" s="731">
        <f t="shared" si="39"/>
        <v>20859.903381642511</v>
      </c>
      <c r="T55" s="731">
        <f t="shared" si="39"/>
        <v>21300</v>
      </c>
      <c r="U55" s="1137">
        <f t="shared" si="39"/>
        <v>264028.76899429073</v>
      </c>
      <c r="V55" s="731" t="e">
        <f>SUM(V49:V54)</f>
        <v>#REF!</v>
      </c>
      <c r="W55" s="731" t="e">
        <f>SUM(#REF!,W49:W54)</f>
        <v>#REF!</v>
      </c>
      <c r="X55" s="731">
        <f t="shared" ref="X55:AC55" si="40">SUM(X49:X54)</f>
        <v>0</v>
      </c>
      <c r="Y55" s="731">
        <f t="shared" si="40"/>
        <v>0</v>
      </c>
      <c r="Z55" s="731">
        <f t="shared" si="40"/>
        <v>0</v>
      </c>
      <c r="AA55" s="731">
        <f t="shared" si="40"/>
        <v>1422.9249011857708</v>
      </c>
      <c r="AB55" s="731">
        <f t="shared" si="40"/>
        <v>3000</v>
      </c>
      <c r="AC55" s="731">
        <f t="shared" si="40"/>
        <v>6000</v>
      </c>
      <c r="AD55" s="731">
        <f>SUM(AD2:AD54)</f>
        <v>85000</v>
      </c>
      <c r="AE55" s="731">
        <f>SUM(AE49:AE54)</f>
        <v>6000</v>
      </c>
      <c r="AF55" s="731">
        <f t="shared" ref="AF55:AN55" si="41">SUM(AF49:AF54)</f>
        <v>4000</v>
      </c>
      <c r="AG55" s="1137">
        <f t="shared" si="41"/>
        <v>1098.0434782608695</v>
      </c>
      <c r="AH55" s="731">
        <f t="shared" si="41"/>
        <v>4200</v>
      </c>
      <c r="AI55" s="731">
        <f t="shared" si="41"/>
        <v>25720.96837944664</v>
      </c>
      <c r="AJ55" s="731" t="e">
        <f t="shared" si="41"/>
        <v>#VALUE!</v>
      </c>
      <c r="AK55" s="731">
        <f t="shared" si="41"/>
        <v>0</v>
      </c>
      <c r="AL55" s="731">
        <f t="shared" si="41"/>
        <v>0</v>
      </c>
      <c r="AM55" s="731">
        <f t="shared" si="41"/>
        <v>0</v>
      </c>
      <c r="AN55" s="731" t="e">
        <f t="shared" si="41"/>
        <v>#VALUE!</v>
      </c>
    </row>
    <row r="56" spans="1:40" ht="15.75" customHeight="1">
      <c r="A56" s="127"/>
      <c r="B56" s="445"/>
      <c r="C56" s="445"/>
      <c r="D56" s="717"/>
      <c r="E56" s="445"/>
      <c r="O56" s="445"/>
      <c r="P56" s="445"/>
      <c r="Q56" s="445"/>
      <c r="R56" s="445"/>
      <c r="S56" s="445"/>
      <c r="T56" s="445"/>
      <c r="U56" s="445"/>
      <c r="V56" s="717"/>
      <c r="W56" s="717"/>
      <c r="X56" s="717"/>
      <c r="Y56" s="717"/>
      <c r="Z56" s="717"/>
      <c r="AA56" s="717"/>
      <c r="AB56" s="717"/>
      <c r="AC56" s="717"/>
      <c r="AD56" s="717"/>
      <c r="AE56" s="717"/>
      <c r="AF56" s="717"/>
      <c r="AG56" s="717"/>
      <c r="AH56" s="717"/>
      <c r="AI56" s="717"/>
      <c r="AJ56" s="717"/>
      <c r="AK56" s="717"/>
      <c r="AL56" s="717"/>
      <c r="AM56" s="717"/>
      <c r="AN56" s="717"/>
    </row>
    <row r="57" spans="1:40" ht="15.75" customHeight="1">
      <c r="A57" s="127"/>
      <c r="B57" s="445"/>
      <c r="C57" s="445"/>
      <c r="D57" s="445"/>
      <c r="E57" s="16"/>
      <c r="O57" s="445"/>
      <c r="P57" s="445"/>
      <c r="Q57" s="445"/>
      <c r="R57" s="445"/>
      <c r="S57" s="445">
        <v>1089</v>
      </c>
      <c r="T57" s="445"/>
      <c r="U57" s="445"/>
      <c r="V57" s="717"/>
      <c r="W57" s="717"/>
      <c r="X57" s="717"/>
      <c r="Y57" s="717"/>
      <c r="Z57" s="717"/>
      <c r="AA57" s="717"/>
      <c r="AB57" s="717"/>
      <c r="AC57" s="717"/>
      <c r="AD57" s="717"/>
      <c r="AE57" s="717"/>
      <c r="AF57" s="717"/>
      <c r="AG57" s="717"/>
      <c r="AH57" s="717"/>
      <c r="AI57" s="717"/>
      <c r="AJ57" s="717"/>
      <c r="AK57" s="717"/>
      <c r="AL57" s="717"/>
      <c r="AM57" s="717"/>
      <c r="AN57" s="717"/>
    </row>
    <row r="58" spans="1:40" ht="15.75" customHeight="1">
      <c r="A58" s="127"/>
      <c r="B58" s="445"/>
      <c r="C58" s="445"/>
      <c r="D58" s="445"/>
      <c r="E58" s="16"/>
      <c r="O58" s="445"/>
      <c r="P58" s="445"/>
      <c r="Q58" s="445"/>
      <c r="R58" s="445"/>
      <c r="S58" s="1003">
        <f>S54-S57</f>
        <v>2824.0434782608695</v>
      </c>
      <c r="T58" s="445"/>
      <c r="U58" s="445"/>
      <c r="V58" s="717"/>
      <c r="W58" s="717"/>
      <c r="X58" s="717"/>
      <c r="Y58" s="717"/>
      <c r="Z58" s="717"/>
      <c r="AA58" s="717"/>
      <c r="AB58" s="717"/>
      <c r="AC58" s="717"/>
      <c r="AD58" s="717"/>
      <c r="AE58" s="717"/>
      <c r="AF58" s="717"/>
      <c r="AG58" s="717"/>
      <c r="AH58" s="717"/>
      <c r="AI58" s="717"/>
      <c r="AJ58" s="717"/>
      <c r="AK58" s="717"/>
      <c r="AL58" s="717"/>
      <c r="AM58" s="717"/>
      <c r="AN58" s="717"/>
    </row>
    <row r="59" spans="1:40" ht="15.75" customHeight="1">
      <c r="A59" s="127"/>
      <c r="B59" s="171"/>
      <c r="C59" s="716" t="s">
        <v>261</v>
      </c>
      <c r="D59" s="445"/>
      <c r="E59" s="16"/>
      <c r="H59" s="1004"/>
      <c r="T59" s="1071"/>
      <c r="U59" s="445"/>
      <c r="V59" s="717"/>
      <c r="W59" s="717"/>
      <c r="X59" s="717"/>
      <c r="Y59" s="717"/>
      <c r="Z59" s="717"/>
      <c r="AA59" s="717"/>
      <c r="AB59" s="717"/>
      <c r="AC59" s="717"/>
      <c r="AD59" s="717"/>
      <c r="AE59" s="717"/>
      <c r="AF59" s="717"/>
      <c r="AG59" s="717"/>
      <c r="AH59" s="717"/>
      <c r="AI59" s="717"/>
      <c r="AJ59" s="717"/>
      <c r="AK59" s="717"/>
      <c r="AL59" s="717"/>
      <c r="AM59" s="717"/>
      <c r="AN59" s="717"/>
    </row>
    <row r="60" spans="1:40" ht="15.75" customHeight="1">
      <c r="A60" s="127"/>
      <c r="B60" s="726"/>
      <c r="C60" s="716" t="s">
        <v>262</v>
      </c>
      <c r="D60" s="445"/>
      <c r="E60" s="16"/>
      <c r="I60" s="53">
        <v>50000</v>
      </c>
      <c r="P60" s="502"/>
      <c r="U60" s="445"/>
      <c r="V60" s="717"/>
      <c r="W60" s="717"/>
      <c r="X60" s="717"/>
      <c r="Y60" s="717"/>
      <c r="Z60" s="717"/>
      <c r="AA60" s="717"/>
      <c r="AB60" s="717"/>
      <c r="AC60" s="717"/>
      <c r="AD60" s="717"/>
      <c r="AE60" s="717"/>
      <c r="AF60" s="717"/>
      <c r="AG60" s="717"/>
      <c r="AH60" s="717"/>
      <c r="AI60" s="717"/>
      <c r="AJ60" s="717"/>
      <c r="AK60" s="717"/>
      <c r="AL60" s="717"/>
      <c r="AM60" s="717"/>
      <c r="AN60" s="717"/>
    </row>
    <row r="61" spans="1:40" ht="15.75" customHeight="1">
      <c r="A61" s="127"/>
      <c r="B61" s="243"/>
      <c r="C61" s="716" t="s">
        <v>263</v>
      </c>
      <c r="D61" s="445"/>
      <c r="E61" s="445"/>
      <c r="I61" s="1150">
        <f>SUM(I43:R43,I60)</f>
        <v>124268.77470355731</v>
      </c>
      <c r="R61">
        <v>50000</v>
      </c>
      <c r="U61" s="445"/>
      <c r="V61" s="717"/>
      <c r="W61" s="717"/>
      <c r="X61" s="717"/>
      <c r="Y61" s="717"/>
      <c r="Z61" s="717"/>
      <c r="AA61" s="717"/>
      <c r="AB61" s="717"/>
      <c r="AC61" s="717"/>
      <c r="AD61" s="717"/>
      <c r="AE61" s="717"/>
      <c r="AF61" s="717"/>
      <c r="AG61" s="717"/>
      <c r="AH61" s="717"/>
      <c r="AI61" s="717"/>
      <c r="AJ61" s="717"/>
      <c r="AK61" s="717"/>
      <c r="AL61" s="717"/>
      <c r="AM61" s="717"/>
      <c r="AN61" s="717"/>
    </row>
    <row r="62" spans="1:40" ht="15.75" customHeight="1">
      <c r="A62" s="127"/>
      <c r="B62" s="732"/>
      <c r="C62" s="733" t="s">
        <v>264</v>
      </c>
      <c r="D62" s="445"/>
      <c r="E62" s="445"/>
      <c r="U62" s="445"/>
      <c r="V62" s="717"/>
      <c r="W62" s="717"/>
      <c r="X62" s="717"/>
      <c r="Y62" s="717"/>
      <c r="Z62" s="717"/>
      <c r="AA62" s="717"/>
      <c r="AB62" s="717"/>
      <c r="AC62" s="717"/>
      <c r="AD62" s="717"/>
      <c r="AE62" s="717"/>
      <c r="AF62" s="717"/>
      <c r="AG62" s="717"/>
      <c r="AH62" s="717"/>
      <c r="AI62" s="717"/>
      <c r="AJ62" s="717"/>
      <c r="AK62" s="717"/>
      <c r="AL62" s="717"/>
      <c r="AM62" s="717"/>
      <c r="AN62" s="717"/>
    </row>
    <row r="63" spans="1:40" ht="15.75" customHeight="1">
      <c r="A63" s="734"/>
      <c r="B63" s="735"/>
      <c r="C63" s="736" t="s">
        <v>317</v>
      </c>
      <c r="D63" s="445"/>
      <c r="E63" s="445"/>
      <c r="H63" s="1004"/>
      <c r="U63" s="445"/>
      <c r="V63" s="717"/>
      <c r="W63" s="717"/>
      <c r="X63" s="717"/>
      <c r="Y63" s="717"/>
      <c r="Z63" s="717"/>
      <c r="AA63" s="717"/>
      <c r="AB63" s="717"/>
      <c r="AC63" s="717"/>
      <c r="AD63" s="717"/>
      <c r="AE63" s="717"/>
      <c r="AF63" s="717"/>
      <c r="AG63" s="717"/>
      <c r="AH63" s="717"/>
      <c r="AI63" s="717"/>
      <c r="AJ63" s="717"/>
      <c r="AK63" s="717"/>
      <c r="AL63" s="717"/>
      <c r="AM63" s="717"/>
      <c r="AN63" s="717"/>
    </row>
    <row r="64" spans="1:40" ht="15.75" customHeight="1">
      <c r="A64" s="734"/>
      <c r="B64" s="737"/>
      <c r="C64" s="162" t="s">
        <v>300</v>
      </c>
      <c r="D64" s="445"/>
      <c r="E64" s="445"/>
      <c r="U64" s="445"/>
      <c r="V64" s="717"/>
      <c r="W64" s="717"/>
      <c r="X64" s="717"/>
      <c r="Y64" s="717"/>
      <c r="Z64" s="717"/>
      <c r="AA64" s="717"/>
      <c r="AB64" s="717"/>
      <c r="AC64" s="717"/>
      <c r="AD64" s="717"/>
      <c r="AE64" s="717"/>
      <c r="AF64" s="717"/>
      <c r="AG64" s="717"/>
      <c r="AH64" s="1003"/>
      <c r="AI64" s="717"/>
      <c r="AJ64" s="717"/>
      <c r="AK64" s="717"/>
      <c r="AL64" s="717"/>
      <c r="AM64" s="717"/>
      <c r="AN64" s="717"/>
    </row>
    <row r="65" spans="1:40" ht="15.75" customHeight="1">
      <c r="A65" s="127"/>
      <c r="B65" s="445"/>
      <c r="C65" s="445"/>
      <c r="D65" s="445"/>
      <c r="E65" s="445"/>
      <c r="U65" s="445"/>
      <c r="V65" s="717"/>
      <c r="W65" s="717"/>
      <c r="X65" s="717"/>
      <c r="Y65" s="717"/>
      <c r="Z65" s="717"/>
      <c r="AA65" s="717"/>
      <c r="AB65" s="717"/>
      <c r="AC65" s="717"/>
      <c r="AD65" s="717"/>
      <c r="AE65" s="717"/>
      <c r="AF65" s="717"/>
      <c r="AG65" s="717"/>
      <c r="AH65" s="1003"/>
      <c r="AI65" s="717"/>
      <c r="AJ65" s="717"/>
      <c r="AK65" s="717"/>
      <c r="AL65" s="717"/>
      <c r="AM65" s="717"/>
      <c r="AN65" s="717"/>
    </row>
    <row r="66" spans="1:40" ht="15.75" customHeight="1">
      <c r="A66" s="127"/>
      <c r="B66" s="445"/>
      <c r="C66" s="445"/>
      <c r="D66" s="445"/>
      <c r="E66" s="445"/>
      <c r="U66" s="445"/>
      <c r="V66" s="717"/>
      <c r="W66" s="717"/>
      <c r="X66" s="717"/>
      <c r="Y66" s="717"/>
      <c r="Z66" s="717"/>
      <c r="AA66" s="717"/>
      <c r="AB66" s="717"/>
      <c r="AC66" s="717"/>
      <c r="AD66" s="717"/>
      <c r="AE66" s="717"/>
      <c r="AF66" s="717"/>
      <c r="AG66" s="717"/>
      <c r="AH66" s="1003"/>
      <c r="AI66" s="717"/>
      <c r="AJ66" s="717"/>
      <c r="AK66" s="717"/>
      <c r="AL66" s="717"/>
      <c r="AM66" s="717"/>
      <c r="AN66" s="717"/>
    </row>
    <row r="67" spans="1:40" ht="15.75" customHeight="1">
      <c r="A67" s="127"/>
      <c r="B67" s="445"/>
      <c r="C67" s="445"/>
      <c r="D67" s="445"/>
      <c r="E67" s="445"/>
      <c r="U67" s="445"/>
      <c r="V67" s="717"/>
      <c r="W67" s="717"/>
      <c r="X67" s="717"/>
      <c r="Y67" s="717"/>
      <c r="Z67" s="717"/>
      <c r="AA67" s="717"/>
      <c r="AB67" s="717"/>
      <c r="AC67" s="717"/>
      <c r="AD67" s="717"/>
      <c r="AE67" s="717"/>
      <c r="AF67" s="717"/>
      <c r="AG67" s="717"/>
      <c r="AH67" s="717"/>
      <c r="AI67" s="717"/>
      <c r="AJ67" s="717"/>
      <c r="AK67" s="717"/>
      <c r="AL67" s="717"/>
      <c r="AM67" s="717"/>
      <c r="AN67" s="717"/>
    </row>
    <row r="68" spans="1:40" ht="15.75" customHeight="1">
      <c r="A68" s="127"/>
      <c r="B68" s="445"/>
      <c r="C68" s="445"/>
      <c r="D68" s="445"/>
      <c r="E68" s="445"/>
      <c r="U68" s="445"/>
      <c r="V68" s="717"/>
      <c r="W68" s="717"/>
      <c r="X68" s="717"/>
      <c r="Y68" s="717"/>
      <c r="Z68" s="717"/>
      <c r="AA68" s="717"/>
      <c r="AB68" s="717"/>
      <c r="AC68" s="717"/>
      <c r="AD68" s="717"/>
      <c r="AE68" s="717"/>
      <c r="AF68" s="717"/>
      <c r="AG68" s="717"/>
      <c r="AH68" s="717"/>
      <c r="AI68" s="717"/>
      <c r="AJ68" s="717"/>
      <c r="AK68" s="717"/>
      <c r="AL68" s="717"/>
      <c r="AM68" s="717"/>
      <c r="AN68" s="717"/>
    </row>
    <row r="69" spans="1:40" ht="15.75" customHeight="1">
      <c r="A69" s="127"/>
      <c r="B69" s="445"/>
      <c r="C69" s="445"/>
      <c r="D69" s="445"/>
      <c r="E69" s="445"/>
      <c r="U69" s="445"/>
      <c r="V69" s="717"/>
      <c r="W69" s="717"/>
      <c r="X69" s="717"/>
      <c r="Y69" s="717"/>
      <c r="Z69" s="717"/>
      <c r="AA69" s="717"/>
      <c r="AB69" s="717"/>
      <c r="AC69" s="717"/>
      <c r="AD69" s="717"/>
      <c r="AE69" s="717"/>
      <c r="AF69" s="717"/>
      <c r="AG69" s="717"/>
      <c r="AH69" s="717"/>
      <c r="AI69" s="717"/>
      <c r="AJ69" s="717"/>
      <c r="AK69" s="717"/>
      <c r="AL69" s="717"/>
      <c r="AM69" s="717"/>
      <c r="AN69" s="717"/>
    </row>
    <row r="70" spans="1:40" ht="15.75" customHeight="1">
      <c r="A70" s="127"/>
      <c r="B70" s="445"/>
      <c r="C70" s="445"/>
      <c r="D70" s="445"/>
      <c r="E70" s="445"/>
      <c r="U70" s="445"/>
      <c r="V70" s="717"/>
      <c r="W70" s="717"/>
      <c r="X70" s="717"/>
      <c r="Y70" s="717"/>
      <c r="Z70" s="717"/>
      <c r="AA70" s="717"/>
      <c r="AB70" s="717"/>
      <c r="AC70" s="717"/>
      <c r="AD70" s="717"/>
      <c r="AE70" s="717"/>
      <c r="AF70" s="717"/>
      <c r="AG70" s="717"/>
      <c r="AH70" s="717"/>
      <c r="AI70" s="717"/>
      <c r="AJ70" s="717"/>
      <c r="AK70" s="717"/>
      <c r="AL70" s="717"/>
      <c r="AM70" s="717"/>
      <c r="AN70" s="717"/>
    </row>
    <row r="71" spans="1:40" ht="15.75" customHeight="1">
      <c r="A71" s="127"/>
      <c r="B71" s="445"/>
      <c r="C71" s="445"/>
      <c r="D71" s="445"/>
      <c r="E71" s="445"/>
      <c r="U71" s="445"/>
      <c r="V71" s="717"/>
      <c r="W71" s="717"/>
      <c r="X71" s="717"/>
      <c r="Y71" s="717"/>
      <c r="Z71" s="717"/>
      <c r="AA71" s="717"/>
      <c r="AB71" s="717"/>
      <c r="AC71" s="717"/>
      <c r="AD71" s="717"/>
      <c r="AE71" s="717"/>
      <c r="AF71" s="717"/>
      <c r="AG71" s="717"/>
      <c r="AH71" s="717"/>
      <c r="AI71" s="717"/>
      <c r="AJ71" s="717"/>
      <c r="AK71" s="717"/>
      <c r="AL71" s="717"/>
      <c r="AM71" s="717"/>
      <c r="AN71" s="717"/>
    </row>
    <row r="72" spans="1:40" ht="15.75" customHeight="1">
      <c r="A72" s="127"/>
      <c r="B72" s="445"/>
      <c r="C72" s="445"/>
      <c r="D72" s="445"/>
      <c r="E72" s="445"/>
      <c r="O72" s="445"/>
      <c r="P72" s="755"/>
      <c r="Q72" s="755"/>
      <c r="R72" s="755"/>
      <c r="S72" s="755"/>
      <c r="T72" s="445"/>
      <c r="U72" s="445"/>
      <c r="V72" s="717"/>
      <c r="W72" s="717"/>
      <c r="X72" s="717"/>
      <c r="Y72" s="717"/>
      <c r="Z72" s="717"/>
      <c r="AA72" s="717"/>
      <c r="AB72" s="717"/>
      <c r="AC72" s="717"/>
      <c r="AD72" s="717"/>
      <c r="AE72" s="717"/>
      <c r="AF72" s="717"/>
      <c r="AG72" s="717"/>
      <c r="AH72" s="717"/>
      <c r="AI72" s="717"/>
      <c r="AJ72" s="717"/>
      <c r="AK72" s="717"/>
      <c r="AL72" s="717"/>
      <c r="AM72" s="717"/>
      <c r="AN72" s="717"/>
    </row>
    <row r="73" spans="1:40" ht="15.75" customHeight="1">
      <c r="A73" s="127"/>
      <c r="B73" s="445"/>
      <c r="C73" s="445"/>
      <c r="D73" s="445"/>
      <c r="E73" s="445"/>
      <c r="O73" s="445"/>
      <c r="P73" s="445"/>
      <c r="Q73" s="445"/>
      <c r="R73" s="445"/>
      <c r="S73" s="445"/>
      <c r="T73" s="445"/>
      <c r="U73" s="445"/>
      <c r="V73" s="717"/>
      <c r="W73" s="717"/>
      <c r="X73" s="717"/>
      <c r="Y73" s="717"/>
      <c r="Z73" s="717"/>
      <c r="AA73" s="717"/>
      <c r="AB73" s="717"/>
      <c r="AC73" s="717"/>
      <c r="AD73" s="717"/>
      <c r="AE73" s="717"/>
      <c r="AF73" s="717"/>
      <c r="AG73" s="717"/>
      <c r="AH73" s="717"/>
      <c r="AI73" s="717"/>
      <c r="AJ73" s="717"/>
      <c r="AK73" s="717"/>
      <c r="AL73" s="717"/>
      <c r="AM73" s="717"/>
      <c r="AN73" s="717"/>
    </row>
    <row r="74" spans="1:40" ht="15.75" customHeight="1">
      <c r="A74" s="127"/>
      <c r="B74" s="445"/>
      <c r="C74" s="445"/>
      <c r="D74" s="445"/>
      <c r="E74" s="445"/>
      <c r="F74" s="445"/>
      <c r="G74" s="445"/>
      <c r="H74" s="445"/>
      <c r="I74" s="445"/>
      <c r="J74" s="445"/>
      <c r="K74" s="445"/>
      <c r="L74" s="445"/>
      <c r="M74" s="445"/>
      <c r="N74" s="445"/>
      <c r="O74" s="445"/>
      <c r="P74" s="445"/>
      <c r="Q74" s="445"/>
      <c r="R74" s="445"/>
      <c r="S74" s="445"/>
      <c r="T74" s="445"/>
      <c r="U74" s="445"/>
      <c r="V74" s="717"/>
      <c r="W74" s="717"/>
      <c r="X74" s="717"/>
      <c r="Y74" s="717"/>
      <c r="Z74" s="717"/>
      <c r="AA74" s="717"/>
      <c r="AB74" s="717"/>
      <c r="AC74" s="717"/>
      <c r="AD74" s="717"/>
      <c r="AE74" s="717"/>
      <c r="AF74" s="717"/>
      <c r="AG74" s="717"/>
      <c r="AH74" s="717"/>
      <c r="AI74" s="717"/>
      <c r="AJ74" s="717"/>
      <c r="AK74" s="717"/>
      <c r="AL74" s="717"/>
      <c r="AM74" s="717"/>
      <c r="AN74" s="717"/>
    </row>
    <row r="75" spans="1:40" ht="15.75" customHeight="1">
      <c r="A75" s="127"/>
      <c r="B75" s="445"/>
      <c r="C75" s="445"/>
      <c r="D75" s="445"/>
      <c r="E75" s="445"/>
      <c r="F75" s="445"/>
      <c r="G75" s="445"/>
      <c r="H75" s="445"/>
      <c r="I75" s="445"/>
      <c r="J75" s="445"/>
      <c r="K75" s="445"/>
      <c r="L75" s="445"/>
      <c r="M75" s="445"/>
      <c r="N75" s="445"/>
      <c r="O75" s="445"/>
      <c r="P75" s="445"/>
      <c r="Q75" s="445"/>
      <c r="R75" s="445"/>
      <c r="S75" s="445"/>
      <c r="T75" s="445"/>
      <c r="U75" s="445"/>
      <c r="V75" s="717"/>
      <c r="W75" s="717"/>
      <c r="X75" s="717"/>
      <c r="Y75" s="717"/>
      <c r="Z75" s="717"/>
      <c r="AA75" s="717"/>
      <c r="AB75" s="717"/>
      <c r="AC75" s="717"/>
      <c r="AD75" s="717"/>
      <c r="AE75" s="717"/>
      <c r="AF75" s="717"/>
      <c r="AG75" s="717"/>
      <c r="AH75" s="717"/>
      <c r="AI75" s="717"/>
      <c r="AJ75" s="717"/>
      <c r="AK75" s="717"/>
      <c r="AL75" s="717"/>
      <c r="AM75" s="717"/>
      <c r="AN75" s="717"/>
    </row>
    <row r="76" spans="1:40" ht="15.75" customHeight="1">
      <c r="A76" s="127"/>
      <c r="B76" s="445"/>
      <c r="C76" s="445"/>
      <c r="D76" s="445"/>
      <c r="E76" s="445"/>
      <c r="F76" s="445"/>
      <c r="G76" s="445"/>
      <c r="H76" s="445"/>
      <c r="I76" s="445"/>
      <c r="J76" s="445"/>
      <c r="K76" s="445"/>
      <c r="L76" s="445"/>
      <c r="M76" s="445"/>
      <c r="N76" s="445"/>
      <c r="O76" s="445"/>
      <c r="P76" s="445"/>
      <c r="Q76" s="445"/>
      <c r="R76" s="445"/>
      <c r="S76" s="445"/>
      <c r="T76" s="445"/>
      <c r="U76" s="445"/>
      <c r="V76" s="717"/>
      <c r="W76" s="717"/>
      <c r="X76" s="717"/>
      <c r="Y76" s="717"/>
      <c r="Z76" s="717"/>
      <c r="AA76" s="717"/>
      <c r="AB76" s="717"/>
      <c r="AC76" s="717"/>
      <c r="AD76" s="717"/>
      <c r="AE76" s="717"/>
      <c r="AF76" s="717"/>
      <c r="AG76" s="717"/>
      <c r="AH76" s="717"/>
      <c r="AI76" s="717"/>
      <c r="AJ76" s="717"/>
      <c r="AK76" s="717"/>
      <c r="AL76" s="717"/>
      <c r="AM76" s="717"/>
      <c r="AN76" s="717"/>
    </row>
    <row r="77" spans="1:40" ht="15.75" customHeight="1">
      <c r="A77" s="127"/>
      <c r="B77" s="445"/>
      <c r="C77" s="445"/>
      <c r="D77" s="445"/>
      <c r="E77" s="445"/>
      <c r="F77" s="445"/>
      <c r="G77" s="445"/>
      <c r="H77" s="445"/>
      <c r="I77" s="445"/>
      <c r="J77" s="445"/>
      <c r="K77" s="445"/>
      <c r="L77" s="445"/>
      <c r="M77" s="445"/>
      <c r="N77" s="445"/>
      <c r="O77" s="445"/>
      <c r="P77" s="445"/>
      <c r="Q77" s="445"/>
      <c r="R77" s="445"/>
      <c r="S77" s="445"/>
      <c r="T77" s="445"/>
      <c r="U77" s="445"/>
      <c r="V77" s="717"/>
      <c r="W77" s="717"/>
      <c r="X77" s="717"/>
      <c r="Y77" s="717"/>
      <c r="Z77" s="717"/>
      <c r="AA77" s="717"/>
      <c r="AB77" s="717"/>
      <c r="AC77" s="717"/>
      <c r="AD77" s="717"/>
      <c r="AE77" s="717"/>
      <c r="AF77" s="717"/>
      <c r="AG77" s="717"/>
      <c r="AH77" s="717"/>
      <c r="AI77" s="717"/>
      <c r="AJ77" s="717"/>
      <c r="AK77" s="717"/>
      <c r="AL77" s="717"/>
      <c r="AM77" s="717"/>
      <c r="AN77" s="717"/>
    </row>
    <row r="78" spans="1:40" ht="15.75" customHeight="1">
      <c r="A78" s="127"/>
      <c r="B78" s="445"/>
      <c r="C78" s="445"/>
      <c r="D78" s="445"/>
      <c r="E78" s="445"/>
      <c r="F78" s="445"/>
      <c r="G78" s="445"/>
      <c r="H78" s="445"/>
      <c r="I78" s="445"/>
      <c r="J78" s="445"/>
      <c r="K78" s="445"/>
      <c r="L78" s="445"/>
      <c r="M78" s="445"/>
      <c r="N78" s="445"/>
      <c r="O78" s="445"/>
      <c r="P78" s="445"/>
      <c r="Q78" s="445"/>
      <c r="R78" s="445"/>
      <c r="S78" s="445"/>
      <c r="T78" s="445"/>
      <c r="U78" s="445"/>
      <c r="V78" s="717"/>
      <c r="W78" s="717"/>
      <c r="X78" s="717"/>
      <c r="Y78" s="717"/>
      <c r="Z78" s="717"/>
      <c r="AA78" s="717"/>
      <c r="AB78" s="717"/>
      <c r="AC78" s="717"/>
      <c r="AD78" s="717"/>
      <c r="AE78" s="717"/>
      <c r="AF78" s="717"/>
      <c r="AG78" s="717"/>
      <c r="AH78" s="717"/>
      <c r="AI78" s="717"/>
      <c r="AJ78" s="717"/>
      <c r="AK78" s="717"/>
      <c r="AL78" s="717"/>
      <c r="AM78" s="717"/>
      <c r="AN78" s="717"/>
    </row>
    <row r="79" spans="1:40" ht="15.75" customHeight="1">
      <c r="A79" s="127"/>
      <c r="B79" s="445"/>
      <c r="C79" s="445"/>
      <c r="D79" s="445"/>
      <c r="E79" s="445"/>
      <c r="F79" s="445"/>
      <c r="G79" s="445"/>
      <c r="H79" s="445"/>
      <c r="I79" s="445"/>
      <c r="J79" s="445"/>
      <c r="K79" s="445"/>
      <c r="L79" s="445"/>
      <c r="M79" s="445"/>
      <c r="N79" s="445"/>
      <c r="O79" s="445"/>
      <c r="P79" s="445"/>
      <c r="Q79" s="445"/>
      <c r="R79" s="445"/>
      <c r="S79" s="445"/>
      <c r="T79" s="445"/>
      <c r="U79" s="445"/>
      <c r="V79" s="717"/>
      <c r="W79" s="717"/>
      <c r="X79" s="717"/>
      <c r="Y79" s="717"/>
      <c r="Z79" s="717"/>
      <c r="AA79" s="717"/>
      <c r="AB79" s="717"/>
      <c r="AC79" s="717"/>
      <c r="AD79" s="717"/>
      <c r="AE79" s="717"/>
      <c r="AF79" s="717"/>
      <c r="AG79" s="717"/>
      <c r="AH79" s="717"/>
      <c r="AI79" s="717"/>
      <c r="AJ79" s="717"/>
      <c r="AK79" s="717"/>
      <c r="AL79" s="717"/>
      <c r="AM79" s="717"/>
      <c r="AN79" s="717"/>
    </row>
    <row r="80" spans="1:40" ht="15.75" customHeight="1">
      <c r="A80" s="127"/>
      <c r="B80" s="445"/>
      <c r="C80" s="445"/>
      <c r="D80" s="445"/>
      <c r="E80" s="445"/>
      <c r="F80" s="445"/>
      <c r="G80" s="445"/>
      <c r="H80" s="445"/>
      <c r="I80" s="445"/>
      <c r="J80" s="445"/>
      <c r="K80" s="445"/>
      <c r="L80" s="445"/>
      <c r="M80" s="445"/>
      <c r="N80" s="445"/>
      <c r="O80" s="445"/>
      <c r="P80" s="445"/>
      <c r="Q80" s="445"/>
      <c r="R80" s="445"/>
      <c r="S80" s="445"/>
      <c r="T80" s="445"/>
      <c r="U80" s="445"/>
      <c r="V80" s="717"/>
      <c r="W80" s="717"/>
      <c r="X80" s="717"/>
      <c r="Y80" s="717"/>
      <c r="Z80" s="717"/>
      <c r="AA80" s="717"/>
      <c r="AB80" s="717"/>
      <c r="AC80" s="717"/>
      <c r="AD80" s="717"/>
      <c r="AE80" s="717"/>
      <c r="AF80" s="717"/>
      <c r="AG80" s="717"/>
      <c r="AH80" s="717"/>
      <c r="AI80" s="717"/>
      <c r="AJ80" s="717"/>
      <c r="AK80" s="717"/>
      <c r="AL80" s="717"/>
      <c r="AM80" s="717"/>
      <c r="AN80" s="717"/>
    </row>
    <row r="81" spans="1:40" ht="15.75" customHeight="1">
      <c r="A81" s="127"/>
      <c r="B81" s="445"/>
      <c r="C81" s="445"/>
      <c r="D81" s="445"/>
      <c r="E81" s="445"/>
      <c r="F81" s="445"/>
      <c r="G81" s="445"/>
      <c r="H81" s="445"/>
      <c r="I81" s="445"/>
      <c r="J81" s="445"/>
      <c r="K81" s="445"/>
      <c r="L81" s="445"/>
      <c r="M81" s="445"/>
      <c r="N81" s="445"/>
      <c r="O81" s="445"/>
      <c r="P81" s="445"/>
      <c r="Q81" s="445"/>
      <c r="R81" s="445"/>
      <c r="S81" s="445"/>
      <c r="T81" s="445"/>
      <c r="U81" s="445"/>
      <c r="V81" s="717"/>
      <c r="W81" s="717"/>
      <c r="X81" s="717"/>
      <c r="Y81" s="717"/>
      <c r="Z81" s="717"/>
      <c r="AA81" s="717"/>
      <c r="AB81" s="717"/>
      <c r="AC81" s="717"/>
      <c r="AD81" s="717"/>
      <c r="AE81" s="717"/>
      <c r="AF81" s="717"/>
      <c r="AG81" s="717"/>
      <c r="AH81" s="717"/>
      <c r="AI81" s="717"/>
      <c r="AJ81" s="717"/>
      <c r="AK81" s="717"/>
      <c r="AL81" s="717"/>
      <c r="AM81" s="717"/>
      <c r="AN81" s="717"/>
    </row>
    <row r="82" spans="1:40" ht="15.75" customHeight="1">
      <c r="A82" s="127"/>
      <c r="B82" s="445"/>
      <c r="C82" s="445"/>
      <c r="D82" s="445"/>
      <c r="E82" s="445"/>
      <c r="F82" s="445"/>
      <c r="G82" s="445"/>
      <c r="H82" s="445"/>
      <c r="I82" s="445"/>
      <c r="J82" s="445"/>
      <c r="K82" s="445"/>
      <c r="L82" s="445"/>
      <c r="M82" s="445"/>
      <c r="N82" s="445"/>
      <c r="O82" s="445"/>
      <c r="P82" s="445"/>
      <c r="Q82" s="445"/>
      <c r="R82" s="445"/>
      <c r="S82" s="445"/>
      <c r="T82" s="445"/>
      <c r="U82" s="445"/>
      <c r="V82" s="717"/>
      <c r="W82" s="717"/>
      <c r="X82" s="717"/>
      <c r="Y82" s="717"/>
      <c r="Z82" s="717"/>
      <c r="AA82" s="717"/>
      <c r="AB82" s="717"/>
      <c r="AC82" s="717"/>
      <c r="AD82" s="717"/>
      <c r="AE82" s="717"/>
      <c r="AF82" s="717"/>
      <c r="AG82" s="717"/>
      <c r="AH82" s="717"/>
      <c r="AI82" s="717"/>
      <c r="AJ82" s="717"/>
      <c r="AK82" s="717"/>
      <c r="AL82" s="717"/>
      <c r="AM82" s="717"/>
      <c r="AN82" s="717"/>
    </row>
    <row r="83" spans="1:40" ht="15.75" customHeight="1">
      <c r="A83" s="127"/>
      <c r="B83" s="445"/>
      <c r="C83" s="445"/>
      <c r="D83" s="445"/>
      <c r="E83" s="445"/>
      <c r="F83" s="445"/>
      <c r="G83" s="445"/>
      <c r="H83" s="445"/>
      <c r="I83" s="445"/>
      <c r="J83" s="445"/>
      <c r="K83" s="445"/>
      <c r="L83" s="445"/>
      <c r="M83" s="445"/>
      <c r="N83" s="445"/>
      <c r="O83" s="445"/>
      <c r="P83" s="445"/>
      <c r="Q83" s="445"/>
      <c r="R83" s="445"/>
      <c r="S83" s="445"/>
      <c r="T83" s="445"/>
      <c r="U83" s="445"/>
      <c r="V83" s="717"/>
      <c r="W83" s="717"/>
      <c r="X83" s="717"/>
      <c r="Y83" s="717"/>
      <c r="Z83" s="717"/>
      <c r="AA83" s="717"/>
      <c r="AB83" s="717"/>
      <c r="AC83" s="717"/>
      <c r="AD83" s="717"/>
      <c r="AE83" s="717"/>
      <c r="AF83" s="717"/>
      <c r="AG83" s="717"/>
      <c r="AH83" s="717"/>
      <c r="AI83" s="717"/>
      <c r="AJ83" s="717"/>
      <c r="AK83" s="717"/>
      <c r="AL83" s="717"/>
      <c r="AM83" s="717"/>
      <c r="AN83" s="717"/>
    </row>
    <row r="84" spans="1:40" ht="15.75" customHeight="1">
      <c r="A84" s="127"/>
      <c r="B84" s="445"/>
      <c r="C84" s="445"/>
      <c r="D84" s="445"/>
      <c r="E84" s="445"/>
      <c r="F84" s="445"/>
      <c r="G84" s="445"/>
      <c r="H84" s="445"/>
      <c r="I84" s="445"/>
      <c r="J84" s="445"/>
      <c r="K84" s="445"/>
      <c r="L84" s="445"/>
      <c r="M84" s="445"/>
      <c r="N84" s="445"/>
      <c r="O84" s="445"/>
      <c r="P84" s="445"/>
      <c r="Q84" s="445"/>
      <c r="R84" s="445"/>
      <c r="S84" s="445"/>
      <c r="T84" s="445"/>
      <c r="U84" s="445"/>
      <c r="V84" s="717"/>
      <c r="W84" s="717"/>
      <c r="X84" s="717"/>
      <c r="Y84" s="717"/>
      <c r="Z84" s="717"/>
      <c r="AA84" s="717"/>
      <c r="AB84" s="717"/>
      <c r="AC84" s="717"/>
      <c r="AD84" s="717"/>
      <c r="AE84" s="717"/>
      <c r="AF84" s="717"/>
      <c r="AG84" s="717"/>
      <c r="AH84" s="717"/>
      <c r="AI84" s="717"/>
      <c r="AJ84" s="717"/>
      <c r="AK84" s="717"/>
      <c r="AL84" s="717"/>
      <c r="AM84" s="717"/>
      <c r="AN84" s="717"/>
    </row>
    <row r="85" spans="1:40" ht="15.75" customHeight="1">
      <c r="A85" s="127"/>
      <c r="B85" s="445"/>
      <c r="C85" s="445"/>
      <c r="D85" s="445"/>
      <c r="E85" s="445"/>
      <c r="F85" s="445"/>
      <c r="G85" s="445"/>
      <c r="H85" s="445"/>
      <c r="I85" s="445"/>
      <c r="J85" s="445"/>
      <c r="K85" s="445"/>
      <c r="L85" s="445"/>
      <c r="M85" s="445"/>
      <c r="N85" s="445"/>
      <c r="O85" s="445"/>
      <c r="P85" s="445"/>
      <c r="Q85" s="445"/>
      <c r="R85" s="445"/>
      <c r="S85" s="445"/>
      <c r="T85" s="445"/>
      <c r="U85" s="445"/>
      <c r="V85" s="717"/>
      <c r="W85" s="717"/>
      <c r="X85" s="717"/>
      <c r="Y85" s="717"/>
      <c r="Z85" s="717"/>
      <c r="AA85" s="717"/>
      <c r="AB85" s="717"/>
      <c r="AC85" s="717"/>
      <c r="AD85" s="717"/>
      <c r="AE85" s="717"/>
      <c r="AF85" s="717"/>
      <c r="AG85" s="717"/>
      <c r="AH85" s="717"/>
      <c r="AI85" s="717"/>
      <c r="AJ85" s="717"/>
      <c r="AK85" s="717"/>
      <c r="AL85" s="717"/>
      <c r="AM85" s="717"/>
      <c r="AN85" s="717"/>
    </row>
    <row r="86" spans="1:40" ht="15.75" customHeight="1">
      <c r="A86" s="127"/>
      <c r="B86" s="445"/>
      <c r="C86" s="445"/>
      <c r="D86" s="445"/>
      <c r="E86" s="445"/>
      <c r="F86" s="445"/>
      <c r="G86" s="445"/>
      <c r="H86" s="445"/>
      <c r="I86" s="445"/>
      <c r="J86" s="445"/>
      <c r="K86" s="445"/>
      <c r="L86" s="445"/>
      <c r="M86" s="445"/>
      <c r="N86" s="445"/>
      <c r="O86" s="445"/>
      <c r="P86" s="445"/>
      <c r="Q86" s="445"/>
      <c r="R86" s="445"/>
      <c r="S86" s="445"/>
      <c r="T86" s="445"/>
      <c r="U86" s="445"/>
      <c r="V86" s="717"/>
      <c r="W86" s="717"/>
      <c r="X86" s="717"/>
      <c r="Y86" s="717"/>
      <c r="Z86" s="717"/>
      <c r="AA86" s="717"/>
      <c r="AB86" s="717"/>
      <c r="AC86" s="717"/>
      <c r="AD86" s="717"/>
      <c r="AE86" s="717"/>
      <c r="AF86" s="717"/>
      <c r="AG86" s="717"/>
      <c r="AH86" s="717"/>
      <c r="AI86" s="717"/>
      <c r="AJ86" s="717"/>
      <c r="AK86" s="717"/>
      <c r="AL86" s="717"/>
      <c r="AM86" s="717"/>
      <c r="AN86" s="717"/>
    </row>
    <row r="87" spans="1:40" ht="15.75" customHeight="1">
      <c r="A87" s="127"/>
      <c r="B87" s="445"/>
      <c r="C87" s="445"/>
      <c r="D87" s="445"/>
      <c r="E87" s="445"/>
      <c r="F87" s="445"/>
      <c r="G87" s="445"/>
      <c r="H87" s="445"/>
      <c r="I87" s="445"/>
      <c r="J87" s="445"/>
      <c r="K87" s="445"/>
      <c r="L87" s="445"/>
      <c r="M87" s="445"/>
      <c r="N87" s="445"/>
      <c r="O87" s="445"/>
      <c r="P87" s="445"/>
      <c r="Q87" s="445"/>
      <c r="R87" s="445"/>
      <c r="S87" s="445"/>
      <c r="T87" s="445"/>
      <c r="U87" s="445"/>
      <c r="V87" s="717"/>
      <c r="W87" s="717"/>
      <c r="X87" s="717"/>
      <c r="Y87" s="717"/>
      <c r="Z87" s="717"/>
      <c r="AA87" s="717"/>
      <c r="AB87" s="717"/>
      <c r="AC87" s="717"/>
      <c r="AD87" s="717"/>
      <c r="AE87" s="717"/>
      <c r="AF87" s="717"/>
      <c r="AG87" s="717"/>
      <c r="AH87" s="717"/>
      <c r="AI87" s="717"/>
      <c r="AJ87" s="717"/>
      <c r="AK87" s="717"/>
      <c r="AL87" s="717"/>
      <c r="AM87" s="717"/>
      <c r="AN87" s="717"/>
    </row>
    <row r="88" spans="1:40" ht="15.75" customHeight="1">
      <c r="A88" s="127"/>
      <c r="B88" s="445"/>
      <c r="C88" s="445"/>
      <c r="D88" s="445"/>
      <c r="E88" s="445"/>
      <c r="F88" s="445"/>
      <c r="G88" s="445"/>
      <c r="H88" s="445"/>
      <c r="I88" s="445"/>
      <c r="J88" s="445"/>
      <c r="K88" s="445"/>
      <c r="L88" s="445"/>
      <c r="M88" s="445"/>
      <c r="N88" s="445"/>
      <c r="O88" s="445"/>
      <c r="P88" s="445"/>
      <c r="Q88" s="445"/>
      <c r="R88" s="445"/>
      <c r="S88" s="445"/>
      <c r="T88" s="445"/>
      <c r="U88" s="445"/>
      <c r="V88" s="717"/>
      <c r="W88" s="717"/>
      <c r="X88" s="717"/>
      <c r="Y88" s="717"/>
      <c r="Z88" s="717"/>
      <c r="AA88" s="717"/>
      <c r="AB88" s="717"/>
      <c r="AC88" s="717"/>
      <c r="AD88" s="717"/>
      <c r="AE88" s="717"/>
      <c r="AF88" s="717"/>
      <c r="AG88" s="717"/>
      <c r="AH88" s="717"/>
      <c r="AI88" s="717"/>
      <c r="AJ88" s="717"/>
      <c r="AK88" s="717"/>
      <c r="AL88" s="717"/>
      <c r="AM88" s="717"/>
      <c r="AN88" s="717"/>
    </row>
    <row r="89" spans="1:40" ht="15.75" customHeight="1">
      <c r="A89" s="127"/>
      <c r="B89" s="445"/>
      <c r="C89" s="445"/>
      <c r="D89" s="445"/>
      <c r="E89" s="445"/>
      <c r="F89" s="445"/>
      <c r="G89" s="445"/>
      <c r="H89" s="445"/>
      <c r="I89" s="445"/>
      <c r="J89" s="445"/>
      <c r="K89" s="445"/>
      <c r="L89" s="445"/>
      <c r="M89" s="445"/>
      <c r="N89" s="445"/>
      <c r="O89" s="445"/>
      <c r="P89" s="445"/>
      <c r="Q89" s="445"/>
      <c r="R89" s="445"/>
      <c r="S89" s="445"/>
      <c r="T89" s="445"/>
      <c r="U89" s="445"/>
      <c r="V89" s="717"/>
      <c r="W89" s="717"/>
      <c r="X89" s="717"/>
      <c r="Y89" s="717"/>
      <c r="Z89" s="717"/>
      <c r="AA89" s="717"/>
      <c r="AB89" s="717"/>
      <c r="AC89" s="717"/>
      <c r="AD89" s="717"/>
      <c r="AE89" s="717"/>
      <c r="AF89" s="717"/>
      <c r="AG89" s="717"/>
      <c r="AH89" s="717"/>
      <c r="AI89" s="717"/>
      <c r="AJ89" s="717"/>
      <c r="AK89" s="717"/>
      <c r="AL89" s="717"/>
      <c r="AM89" s="717"/>
      <c r="AN89" s="717"/>
    </row>
    <row r="90" spans="1:40" ht="15.75" customHeight="1">
      <c r="A90" s="127"/>
      <c r="B90" s="445"/>
      <c r="C90" s="445"/>
      <c r="D90" s="445"/>
      <c r="E90" s="445"/>
      <c r="F90" s="445"/>
      <c r="G90" s="445"/>
      <c r="H90" s="445"/>
      <c r="I90" s="445"/>
      <c r="J90" s="445"/>
      <c r="K90" s="445"/>
      <c r="L90" s="445"/>
      <c r="M90" s="445"/>
      <c r="N90" s="445"/>
      <c r="O90" s="445"/>
      <c r="P90" s="445"/>
      <c r="Q90" s="445"/>
      <c r="R90" s="445"/>
      <c r="S90" s="445"/>
      <c r="T90" s="445"/>
      <c r="U90" s="445"/>
      <c r="V90" s="717"/>
      <c r="W90" s="717"/>
      <c r="X90" s="717"/>
      <c r="Y90" s="717"/>
      <c r="Z90" s="717"/>
      <c r="AA90" s="717"/>
      <c r="AB90" s="717"/>
      <c r="AC90" s="717"/>
      <c r="AD90" s="717"/>
      <c r="AE90" s="717"/>
      <c r="AF90" s="717"/>
      <c r="AG90" s="717"/>
      <c r="AH90" s="717"/>
      <c r="AI90" s="717"/>
      <c r="AJ90" s="717"/>
      <c r="AK90" s="717"/>
      <c r="AL90" s="717"/>
      <c r="AM90" s="717"/>
      <c r="AN90" s="717"/>
    </row>
    <row r="91" spans="1:40" ht="15.75" customHeight="1">
      <c r="A91" s="127"/>
      <c r="B91" s="445"/>
      <c r="C91" s="445"/>
      <c r="D91" s="445"/>
      <c r="E91" s="445"/>
      <c r="F91" s="445"/>
      <c r="G91" s="445"/>
      <c r="H91" s="445"/>
      <c r="I91" s="445"/>
      <c r="J91" s="445"/>
      <c r="K91" s="445"/>
      <c r="L91" s="445"/>
      <c r="M91" s="445"/>
      <c r="N91" s="445"/>
      <c r="O91" s="445"/>
      <c r="P91" s="445"/>
      <c r="Q91" s="445"/>
      <c r="R91" s="445"/>
      <c r="S91" s="445"/>
      <c r="T91" s="445"/>
      <c r="U91" s="445"/>
      <c r="V91" s="717"/>
      <c r="W91" s="717"/>
      <c r="X91" s="717"/>
      <c r="Y91" s="717"/>
      <c r="Z91" s="717"/>
      <c r="AA91" s="717"/>
      <c r="AB91" s="717"/>
      <c r="AC91" s="717"/>
      <c r="AD91" s="717"/>
      <c r="AE91" s="717"/>
      <c r="AF91" s="717"/>
      <c r="AG91" s="717"/>
      <c r="AH91" s="717"/>
      <c r="AI91" s="717"/>
      <c r="AJ91" s="717"/>
      <c r="AK91" s="717"/>
      <c r="AL91" s="717"/>
      <c r="AM91" s="717"/>
      <c r="AN91" s="717"/>
    </row>
    <row r="92" spans="1:40" ht="15.75" customHeight="1">
      <c r="A92" s="127"/>
      <c r="B92" s="445"/>
      <c r="C92" s="445"/>
      <c r="D92" s="445"/>
      <c r="E92" s="445"/>
      <c r="F92" s="445"/>
      <c r="G92" s="445"/>
      <c r="H92" s="445"/>
      <c r="I92" s="445"/>
      <c r="J92" s="445"/>
      <c r="K92" s="445"/>
      <c r="L92" s="445"/>
      <c r="M92" s="445"/>
      <c r="N92" s="445"/>
      <c r="O92" s="445"/>
      <c r="P92" s="445"/>
      <c r="Q92" s="445"/>
      <c r="R92" s="445"/>
      <c r="S92" s="445"/>
      <c r="T92" s="445"/>
      <c r="U92" s="445"/>
      <c r="V92" s="717"/>
      <c r="W92" s="717"/>
      <c r="X92" s="717"/>
      <c r="Y92" s="717"/>
      <c r="Z92" s="717"/>
      <c r="AA92" s="717"/>
      <c r="AB92" s="717"/>
      <c r="AC92" s="717"/>
      <c r="AD92" s="717"/>
      <c r="AE92" s="717"/>
      <c r="AF92" s="717"/>
      <c r="AG92" s="717"/>
      <c r="AH92" s="717"/>
      <c r="AI92" s="717"/>
      <c r="AJ92" s="717"/>
      <c r="AK92" s="717"/>
      <c r="AL92" s="717"/>
      <c r="AM92" s="717"/>
      <c r="AN92" s="717"/>
    </row>
    <row r="93" spans="1:40" ht="15.75" customHeight="1">
      <c r="A93" s="127"/>
      <c r="B93" s="445"/>
      <c r="C93" s="445"/>
      <c r="D93" s="445"/>
      <c r="E93" s="445"/>
      <c r="F93" s="445"/>
      <c r="G93" s="445"/>
      <c r="H93" s="445"/>
      <c r="I93" s="445"/>
      <c r="J93" s="445"/>
      <c r="K93" s="445"/>
      <c r="L93" s="445"/>
      <c r="M93" s="445"/>
      <c r="N93" s="445"/>
      <c r="O93" s="445"/>
      <c r="P93" s="445"/>
      <c r="Q93" s="445"/>
      <c r="R93" s="445"/>
      <c r="S93" s="445"/>
      <c r="T93" s="445"/>
      <c r="U93" s="445"/>
      <c r="V93" s="717"/>
      <c r="W93" s="717"/>
      <c r="X93" s="717"/>
      <c r="Y93" s="717"/>
      <c r="Z93" s="717"/>
      <c r="AA93" s="717"/>
      <c r="AB93" s="717"/>
      <c r="AC93" s="717"/>
      <c r="AD93" s="717"/>
      <c r="AE93" s="717"/>
      <c r="AF93" s="717"/>
      <c r="AG93" s="717"/>
      <c r="AH93" s="717"/>
      <c r="AI93" s="717"/>
      <c r="AJ93" s="717"/>
      <c r="AK93" s="717"/>
      <c r="AL93" s="717"/>
      <c r="AM93" s="717"/>
      <c r="AN93" s="717"/>
    </row>
    <row r="94" spans="1:40" ht="15.75" customHeight="1">
      <c r="A94" s="127"/>
      <c r="B94" s="445"/>
      <c r="C94" s="445"/>
      <c r="D94" s="445"/>
      <c r="E94" s="445"/>
      <c r="F94" s="445"/>
      <c r="G94" s="445"/>
      <c r="H94" s="445"/>
      <c r="I94" s="445"/>
      <c r="J94" s="445"/>
      <c r="K94" s="445"/>
      <c r="L94" s="445"/>
      <c r="M94" s="445"/>
      <c r="N94" s="445"/>
      <c r="O94" s="445"/>
      <c r="P94" s="445"/>
      <c r="Q94" s="445"/>
      <c r="R94" s="445"/>
      <c r="S94" s="445"/>
      <c r="T94" s="445"/>
      <c r="U94" s="445"/>
      <c r="V94" s="717"/>
      <c r="W94" s="717"/>
      <c r="X94" s="717"/>
      <c r="Y94" s="717"/>
      <c r="Z94" s="717"/>
      <c r="AA94" s="717"/>
      <c r="AB94" s="717"/>
      <c r="AC94" s="717"/>
      <c r="AD94" s="717"/>
      <c r="AE94" s="717"/>
      <c r="AF94" s="717"/>
      <c r="AG94" s="717"/>
      <c r="AH94" s="717"/>
      <c r="AI94" s="717"/>
      <c r="AJ94" s="717"/>
      <c r="AK94" s="717"/>
      <c r="AL94" s="717"/>
      <c r="AM94" s="717"/>
      <c r="AN94" s="717"/>
    </row>
    <row r="95" spans="1:40" ht="15.75" customHeight="1">
      <c r="A95" s="127"/>
      <c r="B95" s="445"/>
      <c r="C95" s="445"/>
      <c r="D95" s="445"/>
      <c r="E95" s="445"/>
      <c r="F95" s="445"/>
      <c r="G95" s="445"/>
      <c r="H95" s="445"/>
      <c r="I95" s="445"/>
      <c r="J95" s="445"/>
      <c r="K95" s="445"/>
      <c r="L95" s="445"/>
      <c r="M95" s="445"/>
      <c r="N95" s="445"/>
      <c r="O95" s="445"/>
      <c r="P95" s="445"/>
      <c r="Q95" s="445"/>
      <c r="R95" s="445"/>
      <c r="S95" s="445"/>
      <c r="T95" s="445"/>
      <c r="U95" s="445"/>
      <c r="V95" s="717"/>
      <c r="W95" s="717"/>
      <c r="X95" s="717"/>
      <c r="Y95" s="717"/>
      <c r="Z95" s="717"/>
      <c r="AA95" s="717"/>
      <c r="AB95" s="717"/>
      <c r="AC95" s="717"/>
      <c r="AD95" s="717"/>
      <c r="AE95" s="717"/>
      <c r="AF95" s="717"/>
      <c r="AG95" s="717"/>
      <c r="AH95" s="717"/>
      <c r="AI95" s="717"/>
      <c r="AJ95" s="717"/>
      <c r="AK95" s="717"/>
      <c r="AL95" s="717"/>
      <c r="AM95" s="717"/>
      <c r="AN95" s="717"/>
    </row>
    <row r="96" spans="1:40" ht="15.75" customHeight="1">
      <c r="A96" s="127"/>
      <c r="B96" s="445"/>
      <c r="C96" s="445"/>
      <c r="D96" s="445"/>
      <c r="E96" s="445"/>
      <c r="F96" s="445"/>
      <c r="G96" s="445"/>
      <c r="H96" s="445"/>
      <c r="I96" s="445"/>
      <c r="J96" s="445"/>
      <c r="K96" s="445"/>
      <c r="L96" s="445"/>
      <c r="M96" s="445"/>
      <c r="N96" s="445"/>
      <c r="O96" s="445"/>
      <c r="P96" s="445"/>
      <c r="Q96" s="445"/>
      <c r="R96" s="445"/>
      <c r="S96" s="445"/>
      <c r="T96" s="445"/>
      <c r="U96" s="445"/>
      <c r="V96" s="717"/>
      <c r="W96" s="717"/>
      <c r="X96" s="717"/>
      <c r="Y96" s="717"/>
      <c r="Z96" s="717"/>
      <c r="AA96" s="717"/>
      <c r="AB96" s="717"/>
      <c r="AC96" s="717"/>
      <c r="AD96" s="717"/>
      <c r="AE96" s="717"/>
      <c r="AF96" s="717"/>
      <c r="AG96" s="717"/>
      <c r="AH96" s="717"/>
      <c r="AI96" s="717"/>
      <c r="AJ96" s="717"/>
      <c r="AK96" s="717"/>
      <c r="AL96" s="717"/>
      <c r="AM96" s="717"/>
      <c r="AN96" s="717"/>
    </row>
    <row r="97" spans="1:40" ht="15.75" customHeight="1">
      <c r="A97" s="127"/>
      <c r="B97" s="445"/>
      <c r="C97" s="445"/>
      <c r="D97" s="445"/>
      <c r="E97" s="445"/>
      <c r="F97" s="445"/>
      <c r="G97" s="445"/>
      <c r="H97" s="445"/>
      <c r="I97" s="445"/>
      <c r="J97" s="445"/>
      <c r="K97" s="445"/>
      <c r="L97" s="445"/>
      <c r="M97" s="445"/>
      <c r="N97" s="445"/>
      <c r="O97" s="445"/>
      <c r="P97" s="445"/>
      <c r="Q97" s="445"/>
      <c r="R97" s="445"/>
      <c r="S97" s="445"/>
      <c r="T97" s="445"/>
      <c r="U97" s="445"/>
      <c r="V97" s="717"/>
      <c r="W97" s="717"/>
      <c r="X97" s="717"/>
      <c r="Y97" s="717"/>
      <c r="Z97" s="717"/>
      <c r="AA97" s="717"/>
      <c r="AB97" s="717"/>
      <c r="AC97" s="717"/>
      <c r="AD97" s="717"/>
      <c r="AE97" s="717"/>
      <c r="AF97" s="717"/>
      <c r="AG97" s="717"/>
      <c r="AH97" s="717"/>
      <c r="AI97" s="717"/>
      <c r="AJ97" s="717"/>
      <c r="AK97" s="717"/>
      <c r="AL97" s="717"/>
      <c r="AM97" s="717"/>
      <c r="AN97" s="717"/>
    </row>
    <row r="98" spans="1:40" ht="15.75" customHeight="1">
      <c r="A98" s="127"/>
      <c r="B98" s="445"/>
      <c r="C98" s="445"/>
      <c r="D98" s="445"/>
      <c r="E98" s="445"/>
      <c r="F98" s="445"/>
      <c r="G98" s="445"/>
      <c r="H98" s="445"/>
      <c r="I98" s="445"/>
      <c r="J98" s="445"/>
      <c r="K98" s="445"/>
      <c r="L98" s="445"/>
      <c r="M98" s="445"/>
      <c r="N98" s="445"/>
      <c r="O98" s="445"/>
      <c r="P98" s="445"/>
      <c r="Q98" s="445"/>
      <c r="R98" s="445"/>
      <c r="S98" s="445"/>
      <c r="T98" s="445"/>
      <c r="U98" s="445"/>
      <c r="V98" s="717"/>
      <c r="W98" s="717"/>
      <c r="X98" s="717"/>
      <c r="Y98" s="717"/>
      <c r="Z98" s="717"/>
      <c r="AA98" s="717"/>
      <c r="AB98" s="717"/>
      <c r="AC98" s="717"/>
      <c r="AD98" s="717"/>
      <c r="AE98" s="717"/>
      <c r="AF98" s="717"/>
      <c r="AG98" s="717"/>
      <c r="AH98" s="717"/>
      <c r="AI98" s="717"/>
      <c r="AJ98" s="717"/>
      <c r="AK98" s="717"/>
      <c r="AL98" s="717"/>
      <c r="AM98" s="717"/>
      <c r="AN98" s="717"/>
    </row>
    <row r="99" spans="1:40" ht="15.75" customHeight="1">
      <c r="A99" s="127"/>
      <c r="B99" s="445"/>
      <c r="C99" s="445"/>
      <c r="D99" s="445"/>
      <c r="E99" s="445"/>
      <c r="F99" s="445"/>
      <c r="G99" s="445"/>
      <c r="H99" s="445"/>
      <c r="I99" s="445"/>
      <c r="J99" s="445"/>
      <c r="K99" s="445"/>
      <c r="L99" s="445"/>
      <c r="M99" s="445"/>
      <c r="N99" s="445"/>
      <c r="O99" s="445"/>
      <c r="P99" s="445"/>
      <c r="Q99" s="445"/>
      <c r="R99" s="445"/>
      <c r="S99" s="445"/>
      <c r="T99" s="445"/>
      <c r="U99" s="445"/>
      <c r="V99" s="717"/>
      <c r="W99" s="717"/>
      <c r="X99" s="717"/>
      <c r="Y99" s="717"/>
      <c r="Z99" s="717"/>
      <c r="AA99" s="717"/>
      <c r="AB99" s="717"/>
      <c r="AC99" s="717"/>
      <c r="AD99" s="717"/>
      <c r="AE99" s="717"/>
      <c r="AF99" s="717"/>
      <c r="AG99" s="717"/>
      <c r="AH99" s="717"/>
      <c r="AI99" s="717"/>
      <c r="AJ99" s="717"/>
      <c r="AK99" s="717"/>
      <c r="AL99" s="717"/>
      <c r="AM99" s="717"/>
      <c r="AN99" s="717"/>
    </row>
    <row r="100" spans="1:40" ht="15.75" customHeight="1">
      <c r="A100" s="127"/>
      <c r="B100" s="445"/>
      <c r="C100" s="445"/>
      <c r="D100" s="445"/>
      <c r="E100" s="445"/>
      <c r="F100" s="445"/>
      <c r="G100" s="445"/>
      <c r="H100" s="445"/>
      <c r="I100" s="445"/>
      <c r="J100" s="445"/>
      <c r="K100" s="445"/>
      <c r="L100" s="445"/>
      <c r="M100" s="445"/>
      <c r="N100" s="445"/>
      <c r="O100" s="445"/>
      <c r="P100" s="445"/>
      <c r="Q100" s="445"/>
      <c r="R100" s="445"/>
      <c r="S100" s="445"/>
      <c r="T100" s="445"/>
      <c r="U100" s="445"/>
      <c r="V100" s="717"/>
      <c r="W100" s="717"/>
      <c r="X100" s="717"/>
      <c r="Y100" s="717"/>
      <c r="Z100" s="717"/>
      <c r="AA100" s="717"/>
      <c r="AB100" s="717"/>
      <c r="AC100" s="717"/>
      <c r="AD100" s="717"/>
      <c r="AE100" s="717"/>
      <c r="AF100" s="717"/>
      <c r="AG100" s="717"/>
      <c r="AH100" s="717"/>
      <c r="AI100" s="717"/>
      <c r="AJ100" s="717"/>
      <c r="AK100" s="717"/>
      <c r="AL100" s="717"/>
      <c r="AM100" s="717"/>
      <c r="AN100" s="717"/>
    </row>
    <row r="101" spans="1:40" ht="15.75" customHeight="1">
      <c r="A101" s="127"/>
      <c r="B101" s="445"/>
      <c r="C101" s="445"/>
      <c r="D101" s="445"/>
      <c r="E101" s="445"/>
      <c r="F101" s="445"/>
      <c r="G101" s="445"/>
      <c r="H101" s="445"/>
      <c r="I101" s="445"/>
      <c r="J101" s="445"/>
      <c r="K101" s="445"/>
      <c r="L101" s="445"/>
      <c r="M101" s="445"/>
      <c r="N101" s="445"/>
      <c r="O101" s="445"/>
      <c r="P101" s="445"/>
      <c r="Q101" s="445"/>
      <c r="R101" s="445"/>
      <c r="S101" s="445"/>
      <c r="T101" s="445"/>
      <c r="U101" s="445"/>
      <c r="V101" s="717"/>
      <c r="W101" s="717"/>
      <c r="X101" s="717"/>
      <c r="Y101" s="717"/>
      <c r="Z101" s="717"/>
      <c r="AA101" s="717"/>
      <c r="AB101" s="717"/>
      <c r="AC101" s="717"/>
      <c r="AD101" s="717"/>
      <c r="AE101" s="717"/>
      <c r="AF101" s="717"/>
      <c r="AG101" s="717"/>
      <c r="AH101" s="717"/>
      <c r="AI101" s="717"/>
      <c r="AJ101" s="717"/>
      <c r="AK101" s="717"/>
      <c r="AL101" s="717"/>
      <c r="AM101" s="717"/>
      <c r="AN101" s="717"/>
    </row>
    <row r="102" spans="1:40" ht="15.75" customHeight="1">
      <c r="A102" s="127"/>
      <c r="B102" s="445"/>
      <c r="C102" s="445"/>
      <c r="D102" s="445"/>
      <c r="E102" s="445"/>
      <c r="F102" s="445"/>
      <c r="G102" s="445"/>
      <c r="H102" s="445"/>
      <c r="I102" s="445"/>
      <c r="J102" s="445"/>
      <c r="K102" s="445"/>
      <c r="L102" s="445"/>
      <c r="M102" s="445"/>
      <c r="N102" s="445"/>
      <c r="O102" s="445"/>
      <c r="P102" s="445"/>
      <c r="Q102" s="445"/>
      <c r="R102" s="445"/>
      <c r="S102" s="445"/>
      <c r="T102" s="445"/>
      <c r="U102" s="445"/>
      <c r="V102" s="717"/>
      <c r="W102" s="717"/>
      <c r="X102" s="717"/>
      <c r="Y102" s="717"/>
      <c r="Z102" s="717"/>
      <c r="AA102" s="717"/>
      <c r="AB102" s="717"/>
      <c r="AC102" s="717"/>
      <c r="AD102" s="717"/>
      <c r="AE102" s="717"/>
      <c r="AF102" s="717"/>
      <c r="AG102" s="717"/>
      <c r="AH102" s="717"/>
      <c r="AI102" s="717"/>
      <c r="AJ102" s="717"/>
      <c r="AK102" s="717"/>
      <c r="AL102" s="717"/>
      <c r="AM102" s="717"/>
      <c r="AN102" s="717"/>
    </row>
    <row r="103" spans="1:40" ht="15.75" customHeight="1">
      <c r="A103" s="127"/>
      <c r="B103" s="445"/>
      <c r="C103" s="445"/>
      <c r="D103" s="445"/>
      <c r="E103" s="445"/>
      <c r="F103" s="445"/>
      <c r="G103" s="445"/>
      <c r="H103" s="445"/>
      <c r="I103" s="445"/>
      <c r="J103" s="445"/>
      <c r="K103" s="445"/>
      <c r="L103" s="445"/>
      <c r="M103" s="445"/>
      <c r="N103" s="445"/>
      <c r="O103" s="445"/>
      <c r="P103" s="445"/>
      <c r="Q103" s="445"/>
      <c r="R103" s="445"/>
      <c r="S103" s="445"/>
      <c r="T103" s="445"/>
      <c r="U103" s="445"/>
      <c r="V103" s="717"/>
      <c r="W103" s="717"/>
      <c r="X103" s="717"/>
      <c r="Y103" s="717"/>
      <c r="Z103" s="717"/>
      <c r="AA103" s="717"/>
      <c r="AB103" s="717"/>
      <c r="AC103" s="717"/>
      <c r="AD103" s="717"/>
      <c r="AE103" s="717"/>
      <c r="AF103" s="717"/>
      <c r="AG103" s="717"/>
      <c r="AH103" s="717"/>
      <c r="AI103" s="717"/>
      <c r="AJ103" s="717"/>
      <c r="AK103" s="717"/>
      <c r="AL103" s="717"/>
      <c r="AM103" s="717"/>
      <c r="AN103" s="717"/>
    </row>
    <row r="104" spans="1:40" ht="15.75" customHeight="1">
      <c r="A104" s="127"/>
      <c r="B104" s="445"/>
      <c r="C104" s="445"/>
      <c r="D104" s="445"/>
      <c r="E104" s="445"/>
      <c r="F104" s="445"/>
      <c r="G104" s="445"/>
      <c r="H104" s="445"/>
      <c r="I104" s="445"/>
      <c r="J104" s="445"/>
      <c r="K104" s="445"/>
      <c r="L104" s="445"/>
      <c r="M104" s="445"/>
      <c r="N104" s="445"/>
      <c r="O104" s="445"/>
      <c r="P104" s="445"/>
      <c r="Q104" s="445"/>
      <c r="R104" s="445"/>
      <c r="S104" s="445"/>
      <c r="T104" s="445"/>
      <c r="U104" s="445"/>
      <c r="V104" s="717"/>
      <c r="W104" s="717"/>
      <c r="X104" s="717"/>
      <c r="Y104" s="717"/>
      <c r="Z104" s="717"/>
      <c r="AA104" s="717"/>
      <c r="AB104" s="717"/>
      <c r="AC104" s="717"/>
      <c r="AD104" s="717"/>
      <c r="AE104" s="717"/>
      <c r="AF104" s="717"/>
      <c r="AG104" s="717"/>
      <c r="AH104" s="717"/>
      <c r="AI104" s="717"/>
      <c r="AJ104" s="717"/>
      <c r="AK104" s="717"/>
      <c r="AL104" s="717"/>
      <c r="AM104" s="717"/>
      <c r="AN104" s="717"/>
    </row>
    <row r="105" spans="1:40" ht="15.75" customHeight="1">
      <c r="A105" s="127"/>
      <c r="B105" s="445"/>
      <c r="C105" s="445"/>
      <c r="D105" s="445"/>
      <c r="E105" s="445"/>
      <c r="F105" s="445"/>
      <c r="G105" s="445"/>
      <c r="H105" s="445"/>
      <c r="I105" s="445"/>
      <c r="J105" s="445"/>
      <c r="K105" s="445"/>
      <c r="L105" s="445"/>
      <c r="M105" s="445"/>
      <c r="N105" s="445"/>
      <c r="O105" s="445"/>
      <c r="P105" s="445"/>
      <c r="Q105" s="445"/>
      <c r="R105" s="445"/>
      <c r="S105" s="445"/>
      <c r="T105" s="445"/>
      <c r="U105" s="445"/>
      <c r="V105" s="717"/>
      <c r="W105" s="717"/>
      <c r="X105" s="717"/>
      <c r="Y105" s="717"/>
      <c r="Z105" s="717"/>
      <c r="AA105" s="717"/>
      <c r="AB105" s="717"/>
      <c r="AC105" s="717"/>
      <c r="AD105" s="717"/>
      <c r="AE105" s="717"/>
      <c r="AF105" s="717"/>
      <c r="AG105" s="717"/>
      <c r="AH105" s="717"/>
      <c r="AI105" s="717"/>
      <c r="AJ105" s="717"/>
      <c r="AK105" s="717"/>
      <c r="AL105" s="717"/>
      <c r="AM105" s="717"/>
      <c r="AN105" s="717"/>
    </row>
    <row r="106" spans="1:40" ht="15.75" customHeight="1">
      <c r="A106" s="127"/>
      <c r="B106" s="445"/>
      <c r="C106" s="445"/>
      <c r="D106" s="445"/>
      <c r="E106" s="445"/>
      <c r="F106" s="445"/>
      <c r="G106" s="445"/>
      <c r="H106" s="445"/>
      <c r="I106" s="445"/>
      <c r="J106" s="445"/>
      <c r="K106" s="445"/>
      <c r="L106" s="445"/>
      <c r="M106" s="445"/>
      <c r="N106" s="445"/>
      <c r="O106" s="445"/>
      <c r="P106" s="445"/>
      <c r="Q106" s="445"/>
      <c r="R106" s="445"/>
      <c r="S106" s="445"/>
      <c r="T106" s="445"/>
      <c r="U106" s="445"/>
      <c r="V106" s="717"/>
      <c r="W106" s="717"/>
      <c r="X106" s="717"/>
      <c r="Y106" s="717"/>
      <c r="Z106" s="717"/>
      <c r="AA106" s="717"/>
      <c r="AB106" s="717"/>
      <c r="AC106" s="717"/>
      <c r="AD106" s="717"/>
      <c r="AE106" s="717"/>
      <c r="AF106" s="717"/>
      <c r="AG106" s="717"/>
      <c r="AH106" s="717"/>
      <c r="AI106" s="717"/>
      <c r="AJ106" s="717"/>
      <c r="AK106" s="717"/>
      <c r="AL106" s="717"/>
      <c r="AM106" s="717"/>
      <c r="AN106" s="717"/>
    </row>
    <row r="107" spans="1:40" ht="15.75" customHeight="1">
      <c r="A107" s="127"/>
      <c r="B107" s="445"/>
      <c r="C107" s="445"/>
      <c r="D107" s="445"/>
      <c r="E107" s="445"/>
      <c r="F107" s="445"/>
      <c r="G107" s="445"/>
      <c r="H107" s="445"/>
      <c r="I107" s="445"/>
      <c r="J107" s="445"/>
      <c r="K107" s="445"/>
      <c r="L107" s="445"/>
      <c r="M107" s="445"/>
      <c r="N107" s="445"/>
      <c r="O107" s="445"/>
      <c r="P107" s="445"/>
      <c r="Q107" s="445"/>
      <c r="R107" s="445"/>
      <c r="S107" s="445"/>
      <c r="T107" s="445"/>
      <c r="U107" s="445"/>
      <c r="V107" s="717"/>
      <c r="W107" s="717"/>
      <c r="X107" s="717"/>
      <c r="Y107" s="717"/>
      <c r="Z107" s="717"/>
      <c r="AA107" s="717"/>
      <c r="AB107" s="717"/>
      <c r="AC107" s="717"/>
      <c r="AD107" s="717"/>
      <c r="AE107" s="717"/>
      <c r="AF107" s="717"/>
      <c r="AG107" s="717"/>
      <c r="AH107" s="717"/>
      <c r="AI107" s="717"/>
      <c r="AJ107" s="717"/>
      <c r="AK107" s="717"/>
      <c r="AL107" s="717"/>
      <c r="AM107" s="717"/>
      <c r="AN107" s="717"/>
    </row>
    <row r="108" spans="1:40" ht="15.75" customHeight="1">
      <c r="A108" s="127"/>
      <c r="B108" s="445"/>
      <c r="C108" s="445"/>
      <c r="D108" s="445"/>
      <c r="E108" s="445"/>
      <c r="F108" s="445"/>
      <c r="G108" s="445"/>
      <c r="H108" s="445"/>
      <c r="I108" s="445"/>
      <c r="J108" s="445"/>
      <c r="K108" s="445"/>
      <c r="L108" s="445"/>
      <c r="M108" s="445"/>
      <c r="N108" s="445"/>
      <c r="O108" s="445"/>
      <c r="P108" s="445"/>
      <c r="Q108" s="445"/>
      <c r="R108" s="445"/>
      <c r="S108" s="445"/>
      <c r="T108" s="445"/>
      <c r="U108" s="445"/>
      <c r="V108" s="717"/>
      <c r="W108" s="717"/>
      <c r="X108" s="717"/>
      <c r="Y108" s="717"/>
      <c r="Z108" s="717"/>
      <c r="AA108" s="717"/>
      <c r="AB108" s="717"/>
      <c r="AC108" s="717"/>
      <c r="AD108" s="717"/>
      <c r="AE108" s="717"/>
      <c r="AF108" s="717"/>
      <c r="AG108" s="717"/>
      <c r="AH108" s="717"/>
      <c r="AI108" s="717"/>
      <c r="AJ108" s="717"/>
      <c r="AK108" s="717"/>
      <c r="AL108" s="717"/>
      <c r="AM108" s="717"/>
      <c r="AN108" s="717"/>
    </row>
    <row r="109" spans="1:40" ht="15.75" customHeight="1">
      <c r="A109" s="127"/>
      <c r="B109" s="445"/>
      <c r="C109" s="445"/>
      <c r="D109" s="445"/>
      <c r="E109" s="445"/>
      <c r="F109" s="445"/>
      <c r="G109" s="445"/>
      <c r="H109" s="445"/>
      <c r="I109" s="445"/>
      <c r="J109" s="445"/>
      <c r="K109" s="445"/>
      <c r="L109" s="445"/>
      <c r="M109" s="445"/>
      <c r="N109" s="445"/>
      <c r="O109" s="445"/>
      <c r="P109" s="445"/>
      <c r="Q109" s="445"/>
      <c r="R109" s="445"/>
      <c r="S109" s="445"/>
      <c r="T109" s="445"/>
      <c r="U109" s="445"/>
      <c r="V109" s="717"/>
      <c r="W109" s="717"/>
      <c r="X109" s="717"/>
      <c r="Y109" s="717"/>
      <c r="Z109" s="717"/>
      <c r="AA109" s="717"/>
      <c r="AB109" s="717"/>
      <c r="AC109" s="717"/>
      <c r="AD109" s="717"/>
      <c r="AE109" s="717"/>
      <c r="AF109" s="717"/>
      <c r="AG109" s="717"/>
      <c r="AH109" s="717"/>
      <c r="AI109" s="717"/>
      <c r="AJ109" s="717"/>
      <c r="AK109" s="717"/>
      <c r="AL109" s="717"/>
      <c r="AM109" s="717"/>
      <c r="AN109" s="717"/>
    </row>
    <row r="110" spans="1:40" ht="15.75" customHeight="1">
      <c r="A110" s="127"/>
      <c r="B110" s="445"/>
      <c r="C110" s="445"/>
      <c r="D110" s="445"/>
      <c r="E110" s="445"/>
      <c r="F110" s="445"/>
      <c r="G110" s="445"/>
      <c r="H110" s="445"/>
      <c r="I110" s="445"/>
      <c r="J110" s="445"/>
      <c r="K110" s="445"/>
      <c r="L110" s="445"/>
      <c r="M110" s="445"/>
      <c r="N110" s="445"/>
      <c r="O110" s="445"/>
      <c r="P110" s="445"/>
      <c r="Q110" s="445"/>
      <c r="R110" s="445"/>
      <c r="S110" s="445"/>
      <c r="T110" s="445"/>
      <c r="U110" s="445"/>
      <c r="V110" s="717"/>
      <c r="W110" s="717"/>
      <c r="X110" s="717"/>
      <c r="Y110" s="717"/>
      <c r="Z110" s="717"/>
      <c r="AA110" s="717"/>
      <c r="AB110" s="717"/>
      <c r="AC110" s="717"/>
      <c r="AD110" s="717"/>
      <c r="AE110" s="717"/>
      <c r="AF110" s="717"/>
      <c r="AG110" s="717"/>
      <c r="AH110" s="717"/>
      <c r="AI110" s="717"/>
      <c r="AJ110" s="717"/>
      <c r="AK110" s="717"/>
      <c r="AL110" s="717"/>
      <c r="AM110" s="717"/>
      <c r="AN110" s="717"/>
    </row>
    <row r="111" spans="1:40" ht="15.75" customHeight="1">
      <c r="A111" s="127"/>
      <c r="B111" s="445"/>
      <c r="C111" s="445"/>
      <c r="D111" s="445"/>
      <c r="E111" s="445"/>
      <c r="F111" s="445"/>
      <c r="G111" s="445"/>
      <c r="H111" s="445"/>
      <c r="I111" s="445"/>
      <c r="J111" s="445"/>
      <c r="K111" s="445"/>
      <c r="L111" s="445"/>
      <c r="M111" s="445"/>
      <c r="N111" s="445"/>
      <c r="O111" s="445"/>
      <c r="P111" s="445"/>
      <c r="Q111" s="445"/>
      <c r="R111" s="445"/>
      <c r="S111" s="445"/>
      <c r="T111" s="445"/>
      <c r="U111" s="445"/>
      <c r="V111" s="717"/>
      <c r="W111" s="717"/>
      <c r="X111" s="717"/>
      <c r="Y111" s="717"/>
      <c r="Z111" s="717"/>
      <c r="AA111" s="717"/>
      <c r="AB111" s="717"/>
      <c r="AC111" s="717"/>
      <c r="AD111" s="717"/>
      <c r="AE111" s="717"/>
      <c r="AF111" s="717"/>
      <c r="AG111" s="717"/>
      <c r="AH111" s="717"/>
      <c r="AI111" s="717"/>
      <c r="AJ111" s="717"/>
      <c r="AK111" s="717"/>
      <c r="AL111" s="717"/>
      <c r="AM111" s="717"/>
      <c r="AN111" s="717"/>
    </row>
    <row r="112" spans="1:40" ht="15.75" customHeight="1">
      <c r="A112" s="127"/>
      <c r="B112" s="445"/>
      <c r="C112" s="445"/>
      <c r="D112" s="445"/>
      <c r="E112" s="445"/>
      <c r="F112" s="445"/>
      <c r="G112" s="445"/>
      <c r="H112" s="445"/>
      <c r="I112" s="445"/>
      <c r="J112" s="445"/>
      <c r="K112" s="445"/>
      <c r="L112" s="445"/>
      <c r="M112" s="445"/>
      <c r="N112" s="445"/>
      <c r="O112" s="445"/>
      <c r="P112" s="445"/>
      <c r="Q112" s="445"/>
      <c r="R112" s="445"/>
      <c r="S112" s="445"/>
      <c r="T112" s="445"/>
      <c r="U112" s="445"/>
      <c r="V112" s="717"/>
      <c r="W112" s="717"/>
      <c r="X112" s="717"/>
      <c r="Y112" s="717"/>
      <c r="Z112" s="717"/>
      <c r="AA112" s="717"/>
      <c r="AB112" s="717"/>
      <c r="AC112" s="717"/>
      <c r="AD112" s="717"/>
      <c r="AE112" s="717"/>
      <c r="AF112" s="717"/>
      <c r="AG112" s="717"/>
      <c r="AH112" s="717"/>
      <c r="AI112" s="717"/>
      <c r="AJ112" s="717"/>
      <c r="AK112" s="717"/>
      <c r="AL112" s="717"/>
      <c r="AM112" s="717"/>
      <c r="AN112" s="717"/>
    </row>
    <row r="113" spans="1:40" ht="15.75" customHeight="1">
      <c r="A113" s="127"/>
      <c r="B113" s="445"/>
      <c r="C113" s="445"/>
      <c r="D113" s="445"/>
      <c r="E113" s="445"/>
      <c r="F113" s="445"/>
      <c r="G113" s="445"/>
      <c r="H113" s="445"/>
      <c r="I113" s="445"/>
      <c r="J113" s="445"/>
      <c r="K113" s="445"/>
      <c r="L113" s="445"/>
      <c r="M113" s="445"/>
      <c r="N113" s="445"/>
      <c r="O113" s="445"/>
      <c r="P113" s="445"/>
      <c r="Q113" s="445"/>
      <c r="R113" s="445"/>
      <c r="S113" s="445"/>
      <c r="T113" s="445"/>
      <c r="U113" s="445"/>
      <c r="V113" s="717"/>
      <c r="W113" s="717"/>
      <c r="X113" s="717"/>
      <c r="Y113" s="717"/>
      <c r="Z113" s="717"/>
      <c r="AA113" s="717"/>
      <c r="AB113" s="717"/>
      <c r="AC113" s="717"/>
      <c r="AD113" s="717"/>
      <c r="AE113" s="717"/>
      <c r="AF113" s="717"/>
      <c r="AG113" s="717"/>
      <c r="AH113" s="717"/>
      <c r="AI113" s="717"/>
      <c r="AJ113" s="717"/>
      <c r="AK113" s="717"/>
      <c r="AL113" s="717"/>
      <c r="AM113" s="717"/>
      <c r="AN113" s="717"/>
    </row>
    <row r="114" spans="1:40" ht="15.75" customHeight="1">
      <c r="A114" s="127"/>
      <c r="B114" s="445"/>
      <c r="C114" s="445"/>
      <c r="D114" s="445"/>
      <c r="E114" s="445"/>
      <c r="F114" s="445"/>
      <c r="G114" s="445"/>
      <c r="H114" s="445"/>
      <c r="I114" s="445"/>
      <c r="J114" s="445"/>
      <c r="K114" s="445"/>
      <c r="L114" s="445"/>
      <c r="M114" s="445"/>
      <c r="N114" s="445"/>
      <c r="O114" s="445"/>
      <c r="P114" s="445"/>
      <c r="Q114" s="445"/>
      <c r="R114" s="445"/>
      <c r="S114" s="445"/>
      <c r="T114" s="445"/>
      <c r="U114" s="445"/>
      <c r="V114" s="717"/>
      <c r="W114" s="717"/>
      <c r="X114" s="717"/>
      <c r="Y114" s="717"/>
      <c r="Z114" s="717"/>
      <c r="AA114" s="717"/>
      <c r="AB114" s="717"/>
      <c r="AC114" s="717"/>
      <c r="AD114" s="717"/>
      <c r="AE114" s="717"/>
      <c r="AF114" s="717"/>
      <c r="AG114" s="717"/>
      <c r="AH114" s="717"/>
      <c r="AI114" s="717"/>
      <c r="AJ114" s="717"/>
      <c r="AK114" s="717"/>
      <c r="AL114" s="717"/>
      <c r="AM114" s="717"/>
      <c r="AN114" s="717"/>
    </row>
    <row r="115" spans="1:40" ht="15.75" customHeight="1">
      <c r="A115" s="127"/>
      <c r="B115" s="445"/>
      <c r="C115" s="445"/>
      <c r="D115" s="445"/>
      <c r="E115" s="445"/>
      <c r="F115" s="445"/>
      <c r="G115" s="445"/>
      <c r="H115" s="445"/>
      <c r="I115" s="445"/>
      <c r="J115" s="445"/>
      <c r="K115" s="445"/>
      <c r="L115" s="445"/>
      <c r="M115" s="445"/>
      <c r="N115" s="445"/>
      <c r="O115" s="445"/>
      <c r="P115" s="445"/>
      <c r="Q115" s="445"/>
      <c r="R115" s="445"/>
      <c r="S115" s="445"/>
      <c r="T115" s="445"/>
      <c r="U115" s="445"/>
      <c r="V115" s="717"/>
      <c r="W115" s="717"/>
      <c r="X115" s="717"/>
      <c r="Y115" s="717"/>
      <c r="Z115" s="717"/>
      <c r="AA115" s="717"/>
      <c r="AB115" s="717"/>
      <c r="AC115" s="717"/>
      <c r="AD115" s="717"/>
      <c r="AE115" s="717"/>
      <c r="AF115" s="717"/>
      <c r="AG115" s="717"/>
      <c r="AH115" s="717"/>
      <c r="AI115" s="717"/>
      <c r="AJ115" s="717"/>
      <c r="AK115" s="717"/>
      <c r="AL115" s="717"/>
      <c r="AM115" s="717"/>
      <c r="AN115" s="717"/>
    </row>
    <row r="116" spans="1:40" ht="15.75" customHeight="1">
      <c r="A116" s="127"/>
      <c r="B116" s="445"/>
      <c r="C116" s="445"/>
      <c r="D116" s="445"/>
      <c r="E116" s="445"/>
      <c r="F116" s="445"/>
      <c r="G116" s="445"/>
      <c r="H116" s="445"/>
      <c r="I116" s="445"/>
      <c r="J116" s="445"/>
      <c r="K116" s="445"/>
      <c r="L116" s="445"/>
      <c r="M116" s="445"/>
      <c r="N116" s="445"/>
      <c r="O116" s="445"/>
      <c r="P116" s="445"/>
      <c r="Q116" s="445"/>
      <c r="R116" s="445"/>
      <c r="S116" s="445"/>
      <c r="T116" s="445"/>
      <c r="U116" s="445"/>
      <c r="V116" s="717"/>
      <c r="W116" s="717"/>
      <c r="X116" s="717"/>
      <c r="Y116" s="717"/>
      <c r="Z116" s="717"/>
      <c r="AA116" s="717"/>
      <c r="AB116" s="717"/>
      <c r="AC116" s="717"/>
      <c r="AD116" s="717"/>
      <c r="AE116" s="717"/>
      <c r="AF116" s="717"/>
      <c r="AG116" s="717"/>
      <c r="AH116" s="717"/>
      <c r="AI116" s="717"/>
      <c r="AJ116" s="717"/>
      <c r="AK116" s="717"/>
      <c r="AL116" s="717"/>
      <c r="AM116" s="717"/>
      <c r="AN116" s="717"/>
    </row>
    <row r="117" spans="1:40" ht="15.75" customHeight="1">
      <c r="A117" s="127"/>
      <c r="B117" s="445"/>
      <c r="C117" s="445"/>
      <c r="D117" s="445"/>
      <c r="E117" s="445"/>
      <c r="F117" s="445"/>
      <c r="G117" s="445"/>
      <c r="H117" s="445"/>
      <c r="I117" s="445"/>
      <c r="J117" s="445"/>
      <c r="K117" s="445"/>
      <c r="L117" s="445"/>
      <c r="M117" s="445"/>
      <c r="N117" s="445"/>
      <c r="O117" s="445"/>
      <c r="P117" s="445"/>
      <c r="Q117" s="445"/>
      <c r="R117" s="445"/>
      <c r="S117" s="445"/>
      <c r="T117" s="445"/>
      <c r="U117" s="445"/>
      <c r="V117" s="717"/>
      <c r="W117" s="717"/>
      <c r="X117" s="717"/>
      <c r="Y117" s="717"/>
      <c r="Z117" s="717"/>
      <c r="AA117" s="717"/>
      <c r="AB117" s="717"/>
      <c r="AC117" s="717"/>
      <c r="AD117" s="717"/>
      <c r="AE117" s="717"/>
      <c r="AF117" s="717"/>
      <c r="AG117" s="717"/>
      <c r="AH117" s="717"/>
      <c r="AI117" s="717"/>
      <c r="AJ117" s="717"/>
      <c r="AK117" s="717"/>
      <c r="AL117" s="717"/>
      <c r="AM117" s="717"/>
      <c r="AN117" s="717"/>
    </row>
    <row r="118" spans="1:40" ht="15.75" customHeight="1">
      <c r="A118" s="127"/>
      <c r="B118" s="445"/>
      <c r="C118" s="445"/>
      <c r="D118" s="445"/>
      <c r="E118" s="445"/>
      <c r="F118" s="445"/>
      <c r="G118" s="445"/>
      <c r="H118" s="445"/>
      <c r="I118" s="445"/>
      <c r="J118" s="445"/>
      <c r="K118" s="445"/>
      <c r="L118" s="445"/>
      <c r="M118" s="445"/>
      <c r="N118" s="445"/>
      <c r="O118" s="445"/>
      <c r="P118" s="445"/>
      <c r="Q118" s="445"/>
      <c r="R118" s="445"/>
      <c r="S118" s="445"/>
      <c r="T118" s="445"/>
      <c r="U118" s="445"/>
      <c r="V118" s="717"/>
      <c r="W118" s="717"/>
      <c r="X118" s="717"/>
      <c r="Y118" s="717"/>
      <c r="Z118" s="717"/>
      <c r="AA118" s="717"/>
      <c r="AB118" s="717"/>
      <c r="AC118" s="717"/>
      <c r="AD118" s="717"/>
      <c r="AE118" s="717"/>
      <c r="AF118" s="717"/>
      <c r="AG118" s="717"/>
      <c r="AH118" s="717"/>
      <c r="AI118" s="717"/>
      <c r="AJ118" s="717"/>
      <c r="AK118" s="717"/>
      <c r="AL118" s="717"/>
      <c r="AM118" s="717"/>
      <c r="AN118" s="717"/>
    </row>
    <row r="119" spans="1:40" ht="15.75" customHeight="1">
      <c r="A119" s="127"/>
      <c r="B119" s="445"/>
      <c r="C119" s="445"/>
      <c r="D119" s="445"/>
      <c r="E119" s="445"/>
      <c r="F119" s="445"/>
      <c r="G119" s="445"/>
      <c r="H119" s="445"/>
      <c r="I119" s="445"/>
      <c r="J119" s="445"/>
      <c r="K119" s="445"/>
      <c r="L119" s="445"/>
      <c r="M119" s="445"/>
      <c r="N119" s="445"/>
      <c r="O119" s="445"/>
      <c r="P119" s="445"/>
      <c r="Q119" s="445"/>
      <c r="R119" s="445"/>
      <c r="S119" s="445"/>
      <c r="T119" s="445"/>
      <c r="U119" s="445"/>
      <c r="V119" s="717"/>
      <c r="W119" s="717"/>
      <c r="X119" s="717"/>
      <c r="Y119" s="717"/>
      <c r="Z119" s="717"/>
      <c r="AA119" s="717"/>
      <c r="AB119" s="717"/>
      <c r="AC119" s="717"/>
      <c r="AD119" s="717"/>
      <c r="AE119" s="717"/>
      <c r="AF119" s="717"/>
      <c r="AG119" s="717"/>
      <c r="AH119" s="717"/>
      <c r="AI119" s="717"/>
      <c r="AJ119" s="717"/>
      <c r="AK119" s="717"/>
      <c r="AL119" s="717"/>
      <c r="AM119" s="717"/>
      <c r="AN119" s="717"/>
    </row>
    <row r="120" spans="1:40" ht="15.75" customHeight="1">
      <c r="A120" s="127"/>
      <c r="B120" s="445"/>
      <c r="C120" s="445"/>
      <c r="D120" s="445"/>
      <c r="E120" s="445"/>
      <c r="F120" s="445"/>
      <c r="G120" s="445"/>
      <c r="H120" s="445"/>
      <c r="I120" s="445"/>
      <c r="J120" s="445"/>
      <c r="K120" s="445"/>
      <c r="L120" s="445"/>
      <c r="M120" s="445"/>
      <c r="N120" s="445"/>
      <c r="O120" s="445"/>
      <c r="P120" s="445"/>
      <c r="Q120" s="445"/>
      <c r="R120" s="445"/>
      <c r="S120" s="445"/>
      <c r="T120" s="445"/>
      <c r="U120" s="445"/>
      <c r="V120" s="717"/>
      <c r="W120" s="717"/>
      <c r="X120" s="717"/>
      <c r="Y120" s="717"/>
      <c r="Z120" s="717"/>
      <c r="AA120" s="717"/>
      <c r="AB120" s="717"/>
      <c r="AC120" s="717"/>
      <c r="AD120" s="717"/>
      <c r="AE120" s="717"/>
      <c r="AF120" s="717"/>
      <c r="AG120" s="717"/>
      <c r="AH120" s="717"/>
      <c r="AI120" s="717"/>
      <c r="AJ120" s="717"/>
      <c r="AK120" s="717"/>
      <c r="AL120" s="717"/>
      <c r="AM120" s="717"/>
      <c r="AN120" s="717"/>
    </row>
    <row r="121" spans="1:40" ht="15.75" customHeight="1">
      <c r="A121" s="127"/>
      <c r="B121" s="445"/>
      <c r="C121" s="445"/>
      <c r="D121" s="445"/>
      <c r="E121" s="445"/>
      <c r="F121" s="445"/>
      <c r="G121" s="445"/>
      <c r="H121" s="445"/>
      <c r="I121" s="445"/>
      <c r="J121" s="445"/>
      <c r="K121" s="445"/>
      <c r="L121" s="445"/>
      <c r="M121" s="445"/>
      <c r="N121" s="445"/>
      <c r="O121" s="445"/>
      <c r="P121" s="445"/>
      <c r="Q121" s="445"/>
      <c r="R121" s="445"/>
      <c r="S121" s="445"/>
      <c r="T121" s="445"/>
      <c r="U121" s="445"/>
      <c r="V121" s="717"/>
      <c r="W121" s="717"/>
      <c r="X121" s="717"/>
      <c r="Y121" s="717"/>
      <c r="Z121" s="717"/>
      <c r="AA121" s="717"/>
      <c r="AB121" s="717"/>
      <c r="AC121" s="717"/>
      <c r="AD121" s="717"/>
      <c r="AE121" s="717"/>
      <c r="AF121" s="717"/>
      <c r="AG121" s="717"/>
      <c r="AH121" s="717"/>
      <c r="AI121" s="717"/>
      <c r="AJ121" s="717"/>
      <c r="AK121" s="717"/>
      <c r="AL121" s="717"/>
      <c r="AM121" s="717"/>
      <c r="AN121" s="717"/>
    </row>
    <row r="122" spans="1:40" ht="15.75" customHeight="1">
      <c r="A122" s="127"/>
      <c r="B122" s="445"/>
      <c r="C122" s="445"/>
      <c r="D122" s="445"/>
      <c r="E122" s="445"/>
      <c r="F122" s="445"/>
      <c r="G122" s="445"/>
      <c r="H122" s="445"/>
      <c r="I122" s="445"/>
      <c r="J122" s="445"/>
      <c r="K122" s="445"/>
      <c r="L122" s="445"/>
      <c r="M122" s="445"/>
      <c r="N122" s="445"/>
      <c r="O122" s="445"/>
      <c r="P122" s="445"/>
      <c r="Q122" s="445"/>
      <c r="R122" s="445"/>
      <c r="S122" s="445"/>
      <c r="T122" s="445"/>
      <c r="U122" s="445"/>
      <c r="V122" s="717"/>
      <c r="W122" s="717"/>
      <c r="X122" s="717"/>
      <c r="Y122" s="717"/>
      <c r="Z122" s="717"/>
      <c r="AA122" s="717"/>
      <c r="AB122" s="717"/>
      <c r="AC122" s="717"/>
      <c r="AD122" s="717"/>
      <c r="AE122" s="717"/>
      <c r="AF122" s="717"/>
      <c r="AG122" s="717"/>
      <c r="AH122" s="717"/>
      <c r="AI122" s="717"/>
      <c r="AJ122" s="717"/>
      <c r="AK122" s="717"/>
      <c r="AL122" s="717"/>
      <c r="AM122" s="717"/>
      <c r="AN122" s="717"/>
    </row>
    <row r="123" spans="1:40" ht="15.75" customHeight="1">
      <c r="A123" s="127"/>
      <c r="B123" s="445"/>
      <c r="C123" s="445"/>
      <c r="D123" s="445"/>
      <c r="E123" s="445"/>
      <c r="F123" s="445"/>
      <c r="G123" s="445"/>
      <c r="H123" s="445"/>
      <c r="I123" s="445"/>
      <c r="J123" s="445"/>
      <c r="K123" s="445"/>
      <c r="L123" s="445"/>
      <c r="M123" s="445"/>
      <c r="N123" s="445"/>
      <c r="O123" s="445"/>
      <c r="P123" s="445"/>
      <c r="Q123" s="445"/>
      <c r="R123" s="445"/>
      <c r="S123" s="445"/>
      <c r="T123" s="445"/>
      <c r="U123" s="445"/>
      <c r="V123" s="717"/>
      <c r="W123" s="717"/>
      <c r="X123" s="717"/>
      <c r="Y123" s="717"/>
      <c r="Z123" s="717"/>
      <c r="AA123" s="717"/>
      <c r="AB123" s="717"/>
      <c r="AC123" s="717"/>
      <c r="AD123" s="717"/>
      <c r="AE123" s="717"/>
      <c r="AF123" s="717"/>
      <c r="AG123" s="717"/>
      <c r="AH123" s="717"/>
      <c r="AI123" s="717"/>
      <c r="AJ123" s="717"/>
      <c r="AK123" s="717"/>
      <c r="AL123" s="717"/>
      <c r="AM123" s="717"/>
      <c r="AN123" s="717"/>
    </row>
    <row r="124" spans="1:40" ht="15.75" customHeight="1">
      <c r="A124" s="127"/>
      <c r="B124" s="445"/>
      <c r="C124" s="445"/>
      <c r="D124" s="445"/>
      <c r="E124" s="445"/>
      <c r="F124" s="445"/>
      <c r="G124" s="445"/>
      <c r="H124" s="445"/>
      <c r="I124" s="445"/>
      <c r="J124" s="445"/>
      <c r="K124" s="445"/>
      <c r="L124" s="445"/>
      <c r="M124" s="445"/>
      <c r="N124" s="445"/>
      <c r="O124" s="445"/>
      <c r="P124" s="445"/>
      <c r="Q124" s="445"/>
      <c r="R124" s="445"/>
      <c r="S124" s="445"/>
      <c r="T124" s="445"/>
      <c r="U124" s="445"/>
      <c r="V124" s="717"/>
      <c r="W124" s="717"/>
      <c r="X124" s="717"/>
      <c r="Y124" s="717"/>
      <c r="Z124" s="717"/>
      <c r="AA124" s="717"/>
      <c r="AB124" s="717"/>
      <c r="AC124" s="717"/>
      <c r="AD124" s="717"/>
      <c r="AE124" s="717"/>
      <c r="AF124" s="717"/>
      <c r="AG124" s="717"/>
      <c r="AH124" s="717"/>
      <c r="AI124" s="717"/>
      <c r="AJ124" s="717"/>
      <c r="AK124" s="717"/>
      <c r="AL124" s="717"/>
      <c r="AM124" s="717"/>
      <c r="AN124" s="717"/>
    </row>
    <row r="125" spans="1:40" ht="15.75" customHeight="1">
      <c r="A125" s="127"/>
      <c r="B125" s="445"/>
      <c r="C125" s="445"/>
      <c r="D125" s="445"/>
      <c r="E125" s="445"/>
      <c r="F125" s="445"/>
      <c r="G125" s="445"/>
      <c r="H125" s="445"/>
      <c r="I125" s="445"/>
      <c r="J125" s="445"/>
      <c r="K125" s="445"/>
      <c r="L125" s="445"/>
      <c r="M125" s="445"/>
      <c r="N125" s="445"/>
      <c r="O125" s="445"/>
      <c r="P125" s="445"/>
      <c r="Q125" s="445"/>
      <c r="R125" s="445"/>
      <c r="S125" s="445"/>
      <c r="T125" s="445"/>
      <c r="U125" s="445"/>
      <c r="V125" s="717"/>
      <c r="W125" s="717"/>
      <c r="X125" s="717"/>
      <c r="Y125" s="717"/>
      <c r="Z125" s="717"/>
      <c r="AA125" s="717"/>
      <c r="AB125" s="717"/>
      <c r="AC125" s="717"/>
      <c r="AD125" s="717"/>
      <c r="AE125" s="717"/>
      <c r="AF125" s="717"/>
      <c r="AG125" s="717"/>
      <c r="AH125" s="717"/>
      <c r="AI125" s="717"/>
      <c r="AJ125" s="717"/>
      <c r="AK125" s="717"/>
      <c r="AL125" s="717"/>
      <c r="AM125" s="717"/>
      <c r="AN125" s="717"/>
    </row>
    <row r="126" spans="1:40" ht="15.75" customHeight="1">
      <c r="A126" s="127"/>
      <c r="B126" s="445"/>
      <c r="C126" s="445"/>
      <c r="D126" s="445"/>
      <c r="E126" s="445"/>
      <c r="F126" s="445"/>
      <c r="G126" s="445"/>
      <c r="H126" s="445"/>
      <c r="I126" s="445"/>
      <c r="J126" s="445"/>
      <c r="K126" s="445"/>
      <c r="L126" s="445"/>
      <c r="M126" s="445"/>
      <c r="N126" s="445"/>
      <c r="O126" s="445"/>
      <c r="P126" s="445"/>
      <c r="Q126" s="445"/>
      <c r="R126" s="445"/>
      <c r="S126" s="445"/>
      <c r="T126" s="445"/>
      <c r="U126" s="445"/>
      <c r="V126" s="717"/>
      <c r="W126" s="717"/>
      <c r="X126" s="717"/>
      <c r="Y126" s="717"/>
      <c r="Z126" s="717"/>
      <c r="AA126" s="717"/>
      <c r="AB126" s="717"/>
      <c r="AC126" s="717"/>
      <c r="AD126" s="717"/>
      <c r="AE126" s="717"/>
      <c r="AF126" s="717"/>
      <c r="AG126" s="717"/>
      <c r="AH126" s="717"/>
      <c r="AI126" s="717"/>
      <c r="AJ126" s="717"/>
      <c r="AK126" s="717"/>
      <c r="AL126" s="717"/>
      <c r="AM126" s="717"/>
      <c r="AN126" s="717"/>
    </row>
    <row r="127" spans="1:40" ht="15.75" customHeight="1">
      <c r="A127" s="127"/>
      <c r="B127" s="445"/>
      <c r="C127" s="445"/>
      <c r="D127" s="445"/>
      <c r="E127" s="445"/>
      <c r="F127" s="445"/>
      <c r="G127" s="445"/>
      <c r="H127" s="445"/>
      <c r="I127" s="445"/>
      <c r="J127" s="445"/>
      <c r="K127" s="445"/>
      <c r="L127" s="445"/>
      <c r="M127" s="445"/>
      <c r="N127" s="445"/>
      <c r="O127" s="445"/>
      <c r="P127" s="445"/>
      <c r="Q127" s="445"/>
      <c r="R127" s="445"/>
      <c r="S127" s="445"/>
      <c r="T127" s="445"/>
      <c r="U127" s="445"/>
      <c r="V127" s="717"/>
      <c r="W127" s="717"/>
      <c r="X127" s="717"/>
      <c r="Y127" s="717"/>
      <c r="Z127" s="717"/>
      <c r="AA127" s="717"/>
      <c r="AB127" s="717"/>
      <c r="AC127" s="717"/>
      <c r="AD127" s="717"/>
      <c r="AE127" s="717"/>
      <c r="AF127" s="717"/>
      <c r="AG127" s="717"/>
      <c r="AH127" s="717"/>
      <c r="AI127" s="717"/>
      <c r="AJ127" s="717"/>
      <c r="AK127" s="717"/>
      <c r="AL127" s="717"/>
      <c r="AM127" s="717"/>
      <c r="AN127" s="717"/>
    </row>
    <row r="128" spans="1:40" ht="15.75" customHeight="1">
      <c r="A128" s="127"/>
      <c r="B128" s="445"/>
      <c r="C128" s="445"/>
      <c r="D128" s="445"/>
      <c r="E128" s="445"/>
      <c r="F128" s="445"/>
      <c r="G128" s="445"/>
      <c r="H128" s="445"/>
      <c r="I128" s="445"/>
      <c r="J128" s="445"/>
      <c r="K128" s="445"/>
      <c r="L128" s="445"/>
      <c r="M128" s="445"/>
      <c r="N128" s="445"/>
      <c r="O128" s="445"/>
      <c r="P128" s="445"/>
      <c r="Q128" s="445"/>
      <c r="R128" s="445"/>
      <c r="S128" s="445"/>
      <c r="T128" s="445"/>
      <c r="U128" s="445"/>
      <c r="V128" s="717"/>
      <c r="W128" s="717"/>
      <c r="X128" s="717"/>
      <c r="Y128" s="717"/>
      <c r="Z128" s="717"/>
      <c r="AA128" s="717"/>
      <c r="AB128" s="717"/>
      <c r="AC128" s="717"/>
      <c r="AD128" s="717"/>
      <c r="AE128" s="717"/>
      <c r="AF128" s="717"/>
      <c r="AG128" s="717"/>
      <c r="AH128" s="717"/>
      <c r="AI128" s="717"/>
      <c r="AJ128" s="717"/>
      <c r="AK128" s="717"/>
      <c r="AL128" s="717"/>
      <c r="AM128" s="717"/>
      <c r="AN128" s="717"/>
    </row>
    <row r="129" spans="1:40" ht="15.75" customHeight="1">
      <c r="A129" s="127"/>
      <c r="B129" s="445"/>
      <c r="C129" s="445"/>
      <c r="D129" s="445"/>
      <c r="E129" s="445"/>
      <c r="F129" s="445"/>
      <c r="G129" s="445"/>
      <c r="H129" s="445"/>
      <c r="I129" s="445"/>
      <c r="J129" s="445"/>
      <c r="K129" s="445"/>
      <c r="L129" s="445"/>
      <c r="M129" s="445"/>
      <c r="N129" s="445"/>
      <c r="O129" s="445"/>
      <c r="P129" s="445"/>
      <c r="Q129" s="445"/>
      <c r="R129" s="445"/>
      <c r="S129" s="445"/>
      <c r="T129" s="445"/>
      <c r="U129" s="445"/>
      <c r="V129" s="717"/>
      <c r="W129" s="717"/>
      <c r="X129" s="717"/>
      <c r="Y129" s="717"/>
      <c r="Z129" s="717"/>
      <c r="AA129" s="717"/>
      <c r="AB129" s="717"/>
      <c r="AC129" s="717"/>
      <c r="AD129" s="717"/>
      <c r="AE129" s="717"/>
      <c r="AF129" s="717"/>
      <c r="AG129" s="717"/>
      <c r="AH129" s="717"/>
      <c r="AI129" s="717"/>
      <c r="AJ129" s="717"/>
      <c r="AK129" s="717"/>
      <c r="AL129" s="717"/>
      <c r="AM129" s="717"/>
      <c r="AN129" s="717"/>
    </row>
    <row r="130" spans="1:40" ht="15.75" customHeight="1">
      <c r="A130" s="127"/>
      <c r="B130" s="445"/>
      <c r="C130" s="445"/>
      <c r="D130" s="445"/>
      <c r="E130" s="445"/>
      <c r="F130" s="445"/>
      <c r="G130" s="445"/>
      <c r="H130" s="445"/>
      <c r="I130" s="445"/>
      <c r="J130" s="445"/>
      <c r="K130" s="445"/>
      <c r="L130" s="445"/>
      <c r="M130" s="445"/>
      <c r="N130" s="445"/>
      <c r="O130" s="445"/>
      <c r="P130" s="445"/>
      <c r="Q130" s="445"/>
      <c r="R130" s="445"/>
      <c r="S130" s="445"/>
      <c r="T130" s="445"/>
      <c r="U130" s="445"/>
      <c r="V130" s="717"/>
      <c r="W130" s="717"/>
      <c r="X130" s="717"/>
      <c r="Y130" s="717"/>
      <c r="Z130" s="717"/>
      <c r="AA130" s="717"/>
      <c r="AB130" s="717"/>
      <c r="AC130" s="717"/>
      <c r="AD130" s="717"/>
      <c r="AE130" s="717"/>
      <c r="AF130" s="717"/>
      <c r="AG130" s="717"/>
      <c r="AH130" s="717"/>
      <c r="AI130" s="717"/>
      <c r="AJ130" s="717"/>
      <c r="AK130" s="717"/>
      <c r="AL130" s="717"/>
      <c r="AM130" s="717"/>
      <c r="AN130" s="717"/>
    </row>
    <row r="131" spans="1:40" ht="15.75" customHeight="1">
      <c r="A131" s="127"/>
      <c r="B131" s="445"/>
      <c r="C131" s="445"/>
      <c r="D131" s="445"/>
      <c r="E131" s="445"/>
      <c r="F131" s="445"/>
      <c r="G131" s="445"/>
      <c r="H131" s="445"/>
      <c r="I131" s="445"/>
      <c r="J131" s="445"/>
      <c r="K131" s="445"/>
      <c r="L131" s="445"/>
      <c r="M131" s="445"/>
      <c r="N131" s="445"/>
      <c r="O131" s="445"/>
      <c r="P131" s="445"/>
      <c r="Q131" s="445"/>
      <c r="R131" s="445"/>
      <c r="S131" s="445"/>
      <c r="T131" s="445"/>
      <c r="U131" s="445"/>
      <c r="V131" s="717"/>
      <c r="W131" s="717"/>
      <c r="X131" s="717"/>
      <c r="Y131" s="717"/>
      <c r="Z131" s="717"/>
      <c r="AA131" s="717"/>
      <c r="AB131" s="717"/>
      <c r="AC131" s="717"/>
      <c r="AD131" s="717"/>
      <c r="AE131" s="717"/>
      <c r="AF131" s="717"/>
      <c r="AG131" s="717"/>
      <c r="AH131" s="717"/>
      <c r="AI131" s="717"/>
      <c r="AJ131" s="717"/>
      <c r="AK131" s="717"/>
      <c r="AL131" s="717"/>
      <c r="AM131" s="717"/>
      <c r="AN131" s="717"/>
    </row>
    <row r="132" spans="1:40" ht="15.75" customHeight="1">
      <c r="A132" s="127"/>
      <c r="B132" s="445"/>
      <c r="C132" s="445"/>
      <c r="D132" s="445"/>
      <c r="E132" s="445"/>
      <c r="F132" s="445"/>
      <c r="G132" s="445"/>
      <c r="H132" s="445"/>
      <c r="I132" s="445"/>
      <c r="J132" s="445"/>
      <c r="K132" s="445"/>
      <c r="L132" s="445"/>
      <c r="M132" s="445"/>
      <c r="N132" s="445"/>
      <c r="O132" s="445"/>
      <c r="P132" s="445"/>
      <c r="Q132" s="445"/>
      <c r="R132" s="445"/>
      <c r="S132" s="445"/>
      <c r="T132" s="445"/>
      <c r="U132" s="445"/>
      <c r="V132" s="717"/>
      <c r="W132" s="717"/>
      <c r="X132" s="717"/>
      <c r="Y132" s="717"/>
      <c r="Z132" s="717"/>
      <c r="AA132" s="717"/>
      <c r="AB132" s="717"/>
      <c r="AC132" s="717"/>
      <c r="AD132" s="717"/>
      <c r="AE132" s="717"/>
      <c r="AF132" s="717"/>
      <c r="AG132" s="717"/>
      <c r="AH132" s="717"/>
      <c r="AI132" s="717"/>
      <c r="AJ132" s="717"/>
      <c r="AK132" s="717"/>
      <c r="AL132" s="717"/>
      <c r="AM132" s="717"/>
      <c r="AN132" s="717"/>
    </row>
    <row r="133" spans="1:40" ht="15.75" customHeight="1">
      <c r="A133" s="127"/>
      <c r="B133" s="445"/>
      <c r="C133" s="445"/>
      <c r="D133" s="445"/>
      <c r="E133" s="445"/>
      <c r="F133" s="445"/>
      <c r="G133" s="445"/>
      <c r="H133" s="445"/>
      <c r="I133" s="445"/>
      <c r="J133" s="445"/>
      <c r="K133" s="445"/>
      <c r="L133" s="445"/>
      <c r="M133" s="445"/>
      <c r="N133" s="445"/>
      <c r="O133" s="445"/>
      <c r="P133" s="445"/>
      <c r="Q133" s="445"/>
      <c r="R133" s="445"/>
      <c r="S133" s="445"/>
      <c r="T133" s="445"/>
      <c r="U133" s="445"/>
      <c r="V133" s="717"/>
      <c r="W133" s="717"/>
      <c r="X133" s="717"/>
      <c r="Y133" s="717"/>
      <c r="Z133" s="717"/>
      <c r="AA133" s="717"/>
      <c r="AB133" s="717"/>
      <c r="AC133" s="717"/>
      <c r="AD133" s="717"/>
      <c r="AE133" s="717"/>
      <c r="AF133" s="717"/>
      <c r="AG133" s="717"/>
      <c r="AH133" s="717"/>
      <c r="AI133" s="717"/>
      <c r="AJ133" s="717"/>
      <c r="AK133" s="717"/>
      <c r="AL133" s="717"/>
      <c r="AM133" s="717"/>
      <c r="AN133" s="717"/>
    </row>
    <row r="134" spans="1:40" ht="15.75" customHeight="1">
      <c r="A134" s="127"/>
      <c r="B134" s="445"/>
      <c r="C134" s="445"/>
      <c r="D134" s="445"/>
      <c r="E134" s="445"/>
      <c r="F134" s="445"/>
      <c r="G134" s="445"/>
      <c r="H134" s="445"/>
      <c r="I134" s="445"/>
      <c r="J134" s="445"/>
      <c r="K134" s="445"/>
      <c r="L134" s="445"/>
      <c r="M134" s="445"/>
      <c r="N134" s="445"/>
      <c r="O134" s="445"/>
      <c r="P134" s="445"/>
      <c r="Q134" s="445"/>
      <c r="R134" s="445"/>
      <c r="S134" s="445"/>
      <c r="T134" s="445"/>
      <c r="U134" s="445"/>
      <c r="V134" s="717"/>
      <c r="W134" s="717"/>
      <c r="X134" s="717"/>
      <c r="Y134" s="717"/>
      <c r="Z134" s="717"/>
      <c r="AA134" s="717"/>
      <c r="AB134" s="717"/>
      <c r="AC134" s="717"/>
      <c r="AD134" s="717"/>
      <c r="AE134" s="717"/>
      <c r="AF134" s="717"/>
      <c r="AG134" s="717"/>
      <c r="AH134" s="717"/>
      <c r="AI134" s="717"/>
      <c r="AJ134" s="717"/>
      <c r="AK134" s="717"/>
      <c r="AL134" s="717"/>
      <c r="AM134" s="717"/>
      <c r="AN134" s="717"/>
    </row>
    <row r="135" spans="1:40" ht="15.75" customHeight="1">
      <c r="A135" s="127"/>
      <c r="B135" s="445"/>
      <c r="C135" s="445"/>
      <c r="D135" s="445"/>
      <c r="E135" s="445"/>
      <c r="F135" s="445"/>
      <c r="G135" s="445"/>
      <c r="H135" s="445"/>
      <c r="I135" s="445"/>
      <c r="J135" s="445"/>
      <c r="K135" s="445"/>
      <c r="L135" s="445"/>
      <c r="M135" s="445"/>
      <c r="N135" s="445"/>
      <c r="O135" s="445"/>
      <c r="P135" s="445"/>
      <c r="Q135" s="445"/>
      <c r="R135" s="445"/>
      <c r="S135" s="445"/>
      <c r="T135" s="445"/>
      <c r="U135" s="445"/>
      <c r="V135" s="717"/>
      <c r="W135" s="717"/>
      <c r="X135" s="717"/>
      <c r="Y135" s="717"/>
      <c r="Z135" s="717"/>
      <c r="AA135" s="717"/>
      <c r="AB135" s="717"/>
      <c r="AC135" s="717"/>
      <c r="AD135" s="717"/>
      <c r="AE135" s="717"/>
      <c r="AF135" s="717"/>
      <c r="AG135" s="717"/>
      <c r="AH135" s="717"/>
      <c r="AI135" s="717"/>
      <c r="AJ135" s="717"/>
      <c r="AK135" s="717"/>
      <c r="AL135" s="717"/>
      <c r="AM135" s="717"/>
      <c r="AN135" s="717"/>
    </row>
    <row r="136" spans="1:40" ht="15.75" customHeight="1">
      <c r="A136" s="127"/>
      <c r="B136" s="445"/>
      <c r="C136" s="445"/>
      <c r="D136" s="445"/>
      <c r="E136" s="445"/>
      <c r="F136" s="445"/>
      <c r="G136" s="445"/>
      <c r="H136" s="445"/>
      <c r="I136" s="445"/>
      <c r="J136" s="445"/>
      <c r="K136" s="445"/>
      <c r="L136" s="445"/>
      <c r="M136" s="445"/>
      <c r="N136" s="445"/>
      <c r="O136" s="445"/>
      <c r="P136" s="445"/>
      <c r="Q136" s="445"/>
      <c r="R136" s="445"/>
      <c r="S136" s="445"/>
      <c r="T136" s="445"/>
      <c r="U136" s="445"/>
      <c r="V136" s="717"/>
      <c r="W136" s="717"/>
      <c r="X136" s="717"/>
      <c r="Y136" s="717"/>
      <c r="Z136" s="717"/>
      <c r="AA136" s="717"/>
      <c r="AB136" s="717"/>
      <c r="AC136" s="717"/>
      <c r="AD136" s="717"/>
      <c r="AE136" s="717"/>
      <c r="AF136" s="717"/>
      <c r="AG136" s="717"/>
      <c r="AH136" s="717"/>
      <c r="AI136" s="717"/>
      <c r="AJ136" s="717"/>
      <c r="AK136" s="717"/>
      <c r="AL136" s="717"/>
      <c r="AM136" s="717"/>
      <c r="AN136" s="717"/>
    </row>
    <row r="137" spans="1:40" ht="15.75" customHeight="1">
      <c r="A137" s="127"/>
      <c r="B137" s="445"/>
      <c r="C137" s="445"/>
      <c r="D137" s="445"/>
      <c r="E137" s="445"/>
      <c r="F137" s="445"/>
      <c r="G137" s="445"/>
      <c r="H137" s="445"/>
      <c r="I137" s="445"/>
      <c r="J137" s="445"/>
      <c r="K137" s="445"/>
      <c r="L137" s="445"/>
      <c r="M137" s="445"/>
      <c r="N137" s="445"/>
      <c r="O137" s="445"/>
      <c r="P137" s="445"/>
      <c r="Q137" s="445"/>
      <c r="R137" s="445"/>
      <c r="S137" s="445"/>
      <c r="T137" s="445"/>
      <c r="U137" s="445"/>
      <c r="V137" s="717"/>
      <c r="W137" s="717"/>
      <c r="X137" s="717"/>
      <c r="Y137" s="717"/>
      <c r="Z137" s="717"/>
      <c r="AA137" s="717"/>
      <c r="AB137" s="717"/>
      <c r="AC137" s="717"/>
      <c r="AD137" s="717"/>
      <c r="AE137" s="717"/>
      <c r="AF137" s="717"/>
      <c r="AG137" s="717"/>
      <c r="AH137" s="717"/>
      <c r="AI137" s="717"/>
      <c r="AJ137" s="717"/>
      <c r="AK137" s="717"/>
      <c r="AL137" s="717"/>
      <c r="AM137" s="717"/>
      <c r="AN137" s="717"/>
    </row>
    <row r="138" spans="1:40" ht="15.75" customHeight="1">
      <c r="A138" s="127"/>
      <c r="B138" s="445"/>
      <c r="C138" s="445"/>
      <c r="D138" s="445"/>
      <c r="E138" s="445"/>
      <c r="F138" s="445"/>
      <c r="G138" s="445"/>
      <c r="H138" s="445"/>
      <c r="I138" s="445"/>
      <c r="J138" s="445"/>
      <c r="K138" s="445"/>
      <c r="L138" s="445"/>
      <c r="M138" s="445"/>
      <c r="N138" s="445"/>
      <c r="O138" s="445"/>
      <c r="P138" s="445"/>
      <c r="Q138" s="445"/>
      <c r="R138" s="445"/>
      <c r="S138" s="445"/>
      <c r="T138" s="445"/>
      <c r="U138" s="445"/>
      <c r="V138" s="717"/>
      <c r="W138" s="717"/>
      <c r="X138" s="717"/>
      <c r="Y138" s="717"/>
      <c r="Z138" s="717"/>
      <c r="AA138" s="717"/>
      <c r="AB138" s="717"/>
      <c r="AC138" s="717"/>
      <c r="AD138" s="717"/>
      <c r="AE138" s="717"/>
      <c r="AF138" s="717"/>
      <c r="AG138" s="717"/>
      <c r="AH138" s="717"/>
      <c r="AI138" s="717"/>
      <c r="AJ138" s="717"/>
      <c r="AK138" s="717"/>
      <c r="AL138" s="717"/>
      <c r="AM138" s="717"/>
      <c r="AN138" s="717"/>
    </row>
    <row r="139" spans="1:40" ht="15.75" customHeight="1">
      <c r="A139" s="127"/>
      <c r="B139" s="445"/>
      <c r="C139" s="445"/>
      <c r="D139" s="445"/>
      <c r="E139" s="445"/>
      <c r="F139" s="445"/>
      <c r="G139" s="445"/>
      <c r="H139" s="445"/>
      <c r="I139" s="445"/>
      <c r="J139" s="445"/>
      <c r="K139" s="445"/>
      <c r="L139" s="445"/>
      <c r="M139" s="445"/>
      <c r="N139" s="445"/>
      <c r="O139" s="445"/>
      <c r="P139" s="445"/>
      <c r="Q139" s="445"/>
      <c r="R139" s="445"/>
      <c r="S139" s="445"/>
      <c r="T139" s="445"/>
      <c r="U139" s="445"/>
      <c r="V139" s="717"/>
      <c r="W139" s="717"/>
      <c r="X139" s="717"/>
      <c r="Y139" s="717"/>
      <c r="Z139" s="717"/>
      <c r="AA139" s="717"/>
      <c r="AB139" s="717"/>
      <c r="AC139" s="717"/>
      <c r="AD139" s="717"/>
      <c r="AE139" s="717"/>
      <c r="AF139" s="717"/>
      <c r="AG139" s="717"/>
      <c r="AH139" s="717"/>
      <c r="AI139" s="717"/>
      <c r="AJ139" s="717"/>
      <c r="AK139" s="717"/>
      <c r="AL139" s="717"/>
      <c r="AM139" s="717"/>
      <c r="AN139" s="717"/>
    </row>
    <row r="140" spans="1:40" ht="15.75" customHeight="1">
      <c r="A140" s="127"/>
      <c r="B140" s="445"/>
      <c r="C140" s="445"/>
      <c r="D140" s="445"/>
      <c r="E140" s="445"/>
      <c r="F140" s="445"/>
      <c r="G140" s="445"/>
      <c r="H140" s="445"/>
      <c r="I140" s="445"/>
      <c r="J140" s="445"/>
      <c r="K140" s="445"/>
      <c r="L140" s="445"/>
      <c r="M140" s="445"/>
      <c r="N140" s="445"/>
      <c r="O140" s="445"/>
      <c r="P140" s="445"/>
      <c r="Q140" s="445"/>
      <c r="R140" s="445"/>
      <c r="S140" s="445"/>
      <c r="T140" s="445"/>
      <c r="U140" s="445"/>
      <c r="V140" s="717"/>
      <c r="W140" s="717"/>
      <c r="X140" s="717"/>
      <c r="Y140" s="717"/>
      <c r="Z140" s="717"/>
      <c r="AA140" s="717"/>
      <c r="AB140" s="717"/>
      <c r="AC140" s="717"/>
      <c r="AD140" s="717"/>
      <c r="AE140" s="717"/>
      <c r="AF140" s="717"/>
      <c r="AG140" s="717"/>
      <c r="AH140" s="717"/>
      <c r="AI140" s="717"/>
      <c r="AJ140" s="717"/>
      <c r="AK140" s="717"/>
      <c r="AL140" s="717"/>
      <c r="AM140" s="717"/>
      <c r="AN140" s="717"/>
    </row>
    <row r="141" spans="1:40" ht="15.75" customHeight="1">
      <c r="A141" s="127"/>
      <c r="B141" s="445"/>
      <c r="C141" s="445"/>
      <c r="D141" s="445"/>
      <c r="E141" s="445"/>
      <c r="F141" s="445"/>
      <c r="G141" s="445"/>
      <c r="H141" s="445"/>
      <c r="I141" s="445"/>
      <c r="J141" s="445"/>
      <c r="K141" s="445"/>
      <c r="L141" s="445"/>
      <c r="M141" s="445"/>
      <c r="N141" s="445"/>
      <c r="O141" s="445"/>
      <c r="P141" s="445"/>
      <c r="Q141" s="445"/>
      <c r="R141" s="445"/>
      <c r="S141" s="445"/>
      <c r="T141" s="445"/>
      <c r="U141" s="445"/>
      <c r="V141" s="717"/>
      <c r="W141" s="717"/>
      <c r="X141" s="717"/>
      <c r="Y141" s="717"/>
      <c r="Z141" s="717"/>
      <c r="AA141" s="717"/>
      <c r="AB141" s="717"/>
      <c r="AC141" s="717"/>
      <c r="AD141" s="717"/>
      <c r="AE141" s="717"/>
      <c r="AF141" s="717"/>
      <c r="AG141" s="717"/>
      <c r="AH141" s="717"/>
      <c r="AI141" s="717"/>
      <c r="AJ141" s="717"/>
      <c r="AK141" s="717"/>
      <c r="AL141" s="717"/>
      <c r="AM141" s="717"/>
      <c r="AN141" s="717"/>
    </row>
    <row r="142" spans="1:40" ht="15.75" customHeight="1">
      <c r="A142" s="127"/>
      <c r="B142" s="445"/>
      <c r="C142" s="445"/>
      <c r="D142" s="445"/>
      <c r="E142" s="445"/>
      <c r="F142" s="445"/>
      <c r="G142" s="445"/>
      <c r="H142" s="445"/>
      <c r="I142" s="445"/>
      <c r="J142" s="445"/>
      <c r="K142" s="445"/>
      <c r="L142" s="445"/>
      <c r="M142" s="445"/>
      <c r="N142" s="445"/>
      <c r="O142" s="445"/>
      <c r="P142" s="445"/>
      <c r="Q142" s="445"/>
      <c r="R142" s="445"/>
      <c r="S142" s="445"/>
      <c r="T142" s="445"/>
      <c r="U142" s="445"/>
      <c r="V142" s="717"/>
      <c r="W142" s="717"/>
      <c r="X142" s="717"/>
      <c r="Y142" s="717"/>
      <c r="Z142" s="717"/>
      <c r="AA142" s="717"/>
      <c r="AB142" s="717"/>
      <c r="AC142" s="717"/>
      <c r="AD142" s="717"/>
      <c r="AE142" s="717"/>
      <c r="AF142" s="717"/>
      <c r="AG142" s="717"/>
      <c r="AH142" s="717"/>
      <c r="AI142" s="717"/>
      <c r="AJ142" s="717"/>
      <c r="AK142" s="717"/>
      <c r="AL142" s="717"/>
      <c r="AM142" s="717"/>
      <c r="AN142" s="717"/>
    </row>
    <row r="143" spans="1:40" ht="15.75" customHeight="1">
      <c r="A143" s="127"/>
      <c r="B143" s="445"/>
      <c r="C143" s="445"/>
      <c r="D143" s="445"/>
      <c r="E143" s="445"/>
      <c r="F143" s="445"/>
      <c r="G143" s="445"/>
      <c r="H143" s="445"/>
      <c r="I143" s="445"/>
      <c r="J143" s="445"/>
      <c r="K143" s="445"/>
      <c r="L143" s="445"/>
      <c r="M143" s="445"/>
      <c r="N143" s="445"/>
      <c r="O143" s="445"/>
      <c r="P143" s="445"/>
      <c r="Q143" s="445"/>
      <c r="R143" s="445"/>
      <c r="S143" s="445"/>
      <c r="T143" s="445"/>
      <c r="U143" s="445"/>
      <c r="V143" s="717"/>
      <c r="W143" s="717"/>
      <c r="X143" s="717"/>
      <c r="Y143" s="717"/>
      <c r="Z143" s="717"/>
      <c r="AA143" s="717"/>
      <c r="AB143" s="717"/>
      <c r="AC143" s="717"/>
      <c r="AD143" s="717"/>
      <c r="AE143" s="717"/>
      <c r="AF143" s="717"/>
      <c r="AG143" s="717"/>
      <c r="AH143" s="717"/>
      <c r="AI143" s="717"/>
      <c r="AJ143" s="717"/>
      <c r="AK143" s="717"/>
      <c r="AL143" s="717"/>
      <c r="AM143" s="717"/>
      <c r="AN143" s="717"/>
    </row>
    <row r="144" spans="1:40" ht="15.75" customHeight="1">
      <c r="A144" s="127"/>
      <c r="B144" s="445"/>
      <c r="C144" s="445"/>
      <c r="D144" s="445"/>
      <c r="E144" s="445"/>
      <c r="F144" s="445"/>
      <c r="G144" s="445"/>
      <c r="H144" s="445"/>
      <c r="I144" s="445"/>
      <c r="J144" s="445"/>
      <c r="K144" s="445"/>
      <c r="L144" s="445"/>
      <c r="M144" s="445"/>
      <c r="N144" s="445"/>
      <c r="O144" s="445"/>
      <c r="P144" s="445"/>
      <c r="Q144" s="445"/>
      <c r="R144" s="445"/>
      <c r="S144" s="445"/>
      <c r="T144" s="445"/>
      <c r="U144" s="445"/>
      <c r="V144" s="717"/>
      <c r="W144" s="717"/>
      <c r="X144" s="717"/>
      <c r="Y144" s="717"/>
      <c r="Z144" s="717"/>
      <c r="AA144" s="717"/>
      <c r="AB144" s="717"/>
      <c r="AC144" s="717"/>
      <c r="AD144" s="717"/>
      <c r="AE144" s="717"/>
      <c r="AF144" s="717"/>
      <c r="AG144" s="717"/>
      <c r="AH144" s="717"/>
      <c r="AI144" s="717"/>
      <c r="AJ144" s="717"/>
      <c r="AK144" s="717"/>
      <c r="AL144" s="717"/>
      <c r="AM144" s="717"/>
      <c r="AN144" s="717"/>
    </row>
    <row r="145" spans="1:40" ht="15.75" customHeight="1">
      <c r="A145" s="127"/>
      <c r="B145" s="445"/>
      <c r="C145" s="445"/>
      <c r="D145" s="445"/>
      <c r="E145" s="445"/>
      <c r="F145" s="445"/>
      <c r="G145" s="445"/>
      <c r="H145" s="445"/>
      <c r="I145" s="445"/>
      <c r="J145" s="445"/>
      <c r="K145" s="445"/>
      <c r="L145" s="445"/>
      <c r="M145" s="445"/>
      <c r="N145" s="445"/>
      <c r="O145" s="445"/>
      <c r="P145" s="445"/>
      <c r="Q145" s="445"/>
      <c r="R145" s="445"/>
      <c r="S145" s="445"/>
      <c r="T145" s="445"/>
      <c r="U145" s="445"/>
      <c r="V145" s="717"/>
      <c r="W145" s="717"/>
      <c r="X145" s="717"/>
      <c r="Y145" s="717"/>
      <c r="Z145" s="717"/>
      <c r="AA145" s="717"/>
      <c r="AB145" s="717"/>
      <c r="AC145" s="717"/>
      <c r="AD145" s="717"/>
      <c r="AE145" s="717"/>
      <c r="AF145" s="717"/>
      <c r="AG145" s="717"/>
      <c r="AH145" s="717"/>
      <c r="AI145" s="717"/>
      <c r="AJ145" s="717"/>
      <c r="AK145" s="717"/>
      <c r="AL145" s="717"/>
      <c r="AM145" s="717"/>
      <c r="AN145" s="717"/>
    </row>
    <row r="146" spans="1:40" ht="15.75" customHeight="1">
      <c r="A146" s="127"/>
      <c r="B146" s="445"/>
      <c r="C146" s="445"/>
      <c r="D146" s="445"/>
      <c r="E146" s="445"/>
      <c r="F146" s="445"/>
      <c r="G146" s="445"/>
      <c r="H146" s="445"/>
      <c r="I146" s="445"/>
      <c r="J146" s="445"/>
      <c r="K146" s="445"/>
      <c r="L146" s="445"/>
      <c r="M146" s="445"/>
      <c r="N146" s="445"/>
      <c r="O146" s="445"/>
      <c r="P146" s="445"/>
      <c r="Q146" s="445"/>
      <c r="R146" s="445"/>
      <c r="S146" s="445"/>
      <c r="T146" s="445"/>
      <c r="U146" s="445"/>
      <c r="V146" s="717"/>
      <c r="W146" s="717"/>
      <c r="X146" s="717"/>
      <c r="Y146" s="717"/>
      <c r="Z146" s="717"/>
      <c r="AA146" s="717"/>
      <c r="AB146" s="717"/>
      <c r="AC146" s="717"/>
      <c r="AD146" s="717"/>
      <c r="AE146" s="717"/>
      <c r="AF146" s="717"/>
      <c r="AG146" s="717"/>
      <c r="AH146" s="717"/>
      <c r="AI146" s="717"/>
      <c r="AJ146" s="717"/>
      <c r="AK146" s="717"/>
      <c r="AL146" s="717"/>
      <c r="AM146" s="717"/>
      <c r="AN146" s="717"/>
    </row>
    <row r="147" spans="1:40" ht="15.75" customHeight="1">
      <c r="A147" s="127"/>
      <c r="B147" s="445"/>
      <c r="C147" s="445"/>
      <c r="D147" s="445"/>
      <c r="E147" s="445"/>
      <c r="F147" s="445"/>
      <c r="G147" s="445"/>
      <c r="H147" s="445"/>
      <c r="I147" s="445"/>
      <c r="J147" s="445"/>
      <c r="K147" s="445"/>
      <c r="L147" s="445"/>
      <c r="M147" s="445"/>
      <c r="N147" s="445"/>
      <c r="O147" s="445"/>
      <c r="P147" s="445"/>
      <c r="Q147" s="445"/>
      <c r="R147" s="445"/>
      <c r="S147" s="445"/>
      <c r="T147" s="445"/>
      <c r="U147" s="445"/>
      <c r="V147" s="717"/>
      <c r="W147" s="717"/>
      <c r="X147" s="717"/>
      <c r="Y147" s="717"/>
      <c r="Z147" s="717"/>
      <c r="AA147" s="717"/>
      <c r="AB147" s="717"/>
      <c r="AC147" s="717"/>
      <c r="AD147" s="717"/>
      <c r="AE147" s="717"/>
      <c r="AF147" s="717"/>
      <c r="AG147" s="717"/>
      <c r="AH147" s="717"/>
      <c r="AI147" s="717"/>
      <c r="AJ147" s="717"/>
      <c r="AK147" s="717"/>
      <c r="AL147" s="717"/>
      <c r="AM147" s="717"/>
      <c r="AN147" s="717"/>
    </row>
    <row r="148" spans="1:40" ht="15.75" customHeight="1">
      <c r="A148" s="127"/>
      <c r="B148" s="445"/>
      <c r="C148" s="445"/>
      <c r="D148" s="445"/>
      <c r="E148" s="445"/>
      <c r="F148" s="445"/>
      <c r="G148" s="445"/>
      <c r="H148" s="445"/>
      <c r="I148" s="445"/>
      <c r="J148" s="445"/>
      <c r="K148" s="445"/>
      <c r="L148" s="445"/>
      <c r="M148" s="445"/>
      <c r="N148" s="445"/>
      <c r="O148" s="445"/>
      <c r="P148" s="445"/>
      <c r="Q148" s="445"/>
      <c r="R148" s="445"/>
      <c r="S148" s="445"/>
      <c r="T148" s="445"/>
      <c r="U148" s="445"/>
      <c r="V148" s="717"/>
      <c r="W148" s="717"/>
      <c r="X148" s="717"/>
      <c r="Y148" s="717"/>
      <c r="Z148" s="717"/>
      <c r="AA148" s="717"/>
      <c r="AB148" s="717"/>
      <c r="AC148" s="717"/>
      <c r="AD148" s="717"/>
      <c r="AE148" s="717"/>
      <c r="AF148" s="717"/>
      <c r="AG148" s="717"/>
      <c r="AH148" s="717"/>
      <c r="AI148" s="717"/>
      <c r="AJ148" s="717"/>
      <c r="AK148" s="717"/>
      <c r="AL148" s="717"/>
      <c r="AM148" s="717"/>
      <c r="AN148" s="717"/>
    </row>
    <row r="149" spans="1:40" ht="15.75" customHeight="1">
      <c r="A149" s="127"/>
      <c r="B149" s="445"/>
      <c r="C149" s="445"/>
      <c r="D149" s="445"/>
      <c r="E149" s="445"/>
      <c r="F149" s="445"/>
      <c r="G149" s="445"/>
      <c r="H149" s="445"/>
      <c r="I149" s="445"/>
      <c r="J149" s="445"/>
      <c r="K149" s="445"/>
      <c r="L149" s="445"/>
      <c r="M149" s="445"/>
      <c r="N149" s="445"/>
      <c r="O149" s="445"/>
      <c r="P149" s="445"/>
      <c r="Q149" s="445"/>
      <c r="R149" s="445"/>
      <c r="S149" s="445"/>
      <c r="T149" s="445"/>
      <c r="U149" s="445"/>
      <c r="V149" s="717"/>
      <c r="W149" s="717"/>
      <c r="X149" s="717"/>
      <c r="Y149" s="717"/>
      <c r="Z149" s="717"/>
      <c r="AA149" s="717"/>
      <c r="AB149" s="717"/>
      <c r="AC149" s="717"/>
      <c r="AD149" s="717"/>
      <c r="AE149" s="717"/>
      <c r="AF149" s="717"/>
      <c r="AG149" s="717"/>
      <c r="AH149" s="717"/>
      <c r="AI149" s="717"/>
      <c r="AJ149" s="717"/>
      <c r="AK149" s="717"/>
      <c r="AL149" s="717"/>
      <c r="AM149" s="717"/>
      <c r="AN149" s="717"/>
    </row>
    <row r="150" spans="1:40" ht="15.75" customHeight="1">
      <c r="A150" s="127"/>
      <c r="B150" s="445"/>
      <c r="C150" s="445"/>
      <c r="D150" s="445"/>
      <c r="E150" s="445"/>
      <c r="F150" s="445"/>
      <c r="G150" s="445"/>
      <c r="H150" s="445"/>
      <c r="I150" s="445"/>
      <c r="J150" s="445"/>
      <c r="K150" s="445"/>
      <c r="L150" s="445"/>
      <c r="M150" s="445"/>
      <c r="N150" s="445"/>
      <c r="O150" s="445"/>
      <c r="P150" s="445"/>
      <c r="Q150" s="445"/>
      <c r="R150" s="445"/>
      <c r="S150" s="445"/>
      <c r="T150" s="445"/>
      <c r="U150" s="445"/>
      <c r="V150" s="717"/>
      <c r="W150" s="717"/>
      <c r="X150" s="717"/>
      <c r="Y150" s="717"/>
      <c r="Z150" s="717"/>
      <c r="AA150" s="717"/>
      <c r="AB150" s="717"/>
      <c r="AC150" s="717"/>
      <c r="AD150" s="717"/>
      <c r="AE150" s="717"/>
      <c r="AF150" s="717"/>
      <c r="AG150" s="717"/>
      <c r="AH150" s="717"/>
      <c r="AI150" s="717"/>
      <c r="AJ150" s="717"/>
      <c r="AK150" s="717"/>
      <c r="AL150" s="717"/>
      <c r="AM150" s="717"/>
      <c r="AN150" s="717"/>
    </row>
    <row r="151" spans="1:40" ht="15.75" customHeight="1">
      <c r="A151" s="127"/>
      <c r="B151" s="445"/>
      <c r="C151" s="445"/>
      <c r="D151" s="445"/>
      <c r="E151" s="445"/>
      <c r="F151" s="445"/>
      <c r="G151" s="445"/>
      <c r="H151" s="445"/>
      <c r="I151" s="445"/>
      <c r="J151" s="445"/>
      <c r="K151" s="445"/>
      <c r="L151" s="445"/>
      <c r="M151" s="445"/>
      <c r="N151" s="445"/>
      <c r="O151" s="445"/>
      <c r="P151" s="445"/>
      <c r="Q151" s="445"/>
      <c r="R151" s="445"/>
      <c r="S151" s="445"/>
      <c r="T151" s="445"/>
      <c r="U151" s="445"/>
      <c r="V151" s="717"/>
      <c r="W151" s="717"/>
      <c r="X151" s="717"/>
      <c r="Y151" s="717"/>
      <c r="Z151" s="717"/>
      <c r="AA151" s="717"/>
      <c r="AB151" s="717"/>
      <c r="AC151" s="717"/>
      <c r="AD151" s="717"/>
      <c r="AE151" s="717"/>
      <c r="AF151" s="717"/>
      <c r="AG151" s="717"/>
      <c r="AH151" s="717"/>
      <c r="AI151" s="717"/>
      <c r="AJ151" s="717"/>
      <c r="AK151" s="717"/>
      <c r="AL151" s="717"/>
      <c r="AM151" s="717"/>
      <c r="AN151" s="717"/>
    </row>
    <row r="152" spans="1:40" ht="15.75" customHeight="1">
      <c r="A152" s="127"/>
      <c r="B152" s="445"/>
      <c r="C152" s="445"/>
      <c r="D152" s="445"/>
      <c r="E152" s="445"/>
      <c r="F152" s="445"/>
      <c r="G152" s="445"/>
      <c r="H152" s="445"/>
      <c r="I152" s="445"/>
      <c r="J152" s="445"/>
      <c r="K152" s="445"/>
      <c r="L152" s="445"/>
      <c r="M152" s="445"/>
      <c r="N152" s="445"/>
      <c r="O152" s="445"/>
      <c r="P152" s="445"/>
      <c r="Q152" s="445"/>
      <c r="R152" s="445"/>
      <c r="S152" s="445"/>
      <c r="T152" s="445"/>
      <c r="U152" s="445"/>
      <c r="V152" s="717"/>
      <c r="W152" s="717"/>
      <c r="X152" s="717"/>
      <c r="Y152" s="717"/>
      <c r="Z152" s="717"/>
      <c r="AA152" s="717"/>
      <c r="AB152" s="717"/>
      <c r="AC152" s="717"/>
      <c r="AD152" s="717"/>
      <c r="AE152" s="717"/>
      <c r="AF152" s="717"/>
      <c r="AG152" s="717"/>
      <c r="AH152" s="717"/>
      <c r="AI152" s="717"/>
      <c r="AJ152" s="717"/>
      <c r="AK152" s="717"/>
      <c r="AL152" s="717"/>
      <c r="AM152" s="717"/>
      <c r="AN152" s="717"/>
    </row>
    <row r="153" spans="1:40" ht="15.75" customHeight="1">
      <c r="A153" s="127"/>
      <c r="B153" s="445"/>
      <c r="C153" s="445"/>
      <c r="D153" s="445"/>
      <c r="E153" s="445"/>
      <c r="F153" s="445"/>
      <c r="G153" s="445"/>
      <c r="H153" s="445"/>
      <c r="I153" s="445"/>
      <c r="J153" s="445"/>
      <c r="K153" s="445"/>
      <c r="L153" s="445"/>
      <c r="M153" s="445"/>
      <c r="N153" s="445"/>
      <c r="O153" s="445"/>
      <c r="P153" s="445"/>
      <c r="Q153" s="445"/>
      <c r="R153" s="445"/>
      <c r="S153" s="445"/>
      <c r="T153" s="445"/>
      <c r="U153" s="445"/>
      <c r="V153" s="717"/>
      <c r="W153" s="717"/>
      <c r="X153" s="717"/>
      <c r="Y153" s="717"/>
      <c r="Z153" s="717"/>
      <c r="AA153" s="717"/>
      <c r="AB153" s="717"/>
      <c r="AC153" s="717"/>
      <c r="AD153" s="717"/>
      <c r="AE153" s="717"/>
      <c r="AF153" s="717"/>
      <c r="AG153" s="717"/>
      <c r="AH153" s="717"/>
      <c r="AI153" s="717"/>
      <c r="AJ153" s="717"/>
      <c r="AK153" s="717"/>
      <c r="AL153" s="717"/>
      <c r="AM153" s="717"/>
      <c r="AN153" s="717"/>
    </row>
    <row r="154" spans="1:40" ht="15.75" customHeight="1">
      <c r="A154" s="127"/>
      <c r="B154" s="445"/>
      <c r="C154" s="445"/>
      <c r="D154" s="445"/>
      <c r="E154" s="445"/>
      <c r="F154" s="445"/>
      <c r="G154" s="445"/>
      <c r="H154" s="445"/>
      <c r="I154" s="445"/>
      <c r="J154" s="445"/>
      <c r="K154" s="445"/>
      <c r="L154" s="445"/>
      <c r="M154" s="445"/>
      <c r="N154" s="445"/>
      <c r="O154" s="445"/>
      <c r="P154" s="445"/>
      <c r="Q154" s="445"/>
      <c r="R154" s="445"/>
      <c r="S154" s="445"/>
      <c r="T154" s="445"/>
      <c r="U154" s="445"/>
      <c r="V154" s="717"/>
      <c r="W154" s="717"/>
      <c r="X154" s="717"/>
      <c r="Y154" s="717"/>
      <c r="Z154" s="717"/>
      <c r="AA154" s="717"/>
      <c r="AB154" s="717"/>
      <c r="AC154" s="717"/>
      <c r="AD154" s="717"/>
      <c r="AE154" s="717"/>
      <c r="AF154" s="717"/>
      <c r="AG154" s="717"/>
      <c r="AH154" s="717"/>
      <c r="AI154" s="717"/>
      <c r="AJ154" s="717"/>
      <c r="AK154" s="717"/>
      <c r="AL154" s="717"/>
      <c r="AM154" s="717"/>
      <c r="AN154" s="717"/>
    </row>
    <row r="155" spans="1:40" ht="15.75" customHeight="1">
      <c r="A155" s="127"/>
      <c r="B155" s="445"/>
      <c r="C155" s="445"/>
      <c r="D155" s="445"/>
      <c r="E155" s="445"/>
      <c r="F155" s="445"/>
      <c r="G155" s="445"/>
      <c r="H155" s="445"/>
      <c r="I155" s="445"/>
      <c r="J155" s="445"/>
      <c r="K155" s="445"/>
      <c r="L155" s="445"/>
      <c r="M155" s="445"/>
      <c r="N155" s="445"/>
      <c r="O155" s="445"/>
      <c r="P155" s="445"/>
      <c r="Q155" s="445"/>
      <c r="R155" s="445"/>
      <c r="S155" s="445"/>
      <c r="T155" s="445"/>
      <c r="U155" s="445"/>
      <c r="V155" s="717"/>
      <c r="W155" s="717"/>
      <c r="X155" s="717"/>
      <c r="Y155" s="717"/>
      <c r="Z155" s="717"/>
      <c r="AA155" s="717"/>
      <c r="AB155" s="717"/>
      <c r="AC155" s="717"/>
      <c r="AD155" s="717"/>
      <c r="AE155" s="717"/>
      <c r="AF155" s="717"/>
      <c r="AG155" s="717"/>
      <c r="AH155" s="717"/>
      <c r="AI155" s="717"/>
      <c r="AJ155" s="717"/>
      <c r="AK155" s="717"/>
      <c r="AL155" s="717"/>
      <c r="AM155" s="717"/>
      <c r="AN155" s="717"/>
    </row>
    <row r="156" spans="1:40" ht="15.75" customHeight="1">
      <c r="A156" s="127"/>
      <c r="B156" s="445"/>
      <c r="C156" s="445"/>
      <c r="D156" s="445"/>
      <c r="E156" s="445"/>
      <c r="F156" s="445"/>
      <c r="G156" s="445"/>
      <c r="H156" s="445"/>
      <c r="I156" s="445"/>
      <c r="J156" s="445"/>
      <c r="K156" s="445"/>
      <c r="L156" s="445"/>
      <c r="M156" s="445"/>
      <c r="N156" s="445"/>
      <c r="O156" s="445"/>
      <c r="P156" s="445"/>
      <c r="Q156" s="445"/>
      <c r="R156" s="445"/>
      <c r="S156" s="445"/>
      <c r="T156" s="445"/>
      <c r="U156" s="445"/>
      <c r="V156" s="717"/>
      <c r="W156" s="717"/>
      <c r="X156" s="717"/>
      <c r="Y156" s="717"/>
      <c r="Z156" s="717"/>
      <c r="AA156" s="717"/>
      <c r="AB156" s="717"/>
      <c r="AC156" s="717"/>
      <c r="AD156" s="717"/>
      <c r="AE156" s="717"/>
      <c r="AF156" s="717"/>
      <c r="AG156" s="717"/>
      <c r="AH156" s="717"/>
      <c r="AI156" s="717"/>
      <c r="AJ156" s="717"/>
      <c r="AK156" s="717"/>
      <c r="AL156" s="717"/>
      <c r="AM156" s="717"/>
      <c r="AN156" s="717"/>
    </row>
    <row r="157" spans="1:40" ht="15.75" customHeight="1">
      <c r="A157" s="127"/>
      <c r="B157" s="445"/>
      <c r="C157" s="445"/>
      <c r="D157" s="445"/>
      <c r="E157" s="445"/>
      <c r="F157" s="445"/>
      <c r="G157" s="445"/>
      <c r="H157" s="445"/>
      <c r="I157" s="445"/>
      <c r="J157" s="445"/>
      <c r="K157" s="445"/>
      <c r="L157" s="445"/>
      <c r="M157" s="445"/>
      <c r="N157" s="445"/>
      <c r="O157" s="445"/>
      <c r="P157" s="445"/>
      <c r="Q157" s="445"/>
      <c r="R157" s="445"/>
      <c r="S157" s="445"/>
      <c r="T157" s="445"/>
      <c r="U157" s="445"/>
      <c r="V157" s="717"/>
      <c r="W157" s="717"/>
      <c r="X157" s="717"/>
      <c r="Y157" s="717"/>
      <c r="Z157" s="717"/>
      <c r="AA157" s="717"/>
      <c r="AB157" s="717"/>
      <c r="AC157" s="717"/>
      <c r="AD157" s="717"/>
      <c r="AE157" s="717"/>
      <c r="AF157" s="717"/>
      <c r="AG157" s="717"/>
      <c r="AH157" s="717"/>
      <c r="AI157" s="717"/>
      <c r="AJ157" s="717"/>
      <c r="AK157" s="717"/>
      <c r="AL157" s="717"/>
      <c r="AM157" s="717"/>
      <c r="AN157" s="717"/>
    </row>
    <row r="158" spans="1:40" ht="15.75" customHeight="1">
      <c r="A158" s="127"/>
      <c r="B158" s="445"/>
      <c r="C158" s="445"/>
      <c r="D158" s="445"/>
      <c r="E158" s="445"/>
      <c r="F158" s="445"/>
      <c r="G158" s="445"/>
      <c r="H158" s="445"/>
      <c r="I158" s="445"/>
      <c r="J158" s="445"/>
      <c r="K158" s="445"/>
      <c r="L158" s="445"/>
      <c r="M158" s="445"/>
      <c r="N158" s="445"/>
      <c r="O158" s="445"/>
      <c r="P158" s="445"/>
      <c r="Q158" s="445"/>
      <c r="R158" s="445"/>
      <c r="S158" s="445"/>
      <c r="T158" s="445"/>
      <c r="U158" s="445"/>
      <c r="V158" s="717"/>
      <c r="W158" s="717"/>
      <c r="X158" s="717"/>
      <c r="Y158" s="717"/>
      <c r="Z158" s="717"/>
      <c r="AA158" s="717"/>
      <c r="AB158" s="717"/>
      <c r="AC158" s="717"/>
      <c r="AD158" s="717"/>
      <c r="AE158" s="717"/>
      <c r="AF158" s="717"/>
      <c r="AG158" s="717"/>
      <c r="AH158" s="717"/>
      <c r="AI158" s="717"/>
      <c r="AJ158" s="717"/>
      <c r="AK158" s="717"/>
      <c r="AL158" s="717"/>
      <c r="AM158" s="717"/>
      <c r="AN158" s="717"/>
    </row>
    <row r="159" spans="1:40" ht="15.75" customHeight="1">
      <c r="A159" s="127"/>
      <c r="B159" s="445"/>
      <c r="C159" s="445"/>
      <c r="D159" s="445"/>
      <c r="E159" s="445"/>
      <c r="F159" s="445"/>
      <c r="G159" s="445"/>
      <c r="H159" s="445"/>
      <c r="I159" s="445"/>
      <c r="J159" s="445"/>
      <c r="K159" s="445"/>
      <c r="L159" s="445"/>
      <c r="M159" s="445"/>
      <c r="N159" s="445"/>
      <c r="O159" s="445"/>
      <c r="P159" s="445"/>
      <c r="Q159" s="445"/>
      <c r="R159" s="445"/>
      <c r="S159" s="445"/>
      <c r="T159" s="445"/>
      <c r="U159" s="445"/>
      <c r="V159" s="717"/>
      <c r="W159" s="717"/>
      <c r="X159" s="717"/>
      <c r="Y159" s="717"/>
      <c r="Z159" s="717"/>
      <c r="AA159" s="717"/>
      <c r="AB159" s="717"/>
      <c r="AC159" s="717"/>
      <c r="AD159" s="717"/>
      <c r="AE159" s="717"/>
      <c r="AF159" s="717"/>
      <c r="AG159" s="717"/>
      <c r="AH159" s="717"/>
      <c r="AI159" s="717"/>
      <c r="AJ159" s="717"/>
      <c r="AK159" s="717"/>
      <c r="AL159" s="717"/>
      <c r="AM159" s="717"/>
      <c r="AN159" s="717"/>
    </row>
    <row r="160" spans="1:40" ht="15.75" customHeight="1">
      <c r="A160" s="127"/>
      <c r="B160" s="445"/>
      <c r="C160" s="445"/>
      <c r="D160" s="445"/>
      <c r="E160" s="445"/>
      <c r="F160" s="445"/>
      <c r="G160" s="445"/>
      <c r="H160" s="445"/>
      <c r="I160" s="445"/>
      <c r="J160" s="445"/>
      <c r="K160" s="445"/>
      <c r="L160" s="445"/>
      <c r="M160" s="445"/>
      <c r="N160" s="445"/>
      <c r="O160" s="445"/>
      <c r="P160" s="445"/>
      <c r="Q160" s="445"/>
      <c r="R160" s="445"/>
      <c r="S160" s="445"/>
      <c r="T160" s="445"/>
      <c r="U160" s="445"/>
      <c r="V160" s="717"/>
      <c r="W160" s="717"/>
      <c r="X160" s="717"/>
      <c r="Y160" s="717"/>
      <c r="Z160" s="717"/>
      <c r="AA160" s="717"/>
      <c r="AB160" s="717"/>
      <c r="AC160" s="717"/>
      <c r="AD160" s="717"/>
      <c r="AE160" s="717"/>
      <c r="AF160" s="717"/>
      <c r="AG160" s="717"/>
      <c r="AH160" s="717"/>
      <c r="AI160" s="717"/>
      <c r="AJ160" s="717"/>
      <c r="AK160" s="717"/>
      <c r="AL160" s="717"/>
      <c r="AM160" s="717"/>
      <c r="AN160" s="717"/>
    </row>
    <row r="161" spans="1:40" ht="15.75" customHeight="1">
      <c r="A161" s="127"/>
      <c r="B161" s="445"/>
      <c r="C161" s="445"/>
      <c r="D161" s="445"/>
      <c r="E161" s="445"/>
      <c r="F161" s="445"/>
      <c r="G161" s="445"/>
      <c r="H161" s="445"/>
      <c r="I161" s="445"/>
      <c r="J161" s="445"/>
      <c r="K161" s="445"/>
      <c r="L161" s="445"/>
      <c r="M161" s="445"/>
      <c r="N161" s="445"/>
      <c r="O161" s="445"/>
      <c r="P161" s="445"/>
      <c r="Q161" s="445"/>
      <c r="R161" s="445"/>
      <c r="S161" s="445"/>
      <c r="T161" s="445"/>
      <c r="U161" s="445"/>
      <c r="V161" s="717"/>
      <c r="W161" s="717"/>
      <c r="X161" s="717"/>
      <c r="Y161" s="717"/>
      <c r="Z161" s="717"/>
      <c r="AA161" s="717"/>
      <c r="AB161" s="717"/>
      <c r="AC161" s="717"/>
      <c r="AD161" s="717"/>
      <c r="AE161" s="717"/>
      <c r="AF161" s="717"/>
      <c r="AG161" s="717"/>
      <c r="AH161" s="717"/>
      <c r="AI161" s="717"/>
      <c r="AJ161" s="717"/>
      <c r="AK161" s="717"/>
      <c r="AL161" s="717"/>
      <c r="AM161" s="717"/>
      <c r="AN161" s="717"/>
    </row>
    <row r="162" spans="1:40" ht="15.75" customHeight="1">
      <c r="A162" s="127"/>
      <c r="B162" s="445"/>
      <c r="C162" s="445"/>
      <c r="D162" s="445"/>
      <c r="E162" s="445"/>
      <c r="F162" s="445"/>
      <c r="G162" s="445"/>
      <c r="H162" s="445"/>
      <c r="I162" s="445"/>
      <c r="J162" s="445"/>
      <c r="K162" s="445"/>
      <c r="L162" s="445"/>
      <c r="M162" s="445"/>
      <c r="N162" s="445"/>
      <c r="O162" s="445"/>
      <c r="P162" s="445"/>
      <c r="Q162" s="445"/>
      <c r="R162" s="445"/>
      <c r="S162" s="445"/>
      <c r="T162" s="445"/>
      <c r="U162" s="445"/>
      <c r="V162" s="717"/>
      <c r="W162" s="717"/>
      <c r="X162" s="717"/>
      <c r="Y162" s="717"/>
      <c r="Z162" s="717"/>
      <c r="AA162" s="717"/>
      <c r="AB162" s="717"/>
      <c r="AC162" s="717"/>
      <c r="AD162" s="717"/>
      <c r="AE162" s="717"/>
      <c r="AF162" s="717"/>
      <c r="AG162" s="717"/>
      <c r="AH162" s="717"/>
      <c r="AI162" s="717"/>
      <c r="AJ162" s="717"/>
      <c r="AK162" s="717"/>
      <c r="AL162" s="717"/>
      <c r="AM162" s="717"/>
      <c r="AN162" s="717"/>
    </row>
    <row r="163" spans="1:40" ht="15.75" customHeight="1">
      <c r="A163" s="127"/>
      <c r="B163" s="445"/>
      <c r="C163" s="445"/>
      <c r="D163" s="445"/>
      <c r="E163" s="445"/>
      <c r="F163" s="445"/>
      <c r="G163" s="445"/>
      <c r="H163" s="445"/>
      <c r="I163" s="445"/>
      <c r="J163" s="445"/>
      <c r="K163" s="445"/>
      <c r="L163" s="445"/>
      <c r="M163" s="445"/>
      <c r="N163" s="445"/>
      <c r="O163" s="445"/>
      <c r="P163" s="445"/>
      <c r="Q163" s="445"/>
      <c r="R163" s="445"/>
      <c r="S163" s="445"/>
      <c r="T163" s="445"/>
      <c r="U163" s="445"/>
      <c r="V163" s="717"/>
      <c r="W163" s="717"/>
      <c r="X163" s="717"/>
      <c r="Y163" s="717"/>
      <c r="Z163" s="717"/>
      <c r="AA163" s="717"/>
      <c r="AB163" s="717"/>
      <c r="AC163" s="717"/>
      <c r="AD163" s="717"/>
      <c r="AE163" s="717"/>
      <c r="AF163" s="717"/>
      <c r="AG163" s="717"/>
      <c r="AH163" s="717"/>
      <c r="AI163" s="717"/>
      <c r="AJ163" s="717"/>
      <c r="AK163" s="717"/>
      <c r="AL163" s="717"/>
      <c r="AM163" s="717"/>
      <c r="AN163" s="717"/>
    </row>
    <row r="164" spans="1:40" ht="15.75" customHeight="1">
      <c r="A164" s="127"/>
      <c r="B164" s="445"/>
      <c r="C164" s="445"/>
      <c r="D164" s="445"/>
      <c r="E164" s="445"/>
      <c r="F164" s="445"/>
      <c r="G164" s="445"/>
      <c r="H164" s="445"/>
      <c r="I164" s="445"/>
      <c r="J164" s="445"/>
      <c r="K164" s="445"/>
      <c r="L164" s="445"/>
      <c r="M164" s="445"/>
      <c r="N164" s="445"/>
      <c r="O164" s="445"/>
      <c r="P164" s="445"/>
      <c r="Q164" s="445"/>
      <c r="R164" s="445"/>
      <c r="S164" s="445"/>
      <c r="T164" s="445"/>
      <c r="U164" s="445"/>
      <c r="V164" s="717"/>
      <c r="W164" s="717"/>
      <c r="X164" s="717"/>
      <c r="Y164" s="717"/>
      <c r="Z164" s="717"/>
      <c r="AA164" s="717"/>
      <c r="AB164" s="717"/>
      <c r="AC164" s="717"/>
      <c r="AD164" s="717"/>
      <c r="AE164" s="717"/>
      <c r="AF164" s="717"/>
      <c r="AG164" s="717"/>
      <c r="AH164" s="717"/>
      <c r="AI164" s="717"/>
      <c r="AJ164" s="717"/>
      <c r="AK164" s="717"/>
      <c r="AL164" s="717"/>
      <c r="AM164" s="717"/>
      <c r="AN164" s="717"/>
    </row>
    <row r="165" spans="1:40" ht="15.75" customHeight="1">
      <c r="A165" s="127"/>
      <c r="B165" s="445"/>
      <c r="C165" s="445"/>
      <c r="D165" s="445"/>
      <c r="E165" s="445"/>
      <c r="F165" s="445"/>
      <c r="G165" s="445"/>
      <c r="H165" s="445"/>
      <c r="I165" s="445"/>
      <c r="J165" s="445"/>
      <c r="K165" s="445"/>
      <c r="L165" s="445"/>
      <c r="M165" s="445"/>
      <c r="N165" s="445"/>
      <c r="O165" s="445"/>
      <c r="P165" s="445"/>
      <c r="Q165" s="445"/>
      <c r="R165" s="445"/>
      <c r="S165" s="445"/>
      <c r="T165" s="445"/>
      <c r="U165" s="445"/>
      <c r="V165" s="717"/>
      <c r="W165" s="717"/>
      <c r="X165" s="717"/>
      <c r="Y165" s="717"/>
      <c r="Z165" s="717"/>
      <c r="AA165" s="717"/>
      <c r="AB165" s="717"/>
      <c r="AC165" s="717"/>
      <c r="AD165" s="717"/>
      <c r="AE165" s="717"/>
      <c r="AF165" s="717"/>
      <c r="AG165" s="717"/>
      <c r="AH165" s="717"/>
      <c r="AI165" s="717"/>
      <c r="AJ165" s="717"/>
      <c r="AK165" s="717"/>
      <c r="AL165" s="717"/>
      <c r="AM165" s="717"/>
      <c r="AN165" s="717"/>
    </row>
    <row r="166" spans="1:40" ht="15.75" customHeight="1">
      <c r="A166" s="127"/>
      <c r="B166" s="445"/>
      <c r="C166" s="445"/>
      <c r="D166" s="445"/>
      <c r="E166" s="445"/>
      <c r="F166" s="445"/>
      <c r="G166" s="445"/>
      <c r="H166" s="445"/>
      <c r="I166" s="445"/>
      <c r="J166" s="445"/>
      <c r="K166" s="445"/>
      <c r="L166" s="445"/>
      <c r="M166" s="445"/>
      <c r="N166" s="445"/>
      <c r="O166" s="445"/>
      <c r="P166" s="445"/>
      <c r="Q166" s="445"/>
      <c r="R166" s="445"/>
      <c r="S166" s="445"/>
      <c r="T166" s="445"/>
      <c r="U166" s="445"/>
      <c r="V166" s="717"/>
      <c r="W166" s="717"/>
      <c r="X166" s="717"/>
      <c r="Y166" s="717"/>
      <c r="Z166" s="717"/>
      <c r="AA166" s="717"/>
      <c r="AB166" s="717"/>
      <c r="AC166" s="717"/>
      <c r="AD166" s="717"/>
      <c r="AE166" s="717"/>
      <c r="AF166" s="717"/>
      <c r="AG166" s="717"/>
      <c r="AH166" s="717"/>
      <c r="AI166" s="717"/>
      <c r="AJ166" s="717"/>
      <c r="AK166" s="717"/>
      <c r="AL166" s="717"/>
      <c r="AM166" s="717"/>
      <c r="AN166" s="717"/>
    </row>
    <row r="167" spans="1:40" ht="15.75" customHeight="1">
      <c r="A167" s="127"/>
      <c r="B167" s="445"/>
      <c r="C167" s="445"/>
      <c r="D167" s="445"/>
      <c r="E167" s="445"/>
      <c r="F167" s="445"/>
      <c r="G167" s="445"/>
      <c r="H167" s="445"/>
      <c r="I167" s="445"/>
      <c r="J167" s="445"/>
      <c r="K167" s="445"/>
      <c r="L167" s="445"/>
      <c r="M167" s="445"/>
      <c r="N167" s="445"/>
      <c r="O167" s="445"/>
      <c r="P167" s="445"/>
      <c r="Q167" s="445"/>
      <c r="R167" s="445"/>
      <c r="S167" s="445"/>
      <c r="T167" s="445"/>
      <c r="U167" s="445"/>
      <c r="V167" s="717"/>
      <c r="W167" s="717"/>
      <c r="X167" s="717"/>
      <c r="Y167" s="717"/>
      <c r="Z167" s="717"/>
      <c r="AA167" s="717"/>
      <c r="AB167" s="717"/>
      <c r="AC167" s="717"/>
      <c r="AD167" s="717"/>
      <c r="AE167" s="717"/>
      <c r="AF167" s="717"/>
      <c r="AG167" s="717"/>
      <c r="AH167" s="717"/>
      <c r="AI167" s="717"/>
      <c r="AJ167" s="717"/>
      <c r="AK167" s="717"/>
      <c r="AL167" s="717"/>
      <c r="AM167" s="717"/>
      <c r="AN167" s="717"/>
    </row>
    <row r="168" spans="1:40" ht="15.75" customHeight="1">
      <c r="A168" s="127"/>
      <c r="B168" s="445"/>
      <c r="C168" s="445"/>
      <c r="D168" s="445"/>
      <c r="E168" s="445"/>
      <c r="F168" s="445"/>
      <c r="G168" s="445"/>
      <c r="H168" s="445"/>
      <c r="I168" s="445"/>
      <c r="J168" s="445"/>
      <c r="K168" s="445"/>
      <c r="L168" s="445"/>
      <c r="M168" s="445"/>
      <c r="N168" s="445"/>
      <c r="O168" s="445"/>
      <c r="P168" s="445"/>
      <c r="Q168" s="445"/>
      <c r="R168" s="445"/>
      <c r="S168" s="445"/>
      <c r="T168" s="445"/>
      <c r="U168" s="445"/>
      <c r="V168" s="717"/>
      <c r="W168" s="717"/>
      <c r="X168" s="717"/>
      <c r="Y168" s="717"/>
      <c r="Z168" s="717"/>
      <c r="AA168" s="717"/>
      <c r="AB168" s="717"/>
      <c r="AC168" s="717"/>
      <c r="AD168" s="717"/>
      <c r="AE168" s="717"/>
      <c r="AF168" s="717"/>
      <c r="AG168" s="717"/>
      <c r="AH168" s="717"/>
      <c r="AI168" s="717"/>
      <c r="AJ168" s="717"/>
      <c r="AK168" s="717"/>
      <c r="AL168" s="717"/>
      <c r="AM168" s="717"/>
      <c r="AN168" s="717"/>
    </row>
    <row r="169" spans="1:40" ht="15.75" customHeight="1">
      <c r="A169" s="127"/>
      <c r="B169" s="445"/>
      <c r="C169" s="445"/>
      <c r="D169" s="445"/>
      <c r="E169" s="445"/>
      <c r="F169" s="445"/>
      <c r="G169" s="445"/>
      <c r="H169" s="445"/>
      <c r="I169" s="445"/>
      <c r="J169" s="445"/>
      <c r="K169" s="445"/>
      <c r="L169" s="445"/>
      <c r="M169" s="445"/>
      <c r="N169" s="445"/>
      <c r="O169" s="445"/>
      <c r="P169" s="445"/>
      <c r="Q169" s="445"/>
      <c r="R169" s="445"/>
      <c r="S169" s="445"/>
      <c r="T169" s="445"/>
      <c r="U169" s="445"/>
      <c r="V169" s="717"/>
      <c r="W169" s="717"/>
      <c r="X169" s="717"/>
      <c r="Y169" s="717"/>
      <c r="Z169" s="717"/>
      <c r="AA169" s="717"/>
      <c r="AB169" s="717"/>
      <c r="AC169" s="717"/>
      <c r="AD169" s="717"/>
      <c r="AE169" s="717"/>
      <c r="AF169" s="717"/>
      <c r="AG169" s="717"/>
      <c r="AH169" s="717"/>
      <c r="AI169" s="717"/>
      <c r="AJ169" s="717"/>
      <c r="AK169" s="717"/>
      <c r="AL169" s="717"/>
      <c r="AM169" s="717"/>
      <c r="AN169" s="717"/>
    </row>
    <row r="170" spans="1:40" ht="15.75" customHeight="1">
      <c r="A170" s="127"/>
      <c r="B170" s="445"/>
      <c r="C170" s="445"/>
      <c r="D170" s="445"/>
      <c r="E170" s="445"/>
      <c r="F170" s="445"/>
      <c r="G170" s="445"/>
      <c r="H170" s="445"/>
      <c r="I170" s="445"/>
      <c r="J170" s="445"/>
      <c r="K170" s="445"/>
      <c r="L170" s="445"/>
      <c r="M170" s="445"/>
      <c r="N170" s="445"/>
      <c r="O170" s="445"/>
      <c r="P170" s="445"/>
      <c r="Q170" s="445"/>
      <c r="R170" s="445"/>
      <c r="S170" s="445"/>
      <c r="T170" s="445"/>
      <c r="U170" s="445"/>
      <c r="V170" s="717"/>
      <c r="W170" s="717"/>
      <c r="X170" s="717"/>
      <c r="Y170" s="717"/>
      <c r="Z170" s="717"/>
      <c r="AA170" s="717"/>
      <c r="AB170" s="717"/>
      <c r="AC170" s="717"/>
      <c r="AD170" s="717"/>
      <c r="AE170" s="717"/>
      <c r="AF170" s="717"/>
      <c r="AG170" s="717"/>
      <c r="AH170" s="717"/>
      <c r="AI170" s="717"/>
      <c r="AJ170" s="717"/>
      <c r="AK170" s="717"/>
      <c r="AL170" s="717"/>
      <c r="AM170" s="717"/>
      <c r="AN170" s="717"/>
    </row>
    <row r="171" spans="1:40" ht="15.75" customHeight="1">
      <c r="A171" s="127"/>
      <c r="B171" s="445"/>
      <c r="C171" s="445"/>
      <c r="D171" s="445"/>
      <c r="E171" s="445"/>
      <c r="F171" s="445"/>
      <c r="G171" s="445"/>
      <c r="H171" s="445"/>
      <c r="I171" s="445"/>
      <c r="J171" s="445"/>
      <c r="K171" s="445"/>
      <c r="L171" s="445"/>
      <c r="M171" s="445"/>
      <c r="N171" s="445"/>
      <c r="O171" s="445"/>
      <c r="P171" s="445"/>
      <c r="Q171" s="445"/>
      <c r="R171" s="445"/>
      <c r="S171" s="445"/>
      <c r="T171" s="445"/>
      <c r="U171" s="445"/>
      <c r="V171" s="717"/>
      <c r="W171" s="717"/>
      <c r="X171" s="717"/>
      <c r="Y171" s="717"/>
      <c r="Z171" s="717"/>
      <c r="AA171" s="717"/>
      <c r="AB171" s="717"/>
      <c r="AC171" s="717"/>
      <c r="AD171" s="717"/>
      <c r="AE171" s="717"/>
      <c r="AF171" s="717"/>
      <c r="AG171" s="717"/>
      <c r="AH171" s="717"/>
      <c r="AI171" s="717"/>
      <c r="AJ171" s="717"/>
      <c r="AK171" s="717"/>
      <c r="AL171" s="717"/>
      <c r="AM171" s="717"/>
      <c r="AN171" s="717"/>
    </row>
    <row r="172" spans="1:40" ht="15.75" customHeight="1">
      <c r="A172" s="127"/>
      <c r="B172" s="445"/>
      <c r="C172" s="445"/>
      <c r="D172" s="445"/>
      <c r="E172" s="445"/>
      <c r="F172" s="445"/>
      <c r="G172" s="445"/>
      <c r="H172" s="445"/>
      <c r="I172" s="445"/>
      <c r="J172" s="445"/>
      <c r="K172" s="445"/>
      <c r="L172" s="445"/>
      <c r="M172" s="445"/>
      <c r="N172" s="445"/>
      <c r="O172" s="445"/>
      <c r="P172" s="445"/>
      <c r="Q172" s="445"/>
      <c r="R172" s="445"/>
      <c r="S172" s="445"/>
      <c r="T172" s="445"/>
      <c r="U172" s="445"/>
      <c r="V172" s="717"/>
      <c r="W172" s="717"/>
      <c r="X172" s="717"/>
      <c r="Y172" s="717"/>
      <c r="Z172" s="717"/>
      <c r="AA172" s="717"/>
      <c r="AB172" s="717"/>
      <c r="AC172" s="717"/>
      <c r="AD172" s="717"/>
      <c r="AE172" s="717"/>
      <c r="AF172" s="717"/>
      <c r="AG172" s="717"/>
      <c r="AH172" s="717"/>
      <c r="AI172" s="717"/>
      <c r="AJ172" s="717"/>
      <c r="AK172" s="717"/>
      <c r="AL172" s="717"/>
      <c r="AM172" s="717"/>
      <c r="AN172" s="717"/>
    </row>
    <row r="173" spans="1:40" ht="15.75" customHeight="1">
      <c r="A173" s="127"/>
      <c r="B173" s="445"/>
      <c r="C173" s="445"/>
      <c r="D173" s="445"/>
      <c r="E173" s="445"/>
      <c r="F173" s="445"/>
      <c r="G173" s="445"/>
      <c r="H173" s="445"/>
      <c r="I173" s="445"/>
      <c r="J173" s="445"/>
      <c r="K173" s="445"/>
      <c r="L173" s="445"/>
      <c r="M173" s="445"/>
      <c r="N173" s="445"/>
      <c r="O173" s="445"/>
      <c r="P173" s="445"/>
      <c r="Q173" s="445"/>
      <c r="R173" s="445"/>
      <c r="S173" s="445"/>
      <c r="T173" s="445"/>
      <c r="U173" s="445"/>
      <c r="V173" s="717"/>
      <c r="W173" s="717"/>
      <c r="X173" s="717"/>
      <c r="Y173" s="717"/>
      <c r="Z173" s="717"/>
      <c r="AA173" s="717"/>
      <c r="AB173" s="717"/>
      <c r="AC173" s="717"/>
      <c r="AD173" s="717"/>
      <c r="AE173" s="717"/>
      <c r="AF173" s="717"/>
      <c r="AG173" s="717"/>
      <c r="AH173" s="717"/>
      <c r="AI173" s="717"/>
      <c r="AJ173" s="717"/>
      <c r="AK173" s="717"/>
      <c r="AL173" s="717"/>
      <c r="AM173" s="717"/>
      <c r="AN173" s="717"/>
    </row>
    <row r="174" spans="1:40" ht="15.75" customHeight="1">
      <c r="A174" s="127"/>
      <c r="B174" s="445"/>
      <c r="C174" s="445"/>
      <c r="D174" s="445"/>
      <c r="E174" s="445"/>
      <c r="F174" s="445"/>
      <c r="G174" s="445"/>
      <c r="H174" s="445"/>
      <c r="I174" s="445"/>
      <c r="J174" s="445"/>
      <c r="K174" s="445"/>
      <c r="L174" s="445"/>
      <c r="M174" s="445"/>
      <c r="N174" s="445"/>
      <c r="O174" s="445"/>
      <c r="P174" s="445"/>
      <c r="Q174" s="445"/>
      <c r="R174" s="445"/>
      <c r="S174" s="445"/>
      <c r="T174" s="445"/>
      <c r="U174" s="445"/>
      <c r="V174" s="717"/>
      <c r="W174" s="717"/>
      <c r="X174" s="717"/>
      <c r="Y174" s="717"/>
      <c r="Z174" s="717"/>
      <c r="AA174" s="717"/>
      <c r="AB174" s="717"/>
      <c r="AC174" s="717"/>
      <c r="AD174" s="717"/>
      <c r="AE174" s="717"/>
      <c r="AF174" s="717"/>
      <c r="AG174" s="717"/>
      <c r="AH174" s="717"/>
      <c r="AI174" s="717"/>
      <c r="AJ174" s="717"/>
      <c r="AK174" s="717"/>
      <c r="AL174" s="717"/>
      <c r="AM174" s="717"/>
      <c r="AN174" s="717"/>
    </row>
    <row r="175" spans="1:40" ht="15.75" customHeight="1">
      <c r="A175" s="127"/>
      <c r="B175" s="445"/>
      <c r="C175" s="445"/>
      <c r="D175" s="445"/>
      <c r="E175" s="445"/>
      <c r="F175" s="445"/>
      <c r="G175" s="445"/>
      <c r="H175" s="445"/>
      <c r="I175" s="445"/>
      <c r="J175" s="445"/>
      <c r="K175" s="445"/>
      <c r="L175" s="445"/>
      <c r="M175" s="445"/>
      <c r="N175" s="445"/>
      <c r="O175" s="445"/>
      <c r="P175" s="445"/>
      <c r="Q175" s="445"/>
      <c r="R175" s="445"/>
      <c r="S175" s="445"/>
      <c r="T175" s="445"/>
      <c r="U175" s="445"/>
      <c r="V175" s="717"/>
      <c r="W175" s="717"/>
      <c r="X175" s="717"/>
      <c r="Y175" s="717"/>
      <c r="Z175" s="717"/>
      <c r="AA175" s="717"/>
      <c r="AB175" s="717"/>
      <c r="AC175" s="717"/>
      <c r="AD175" s="717"/>
      <c r="AE175" s="717"/>
      <c r="AF175" s="717"/>
      <c r="AG175" s="717"/>
      <c r="AH175" s="717"/>
      <c r="AI175" s="717"/>
      <c r="AJ175" s="717"/>
      <c r="AK175" s="717"/>
      <c r="AL175" s="717"/>
      <c r="AM175" s="717"/>
      <c r="AN175" s="717"/>
    </row>
    <row r="176" spans="1:40" ht="15.75" customHeight="1">
      <c r="A176" s="127"/>
      <c r="B176" s="445"/>
      <c r="C176" s="445"/>
      <c r="D176" s="445"/>
      <c r="E176" s="445"/>
      <c r="F176" s="445"/>
      <c r="G176" s="445"/>
      <c r="H176" s="445"/>
      <c r="I176" s="445"/>
      <c r="J176" s="445"/>
      <c r="K176" s="445"/>
      <c r="L176" s="445"/>
      <c r="M176" s="445"/>
      <c r="N176" s="445"/>
      <c r="O176" s="445"/>
      <c r="P176" s="445"/>
      <c r="Q176" s="445"/>
      <c r="R176" s="445"/>
      <c r="S176" s="445"/>
      <c r="T176" s="445"/>
      <c r="U176" s="445"/>
      <c r="V176" s="717"/>
      <c r="W176" s="717"/>
      <c r="X176" s="717"/>
      <c r="Y176" s="717"/>
      <c r="Z176" s="717"/>
      <c r="AA176" s="717"/>
      <c r="AB176" s="717"/>
      <c r="AC176" s="717"/>
      <c r="AD176" s="717"/>
      <c r="AE176" s="717"/>
      <c r="AF176" s="717"/>
      <c r="AG176" s="717"/>
      <c r="AH176" s="717"/>
      <c r="AI176" s="717"/>
      <c r="AJ176" s="717"/>
      <c r="AK176" s="717"/>
      <c r="AL176" s="717"/>
      <c r="AM176" s="717"/>
      <c r="AN176" s="717"/>
    </row>
    <row r="177" spans="1:40" ht="15.75" customHeight="1">
      <c r="A177" s="127"/>
      <c r="B177" s="445"/>
      <c r="C177" s="445"/>
      <c r="D177" s="445"/>
      <c r="E177" s="445"/>
      <c r="F177" s="445"/>
      <c r="G177" s="445"/>
      <c r="H177" s="445"/>
      <c r="I177" s="445"/>
      <c r="J177" s="445"/>
      <c r="K177" s="445"/>
      <c r="L177" s="445"/>
      <c r="M177" s="445"/>
      <c r="N177" s="445"/>
      <c r="O177" s="445"/>
      <c r="P177" s="445"/>
      <c r="Q177" s="445"/>
      <c r="R177" s="445"/>
      <c r="S177" s="445"/>
      <c r="T177" s="445"/>
      <c r="U177" s="445"/>
      <c r="V177" s="717"/>
      <c r="W177" s="717"/>
      <c r="X177" s="717"/>
      <c r="Y177" s="717"/>
      <c r="Z177" s="717"/>
      <c r="AA177" s="717"/>
      <c r="AB177" s="717"/>
      <c r="AC177" s="717"/>
      <c r="AD177" s="717"/>
      <c r="AE177" s="717"/>
      <c r="AF177" s="717"/>
      <c r="AG177" s="717"/>
      <c r="AH177" s="717"/>
      <c r="AI177" s="717"/>
      <c r="AJ177" s="717"/>
      <c r="AK177" s="717"/>
      <c r="AL177" s="717"/>
      <c r="AM177" s="717"/>
      <c r="AN177" s="717"/>
    </row>
    <row r="178" spans="1:40" ht="15.75" customHeight="1">
      <c r="A178" s="127"/>
      <c r="B178" s="445"/>
      <c r="C178" s="445"/>
      <c r="D178" s="445"/>
      <c r="E178" s="445"/>
      <c r="F178" s="445"/>
      <c r="G178" s="445"/>
      <c r="H178" s="445"/>
      <c r="I178" s="445"/>
      <c r="J178" s="445"/>
      <c r="K178" s="445"/>
      <c r="L178" s="445"/>
      <c r="M178" s="445"/>
      <c r="N178" s="445"/>
      <c r="O178" s="445"/>
      <c r="P178" s="445"/>
      <c r="Q178" s="445"/>
      <c r="R178" s="445"/>
      <c r="S178" s="445"/>
      <c r="T178" s="445"/>
      <c r="U178" s="445"/>
      <c r="V178" s="717"/>
      <c r="W178" s="717"/>
      <c r="X178" s="717"/>
      <c r="Y178" s="717"/>
      <c r="Z178" s="717"/>
      <c r="AA178" s="717"/>
      <c r="AB178" s="717"/>
      <c r="AC178" s="717"/>
      <c r="AD178" s="717"/>
      <c r="AE178" s="717"/>
      <c r="AF178" s="717"/>
      <c r="AG178" s="717"/>
      <c r="AH178" s="717"/>
      <c r="AI178" s="717"/>
      <c r="AJ178" s="717"/>
      <c r="AK178" s="717"/>
      <c r="AL178" s="717"/>
      <c r="AM178" s="717"/>
      <c r="AN178" s="717"/>
    </row>
    <row r="179" spans="1:40" ht="15.75" customHeight="1">
      <c r="A179" s="127"/>
      <c r="B179" s="445"/>
      <c r="C179" s="445"/>
      <c r="D179" s="445"/>
      <c r="E179" s="445"/>
      <c r="F179" s="445"/>
      <c r="G179" s="445"/>
      <c r="H179" s="445"/>
      <c r="I179" s="445"/>
      <c r="J179" s="445"/>
      <c r="K179" s="445"/>
      <c r="L179" s="445"/>
      <c r="M179" s="445"/>
      <c r="N179" s="445"/>
      <c r="O179" s="445"/>
      <c r="P179" s="445"/>
      <c r="Q179" s="445"/>
      <c r="R179" s="445"/>
      <c r="S179" s="445"/>
      <c r="T179" s="445"/>
      <c r="U179" s="445"/>
      <c r="V179" s="717"/>
      <c r="W179" s="717"/>
      <c r="X179" s="717"/>
      <c r="Y179" s="717"/>
      <c r="Z179" s="717"/>
      <c r="AA179" s="717"/>
      <c r="AB179" s="717"/>
      <c r="AC179" s="717"/>
      <c r="AD179" s="717"/>
      <c r="AE179" s="717"/>
      <c r="AF179" s="717"/>
      <c r="AG179" s="717"/>
      <c r="AH179" s="717"/>
      <c r="AI179" s="717"/>
      <c r="AJ179" s="717"/>
      <c r="AK179" s="717"/>
      <c r="AL179" s="717"/>
      <c r="AM179" s="717"/>
      <c r="AN179" s="717"/>
    </row>
    <row r="180" spans="1:40" ht="15.75" customHeight="1">
      <c r="A180" s="127"/>
      <c r="B180" s="445"/>
      <c r="C180" s="445"/>
      <c r="D180" s="445"/>
      <c r="E180" s="445"/>
      <c r="F180" s="445"/>
      <c r="G180" s="445"/>
      <c r="H180" s="445"/>
      <c r="I180" s="445"/>
      <c r="J180" s="445"/>
      <c r="K180" s="445"/>
      <c r="L180" s="445"/>
      <c r="M180" s="445"/>
      <c r="N180" s="445"/>
      <c r="O180" s="445"/>
      <c r="P180" s="445"/>
      <c r="Q180" s="445"/>
      <c r="R180" s="445"/>
      <c r="S180" s="445"/>
      <c r="T180" s="445"/>
      <c r="U180" s="445"/>
      <c r="V180" s="717"/>
      <c r="W180" s="717"/>
      <c r="X180" s="717"/>
      <c r="Y180" s="717"/>
      <c r="Z180" s="717"/>
      <c r="AA180" s="717"/>
      <c r="AB180" s="717"/>
      <c r="AC180" s="717"/>
      <c r="AD180" s="717"/>
      <c r="AE180" s="717"/>
      <c r="AF180" s="717"/>
      <c r="AG180" s="717"/>
      <c r="AH180" s="717"/>
      <c r="AI180" s="717"/>
      <c r="AJ180" s="717"/>
      <c r="AK180" s="717"/>
      <c r="AL180" s="717"/>
      <c r="AM180" s="717"/>
      <c r="AN180" s="717"/>
    </row>
    <row r="181" spans="1:40" ht="15.75" customHeight="1">
      <c r="A181" s="127"/>
      <c r="B181" s="445"/>
      <c r="C181" s="445"/>
      <c r="D181" s="445"/>
      <c r="E181" s="445"/>
      <c r="F181" s="445"/>
      <c r="G181" s="445"/>
      <c r="H181" s="445"/>
      <c r="I181" s="445"/>
      <c r="J181" s="445"/>
      <c r="K181" s="445"/>
      <c r="L181" s="445"/>
      <c r="M181" s="445"/>
      <c r="N181" s="445"/>
      <c r="O181" s="445"/>
      <c r="P181" s="445"/>
      <c r="Q181" s="445"/>
      <c r="R181" s="445"/>
      <c r="S181" s="445"/>
      <c r="T181" s="445"/>
      <c r="U181" s="445"/>
      <c r="V181" s="717"/>
      <c r="W181" s="717"/>
      <c r="X181" s="717"/>
      <c r="Y181" s="717"/>
      <c r="Z181" s="717"/>
      <c r="AA181" s="717"/>
      <c r="AB181" s="717"/>
      <c r="AC181" s="717"/>
      <c r="AD181" s="717"/>
      <c r="AE181" s="717"/>
      <c r="AF181" s="717"/>
      <c r="AG181" s="717"/>
      <c r="AH181" s="717"/>
      <c r="AI181" s="717"/>
      <c r="AJ181" s="717"/>
      <c r="AK181" s="717"/>
      <c r="AL181" s="717"/>
      <c r="AM181" s="717"/>
      <c r="AN181" s="717"/>
    </row>
    <row r="182" spans="1:40" ht="15.75" customHeight="1">
      <c r="A182" s="127"/>
      <c r="B182" s="445"/>
      <c r="C182" s="445"/>
      <c r="D182" s="445"/>
      <c r="E182" s="445"/>
      <c r="F182" s="445"/>
      <c r="G182" s="445"/>
      <c r="H182" s="445"/>
      <c r="I182" s="445"/>
      <c r="J182" s="445"/>
      <c r="K182" s="445"/>
      <c r="L182" s="445"/>
      <c r="M182" s="445"/>
      <c r="N182" s="445"/>
      <c r="O182" s="445"/>
      <c r="P182" s="445"/>
      <c r="Q182" s="445"/>
      <c r="R182" s="445"/>
      <c r="S182" s="445"/>
      <c r="T182" s="445"/>
      <c r="U182" s="445"/>
      <c r="V182" s="717"/>
      <c r="W182" s="717"/>
      <c r="X182" s="717"/>
      <c r="Y182" s="717"/>
      <c r="Z182" s="717"/>
      <c r="AA182" s="717"/>
      <c r="AB182" s="717"/>
      <c r="AC182" s="717"/>
      <c r="AD182" s="717"/>
      <c r="AE182" s="717"/>
      <c r="AF182" s="717"/>
      <c r="AG182" s="717"/>
      <c r="AH182" s="717"/>
      <c r="AI182" s="717"/>
      <c r="AJ182" s="717"/>
      <c r="AK182" s="717"/>
      <c r="AL182" s="717"/>
      <c r="AM182" s="717"/>
      <c r="AN182" s="717"/>
    </row>
    <row r="183" spans="1:40" ht="15.75" customHeight="1">
      <c r="A183" s="127"/>
      <c r="B183" s="445"/>
      <c r="C183" s="445"/>
      <c r="D183" s="445"/>
      <c r="E183" s="445"/>
      <c r="F183" s="445"/>
      <c r="G183" s="445"/>
      <c r="H183" s="445"/>
      <c r="I183" s="445"/>
      <c r="J183" s="445"/>
      <c r="K183" s="445"/>
      <c r="L183" s="445"/>
      <c r="M183" s="445"/>
      <c r="N183" s="445"/>
      <c r="O183" s="445"/>
      <c r="P183" s="445"/>
      <c r="Q183" s="445"/>
      <c r="R183" s="445"/>
      <c r="S183" s="445"/>
      <c r="T183" s="445"/>
      <c r="U183" s="445"/>
      <c r="V183" s="717"/>
      <c r="W183" s="717"/>
      <c r="X183" s="717"/>
      <c r="Y183" s="717"/>
      <c r="Z183" s="717"/>
      <c r="AA183" s="717"/>
      <c r="AB183" s="717"/>
      <c r="AC183" s="717"/>
      <c r="AD183" s="717"/>
      <c r="AE183" s="717"/>
      <c r="AF183" s="717"/>
      <c r="AG183" s="717"/>
      <c r="AH183" s="717"/>
      <c r="AI183" s="717"/>
      <c r="AJ183" s="717"/>
      <c r="AK183" s="717"/>
      <c r="AL183" s="717"/>
      <c r="AM183" s="717"/>
      <c r="AN183" s="717"/>
    </row>
    <row r="184" spans="1:40" ht="15.75" customHeight="1">
      <c r="A184" s="127"/>
      <c r="B184" s="445"/>
      <c r="C184" s="445"/>
      <c r="D184" s="445"/>
      <c r="E184" s="445"/>
      <c r="F184" s="445"/>
      <c r="G184" s="445"/>
      <c r="H184" s="445"/>
      <c r="I184" s="445"/>
      <c r="J184" s="445"/>
      <c r="K184" s="445"/>
      <c r="L184" s="445"/>
      <c r="M184" s="445"/>
      <c r="N184" s="445"/>
      <c r="O184" s="445"/>
      <c r="P184" s="445"/>
      <c r="Q184" s="445"/>
      <c r="R184" s="445"/>
      <c r="S184" s="445"/>
      <c r="T184" s="445"/>
      <c r="U184" s="445"/>
      <c r="V184" s="717"/>
      <c r="W184" s="717"/>
      <c r="X184" s="717"/>
      <c r="Y184" s="717"/>
      <c r="Z184" s="717"/>
      <c r="AA184" s="717"/>
      <c r="AB184" s="717"/>
      <c r="AC184" s="717"/>
      <c r="AD184" s="717"/>
      <c r="AE184" s="717"/>
      <c r="AF184" s="717"/>
      <c r="AG184" s="717"/>
      <c r="AH184" s="717"/>
      <c r="AI184" s="717"/>
      <c r="AJ184" s="717"/>
      <c r="AK184" s="717"/>
      <c r="AL184" s="717"/>
      <c r="AM184" s="717"/>
      <c r="AN184" s="717"/>
    </row>
    <row r="185" spans="1:40" ht="15.75" customHeight="1">
      <c r="A185" s="127"/>
      <c r="B185" s="445"/>
      <c r="C185" s="445"/>
      <c r="D185" s="445"/>
      <c r="E185" s="445"/>
      <c r="F185" s="445"/>
      <c r="G185" s="445"/>
      <c r="H185" s="445"/>
      <c r="I185" s="445"/>
      <c r="J185" s="445"/>
      <c r="K185" s="445"/>
      <c r="L185" s="445"/>
      <c r="M185" s="445"/>
      <c r="N185" s="445"/>
      <c r="O185" s="445"/>
      <c r="P185" s="445"/>
      <c r="Q185" s="445"/>
      <c r="R185" s="445"/>
      <c r="S185" s="445"/>
      <c r="T185" s="445"/>
      <c r="U185" s="445"/>
      <c r="V185" s="717"/>
      <c r="W185" s="717"/>
      <c r="X185" s="717"/>
      <c r="Y185" s="717"/>
      <c r="Z185" s="717"/>
      <c r="AA185" s="717"/>
      <c r="AB185" s="717"/>
      <c r="AC185" s="717"/>
      <c r="AD185" s="717"/>
      <c r="AE185" s="717"/>
      <c r="AF185" s="717"/>
      <c r="AG185" s="717"/>
      <c r="AH185" s="717"/>
      <c r="AI185" s="717"/>
      <c r="AJ185" s="717"/>
      <c r="AK185" s="717"/>
      <c r="AL185" s="717"/>
      <c r="AM185" s="717"/>
      <c r="AN185" s="717"/>
    </row>
    <row r="186" spans="1:40" ht="15.75" customHeight="1">
      <c r="A186" s="127"/>
      <c r="B186" s="445"/>
      <c r="C186" s="445"/>
      <c r="D186" s="445"/>
      <c r="E186" s="445"/>
      <c r="F186" s="445"/>
      <c r="G186" s="445"/>
      <c r="H186" s="445"/>
      <c r="I186" s="445"/>
      <c r="J186" s="445"/>
      <c r="K186" s="445"/>
      <c r="L186" s="445"/>
      <c r="M186" s="445"/>
      <c r="N186" s="445"/>
      <c r="O186" s="445"/>
      <c r="P186" s="445"/>
      <c r="Q186" s="445"/>
      <c r="R186" s="445"/>
      <c r="S186" s="445"/>
      <c r="T186" s="445"/>
      <c r="U186" s="445"/>
      <c r="V186" s="717"/>
      <c r="W186" s="717"/>
      <c r="X186" s="717"/>
      <c r="Y186" s="717"/>
      <c r="Z186" s="717"/>
      <c r="AA186" s="717"/>
      <c r="AB186" s="717"/>
      <c r="AC186" s="717"/>
      <c r="AD186" s="717"/>
      <c r="AE186" s="717"/>
      <c r="AF186" s="717"/>
      <c r="AG186" s="717"/>
      <c r="AH186" s="717"/>
      <c r="AI186" s="717"/>
      <c r="AJ186" s="717"/>
      <c r="AK186" s="717"/>
      <c r="AL186" s="717"/>
      <c r="AM186" s="717"/>
      <c r="AN186" s="717"/>
    </row>
    <row r="187" spans="1:40" ht="15.75" customHeight="1">
      <c r="A187" s="127"/>
      <c r="B187" s="445"/>
      <c r="C187" s="445"/>
      <c r="D187" s="445"/>
      <c r="E187" s="445"/>
      <c r="F187" s="445"/>
      <c r="G187" s="445"/>
      <c r="H187" s="445"/>
      <c r="I187" s="445"/>
      <c r="J187" s="445"/>
      <c r="K187" s="445"/>
      <c r="L187" s="445"/>
      <c r="M187" s="445"/>
      <c r="N187" s="445"/>
      <c r="O187" s="445"/>
      <c r="P187" s="445"/>
      <c r="Q187" s="445"/>
      <c r="R187" s="445"/>
      <c r="S187" s="445"/>
      <c r="T187" s="445"/>
      <c r="U187" s="445"/>
      <c r="V187" s="717"/>
      <c r="W187" s="717"/>
      <c r="X187" s="717"/>
      <c r="Y187" s="717"/>
      <c r="Z187" s="717"/>
      <c r="AA187" s="717"/>
      <c r="AB187" s="717"/>
      <c r="AC187" s="717"/>
      <c r="AD187" s="717"/>
      <c r="AE187" s="717"/>
      <c r="AF187" s="717"/>
      <c r="AG187" s="717"/>
      <c r="AH187" s="717"/>
      <c r="AI187" s="717"/>
      <c r="AJ187" s="717"/>
      <c r="AK187" s="717"/>
      <c r="AL187" s="717"/>
      <c r="AM187" s="717"/>
      <c r="AN187" s="717"/>
    </row>
    <row r="188" spans="1:40" ht="15.75" customHeight="1">
      <c r="A188" s="127"/>
      <c r="B188" s="445"/>
      <c r="C188" s="445"/>
      <c r="D188" s="445"/>
      <c r="E188" s="445"/>
      <c r="F188" s="445"/>
      <c r="G188" s="445"/>
      <c r="H188" s="445"/>
      <c r="I188" s="445"/>
      <c r="J188" s="445"/>
      <c r="K188" s="445"/>
      <c r="L188" s="445"/>
      <c r="M188" s="445"/>
      <c r="N188" s="445"/>
      <c r="O188" s="445"/>
      <c r="P188" s="445"/>
      <c r="Q188" s="445"/>
      <c r="R188" s="445"/>
      <c r="S188" s="445"/>
      <c r="T188" s="445"/>
      <c r="U188" s="445"/>
      <c r="V188" s="717"/>
      <c r="W188" s="717"/>
      <c r="X188" s="717"/>
      <c r="Y188" s="717"/>
      <c r="Z188" s="717"/>
      <c r="AA188" s="717"/>
      <c r="AB188" s="717"/>
      <c r="AC188" s="717"/>
      <c r="AD188" s="717"/>
      <c r="AE188" s="717"/>
      <c r="AF188" s="717"/>
      <c r="AG188" s="717"/>
      <c r="AH188" s="717"/>
      <c r="AI188" s="717"/>
      <c r="AJ188" s="717"/>
      <c r="AK188" s="717"/>
      <c r="AL188" s="717"/>
      <c r="AM188" s="717"/>
      <c r="AN188" s="717"/>
    </row>
    <row r="189" spans="1:40" ht="15.75" customHeight="1">
      <c r="A189" s="127"/>
      <c r="B189" s="445"/>
      <c r="C189" s="445"/>
      <c r="D189" s="445"/>
      <c r="E189" s="445"/>
      <c r="F189" s="445"/>
      <c r="G189" s="445"/>
      <c r="H189" s="445"/>
      <c r="I189" s="445"/>
      <c r="J189" s="445"/>
      <c r="K189" s="445"/>
      <c r="L189" s="445"/>
      <c r="M189" s="445"/>
      <c r="N189" s="445"/>
      <c r="O189" s="445"/>
      <c r="P189" s="445"/>
      <c r="Q189" s="445"/>
      <c r="R189" s="445"/>
      <c r="S189" s="445"/>
      <c r="T189" s="445"/>
      <c r="U189" s="445"/>
      <c r="V189" s="717"/>
      <c r="W189" s="717"/>
      <c r="X189" s="717"/>
      <c r="Y189" s="717"/>
      <c r="Z189" s="717"/>
      <c r="AA189" s="717"/>
      <c r="AB189" s="717"/>
      <c r="AC189" s="717"/>
      <c r="AD189" s="717"/>
      <c r="AE189" s="717"/>
      <c r="AF189" s="717"/>
      <c r="AG189" s="717"/>
      <c r="AH189" s="717"/>
      <c r="AI189" s="717"/>
      <c r="AJ189" s="717"/>
      <c r="AK189" s="717"/>
      <c r="AL189" s="717"/>
      <c r="AM189" s="717"/>
      <c r="AN189" s="717"/>
    </row>
    <row r="190" spans="1:40" ht="15.75" customHeight="1">
      <c r="A190" s="127"/>
      <c r="B190" s="445"/>
      <c r="C190" s="445"/>
      <c r="D190" s="445"/>
      <c r="E190" s="445"/>
      <c r="F190" s="445"/>
      <c r="G190" s="445"/>
      <c r="H190" s="445"/>
      <c r="I190" s="445"/>
      <c r="J190" s="445"/>
      <c r="K190" s="445"/>
      <c r="L190" s="445"/>
      <c r="M190" s="445"/>
      <c r="N190" s="445"/>
      <c r="O190" s="445"/>
      <c r="P190" s="445"/>
      <c r="Q190" s="445"/>
      <c r="R190" s="445"/>
      <c r="S190" s="445"/>
      <c r="T190" s="445"/>
      <c r="U190" s="445"/>
      <c r="V190" s="717"/>
      <c r="W190" s="717"/>
      <c r="X190" s="717"/>
      <c r="Y190" s="717"/>
      <c r="Z190" s="717"/>
      <c r="AA190" s="717"/>
      <c r="AB190" s="717"/>
      <c r="AC190" s="717"/>
      <c r="AD190" s="717"/>
      <c r="AE190" s="717"/>
      <c r="AF190" s="717"/>
      <c r="AG190" s="717"/>
      <c r="AH190" s="717"/>
      <c r="AI190" s="717"/>
      <c r="AJ190" s="717"/>
      <c r="AK190" s="717"/>
      <c r="AL190" s="717"/>
      <c r="AM190" s="717"/>
      <c r="AN190" s="717"/>
    </row>
    <row r="191" spans="1:40" ht="15.75" customHeight="1">
      <c r="A191" s="127"/>
      <c r="B191" s="445"/>
      <c r="C191" s="445"/>
      <c r="D191" s="445"/>
      <c r="E191" s="445"/>
      <c r="F191" s="445"/>
      <c r="G191" s="445"/>
      <c r="H191" s="445"/>
      <c r="I191" s="445"/>
      <c r="J191" s="445"/>
      <c r="K191" s="445"/>
      <c r="L191" s="445"/>
      <c r="M191" s="445"/>
      <c r="N191" s="445"/>
      <c r="O191" s="445"/>
      <c r="P191" s="445"/>
      <c r="Q191" s="445"/>
      <c r="R191" s="445"/>
      <c r="S191" s="445"/>
      <c r="T191" s="445"/>
      <c r="U191" s="445"/>
      <c r="V191" s="717"/>
      <c r="W191" s="717"/>
      <c r="X191" s="717"/>
      <c r="Y191" s="717"/>
      <c r="Z191" s="717"/>
      <c r="AA191" s="717"/>
      <c r="AB191" s="717"/>
      <c r="AC191" s="717"/>
      <c r="AD191" s="717"/>
      <c r="AE191" s="717"/>
      <c r="AF191" s="717"/>
      <c r="AG191" s="717"/>
      <c r="AH191" s="717"/>
      <c r="AI191" s="717"/>
      <c r="AJ191" s="717"/>
      <c r="AK191" s="717"/>
      <c r="AL191" s="717"/>
      <c r="AM191" s="717"/>
      <c r="AN191" s="717"/>
    </row>
    <row r="192" spans="1:40" ht="15.75" customHeight="1">
      <c r="A192" s="127"/>
      <c r="B192" s="445"/>
      <c r="C192" s="445"/>
      <c r="D192" s="445"/>
      <c r="E192" s="445"/>
      <c r="F192" s="445"/>
      <c r="G192" s="445"/>
      <c r="H192" s="445"/>
      <c r="I192" s="445"/>
      <c r="J192" s="445"/>
      <c r="K192" s="445"/>
      <c r="L192" s="445"/>
      <c r="M192" s="445"/>
      <c r="N192" s="445"/>
      <c r="O192" s="445"/>
      <c r="P192" s="445"/>
      <c r="Q192" s="445"/>
      <c r="R192" s="445"/>
      <c r="S192" s="445"/>
      <c r="T192" s="445"/>
      <c r="U192" s="445"/>
      <c r="V192" s="717"/>
      <c r="W192" s="717"/>
      <c r="X192" s="717"/>
      <c r="Y192" s="717"/>
      <c r="Z192" s="717"/>
      <c r="AA192" s="717"/>
      <c r="AB192" s="717"/>
      <c r="AC192" s="717"/>
      <c r="AD192" s="717"/>
      <c r="AE192" s="717"/>
      <c r="AF192" s="717"/>
      <c r="AG192" s="717"/>
      <c r="AH192" s="717"/>
      <c r="AI192" s="717"/>
      <c r="AJ192" s="717"/>
      <c r="AK192" s="717"/>
      <c r="AL192" s="717"/>
      <c r="AM192" s="717"/>
      <c r="AN192" s="717"/>
    </row>
    <row r="193" spans="1:40" ht="15.75" customHeight="1">
      <c r="A193" s="127"/>
      <c r="B193" s="445"/>
      <c r="C193" s="445"/>
      <c r="D193" s="445"/>
      <c r="E193" s="445"/>
      <c r="F193" s="445"/>
      <c r="G193" s="445"/>
      <c r="H193" s="445"/>
      <c r="I193" s="445"/>
      <c r="J193" s="445"/>
      <c r="K193" s="445"/>
      <c r="L193" s="445"/>
      <c r="M193" s="445"/>
      <c r="N193" s="445"/>
      <c r="O193" s="445"/>
      <c r="P193" s="445"/>
      <c r="Q193" s="445"/>
      <c r="R193" s="445"/>
      <c r="S193" s="445"/>
      <c r="T193" s="445"/>
      <c r="U193" s="445"/>
      <c r="V193" s="717"/>
      <c r="W193" s="717"/>
      <c r="X193" s="717"/>
      <c r="Y193" s="717"/>
      <c r="Z193" s="717"/>
      <c r="AA193" s="717"/>
      <c r="AB193" s="717"/>
      <c r="AC193" s="717"/>
      <c r="AD193" s="717"/>
      <c r="AE193" s="717"/>
      <c r="AF193" s="717"/>
      <c r="AG193" s="717"/>
      <c r="AH193" s="717"/>
      <c r="AI193" s="717"/>
      <c r="AJ193" s="717"/>
      <c r="AK193" s="717"/>
      <c r="AL193" s="717"/>
      <c r="AM193" s="717"/>
      <c r="AN193" s="717"/>
    </row>
    <row r="194" spans="1:40" ht="15.75" customHeight="1">
      <c r="A194" s="127"/>
      <c r="B194" s="445"/>
      <c r="C194" s="445"/>
      <c r="D194" s="445"/>
      <c r="E194" s="445"/>
      <c r="F194" s="445"/>
      <c r="G194" s="445"/>
      <c r="H194" s="445"/>
      <c r="I194" s="445"/>
      <c r="J194" s="445"/>
      <c r="K194" s="445"/>
      <c r="L194" s="445"/>
      <c r="M194" s="445"/>
      <c r="N194" s="445"/>
      <c r="O194" s="445"/>
      <c r="P194" s="445"/>
      <c r="Q194" s="445"/>
      <c r="R194" s="445"/>
      <c r="S194" s="445"/>
      <c r="T194" s="445"/>
      <c r="U194" s="445"/>
      <c r="V194" s="717"/>
      <c r="W194" s="717"/>
      <c r="X194" s="717"/>
      <c r="Y194" s="717"/>
      <c r="Z194" s="717"/>
      <c r="AA194" s="717"/>
      <c r="AB194" s="717"/>
      <c r="AC194" s="717"/>
      <c r="AD194" s="717"/>
      <c r="AE194" s="717"/>
      <c r="AF194" s="717"/>
      <c r="AG194" s="717"/>
      <c r="AH194" s="717"/>
      <c r="AI194" s="717"/>
      <c r="AJ194" s="717"/>
      <c r="AK194" s="717"/>
      <c r="AL194" s="717"/>
      <c r="AM194" s="717"/>
      <c r="AN194" s="717"/>
    </row>
    <row r="195" spans="1:40" ht="15.75" customHeight="1">
      <c r="A195" s="127"/>
      <c r="B195" s="445"/>
      <c r="C195" s="445"/>
      <c r="D195" s="445"/>
      <c r="E195" s="445"/>
      <c r="F195" s="445"/>
      <c r="G195" s="445"/>
      <c r="H195" s="445"/>
      <c r="I195" s="445"/>
      <c r="J195" s="445"/>
      <c r="K195" s="445"/>
      <c r="L195" s="445"/>
      <c r="M195" s="445"/>
      <c r="N195" s="445"/>
      <c r="O195" s="445"/>
      <c r="P195" s="445"/>
      <c r="Q195" s="445"/>
      <c r="R195" s="445"/>
      <c r="S195" s="445"/>
      <c r="T195" s="445"/>
      <c r="U195" s="445"/>
      <c r="V195" s="717"/>
      <c r="W195" s="717"/>
      <c r="X195" s="717"/>
      <c r="Y195" s="717"/>
      <c r="Z195" s="717"/>
      <c r="AA195" s="717"/>
      <c r="AB195" s="717"/>
      <c r="AC195" s="717"/>
      <c r="AD195" s="717"/>
      <c r="AE195" s="717"/>
      <c r="AF195" s="717"/>
      <c r="AG195" s="717"/>
      <c r="AH195" s="717"/>
      <c r="AI195" s="717"/>
      <c r="AJ195" s="717"/>
      <c r="AK195" s="717"/>
      <c r="AL195" s="717"/>
      <c r="AM195" s="717"/>
      <c r="AN195" s="717"/>
    </row>
    <row r="196" spans="1:40" ht="15.75" customHeight="1">
      <c r="A196" s="127"/>
      <c r="B196" s="445"/>
      <c r="C196" s="445"/>
      <c r="D196" s="445"/>
      <c r="E196" s="445"/>
      <c r="F196" s="445"/>
      <c r="G196" s="445"/>
      <c r="H196" s="445"/>
      <c r="I196" s="445"/>
      <c r="J196" s="445"/>
      <c r="K196" s="445"/>
      <c r="L196" s="445"/>
      <c r="M196" s="445"/>
      <c r="N196" s="445"/>
      <c r="O196" s="445"/>
      <c r="P196" s="445"/>
      <c r="Q196" s="445"/>
      <c r="R196" s="445"/>
      <c r="S196" s="445"/>
      <c r="T196" s="445"/>
      <c r="U196" s="445"/>
      <c r="V196" s="717"/>
      <c r="W196" s="717"/>
      <c r="X196" s="717"/>
      <c r="Y196" s="717"/>
      <c r="Z196" s="717"/>
      <c r="AA196" s="717"/>
      <c r="AB196" s="717"/>
      <c r="AC196" s="717"/>
      <c r="AD196" s="717"/>
      <c r="AE196" s="717"/>
      <c r="AF196" s="717"/>
      <c r="AG196" s="717"/>
      <c r="AH196" s="717"/>
      <c r="AI196" s="717"/>
      <c r="AJ196" s="717"/>
      <c r="AK196" s="717"/>
      <c r="AL196" s="717"/>
      <c r="AM196" s="717"/>
      <c r="AN196" s="717"/>
    </row>
    <row r="197" spans="1:40" ht="15.75" customHeight="1">
      <c r="A197" s="127"/>
      <c r="B197" s="445"/>
      <c r="C197" s="445"/>
      <c r="D197" s="445"/>
      <c r="E197" s="445"/>
      <c r="F197" s="445"/>
      <c r="G197" s="445"/>
      <c r="H197" s="445"/>
      <c r="I197" s="445"/>
      <c r="J197" s="445"/>
      <c r="K197" s="445"/>
      <c r="L197" s="445"/>
      <c r="M197" s="445"/>
      <c r="N197" s="445"/>
      <c r="O197" s="445"/>
      <c r="P197" s="445"/>
      <c r="Q197" s="445"/>
      <c r="R197" s="445"/>
      <c r="S197" s="445"/>
      <c r="T197" s="445"/>
      <c r="U197" s="445"/>
      <c r="V197" s="717"/>
      <c r="W197" s="717"/>
      <c r="X197" s="717"/>
      <c r="Y197" s="717"/>
      <c r="Z197" s="717"/>
      <c r="AA197" s="717"/>
      <c r="AB197" s="717"/>
      <c r="AC197" s="717"/>
      <c r="AD197" s="717"/>
      <c r="AE197" s="717"/>
      <c r="AF197" s="717"/>
      <c r="AG197" s="717"/>
      <c r="AH197" s="717"/>
      <c r="AI197" s="717"/>
      <c r="AJ197" s="717"/>
      <c r="AK197" s="717"/>
      <c r="AL197" s="717"/>
      <c r="AM197" s="717"/>
      <c r="AN197" s="717"/>
    </row>
    <row r="198" spans="1:40" ht="15.75" customHeight="1">
      <c r="A198" s="127"/>
      <c r="B198" s="445"/>
      <c r="C198" s="445"/>
      <c r="D198" s="445"/>
      <c r="E198" s="445"/>
      <c r="F198" s="445"/>
      <c r="G198" s="445"/>
      <c r="H198" s="445"/>
      <c r="I198" s="445"/>
      <c r="J198" s="445"/>
      <c r="K198" s="445"/>
      <c r="L198" s="445"/>
      <c r="M198" s="445"/>
      <c r="N198" s="445"/>
      <c r="O198" s="445"/>
      <c r="P198" s="445"/>
      <c r="Q198" s="445"/>
      <c r="R198" s="445"/>
      <c r="S198" s="445"/>
      <c r="T198" s="445"/>
      <c r="U198" s="445"/>
      <c r="V198" s="717"/>
      <c r="W198" s="717"/>
      <c r="X198" s="717"/>
      <c r="Y198" s="717"/>
      <c r="Z198" s="717"/>
      <c r="AA198" s="717"/>
      <c r="AB198" s="717"/>
      <c r="AC198" s="717"/>
      <c r="AD198" s="717"/>
      <c r="AE198" s="717"/>
      <c r="AF198" s="717"/>
      <c r="AG198" s="717"/>
      <c r="AH198" s="717"/>
      <c r="AI198" s="717"/>
      <c r="AJ198" s="717"/>
      <c r="AK198" s="717"/>
      <c r="AL198" s="717"/>
      <c r="AM198" s="717"/>
      <c r="AN198" s="717"/>
    </row>
    <row r="199" spans="1:40" ht="15.75" customHeight="1">
      <c r="A199" s="127"/>
      <c r="B199" s="445"/>
      <c r="C199" s="445"/>
      <c r="D199" s="445"/>
      <c r="E199" s="445"/>
      <c r="F199" s="445"/>
      <c r="G199" s="445"/>
      <c r="H199" s="445"/>
      <c r="I199" s="445"/>
      <c r="J199" s="445"/>
      <c r="K199" s="445"/>
      <c r="L199" s="445"/>
      <c r="M199" s="445"/>
      <c r="N199" s="445"/>
      <c r="O199" s="445"/>
      <c r="P199" s="445"/>
      <c r="Q199" s="445"/>
      <c r="R199" s="445"/>
      <c r="S199" s="445"/>
      <c r="T199" s="445"/>
      <c r="U199" s="445"/>
      <c r="V199" s="717"/>
      <c r="W199" s="717"/>
      <c r="X199" s="717"/>
      <c r="Y199" s="717"/>
      <c r="Z199" s="717"/>
      <c r="AA199" s="717"/>
      <c r="AB199" s="717"/>
      <c r="AC199" s="717"/>
      <c r="AD199" s="717"/>
      <c r="AE199" s="717"/>
      <c r="AF199" s="717"/>
      <c r="AG199" s="717"/>
      <c r="AH199" s="717"/>
      <c r="AI199" s="717"/>
      <c r="AJ199" s="717"/>
      <c r="AK199" s="717"/>
      <c r="AL199" s="717"/>
      <c r="AM199" s="717"/>
      <c r="AN199" s="717"/>
    </row>
    <row r="200" spans="1:40" ht="15.75" customHeight="1">
      <c r="A200" s="127"/>
      <c r="B200" s="445"/>
      <c r="C200" s="445"/>
      <c r="D200" s="445"/>
      <c r="E200" s="445"/>
      <c r="F200" s="445"/>
      <c r="G200" s="445"/>
      <c r="H200" s="445"/>
      <c r="I200" s="445"/>
      <c r="J200" s="445"/>
      <c r="K200" s="445"/>
      <c r="L200" s="445"/>
      <c r="M200" s="445"/>
      <c r="N200" s="445"/>
      <c r="O200" s="445"/>
      <c r="P200" s="445"/>
      <c r="Q200" s="445"/>
      <c r="R200" s="445"/>
      <c r="S200" s="445"/>
      <c r="T200" s="445"/>
      <c r="U200" s="445"/>
      <c r="V200" s="717"/>
      <c r="W200" s="717"/>
      <c r="X200" s="717"/>
      <c r="Y200" s="717"/>
      <c r="Z200" s="717"/>
      <c r="AA200" s="717"/>
      <c r="AB200" s="717"/>
      <c r="AC200" s="717"/>
      <c r="AD200" s="717"/>
      <c r="AE200" s="717"/>
      <c r="AF200" s="717"/>
      <c r="AG200" s="717"/>
      <c r="AH200" s="717"/>
      <c r="AI200" s="717"/>
      <c r="AJ200" s="717"/>
      <c r="AK200" s="717"/>
      <c r="AL200" s="717"/>
      <c r="AM200" s="717"/>
      <c r="AN200" s="717"/>
    </row>
    <row r="201" spans="1:40" ht="15.75" customHeight="1">
      <c r="A201" s="127"/>
      <c r="B201" s="445"/>
      <c r="C201" s="445"/>
      <c r="D201" s="445"/>
      <c r="E201" s="445"/>
      <c r="F201" s="445"/>
      <c r="G201" s="445"/>
      <c r="H201" s="445"/>
      <c r="I201" s="445"/>
      <c r="J201" s="445"/>
      <c r="K201" s="445"/>
      <c r="L201" s="445"/>
      <c r="M201" s="445"/>
      <c r="N201" s="445"/>
      <c r="O201" s="445"/>
      <c r="P201" s="445"/>
      <c r="Q201" s="445"/>
      <c r="R201" s="445"/>
      <c r="S201" s="445"/>
      <c r="T201" s="445"/>
      <c r="U201" s="445"/>
      <c r="V201" s="717"/>
      <c r="W201" s="717"/>
      <c r="X201" s="717"/>
      <c r="Y201" s="717"/>
      <c r="Z201" s="717"/>
      <c r="AA201" s="717"/>
      <c r="AB201" s="717"/>
      <c r="AC201" s="717"/>
      <c r="AD201" s="717"/>
      <c r="AE201" s="717"/>
      <c r="AF201" s="717"/>
      <c r="AG201" s="717"/>
      <c r="AH201" s="717"/>
      <c r="AI201" s="717"/>
      <c r="AJ201" s="717"/>
      <c r="AK201" s="717"/>
      <c r="AL201" s="717"/>
      <c r="AM201" s="717"/>
      <c r="AN201" s="717"/>
    </row>
    <row r="202" spans="1:40" ht="15.75" customHeight="1">
      <c r="A202" s="127"/>
      <c r="B202" s="445"/>
      <c r="C202" s="445"/>
      <c r="D202" s="445"/>
      <c r="E202" s="445"/>
      <c r="F202" s="445"/>
      <c r="G202" s="445"/>
      <c r="H202" s="445"/>
      <c r="I202" s="445"/>
      <c r="J202" s="445"/>
      <c r="K202" s="445"/>
      <c r="L202" s="445"/>
      <c r="M202" s="445"/>
      <c r="N202" s="445"/>
      <c r="O202" s="445"/>
      <c r="P202" s="445"/>
      <c r="Q202" s="445"/>
      <c r="R202" s="445"/>
      <c r="S202" s="445"/>
      <c r="T202" s="445"/>
      <c r="U202" s="445"/>
      <c r="V202" s="717"/>
      <c r="W202" s="717"/>
      <c r="X202" s="717"/>
      <c r="Y202" s="717"/>
      <c r="Z202" s="717"/>
      <c r="AA202" s="717"/>
      <c r="AB202" s="717"/>
      <c r="AC202" s="717"/>
      <c r="AD202" s="717"/>
      <c r="AE202" s="717"/>
      <c r="AF202" s="717"/>
      <c r="AG202" s="717"/>
      <c r="AH202" s="717"/>
      <c r="AI202" s="717"/>
      <c r="AJ202" s="717"/>
      <c r="AK202" s="717"/>
      <c r="AL202" s="717"/>
      <c r="AM202" s="717"/>
      <c r="AN202" s="717"/>
    </row>
    <row r="203" spans="1:40" ht="15.75" customHeight="1">
      <c r="A203" s="127"/>
      <c r="B203" s="445"/>
      <c r="C203" s="445"/>
      <c r="D203" s="445"/>
      <c r="E203" s="445"/>
      <c r="F203" s="445"/>
      <c r="G203" s="445"/>
      <c r="H203" s="445"/>
      <c r="I203" s="445"/>
      <c r="J203" s="445"/>
      <c r="K203" s="445"/>
      <c r="L203" s="445"/>
      <c r="M203" s="445"/>
      <c r="N203" s="445"/>
      <c r="O203" s="445"/>
      <c r="P203" s="445"/>
      <c r="Q203" s="445"/>
      <c r="R203" s="445"/>
      <c r="S203" s="445"/>
      <c r="T203" s="445"/>
      <c r="U203" s="445"/>
      <c r="V203" s="717"/>
      <c r="W203" s="717"/>
      <c r="X203" s="717"/>
      <c r="Y203" s="717"/>
      <c r="Z203" s="717"/>
      <c r="AA203" s="717"/>
      <c r="AB203" s="717"/>
      <c r="AC203" s="717"/>
      <c r="AD203" s="717"/>
      <c r="AE203" s="717"/>
      <c r="AF203" s="717"/>
      <c r="AG203" s="717"/>
      <c r="AH203" s="717"/>
      <c r="AI203" s="717"/>
      <c r="AJ203" s="717"/>
      <c r="AK203" s="717"/>
      <c r="AL203" s="717"/>
      <c r="AM203" s="717"/>
      <c r="AN203" s="717"/>
    </row>
    <row r="204" spans="1:40" ht="15.75" customHeight="1">
      <c r="A204" s="127"/>
      <c r="B204" s="445"/>
      <c r="C204" s="445"/>
      <c r="D204" s="445"/>
      <c r="E204" s="445"/>
      <c r="F204" s="445"/>
      <c r="G204" s="445"/>
      <c r="H204" s="445"/>
      <c r="I204" s="445"/>
      <c r="J204" s="445"/>
      <c r="K204" s="445"/>
      <c r="L204" s="445"/>
      <c r="M204" s="445"/>
      <c r="N204" s="445"/>
      <c r="O204" s="445"/>
      <c r="P204" s="445"/>
      <c r="Q204" s="445"/>
      <c r="R204" s="445"/>
      <c r="S204" s="445"/>
      <c r="T204" s="445"/>
      <c r="U204" s="445"/>
      <c r="V204" s="717"/>
      <c r="W204" s="717"/>
      <c r="X204" s="717"/>
      <c r="Y204" s="717"/>
      <c r="Z204" s="717"/>
      <c r="AA204" s="717"/>
      <c r="AB204" s="717"/>
      <c r="AC204" s="717"/>
      <c r="AD204" s="717"/>
      <c r="AE204" s="717"/>
      <c r="AF204" s="717"/>
      <c r="AG204" s="717"/>
      <c r="AH204" s="717"/>
      <c r="AI204" s="717"/>
      <c r="AJ204" s="717"/>
      <c r="AK204" s="717"/>
      <c r="AL204" s="717"/>
      <c r="AM204" s="717"/>
      <c r="AN204" s="717"/>
    </row>
    <row r="205" spans="1:40" ht="15.75" customHeight="1">
      <c r="A205" s="127"/>
      <c r="B205" s="445"/>
      <c r="C205" s="445"/>
      <c r="D205" s="445"/>
      <c r="E205" s="445"/>
      <c r="F205" s="445"/>
      <c r="G205" s="445"/>
      <c r="H205" s="445"/>
      <c r="I205" s="445"/>
      <c r="J205" s="445"/>
      <c r="K205" s="445"/>
      <c r="L205" s="445"/>
      <c r="M205" s="445"/>
      <c r="N205" s="445"/>
      <c r="O205" s="445"/>
      <c r="P205" s="445"/>
      <c r="Q205" s="445"/>
      <c r="R205" s="445"/>
      <c r="S205" s="445"/>
      <c r="T205" s="445"/>
      <c r="U205" s="445"/>
      <c r="V205" s="717"/>
      <c r="W205" s="717"/>
      <c r="X205" s="717"/>
      <c r="Y205" s="717"/>
      <c r="Z205" s="717"/>
      <c r="AA205" s="717"/>
      <c r="AB205" s="717"/>
      <c r="AC205" s="717"/>
      <c r="AD205" s="717"/>
      <c r="AE205" s="717"/>
      <c r="AF205" s="717"/>
      <c r="AG205" s="717"/>
      <c r="AH205" s="717"/>
      <c r="AI205" s="717"/>
      <c r="AJ205" s="717"/>
      <c r="AK205" s="717"/>
      <c r="AL205" s="717"/>
      <c r="AM205" s="717"/>
      <c r="AN205" s="717"/>
    </row>
    <row r="206" spans="1:40" ht="15.75" customHeight="1">
      <c r="A206" s="127"/>
      <c r="B206" s="445"/>
      <c r="C206" s="445"/>
      <c r="D206" s="445"/>
      <c r="E206" s="445"/>
      <c r="F206" s="445"/>
      <c r="G206" s="445"/>
      <c r="H206" s="445"/>
      <c r="I206" s="445"/>
      <c r="J206" s="445"/>
      <c r="K206" s="445"/>
      <c r="L206" s="445"/>
      <c r="M206" s="445"/>
      <c r="N206" s="445"/>
      <c r="O206" s="445"/>
      <c r="P206" s="445"/>
      <c r="Q206" s="445"/>
      <c r="R206" s="445"/>
      <c r="S206" s="445"/>
      <c r="T206" s="445"/>
      <c r="U206" s="445"/>
      <c r="V206" s="717"/>
      <c r="W206" s="717"/>
      <c r="X206" s="717"/>
      <c r="Y206" s="717"/>
      <c r="Z206" s="717"/>
      <c r="AA206" s="717"/>
      <c r="AB206" s="717"/>
      <c r="AC206" s="717"/>
      <c r="AD206" s="717"/>
      <c r="AE206" s="717"/>
      <c r="AF206" s="717"/>
      <c r="AG206" s="717"/>
      <c r="AH206" s="717"/>
      <c r="AI206" s="717"/>
      <c r="AJ206" s="717"/>
      <c r="AK206" s="717"/>
      <c r="AL206" s="717"/>
      <c r="AM206" s="717"/>
      <c r="AN206" s="717"/>
    </row>
    <row r="207" spans="1:40" ht="15.75" customHeight="1">
      <c r="A207" s="127"/>
      <c r="B207" s="445"/>
      <c r="C207" s="445"/>
      <c r="D207" s="445"/>
      <c r="E207" s="445"/>
      <c r="F207" s="445"/>
      <c r="G207" s="445"/>
      <c r="H207" s="445"/>
      <c r="I207" s="445"/>
      <c r="J207" s="445"/>
      <c r="K207" s="445"/>
      <c r="L207" s="445"/>
      <c r="M207" s="445"/>
      <c r="N207" s="445"/>
      <c r="O207" s="445"/>
      <c r="P207" s="445"/>
      <c r="Q207" s="445"/>
      <c r="R207" s="445"/>
      <c r="S207" s="445"/>
      <c r="T207" s="445"/>
      <c r="U207" s="445"/>
      <c r="V207" s="717"/>
      <c r="W207" s="717"/>
      <c r="X207" s="717"/>
      <c r="Y207" s="717"/>
      <c r="Z207" s="717"/>
      <c r="AA207" s="717"/>
      <c r="AB207" s="717"/>
      <c r="AC207" s="717"/>
      <c r="AD207" s="717"/>
      <c r="AE207" s="717"/>
      <c r="AF207" s="717"/>
      <c r="AG207" s="717"/>
      <c r="AH207" s="717"/>
      <c r="AI207" s="717"/>
      <c r="AJ207" s="717"/>
      <c r="AK207" s="717"/>
      <c r="AL207" s="717"/>
      <c r="AM207" s="717"/>
      <c r="AN207" s="717"/>
    </row>
    <row r="208" spans="1:40" ht="15.75" customHeight="1">
      <c r="A208" s="127"/>
      <c r="B208" s="445"/>
      <c r="C208" s="445"/>
      <c r="D208" s="445"/>
      <c r="E208" s="445"/>
      <c r="F208" s="445"/>
      <c r="G208" s="445"/>
      <c r="H208" s="445"/>
      <c r="I208" s="445"/>
      <c r="J208" s="445"/>
      <c r="K208" s="445"/>
      <c r="L208" s="445"/>
      <c r="M208" s="445"/>
      <c r="N208" s="445"/>
      <c r="O208" s="445"/>
      <c r="P208" s="445"/>
      <c r="Q208" s="445"/>
      <c r="R208" s="445"/>
      <c r="S208" s="445"/>
      <c r="T208" s="445"/>
      <c r="U208" s="445"/>
      <c r="V208" s="717"/>
      <c r="W208" s="717"/>
      <c r="X208" s="717"/>
      <c r="Y208" s="717"/>
      <c r="Z208" s="717"/>
      <c r="AA208" s="717"/>
      <c r="AB208" s="717"/>
      <c r="AC208" s="717"/>
      <c r="AD208" s="717"/>
      <c r="AE208" s="717"/>
      <c r="AF208" s="717"/>
      <c r="AG208" s="717"/>
      <c r="AH208" s="717"/>
      <c r="AI208" s="717"/>
      <c r="AJ208" s="717"/>
      <c r="AK208" s="717"/>
      <c r="AL208" s="717"/>
      <c r="AM208" s="717"/>
      <c r="AN208" s="717"/>
    </row>
    <row r="209" spans="1:40" ht="15.75" customHeight="1">
      <c r="A209" s="127"/>
      <c r="B209" s="445"/>
      <c r="C209" s="445"/>
      <c r="D209" s="445"/>
      <c r="E209" s="445"/>
      <c r="F209" s="445"/>
      <c r="G209" s="445"/>
      <c r="H209" s="445"/>
      <c r="I209" s="445"/>
      <c r="J209" s="445"/>
      <c r="K209" s="445"/>
      <c r="L209" s="445"/>
      <c r="M209" s="445"/>
      <c r="N209" s="445"/>
      <c r="O209" s="445"/>
      <c r="P209" s="445"/>
      <c r="Q209" s="445"/>
      <c r="R209" s="445"/>
      <c r="S209" s="445"/>
      <c r="T209" s="445"/>
      <c r="U209" s="445"/>
      <c r="V209" s="717"/>
      <c r="W209" s="717"/>
      <c r="X209" s="717"/>
      <c r="Y209" s="717"/>
      <c r="Z209" s="717"/>
      <c r="AA209" s="717"/>
      <c r="AB209" s="717"/>
      <c r="AC209" s="717"/>
      <c r="AD209" s="717"/>
      <c r="AE209" s="717"/>
      <c r="AF209" s="717"/>
      <c r="AG209" s="717"/>
      <c r="AH209" s="717"/>
      <c r="AI209" s="717"/>
      <c r="AJ209" s="717"/>
      <c r="AK209" s="717"/>
      <c r="AL209" s="717"/>
      <c r="AM209" s="717"/>
      <c r="AN209" s="717"/>
    </row>
    <row r="210" spans="1:40" ht="15.75" customHeight="1">
      <c r="A210" s="127"/>
      <c r="B210" s="445"/>
      <c r="C210" s="445"/>
      <c r="D210" s="445"/>
      <c r="E210" s="445"/>
      <c r="F210" s="445"/>
      <c r="G210" s="445"/>
      <c r="H210" s="445"/>
      <c r="I210" s="445"/>
      <c r="J210" s="445"/>
      <c r="K210" s="445"/>
      <c r="L210" s="445"/>
      <c r="M210" s="445"/>
      <c r="N210" s="445"/>
      <c r="O210" s="445"/>
      <c r="P210" s="445"/>
      <c r="Q210" s="445"/>
      <c r="R210" s="445"/>
      <c r="S210" s="445"/>
      <c r="T210" s="445"/>
      <c r="U210" s="445"/>
      <c r="V210" s="717"/>
      <c r="W210" s="717"/>
      <c r="X210" s="717"/>
      <c r="Y210" s="717"/>
      <c r="Z210" s="717"/>
      <c r="AA210" s="717"/>
      <c r="AB210" s="717"/>
      <c r="AC210" s="717"/>
      <c r="AD210" s="717"/>
      <c r="AE210" s="717"/>
      <c r="AF210" s="717"/>
      <c r="AG210" s="717"/>
      <c r="AH210" s="717"/>
      <c r="AI210" s="717"/>
      <c r="AJ210" s="717"/>
      <c r="AK210" s="717"/>
      <c r="AL210" s="717"/>
      <c r="AM210" s="717"/>
      <c r="AN210" s="717"/>
    </row>
    <row r="211" spans="1:40" ht="15.75" customHeight="1">
      <c r="A211" s="127"/>
      <c r="B211" s="445"/>
      <c r="C211" s="445"/>
      <c r="D211" s="445"/>
      <c r="E211" s="445"/>
      <c r="F211" s="445"/>
      <c r="G211" s="445"/>
      <c r="H211" s="445"/>
      <c r="I211" s="445"/>
      <c r="J211" s="445"/>
      <c r="K211" s="445"/>
      <c r="L211" s="445"/>
      <c r="M211" s="445"/>
      <c r="N211" s="445"/>
      <c r="O211" s="445"/>
      <c r="P211" s="445"/>
      <c r="Q211" s="445"/>
      <c r="R211" s="445"/>
      <c r="S211" s="445"/>
      <c r="T211" s="445"/>
      <c r="U211" s="445"/>
      <c r="V211" s="717"/>
      <c r="W211" s="717"/>
      <c r="X211" s="717"/>
      <c r="Y211" s="717"/>
      <c r="Z211" s="717"/>
      <c r="AA211" s="717"/>
      <c r="AB211" s="717"/>
      <c r="AC211" s="717"/>
      <c r="AD211" s="717"/>
      <c r="AE211" s="717"/>
      <c r="AF211" s="717"/>
      <c r="AG211" s="717"/>
      <c r="AH211" s="717"/>
      <c r="AI211" s="717"/>
      <c r="AJ211" s="717"/>
      <c r="AK211" s="717"/>
      <c r="AL211" s="717"/>
      <c r="AM211" s="717"/>
      <c r="AN211" s="717"/>
    </row>
    <row r="212" spans="1:40" ht="15.75" customHeight="1">
      <c r="A212" s="127"/>
      <c r="B212" s="445"/>
      <c r="C212" s="445"/>
      <c r="D212" s="445"/>
      <c r="E212" s="445"/>
      <c r="F212" s="445"/>
      <c r="G212" s="445"/>
      <c r="H212" s="445"/>
      <c r="I212" s="445"/>
      <c r="J212" s="445"/>
      <c r="K212" s="445"/>
      <c r="L212" s="445"/>
      <c r="M212" s="445"/>
      <c r="N212" s="445"/>
      <c r="O212" s="445"/>
      <c r="P212" s="445"/>
      <c r="Q212" s="445"/>
      <c r="R212" s="445"/>
      <c r="S212" s="445"/>
      <c r="T212" s="445"/>
      <c r="U212" s="445"/>
      <c r="V212" s="717"/>
      <c r="W212" s="717"/>
      <c r="X212" s="717"/>
      <c r="Y212" s="717"/>
      <c r="Z212" s="717"/>
      <c r="AA212" s="717"/>
      <c r="AB212" s="717"/>
      <c r="AC212" s="717"/>
      <c r="AD212" s="717"/>
      <c r="AE212" s="717"/>
      <c r="AF212" s="717"/>
      <c r="AG212" s="717"/>
      <c r="AH212" s="717"/>
      <c r="AI212" s="717"/>
      <c r="AJ212" s="717"/>
      <c r="AK212" s="717"/>
      <c r="AL212" s="717"/>
      <c r="AM212" s="717"/>
      <c r="AN212" s="717"/>
    </row>
    <row r="213" spans="1:40" ht="15.75" customHeight="1">
      <c r="A213" s="127"/>
      <c r="B213" s="445"/>
      <c r="C213" s="445"/>
      <c r="D213" s="445"/>
      <c r="E213" s="445"/>
      <c r="F213" s="445"/>
      <c r="G213" s="445"/>
      <c r="H213" s="445"/>
      <c r="I213" s="445"/>
      <c r="J213" s="445"/>
      <c r="K213" s="445"/>
      <c r="L213" s="445"/>
      <c r="M213" s="445"/>
      <c r="N213" s="445"/>
      <c r="O213" s="445"/>
      <c r="P213" s="445"/>
      <c r="Q213" s="445"/>
      <c r="R213" s="445"/>
      <c r="S213" s="445"/>
      <c r="T213" s="445"/>
      <c r="U213" s="445"/>
      <c r="V213" s="717"/>
      <c r="W213" s="717"/>
      <c r="X213" s="717"/>
      <c r="Y213" s="717"/>
      <c r="Z213" s="717"/>
      <c r="AA213" s="717"/>
      <c r="AB213" s="717"/>
      <c r="AC213" s="717"/>
      <c r="AD213" s="717"/>
      <c r="AE213" s="717"/>
      <c r="AF213" s="717"/>
      <c r="AG213" s="717"/>
      <c r="AH213" s="717"/>
      <c r="AI213" s="717"/>
      <c r="AJ213" s="717"/>
      <c r="AK213" s="717"/>
      <c r="AL213" s="717"/>
      <c r="AM213" s="717"/>
      <c r="AN213" s="717"/>
    </row>
    <row r="214" spans="1:40" ht="15.75" customHeight="1">
      <c r="A214" s="127"/>
      <c r="B214" s="445"/>
      <c r="C214" s="445"/>
      <c r="D214" s="445"/>
      <c r="E214" s="445"/>
      <c r="F214" s="445"/>
      <c r="G214" s="445"/>
      <c r="H214" s="445"/>
      <c r="I214" s="445"/>
      <c r="J214" s="445"/>
      <c r="K214" s="445"/>
      <c r="L214" s="445"/>
      <c r="M214" s="445"/>
      <c r="N214" s="445"/>
      <c r="O214" s="445"/>
      <c r="P214" s="445"/>
      <c r="Q214" s="445"/>
      <c r="R214" s="445"/>
      <c r="S214" s="445"/>
      <c r="T214" s="445"/>
      <c r="U214" s="445"/>
      <c r="V214" s="717"/>
      <c r="W214" s="717"/>
      <c r="X214" s="717"/>
      <c r="Y214" s="717"/>
      <c r="Z214" s="717"/>
      <c r="AA214" s="717"/>
      <c r="AB214" s="717"/>
      <c r="AC214" s="717"/>
      <c r="AD214" s="717"/>
      <c r="AE214" s="717"/>
      <c r="AF214" s="717"/>
      <c r="AG214" s="717"/>
      <c r="AH214" s="717"/>
      <c r="AI214" s="717"/>
      <c r="AJ214" s="717"/>
      <c r="AK214" s="717"/>
      <c r="AL214" s="717"/>
      <c r="AM214" s="717"/>
      <c r="AN214" s="717"/>
    </row>
    <row r="215" spans="1:40" ht="15.75" customHeight="1">
      <c r="A215" s="127"/>
      <c r="B215" s="445"/>
      <c r="C215" s="445"/>
      <c r="D215" s="445"/>
      <c r="E215" s="445"/>
      <c r="F215" s="445"/>
      <c r="G215" s="445"/>
      <c r="H215" s="445"/>
      <c r="I215" s="445"/>
      <c r="J215" s="445"/>
      <c r="K215" s="445"/>
      <c r="L215" s="445"/>
      <c r="M215" s="445"/>
      <c r="N215" s="445"/>
      <c r="O215" s="445"/>
      <c r="P215" s="445"/>
      <c r="Q215" s="445"/>
      <c r="R215" s="445"/>
      <c r="S215" s="445"/>
      <c r="T215" s="445"/>
      <c r="U215" s="445"/>
      <c r="V215" s="717"/>
      <c r="W215" s="717"/>
      <c r="X215" s="717"/>
      <c r="Y215" s="717"/>
      <c r="Z215" s="717"/>
      <c r="AA215" s="717"/>
      <c r="AB215" s="717"/>
      <c r="AC215" s="717"/>
      <c r="AD215" s="717"/>
      <c r="AE215" s="717"/>
      <c r="AF215" s="717"/>
      <c r="AG215" s="717"/>
      <c r="AH215" s="717"/>
      <c r="AI215" s="717"/>
      <c r="AJ215" s="717"/>
      <c r="AK215" s="717"/>
      <c r="AL215" s="717"/>
      <c r="AM215" s="717"/>
      <c r="AN215" s="717"/>
    </row>
    <row r="216" spans="1:40" ht="15.75" customHeight="1">
      <c r="A216" s="127"/>
      <c r="B216" s="445"/>
      <c r="C216" s="445"/>
      <c r="D216" s="445"/>
      <c r="E216" s="445"/>
      <c r="F216" s="445"/>
      <c r="G216" s="445"/>
      <c r="H216" s="445"/>
      <c r="I216" s="445"/>
      <c r="J216" s="445"/>
      <c r="K216" s="445"/>
      <c r="L216" s="445"/>
      <c r="M216" s="445"/>
      <c r="N216" s="445"/>
      <c r="O216" s="445"/>
      <c r="P216" s="445"/>
      <c r="Q216" s="445"/>
      <c r="R216" s="445"/>
      <c r="S216" s="445"/>
      <c r="T216" s="445"/>
      <c r="U216" s="445"/>
      <c r="V216" s="717"/>
      <c r="W216" s="717"/>
      <c r="X216" s="717"/>
      <c r="Y216" s="717"/>
      <c r="Z216" s="717"/>
      <c r="AA216" s="717"/>
      <c r="AB216" s="717"/>
      <c r="AC216" s="717"/>
      <c r="AD216" s="717"/>
      <c r="AE216" s="717"/>
      <c r="AF216" s="717"/>
      <c r="AG216" s="717"/>
      <c r="AH216" s="717"/>
      <c r="AI216" s="717"/>
      <c r="AJ216" s="717"/>
      <c r="AK216" s="717"/>
      <c r="AL216" s="717"/>
      <c r="AM216" s="717"/>
      <c r="AN216" s="717"/>
    </row>
    <row r="217" spans="1:40" ht="15.75" customHeight="1">
      <c r="A217" s="127"/>
      <c r="B217" s="445"/>
      <c r="C217" s="445"/>
      <c r="D217" s="445"/>
      <c r="E217" s="445"/>
      <c r="F217" s="445"/>
      <c r="G217" s="445"/>
      <c r="H217" s="445"/>
      <c r="I217" s="445"/>
      <c r="J217" s="445"/>
      <c r="K217" s="445"/>
      <c r="L217" s="445"/>
      <c r="M217" s="445"/>
      <c r="N217" s="445"/>
      <c r="O217" s="445"/>
      <c r="P217" s="445"/>
      <c r="Q217" s="445"/>
      <c r="R217" s="445"/>
      <c r="S217" s="445"/>
      <c r="T217" s="445"/>
      <c r="U217" s="445"/>
      <c r="V217" s="717"/>
      <c r="W217" s="717"/>
      <c r="X217" s="717"/>
      <c r="Y217" s="717"/>
      <c r="Z217" s="717"/>
      <c r="AA217" s="717"/>
      <c r="AB217" s="717"/>
      <c r="AC217" s="717"/>
      <c r="AD217" s="717"/>
      <c r="AE217" s="717"/>
      <c r="AF217" s="717"/>
      <c r="AG217" s="717"/>
      <c r="AH217" s="717"/>
      <c r="AI217" s="717"/>
      <c r="AJ217" s="717"/>
      <c r="AK217" s="717"/>
      <c r="AL217" s="717"/>
      <c r="AM217" s="717"/>
      <c r="AN217" s="717"/>
    </row>
    <row r="218" spans="1:40" ht="15.75" customHeight="1">
      <c r="A218" s="127"/>
      <c r="B218" s="445"/>
      <c r="C218" s="445"/>
      <c r="D218" s="445"/>
      <c r="E218" s="445"/>
      <c r="F218" s="445"/>
      <c r="G218" s="445"/>
      <c r="H218" s="445"/>
      <c r="I218" s="445"/>
      <c r="J218" s="445"/>
      <c r="K218" s="445"/>
      <c r="L218" s="445"/>
      <c r="M218" s="445"/>
      <c r="N218" s="445"/>
      <c r="O218" s="445"/>
      <c r="P218" s="445"/>
      <c r="Q218" s="445"/>
      <c r="R218" s="445"/>
      <c r="S218" s="445"/>
      <c r="T218" s="445"/>
      <c r="U218" s="445"/>
      <c r="V218" s="717"/>
      <c r="W218" s="717"/>
      <c r="X218" s="717"/>
      <c r="Y218" s="717"/>
      <c r="Z218" s="717"/>
      <c r="AA218" s="717"/>
      <c r="AB218" s="717"/>
      <c r="AC218" s="717"/>
      <c r="AD218" s="717"/>
      <c r="AE218" s="717"/>
      <c r="AF218" s="717"/>
      <c r="AG218" s="717"/>
      <c r="AH218" s="717"/>
      <c r="AI218" s="717"/>
      <c r="AJ218" s="717"/>
      <c r="AK218" s="717"/>
      <c r="AL218" s="717"/>
      <c r="AM218" s="717"/>
      <c r="AN218" s="717"/>
    </row>
    <row r="219" spans="1:40" ht="15.75" customHeight="1">
      <c r="A219" s="127"/>
      <c r="B219" s="445"/>
      <c r="C219" s="445"/>
      <c r="D219" s="445"/>
      <c r="E219" s="445"/>
      <c r="F219" s="445"/>
      <c r="G219" s="445"/>
      <c r="H219" s="445"/>
      <c r="I219" s="445"/>
      <c r="J219" s="445"/>
      <c r="K219" s="445"/>
      <c r="L219" s="445"/>
      <c r="M219" s="445"/>
      <c r="N219" s="445"/>
      <c r="O219" s="445"/>
      <c r="P219" s="445"/>
      <c r="Q219" s="445"/>
      <c r="R219" s="445"/>
      <c r="S219" s="445"/>
      <c r="T219" s="445"/>
      <c r="U219" s="445"/>
      <c r="V219" s="717"/>
      <c r="W219" s="717"/>
      <c r="X219" s="717"/>
      <c r="Y219" s="717"/>
      <c r="Z219" s="717"/>
      <c r="AA219" s="717"/>
      <c r="AB219" s="717"/>
      <c r="AC219" s="717"/>
      <c r="AD219" s="717"/>
      <c r="AE219" s="717"/>
      <c r="AF219" s="717"/>
      <c r="AG219" s="717"/>
      <c r="AH219" s="717"/>
      <c r="AI219" s="717"/>
      <c r="AJ219" s="717"/>
      <c r="AK219" s="717"/>
      <c r="AL219" s="717"/>
      <c r="AM219" s="717"/>
      <c r="AN219" s="717"/>
    </row>
    <row r="220" spans="1:40" ht="15.75" customHeight="1">
      <c r="A220" s="127"/>
      <c r="B220" s="445"/>
      <c r="C220" s="445"/>
      <c r="D220" s="445"/>
      <c r="E220" s="445"/>
      <c r="F220" s="445"/>
      <c r="G220" s="445"/>
      <c r="H220" s="445"/>
      <c r="I220" s="445"/>
      <c r="J220" s="445"/>
      <c r="K220" s="445"/>
      <c r="L220" s="445"/>
      <c r="M220" s="445"/>
      <c r="N220" s="445"/>
      <c r="O220" s="445"/>
      <c r="P220" s="445"/>
      <c r="Q220" s="445"/>
      <c r="R220" s="445"/>
      <c r="S220" s="445"/>
      <c r="T220" s="445"/>
      <c r="U220" s="445"/>
      <c r="V220" s="717"/>
      <c r="W220" s="717"/>
      <c r="X220" s="717"/>
      <c r="Y220" s="717"/>
      <c r="Z220" s="717"/>
      <c r="AA220" s="717"/>
      <c r="AB220" s="717"/>
      <c r="AC220" s="717"/>
      <c r="AD220" s="717"/>
      <c r="AE220" s="717"/>
      <c r="AF220" s="717"/>
      <c r="AG220" s="717"/>
      <c r="AH220" s="717"/>
      <c r="AI220" s="717"/>
      <c r="AJ220" s="717"/>
      <c r="AK220" s="717"/>
      <c r="AL220" s="717"/>
      <c r="AM220" s="717"/>
      <c r="AN220" s="717"/>
    </row>
    <row r="221" spans="1:40" ht="15.75" customHeight="1">
      <c r="A221" s="127"/>
      <c r="B221" s="445"/>
      <c r="C221" s="445"/>
      <c r="D221" s="445"/>
      <c r="E221" s="445"/>
      <c r="F221" s="445"/>
      <c r="G221" s="445"/>
      <c r="H221" s="445"/>
      <c r="I221" s="445"/>
      <c r="J221" s="445"/>
      <c r="K221" s="445"/>
      <c r="L221" s="445"/>
      <c r="M221" s="445"/>
      <c r="N221" s="445"/>
      <c r="O221" s="445"/>
      <c r="P221" s="445"/>
      <c r="Q221" s="445"/>
      <c r="R221" s="445"/>
      <c r="S221" s="445"/>
      <c r="T221" s="445"/>
      <c r="U221" s="445"/>
      <c r="V221" s="717"/>
      <c r="W221" s="717"/>
      <c r="X221" s="717"/>
      <c r="Y221" s="717"/>
      <c r="Z221" s="717"/>
      <c r="AA221" s="717"/>
      <c r="AB221" s="717"/>
      <c r="AC221" s="717"/>
      <c r="AD221" s="717"/>
      <c r="AE221" s="717"/>
      <c r="AF221" s="717"/>
      <c r="AG221" s="717"/>
      <c r="AH221" s="717"/>
      <c r="AI221" s="717"/>
      <c r="AJ221" s="717"/>
      <c r="AK221" s="717"/>
      <c r="AL221" s="717"/>
      <c r="AM221" s="717"/>
      <c r="AN221" s="717"/>
    </row>
    <row r="222" spans="1:40" ht="15.75" customHeight="1">
      <c r="A222" s="127"/>
      <c r="B222" s="445"/>
      <c r="C222" s="445"/>
      <c r="D222" s="445"/>
      <c r="E222" s="445"/>
      <c r="F222" s="445"/>
      <c r="G222" s="445"/>
      <c r="H222" s="445"/>
      <c r="I222" s="445"/>
      <c r="J222" s="445"/>
      <c r="K222" s="445"/>
      <c r="L222" s="445"/>
      <c r="M222" s="445"/>
      <c r="N222" s="445"/>
      <c r="O222" s="445"/>
      <c r="P222" s="445"/>
      <c r="Q222" s="445"/>
      <c r="R222" s="445"/>
      <c r="S222" s="445"/>
      <c r="T222" s="445"/>
      <c r="U222" s="445"/>
      <c r="V222" s="717"/>
      <c r="W222" s="717"/>
      <c r="X222" s="717"/>
      <c r="Y222" s="717"/>
      <c r="Z222" s="717"/>
      <c r="AA222" s="717"/>
      <c r="AB222" s="717"/>
      <c r="AC222" s="717"/>
      <c r="AD222" s="717"/>
      <c r="AE222" s="717"/>
      <c r="AF222" s="717"/>
      <c r="AG222" s="717"/>
      <c r="AH222" s="717"/>
      <c r="AI222" s="717"/>
      <c r="AJ222" s="717"/>
      <c r="AK222" s="717"/>
      <c r="AL222" s="717"/>
      <c r="AM222" s="717"/>
      <c r="AN222" s="717"/>
    </row>
    <row r="223" spans="1:40" ht="15.75" customHeight="1">
      <c r="A223" s="127"/>
      <c r="B223" s="445"/>
      <c r="C223" s="445"/>
      <c r="D223" s="445"/>
      <c r="E223" s="445"/>
      <c r="F223" s="445"/>
      <c r="G223" s="445"/>
      <c r="H223" s="445"/>
      <c r="I223" s="445"/>
      <c r="J223" s="445"/>
      <c r="K223" s="445"/>
      <c r="L223" s="445"/>
      <c r="M223" s="445"/>
      <c r="N223" s="445"/>
      <c r="O223" s="445"/>
      <c r="P223" s="445"/>
      <c r="Q223" s="445"/>
      <c r="R223" s="445"/>
      <c r="S223" s="445"/>
      <c r="T223" s="445"/>
      <c r="U223" s="445"/>
      <c r="V223" s="717"/>
      <c r="W223" s="717"/>
      <c r="X223" s="717"/>
      <c r="Y223" s="717"/>
      <c r="Z223" s="717"/>
      <c r="AA223" s="717"/>
      <c r="AB223" s="717"/>
      <c r="AC223" s="717"/>
      <c r="AD223" s="717"/>
      <c r="AE223" s="717"/>
      <c r="AF223" s="717"/>
      <c r="AG223" s="717"/>
      <c r="AH223" s="717"/>
      <c r="AI223" s="717"/>
      <c r="AJ223" s="717"/>
      <c r="AK223" s="717"/>
      <c r="AL223" s="717"/>
      <c r="AM223" s="717"/>
      <c r="AN223" s="717"/>
    </row>
    <row r="224" spans="1:40" ht="15.75" customHeight="1">
      <c r="A224" s="127"/>
      <c r="B224" s="445"/>
      <c r="C224" s="445"/>
      <c r="D224" s="445"/>
      <c r="E224" s="445"/>
      <c r="F224" s="445"/>
      <c r="G224" s="445"/>
      <c r="H224" s="445"/>
      <c r="I224" s="445"/>
      <c r="J224" s="445"/>
      <c r="K224" s="445"/>
      <c r="L224" s="445"/>
      <c r="M224" s="445"/>
      <c r="N224" s="445"/>
      <c r="O224" s="445"/>
      <c r="P224" s="445"/>
      <c r="Q224" s="445"/>
      <c r="R224" s="445"/>
      <c r="S224" s="445"/>
      <c r="T224" s="445"/>
      <c r="U224" s="445"/>
      <c r="V224" s="717"/>
      <c r="W224" s="717"/>
      <c r="X224" s="717"/>
      <c r="Y224" s="717"/>
      <c r="Z224" s="717"/>
      <c r="AA224" s="717"/>
      <c r="AB224" s="717"/>
      <c r="AC224" s="717"/>
      <c r="AD224" s="717"/>
      <c r="AE224" s="717"/>
      <c r="AF224" s="717"/>
      <c r="AG224" s="717"/>
      <c r="AH224" s="717"/>
      <c r="AI224" s="717"/>
      <c r="AJ224" s="717"/>
      <c r="AK224" s="717"/>
      <c r="AL224" s="717"/>
      <c r="AM224" s="717"/>
      <c r="AN224" s="717"/>
    </row>
    <row r="225" spans="1:40" ht="15.75" customHeight="1">
      <c r="A225" s="127"/>
      <c r="B225" s="445"/>
      <c r="C225" s="445"/>
      <c r="D225" s="445"/>
      <c r="E225" s="445"/>
      <c r="F225" s="445"/>
      <c r="G225" s="445"/>
      <c r="H225" s="445"/>
      <c r="I225" s="445"/>
      <c r="J225" s="445"/>
      <c r="K225" s="445"/>
      <c r="L225" s="445"/>
      <c r="M225" s="445"/>
      <c r="N225" s="445"/>
      <c r="O225" s="445"/>
      <c r="P225" s="445"/>
      <c r="Q225" s="445"/>
      <c r="R225" s="445"/>
      <c r="S225" s="445"/>
      <c r="T225" s="445"/>
      <c r="U225" s="445"/>
      <c r="V225" s="717"/>
      <c r="W225" s="717"/>
      <c r="X225" s="717"/>
      <c r="Y225" s="717"/>
      <c r="Z225" s="717"/>
      <c r="AA225" s="717"/>
      <c r="AB225" s="717"/>
      <c r="AC225" s="717"/>
      <c r="AD225" s="717"/>
      <c r="AE225" s="717"/>
      <c r="AF225" s="717"/>
      <c r="AG225" s="717"/>
      <c r="AH225" s="717"/>
      <c r="AI225" s="717"/>
      <c r="AJ225" s="717"/>
      <c r="AK225" s="717"/>
      <c r="AL225" s="717"/>
      <c r="AM225" s="717"/>
      <c r="AN225" s="717"/>
    </row>
    <row r="226" spans="1:40" ht="15.75" customHeight="1">
      <c r="A226" s="127"/>
      <c r="B226" s="445"/>
      <c r="C226" s="445"/>
      <c r="D226" s="445"/>
      <c r="E226" s="445"/>
      <c r="F226" s="445"/>
      <c r="G226" s="445"/>
      <c r="H226" s="445"/>
      <c r="I226" s="445"/>
      <c r="J226" s="445"/>
      <c r="K226" s="445"/>
      <c r="L226" s="445"/>
      <c r="M226" s="445"/>
      <c r="N226" s="445"/>
      <c r="O226" s="445"/>
      <c r="P226" s="445"/>
      <c r="Q226" s="445"/>
      <c r="R226" s="445"/>
      <c r="S226" s="445"/>
      <c r="T226" s="445"/>
      <c r="U226" s="445"/>
      <c r="V226" s="717"/>
      <c r="W226" s="717"/>
      <c r="X226" s="717"/>
      <c r="Y226" s="717"/>
      <c r="Z226" s="717"/>
      <c r="AA226" s="717"/>
      <c r="AB226" s="717"/>
      <c r="AC226" s="717"/>
      <c r="AD226" s="717"/>
      <c r="AE226" s="717"/>
      <c r="AF226" s="717"/>
      <c r="AG226" s="717"/>
      <c r="AH226" s="717"/>
      <c r="AI226" s="717"/>
      <c r="AJ226" s="717"/>
      <c r="AK226" s="717"/>
      <c r="AL226" s="717"/>
      <c r="AM226" s="717"/>
      <c r="AN226" s="717"/>
    </row>
    <row r="227" spans="1:40" ht="15.75" customHeight="1">
      <c r="A227" s="127"/>
      <c r="B227" s="445"/>
      <c r="C227" s="445"/>
      <c r="D227" s="445"/>
      <c r="E227" s="445"/>
      <c r="F227" s="445"/>
      <c r="G227" s="445"/>
      <c r="H227" s="445"/>
      <c r="I227" s="445"/>
      <c r="J227" s="445"/>
      <c r="K227" s="445"/>
      <c r="L227" s="445"/>
      <c r="M227" s="445"/>
      <c r="N227" s="445"/>
      <c r="O227" s="445"/>
      <c r="P227" s="445"/>
      <c r="Q227" s="445"/>
      <c r="R227" s="445"/>
      <c r="S227" s="445"/>
      <c r="T227" s="445"/>
      <c r="U227" s="445"/>
      <c r="V227" s="717"/>
      <c r="W227" s="717"/>
      <c r="X227" s="717"/>
      <c r="Y227" s="717"/>
      <c r="Z227" s="717"/>
      <c r="AA227" s="717"/>
      <c r="AB227" s="717"/>
      <c r="AC227" s="717"/>
      <c r="AD227" s="717"/>
      <c r="AE227" s="717"/>
      <c r="AF227" s="717"/>
      <c r="AG227" s="717"/>
      <c r="AH227" s="717"/>
      <c r="AI227" s="717"/>
      <c r="AJ227" s="717"/>
      <c r="AK227" s="717"/>
      <c r="AL227" s="717"/>
      <c r="AM227" s="717"/>
      <c r="AN227" s="717"/>
    </row>
    <row r="228" spans="1:40" ht="15.75" customHeight="1">
      <c r="A228" s="127"/>
      <c r="B228" s="445"/>
      <c r="C228" s="445"/>
      <c r="D228" s="445"/>
      <c r="E228" s="445"/>
      <c r="F228" s="445"/>
      <c r="G228" s="445"/>
      <c r="H228" s="445"/>
      <c r="I228" s="445"/>
      <c r="J228" s="445"/>
      <c r="K228" s="445"/>
      <c r="L228" s="445"/>
      <c r="M228" s="445"/>
      <c r="N228" s="445"/>
      <c r="O228" s="445"/>
      <c r="P228" s="445"/>
      <c r="Q228" s="445"/>
      <c r="R228" s="445"/>
      <c r="S228" s="445"/>
      <c r="T228" s="445"/>
      <c r="U228" s="445"/>
      <c r="V228" s="717"/>
      <c r="W228" s="717"/>
      <c r="X228" s="717"/>
      <c r="Y228" s="717"/>
      <c r="Z228" s="717"/>
      <c r="AA228" s="717"/>
      <c r="AB228" s="717"/>
      <c r="AC228" s="717"/>
      <c r="AD228" s="717"/>
      <c r="AE228" s="717"/>
      <c r="AF228" s="717"/>
      <c r="AG228" s="717"/>
      <c r="AH228" s="717"/>
      <c r="AI228" s="717"/>
      <c r="AJ228" s="717"/>
      <c r="AK228" s="717"/>
      <c r="AL228" s="717"/>
      <c r="AM228" s="717"/>
      <c r="AN228" s="717"/>
    </row>
    <row r="229" spans="1:40" ht="15.75" customHeight="1">
      <c r="A229" s="127"/>
      <c r="B229" s="445"/>
      <c r="C229" s="445"/>
      <c r="D229" s="445"/>
      <c r="E229" s="445"/>
      <c r="F229" s="445"/>
      <c r="G229" s="445"/>
      <c r="H229" s="445"/>
      <c r="I229" s="445"/>
      <c r="J229" s="445"/>
      <c r="K229" s="445"/>
      <c r="L229" s="445"/>
      <c r="M229" s="445"/>
      <c r="N229" s="445"/>
      <c r="O229" s="445"/>
      <c r="P229" s="445"/>
      <c r="Q229" s="445"/>
      <c r="R229" s="445"/>
      <c r="S229" s="445"/>
      <c r="T229" s="445"/>
      <c r="U229" s="445"/>
      <c r="V229" s="717"/>
      <c r="W229" s="717"/>
      <c r="X229" s="717"/>
      <c r="Y229" s="717"/>
      <c r="Z229" s="717"/>
      <c r="AA229" s="717"/>
      <c r="AB229" s="717"/>
      <c r="AC229" s="717"/>
      <c r="AD229" s="717"/>
      <c r="AE229" s="717"/>
      <c r="AF229" s="717"/>
      <c r="AG229" s="717"/>
      <c r="AH229" s="717"/>
      <c r="AI229" s="717"/>
      <c r="AJ229" s="717"/>
      <c r="AK229" s="717"/>
      <c r="AL229" s="717"/>
      <c r="AM229" s="717"/>
      <c r="AN229" s="717"/>
    </row>
    <row r="230" spans="1:40" ht="15.75" customHeight="1">
      <c r="A230" s="127"/>
      <c r="B230" s="445"/>
      <c r="C230" s="445"/>
      <c r="D230" s="445"/>
      <c r="E230" s="445"/>
      <c r="F230" s="445"/>
      <c r="G230" s="445"/>
      <c r="H230" s="445"/>
      <c r="I230" s="445"/>
      <c r="J230" s="445"/>
      <c r="K230" s="445"/>
      <c r="L230" s="445"/>
      <c r="M230" s="445"/>
      <c r="N230" s="445"/>
      <c r="O230" s="445"/>
      <c r="P230" s="445"/>
      <c r="Q230" s="445"/>
      <c r="R230" s="445"/>
      <c r="S230" s="445"/>
      <c r="T230" s="445"/>
      <c r="U230" s="445"/>
      <c r="V230" s="717"/>
      <c r="W230" s="717"/>
      <c r="X230" s="717"/>
      <c r="Y230" s="717"/>
      <c r="Z230" s="717"/>
      <c r="AA230" s="717"/>
      <c r="AB230" s="717"/>
      <c r="AC230" s="717"/>
      <c r="AD230" s="717"/>
      <c r="AE230" s="717"/>
      <c r="AF230" s="717"/>
      <c r="AG230" s="717"/>
      <c r="AH230" s="717"/>
      <c r="AI230" s="717"/>
      <c r="AJ230" s="717"/>
      <c r="AK230" s="717"/>
      <c r="AL230" s="717"/>
      <c r="AM230" s="717"/>
      <c r="AN230" s="717"/>
    </row>
    <row r="231" spans="1:40" ht="15.75" customHeight="1">
      <c r="A231" s="127"/>
      <c r="B231" s="445"/>
      <c r="C231" s="445"/>
      <c r="D231" s="445"/>
      <c r="E231" s="445"/>
      <c r="F231" s="445"/>
      <c r="G231" s="445"/>
      <c r="H231" s="445"/>
      <c r="I231" s="445"/>
      <c r="J231" s="445"/>
      <c r="K231" s="445"/>
      <c r="L231" s="445"/>
      <c r="M231" s="445"/>
      <c r="N231" s="445"/>
      <c r="O231" s="445"/>
      <c r="P231" s="445"/>
      <c r="Q231" s="445"/>
      <c r="R231" s="445"/>
      <c r="S231" s="445"/>
      <c r="T231" s="445"/>
      <c r="U231" s="445"/>
      <c r="V231" s="717"/>
      <c r="W231" s="717"/>
      <c r="X231" s="717"/>
      <c r="Y231" s="717"/>
      <c r="Z231" s="717"/>
      <c r="AA231" s="717"/>
      <c r="AB231" s="717"/>
      <c r="AC231" s="717"/>
      <c r="AD231" s="717"/>
      <c r="AE231" s="717"/>
      <c r="AF231" s="717"/>
      <c r="AG231" s="717"/>
      <c r="AH231" s="717"/>
      <c r="AI231" s="717"/>
      <c r="AJ231" s="717"/>
      <c r="AK231" s="717"/>
      <c r="AL231" s="717"/>
      <c r="AM231" s="717"/>
      <c r="AN231" s="717"/>
    </row>
    <row r="232" spans="1:40" ht="15.75" customHeight="1">
      <c r="A232" s="127"/>
      <c r="B232" s="445"/>
      <c r="C232" s="445"/>
      <c r="D232" s="445"/>
      <c r="E232" s="445"/>
      <c r="F232" s="445"/>
      <c r="G232" s="445"/>
      <c r="H232" s="445"/>
      <c r="I232" s="445"/>
      <c r="J232" s="445"/>
      <c r="K232" s="445"/>
      <c r="L232" s="445"/>
      <c r="M232" s="445"/>
      <c r="N232" s="445"/>
      <c r="O232" s="445"/>
      <c r="P232" s="445"/>
      <c r="Q232" s="445"/>
      <c r="R232" s="445"/>
      <c r="S232" s="445"/>
      <c r="T232" s="445"/>
      <c r="U232" s="445"/>
      <c r="V232" s="717"/>
      <c r="W232" s="717"/>
      <c r="X232" s="717"/>
      <c r="Y232" s="717"/>
      <c r="Z232" s="717"/>
      <c r="AA232" s="717"/>
      <c r="AB232" s="717"/>
      <c r="AC232" s="717"/>
      <c r="AD232" s="717"/>
      <c r="AE232" s="717"/>
      <c r="AF232" s="717"/>
      <c r="AG232" s="717"/>
      <c r="AH232" s="717"/>
      <c r="AI232" s="717"/>
      <c r="AJ232" s="717"/>
      <c r="AK232" s="717"/>
      <c r="AL232" s="717"/>
      <c r="AM232" s="717"/>
      <c r="AN232" s="717"/>
    </row>
    <row r="233" spans="1:40" ht="15.75" customHeight="1">
      <c r="A233" s="127"/>
      <c r="B233" s="445"/>
      <c r="C233" s="445"/>
      <c r="D233" s="445"/>
      <c r="E233" s="445"/>
      <c r="F233" s="445"/>
      <c r="G233" s="445"/>
      <c r="H233" s="445"/>
      <c r="I233" s="445"/>
      <c r="J233" s="445"/>
      <c r="K233" s="445"/>
      <c r="L233" s="445"/>
      <c r="M233" s="445"/>
      <c r="N233" s="445"/>
      <c r="O233" s="445"/>
      <c r="P233" s="445"/>
      <c r="Q233" s="445"/>
      <c r="R233" s="445"/>
      <c r="S233" s="445"/>
      <c r="T233" s="445"/>
      <c r="U233" s="445"/>
      <c r="V233" s="717"/>
      <c r="W233" s="717"/>
      <c r="X233" s="717"/>
      <c r="Y233" s="717"/>
      <c r="Z233" s="717"/>
      <c r="AA233" s="717"/>
      <c r="AB233" s="717"/>
      <c r="AC233" s="717"/>
      <c r="AD233" s="717"/>
      <c r="AE233" s="717"/>
      <c r="AF233" s="717"/>
      <c r="AG233" s="717"/>
      <c r="AH233" s="717"/>
      <c r="AI233" s="717"/>
      <c r="AJ233" s="717"/>
      <c r="AK233" s="717"/>
      <c r="AL233" s="717"/>
      <c r="AM233" s="717"/>
      <c r="AN233" s="717"/>
    </row>
    <row r="234" spans="1:40" ht="15.75" customHeight="1">
      <c r="A234" s="127"/>
      <c r="B234" s="445"/>
      <c r="C234" s="445"/>
      <c r="D234" s="445"/>
      <c r="E234" s="445"/>
      <c r="F234" s="445"/>
      <c r="G234" s="445"/>
      <c r="H234" s="445"/>
      <c r="I234" s="445"/>
      <c r="J234" s="445"/>
      <c r="K234" s="445"/>
      <c r="L234" s="445"/>
      <c r="M234" s="445"/>
      <c r="N234" s="445"/>
      <c r="O234" s="445"/>
      <c r="P234" s="445"/>
      <c r="Q234" s="445"/>
      <c r="R234" s="445"/>
      <c r="S234" s="445"/>
      <c r="T234" s="445"/>
      <c r="U234" s="445"/>
      <c r="V234" s="717"/>
      <c r="W234" s="717"/>
      <c r="X234" s="717"/>
      <c r="Y234" s="717"/>
      <c r="Z234" s="717"/>
      <c r="AA234" s="717"/>
      <c r="AB234" s="717"/>
      <c r="AC234" s="717"/>
      <c r="AD234" s="717"/>
      <c r="AE234" s="717"/>
      <c r="AF234" s="717"/>
      <c r="AG234" s="717"/>
      <c r="AH234" s="717"/>
      <c r="AI234" s="717"/>
      <c r="AJ234" s="717"/>
      <c r="AK234" s="717"/>
      <c r="AL234" s="717"/>
      <c r="AM234" s="717"/>
      <c r="AN234" s="717"/>
    </row>
    <row r="235" spans="1:40" ht="15.75" customHeight="1">
      <c r="A235" s="127"/>
      <c r="B235" s="445"/>
      <c r="C235" s="445"/>
      <c r="D235" s="445"/>
      <c r="E235" s="445"/>
      <c r="F235" s="445"/>
      <c r="G235" s="445"/>
      <c r="H235" s="445"/>
      <c r="I235" s="445"/>
      <c r="J235" s="445"/>
      <c r="K235" s="445"/>
      <c r="L235" s="445"/>
      <c r="M235" s="445"/>
      <c r="N235" s="445"/>
      <c r="O235" s="445"/>
      <c r="P235" s="445"/>
      <c r="Q235" s="445"/>
      <c r="R235" s="445"/>
      <c r="S235" s="445"/>
      <c r="T235" s="445"/>
      <c r="U235" s="445"/>
      <c r="V235" s="717"/>
      <c r="W235" s="717"/>
      <c r="X235" s="717"/>
      <c r="Y235" s="717"/>
      <c r="Z235" s="717"/>
      <c r="AA235" s="717"/>
      <c r="AB235" s="717"/>
      <c r="AC235" s="717"/>
      <c r="AD235" s="717"/>
      <c r="AE235" s="717"/>
      <c r="AF235" s="717"/>
      <c r="AG235" s="717"/>
      <c r="AH235" s="717"/>
      <c r="AI235" s="717"/>
      <c r="AJ235" s="717"/>
      <c r="AK235" s="717"/>
      <c r="AL235" s="717"/>
      <c r="AM235" s="717"/>
      <c r="AN235" s="717"/>
    </row>
    <row r="236" spans="1:40" ht="15.75" customHeight="1">
      <c r="A236" s="127"/>
      <c r="B236" s="445"/>
      <c r="C236" s="445"/>
      <c r="D236" s="445"/>
      <c r="E236" s="445"/>
      <c r="F236" s="445"/>
      <c r="G236" s="445"/>
      <c r="H236" s="445"/>
      <c r="I236" s="445"/>
      <c r="J236" s="445"/>
      <c r="K236" s="445"/>
      <c r="L236" s="445"/>
      <c r="M236" s="445"/>
      <c r="N236" s="445"/>
      <c r="O236" s="445"/>
      <c r="P236" s="445"/>
      <c r="Q236" s="445"/>
      <c r="R236" s="445"/>
      <c r="S236" s="445"/>
      <c r="T236" s="445"/>
      <c r="U236" s="445"/>
      <c r="V236" s="717"/>
      <c r="W236" s="717"/>
      <c r="X236" s="717"/>
      <c r="Y236" s="717"/>
      <c r="Z236" s="717"/>
      <c r="AA236" s="717"/>
      <c r="AB236" s="717"/>
      <c r="AC236" s="717"/>
      <c r="AD236" s="717"/>
      <c r="AE236" s="717"/>
      <c r="AF236" s="717"/>
      <c r="AG236" s="717"/>
      <c r="AH236" s="717"/>
      <c r="AI236" s="717"/>
      <c r="AJ236" s="717"/>
      <c r="AK236" s="717"/>
      <c r="AL236" s="717"/>
      <c r="AM236" s="717"/>
      <c r="AN236" s="717"/>
    </row>
    <row r="237" spans="1:40" ht="15.75" customHeight="1">
      <c r="A237" s="127"/>
      <c r="B237" s="445"/>
      <c r="C237" s="445"/>
      <c r="D237" s="445"/>
      <c r="E237" s="445"/>
      <c r="F237" s="445"/>
      <c r="G237" s="445"/>
      <c r="H237" s="445"/>
      <c r="I237" s="445"/>
      <c r="J237" s="445"/>
      <c r="K237" s="445"/>
      <c r="L237" s="445"/>
      <c r="M237" s="445"/>
      <c r="N237" s="445"/>
      <c r="O237" s="445"/>
      <c r="P237" s="445"/>
      <c r="Q237" s="445"/>
      <c r="R237" s="445"/>
      <c r="S237" s="445"/>
      <c r="T237" s="445"/>
      <c r="U237" s="445"/>
      <c r="V237" s="717"/>
      <c r="W237" s="717"/>
      <c r="X237" s="717"/>
      <c r="Y237" s="717"/>
      <c r="Z237" s="717"/>
      <c r="AA237" s="717"/>
      <c r="AB237" s="717"/>
      <c r="AC237" s="717"/>
      <c r="AD237" s="717"/>
      <c r="AE237" s="717"/>
      <c r="AF237" s="717"/>
      <c r="AG237" s="717"/>
      <c r="AH237" s="717"/>
      <c r="AI237" s="717"/>
      <c r="AJ237" s="717"/>
      <c r="AK237" s="717"/>
      <c r="AL237" s="717"/>
      <c r="AM237" s="717"/>
      <c r="AN237" s="717"/>
    </row>
    <row r="238" spans="1:40" ht="15.75" customHeight="1">
      <c r="A238" s="127"/>
      <c r="B238" s="445"/>
      <c r="C238" s="445"/>
      <c r="D238" s="445"/>
      <c r="E238" s="445"/>
      <c r="F238" s="445"/>
      <c r="G238" s="445"/>
      <c r="H238" s="445"/>
      <c r="I238" s="445"/>
      <c r="J238" s="445"/>
      <c r="K238" s="445"/>
      <c r="L238" s="445"/>
      <c r="M238" s="445"/>
      <c r="N238" s="445"/>
      <c r="O238" s="445"/>
      <c r="P238" s="445"/>
      <c r="Q238" s="445"/>
      <c r="R238" s="445"/>
      <c r="S238" s="445"/>
      <c r="T238" s="445"/>
      <c r="U238" s="445"/>
      <c r="V238" s="717"/>
      <c r="W238" s="717"/>
      <c r="X238" s="717"/>
      <c r="Y238" s="717"/>
      <c r="Z238" s="717"/>
      <c r="AA238" s="717"/>
      <c r="AB238" s="717"/>
      <c r="AC238" s="717"/>
      <c r="AD238" s="717"/>
      <c r="AE238" s="717"/>
      <c r="AF238" s="717"/>
      <c r="AG238" s="717"/>
      <c r="AH238" s="717"/>
      <c r="AI238" s="717"/>
      <c r="AJ238" s="717"/>
      <c r="AK238" s="717"/>
      <c r="AL238" s="717"/>
      <c r="AM238" s="717"/>
      <c r="AN238" s="717"/>
    </row>
    <row r="239" spans="1:40" ht="15.75" customHeight="1">
      <c r="A239" s="127"/>
      <c r="B239" s="445"/>
      <c r="C239" s="445"/>
      <c r="D239" s="445"/>
      <c r="E239" s="445"/>
      <c r="F239" s="445"/>
      <c r="G239" s="445"/>
      <c r="H239" s="445"/>
      <c r="I239" s="445"/>
      <c r="J239" s="445"/>
      <c r="K239" s="445"/>
      <c r="L239" s="445"/>
      <c r="M239" s="445"/>
      <c r="N239" s="445"/>
      <c r="O239" s="445"/>
      <c r="P239" s="445"/>
      <c r="Q239" s="445"/>
      <c r="R239" s="445"/>
      <c r="S239" s="445"/>
      <c r="T239" s="445"/>
      <c r="U239" s="445"/>
      <c r="V239" s="717"/>
      <c r="W239" s="717"/>
      <c r="X239" s="717"/>
      <c r="Y239" s="717"/>
      <c r="Z239" s="717"/>
      <c r="AA239" s="717"/>
      <c r="AB239" s="717"/>
      <c r="AC239" s="717"/>
      <c r="AD239" s="717"/>
      <c r="AE239" s="717"/>
      <c r="AF239" s="717"/>
      <c r="AG239" s="717"/>
      <c r="AH239" s="717"/>
      <c r="AI239" s="717"/>
      <c r="AJ239" s="717"/>
      <c r="AK239" s="717"/>
      <c r="AL239" s="717"/>
      <c r="AM239" s="717"/>
      <c r="AN239" s="717"/>
    </row>
    <row r="240" spans="1:40" ht="15.75" customHeight="1">
      <c r="A240" s="127"/>
      <c r="B240" s="445"/>
      <c r="C240" s="445"/>
      <c r="D240" s="445"/>
      <c r="E240" s="445"/>
      <c r="F240" s="445"/>
      <c r="G240" s="445"/>
      <c r="H240" s="445"/>
      <c r="I240" s="445"/>
      <c r="J240" s="445"/>
      <c r="K240" s="445"/>
      <c r="L240" s="445"/>
      <c r="M240" s="445"/>
      <c r="N240" s="445"/>
      <c r="O240" s="445"/>
      <c r="P240" s="445"/>
      <c r="Q240" s="445"/>
      <c r="R240" s="445"/>
      <c r="S240" s="445"/>
      <c r="T240" s="445"/>
      <c r="U240" s="445"/>
      <c r="V240" s="717"/>
      <c r="W240" s="717"/>
      <c r="X240" s="717"/>
      <c r="Y240" s="717"/>
      <c r="Z240" s="717"/>
      <c r="AA240" s="717"/>
      <c r="AB240" s="717"/>
      <c r="AC240" s="717"/>
      <c r="AD240" s="717"/>
      <c r="AE240" s="717"/>
      <c r="AF240" s="717"/>
      <c r="AG240" s="717"/>
      <c r="AH240" s="717"/>
      <c r="AI240" s="717"/>
      <c r="AJ240" s="717"/>
      <c r="AK240" s="717"/>
      <c r="AL240" s="717"/>
      <c r="AM240" s="717"/>
      <c r="AN240" s="717"/>
    </row>
    <row r="241" spans="1:40" ht="15.75" customHeight="1">
      <c r="A241" s="127"/>
      <c r="B241" s="445"/>
      <c r="C241" s="445"/>
      <c r="D241" s="445"/>
      <c r="E241" s="445"/>
      <c r="F241" s="445"/>
      <c r="G241" s="445"/>
      <c r="H241" s="445"/>
      <c r="I241" s="445"/>
      <c r="J241" s="445"/>
      <c r="K241" s="445"/>
      <c r="L241" s="445"/>
      <c r="M241" s="445"/>
      <c r="N241" s="445"/>
      <c r="O241" s="445"/>
      <c r="P241" s="445"/>
      <c r="Q241" s="445"/>
      <c r="R241" s="445"/>
      <c r="S241" s="445"/>
      <c r="T241" s="445"/>
      <c r="U241" s="445"/>
      <c r="V241" s="717"/>
      <c r="W241" s="717"/>
      <c r="X241" s="717"/>
      <c r="Y241" s="717"/>
      <c r="Z241" s="717"/>
      <c r="AA241" s="717"/>
      <c r="AB241" s="717"/>
      <c r="AC241" s="717"/>
      <c r="AD241" s="717"/>
      <c r="AE241" s="717"/>
      <c r="AF241" s="717"/>
      <c r="AG241" s="717"/>
      <c r="AH241" s="717"/>
      <c r="AI241" s="717"/>
      <c r="AJ241" s="717"/>
      <c r="AK241" s="717"/>
      <c r="AL241" s="717"/>
      <c r="AM241" s="717"/>
      <c r="AN241" s="717"/>
    </row>
    <row r="242" spans="1:40" ht="15.75" customHeight="1">
      <c r="A242" s="127"/>
      <c r="B242" s="445"/>
      <c r="C242" s="445"/>
      <c r="D242" s="445"/>
      <c r="E242" s="445"/>
      <c r="F242" s="445"/>
      <c r="G242" s="445"/>
      <c r="H242" s="445"/>
      <c r="I242" s="445"/>
      <c r="J242" s="445"/>
      <c r="K242" s="445"/>
      <c r="L242" s="445"/>
      <c r="M242" s="445"/>
      <c r="N242" s="445"/>
      <c r="O242" s="445"/>
      <c r="P242" s="445"/>
      <c r="Q242" s="445"/>
      <c r="R242" s="445"/>
      <c r="S242" s="445"/>
      <c r="T242" s="445"/>
      <c r="U242" s="445"/>
      <c r="V242" s="717"/>
      <c r="W242" s="717"/>
      <c r="X242" s="717"/>
      <c r="Y242" s="717"/>
      <c r="Z242" s="717"/>
      <c r="AA242" s="717"/>
      <c r="AB242" s="717"/>
      <c r="AC242" s="717"/>
      <c r="AD242" s="717"/>
      <c r="AE242" s="717"/>
      <c r="AF242" s="717"/>
      <c r="AG242" s="717"/>
      <c r="AH242" s="717"/>
      <c r="AI242" s="717"/>
      <c r="AJ242" s="717"/>
      <c r="AK242" s="717"/>
      <c r="AL242" s="717"/>
      <c r="AM242" s="717"/>
      <c r="AN242" s="717"/>
    </row>
    <row r="243" spans="1:40" ht="15.75" customHeight="1">
      <c r="A243" s="127"/>
      <c r="B243" s="445"/>
      <c r="C243" s="445"/>
      <c r="D243" s="445"/>
      <c r="E243" s="445"/>
      <c r="F243" s="445"/>
      <c r="G243" s="445"/>
      <c r="H243" s="445"/>
      <c r="I243" s="445"/>
      <c r="J243" s="445"/>
      <c r="K243" s="445"/>
      <c r="L243" s="445"/>
      <c r="M243" s="445"/>
      <c r="N243" s="445"/>
      <c r="O243" s="445"/>
      <c r="P243" s="445"/>
      <c r="Q243" s="445"/>
      <c r="R243" s="445"/>
      <c r="S243" s="445"/>
      <c r="T243" s="445"/>
      <c r="U243" s="445"/>
      <c r="V243" s="717"/>
      <c r="W243" s="717"/>
      <c r="X243" s="717"/>
      <c r="Y243" s="717"/>
      <c r="Z243" s="717"/>
      <c r="AA243" s="717"/>
      <c r="AB243" s="717"/>
      <c r="AC243" s="717"/>
      <c r="AD243" s="717"/>
      <c r="AE243" s="717"/>
      <c r="AF243" s="717"/>
      <c r="AG243" s="717"/>
      <c r="AH243" s="717"/>
      <c r="AI243" s="717"/>
      <c r="AJ243" s="717"/>
      <c r="AK243" s="717"/>
      <c r="AL243" s="717"/>
      <c r="AM243" s="717"/>
      <c r="AN243" s="717"/>
    </row>
    <row r="244" spans="1:40" ht="15.75" customHeight="1">
      <c r="A244" s="127"/>
      <c r="B244" s="445"/>
      <c r="C244" s="445"/>
      <c r="D244" s="445"/>
      <c r="E244" s="445"/>
      <c r="F244" s="445"/>
      <c r="G244" s="445"/>
      <c r="H244" s="445"/>
      <c r="I244" s="445"/>
      <c r="J244" s="445"/>
      <c r="K244" s="445"/>
      <c r="L244" s="445"/>
      <c r="M244" s="445"/>
      <c r="N244" s="445"/>
      <c r="O244" s="445"/>
      <c r="P244" s="445"/>
      <c r="Q244" s="445"/>
      <c r="R244" s="445"/>
      <c r="S244" s="445"/>
      <c r="T244" s="445"/>
      <c r="U244" s="445"/>
      <c r="V244" s="717"/>
      <c r="W244" s="717"/>
      <c r="X244" s="717"/>
      <c r="Y244" s="717"/>
      <c r="Z244" s="717"/>
      <c r="AA244" s="717"/>
      <c r="AB244" s="717"/>
      <c r="AC244" s="717"/>
      <c r="AD244" s="717"/>
      <c r="AE244" s="717"/>
      <c r="AF244" s="717"/>
      <c r="AG244" s="717"/>
      <c r="AH244" s="717"/>
      <c r="AI244" s="717"/>
      <c r="AJ244" s="717"/>
      <c r="AK244" s="717"/>
      <c r="AL244" s="717"/>
      <c r="AM244" s="717"/>
      <c r="AN244" s="717"/>
    </row>
    <row r="245" spans="1:40" ht="15.75" customHeight="1">
      <c r="A245" s="127"/>
      <c r="B245" s="445"/>
      <c r="C245" s="445"/>
      <c r="D245" s="445"/>
      <c r="E245" s="445"/>
      <c r="F245" s="445"/>
      <c r="G245" s="445"/>
      <c r="H245" s="445"/>
      <c r="I245" s="445"/>
      <c r="J245" s="445"/>
      <c r="K245" s="445"/>
      <c r="L245" s="445"/>
      <c r="M245" s="445"/>
      <c r="N245" s="445"/>
      <c r="O245" s="445"/>
      <c r="P245" s="445"/>
      <c r="Q245" s="445"/>
      <c r="R245" s="445"/>
      <c r="S245" s="445"/>
      <c r="T245" s="445"/>
      <c r="U245" s="445"/>
      <c r="V245" s="717"/>
      <c r="W245" s="717"/>
      <c r="X245" s="717"/>
      <c r="Y245" s="717"/>
      <c r="Z245" s="717"/>
      <c r="AA245" s="717"/>
      <c r="AB245" s="717"/>
      <c r="AC245" s="717"/>
      <c r="AD245" s="717"/>
      <c r="AE245" s="717"/>
      <c r="AF245" s="717"/>
      <c r="AG245" s="717"/>
      <c r="AH245" s="717"/>
      <c r="AI245" s="717"/>
      <c r="AJ245" s="717"/>
      <c r="AK245" s="717"/>
      <c r="AL245" s="717"/>
      <c r="AM245" s="717"/>
      <c r="AN245" s="717"/>
    </row>
    <row r="246" spans="1:40" ht="15.75" customHeight="1">
      <c r="A246" s="127"/>
      <c r="B246" s="445"/>
      <c r="C246" s="445"/>
      <c r="D246" s="445"/>
      <c r="E246" s="445"/>
      <c r="F246" s="445"/>
      <c r="G246" s="445"/>
      <c r="H246" s="445"/>
      <c r="I246" s="445"/>
      <c r="J246" s="445"/>
      <c r="K246" s="445"/>
      <c r="L246" s="445"/>
      <c r="M246" s="445"/>
      <c r="N246" s="445"/>
      <c r="O246" s="445"/>
      <c r="P246" s="445"/>
      <c r="Q246" s="445"/>
      <c r="R246" s="445"/>
      <c r="S246" s="445"/>
      <c r="T246" s="445"/>
      <c r="U246" s="445"/>
      <c r="V246" s="717"/>
      <c r="W246" s="717"/>
      <c r="X246" s="717"/>
      <c r="Y246" s="717"/>
      <c r="Z246" s="717"/>
      <c r="AA246" s="717"/>
      <c r="AB246" s="717"/>
      <c r="AC246" s="717"/>
      <c r="AD246" s="717"/>
      <c r="AE246" s="717"/>
      <c r="AF246" s="717"/>
      <c r="AG246" s="717"/>
      <c r="AH246" s="717"/>
      <c r="AI246" s="717"/>
      <c r="AJ246" s="717"/>
      <c r="AK246" s="717"/>
      <c r="AL246" s="717"/>
      <c r="AM246" s="717"/>
      <c r="AN246" s="717"/>
    </row>
    <row r="247" spans="1:40" ht="15.75" customHeight="1">
      <c r="A247" s="127"/>
      <c r="B247" s="445"/>
      <c r="C247" s="445"/>
      <c r="D247" s="445"/>
      <c r="E247" s="445"/>
      <c r="F247" s="445"/>
      <c r="G247" s="445"/>
      <c r="H247" s="445"/>
      <c r="I247" s="445"/>
      <c r="J247" s="445"/>
      <c r="K247" s="445"/>
      <c r="L247" s="445"/>
      <c r="M247" s="445"/>
      <c r="N247" s="445"/>
      <c r="O247" s="445"/>
      <c r="P247" s="445"/>
      <c r="Q247" s="445"/>
      <c r="R247" s="445"/>
      <c r="S247" s="445"/>
      <c r="T247" s="445"/>
      <c r="U247" s="445"/>
      <c r="V247" s="717"/>
      <c r="W247" s="717"/>
      <c r="X247" s="717"/>
      <c r="Y247" s="717"/>
      <c r="Z247" s="717"/>
      <c r="AA247" s="717"/>
      <c r="AB247" s="717"/>
      <c r="AC247" s="717"/>
      <c r="AD247" s="717"/>
      <c r="AE247" s="717"/>
      <c r="AF247" s="717"/>
      <c r="AG247" s="717"/>
      <c r="AH247" s="717"/>
      <c r="AI247" s="717"/>
      <c r="AJ247" s="717"/>
      <c r="AK247" s="717"/>
      <c r="AL247" s="717"/>
      <c r="AM247" s="717"/>
      <c r="AN247" s="717"/>
    </row>
    <row r="248" spans="1:40" ht="15.75" customHeight="1">
      <c r="A248" s="127"/>
      <c r="B248" s="445"/>
      <c r="C248" s="445"/>
      <c r="D248" s="445"/>
      <c r="E248" s="445"/>
      <c r="F248" s="445"/>
      <c r="G248" s="445"/>
      <c r="H248" s="445"/>
      <c r="I248" s="445"/>
      <c r="J248" s="445"/>
      <c r="K248" s="445"/>
      <c r="L248" s="445"/>
      <c r="M248" s="445"/>
      <c r="N248" s="445"/>
      <c r="O248" s="445"/>
      <c r="P248" s="445"/>
      <c r="Q248" s="445"/>
      <c r="R248" s="445"/>
      <c r="S248" s="445"/>
      <c r="T248" s="445"/>
      <c r="U248" s="445"/>
      <c r="V248" s="717"/>
      <c r="W248" s="717"/>
      <c r="X248" s="717"/>
      <c r="Y248" s="717"/>
      <c r="Z248" s="717"/>
      <c r="AA248" s="717"/>
      <c r="AB248" s="717"/>
      <c r="AC248" s="717"/>
      <c r="AD248" s="717"/>
      <c r="AE248" s="717"/>
      <c r="AF248" s="717"/>
      <c r="AG248" s="717"/>
      <c r="AH248" s="717"/>
      <c r="AI248" s="717"/>
      <c r="AJ248" s="717"/>
      <c r="AK248" s="717"/>
      <c r="AL248" s="717"/>
      <c r="AM248" s="717"/>
      <c r="AN248" s="717"/>
    </row>
    <row r="249" spans="1:40" ht="15.75" customHeight="1">
      <c r="A249" s="127"/>
      <c r="B249" s="445"/>
      <c r="C249" s="445"/>
      <c r="D249" s="445"/>
      <c r="E249" s="445"/>
      <c r="F249" s="445"/>
      <c r="G249" s="445"/>
      <c r="H249" s="445"/>
      <c r="I249" s="445"/>
      <c r="J249" s="445"/>
      <c r="K249" s="445"/>
      <c r="L249" s="445"/>
      <c r="M249" s="445"/>
      <c r="N249" s="445"/>
      <c r="O249" s="445"/>
      <c r="P249" s="445"/>
      <c r="Q249" s="445"/>
      <c r="R249" s="445"/>
      <c r="S249" s="445"/>
      <c r="T249" s="445"/>
      <c r="U249" s="445"/>
      <c r="V249" s="717"/>
      <c r="W249" s="717"/>
      <c r="X249" s="717"/>
      <c r="Y249" s="717"/>
      <c r="Z249" s="717"/>
      <c r="AA249" s="717"/>
      <c r="AB249" s="717"/>
      <c r="AC249" s="717"/>
      <c r="AD249" s="717"/>
      <c r="AE249" s="717"/>
      <c r="AF249" s="717"/>
      <c r="AG249" s="717"/>
      <c r="AH249" s="717"/>
      <c r="AI249" s="717"/>
      <c r="AJ249" s="717"/>
      <c r="AK249" s="717"/>
      <c r="AL249" s="717"/>
      <c r="AM249" s="717"/>
      <c r="AN249" s="717"/>
    </row>
    <row r="250" spans="1:40" ht="15.75" customHeight="1">
      <c r="A250" s="127"/>
      <c r="B250" s="445"/>
      <c r="C250" s="445"/>
      <c r="D250" s="445"/>
      <c r="E250" s="445"/>
      <c r="F250" s="445"/>
      <c r="G250" s="445"/>
      <c r="H250" s="445"/>
      <c r="I250" s="445"/>
      <c r="J250" s="445"/>
      <c r="K250" s="445"/>
      <c r="L250" s="445"/>
      <c r="M250" s="445"/>
      <c r="N250" s="445"/>
      <c r="O250" s="445"/>
      <c r="P250" s="445"/>
      <c r="Q250" s="445"/>
      <c r="R250" s="445"/>
      <c r="S250" s="445"/>
      <c r="T250" s="445"/>
      <c r="U250" s="445"/>
      <c r="V250" s="717"/>
      <c r="W250" s="717"/>
      <c r="X250" s="717"/>
      <c r="Y250" s="717"/>
      <c r="Z250" s="717"/>
      <c r="AA250" s="717"/>
      <c r="AB250" s="717"/>
      <c r="AC250" s="717"/>
      <c r="AD250" s="717"/>
      <c r="AE250" s="717"/>
      <c r="AF250" s="717"/>
      <c r="AG250" s="717"/>
      <c r="AH250" s="717"/>
      <c r="AI250" s="717"/>
      <c r="AJ250" s="717"/>
      <c r="AK250" s="717"/>
      <c r="AL250" s="717"/>
      <c r="AM250" s="717"/>
      <c r="AN250" s="717"/>
    </row>
    <row r="251" spans="1:40" ht="15.75" customHeight="1">
      <c r="A251" s="127"/>
      <c r="B251" s="445"/>
      <c r="C251" s="445"/>
      <c r="D251" s="445"/>
      <c r="E251" s="445"/>
      <c r="F251" s="445"/>
      <c r="G251" s="445"/>
      <c r="H251" s="445"/>
      <c r="I251" s="445"/>
      <c r="J251" s="445"/>
      <c r="K251" s="445"/>
      <c r="L251" s="445"/>
      <c r="M251" s="445"/>
      <c r="N251" s="445"/>
      <c r="O251" s="445"/>
      <c r="P251" s="445"/>
      <c r="Q251" s="445"/>
      <c r="R251" s="445"/>
      <c r="S251" s="445"/>
      <c r="T251" s="445"/>
      <c r="U251" s="445"/>
      <c r="V251" s="717"/>
      <c r="W251" s="717"/>
      <c r="X251" s="717"/>
      <c r="Y251" s="717"/>
      <c r="Z251" s="717"/>
      <c r="AA251" s="717"/>
      <c r="AB251" s="717"/>
      <c r="AC251" s="717"/>
      <c r="AD251" s="717"/>
      <c r="AE251" s="717"/>
      <c r="AF251" s="717"/>
      <c r="AG251" s="717"/>
      <c r="AH251" s="717"/>
      <c r="AI251" s="717"/>
      <c r="AJ251" s="717"/>
      <c r="AK251" s="717"/>
      <c r="AL251" s="717"/>
      <c r="AM251" s="717"/>
      <c r="AN251" s="717"/>
    </row>
    <row r="252" spans="1:40" ht="15.75" customHeight="1">
      <c r="A252" s="127"/>
      <c r="B252" s="445"/>
      <c r="C252" s="445"/>
      <c r="D252" s="445"/>
      <c r="E252" s="445"/>
      <c r="F252" s="445"/>
      <c r="G252" s="445"/>
      <c r="H252" s="445"/>
      <c r="I252" s="445"/>
      <c r="J252" s="445"/>
      <c r="K252" s="445"/>
      <c r="L252" s="445"/>
      <c r="M252" s="445"/>
      <c r="N252" s="445"/>
      <c r="O252" s="445"/>
      <c r="P252" s="445"/>
      <c r="Q252" s="445"/>
      <c r="R252" s="445"/>
      <c r="S252" s="445"/>
      <c r="T252" s="445"/>
      <c r="U252" s="445"/>
      <c r="V252" s="717"/>
      <c r="W252" s="717"/>
      <c r="X252" s="717"/>
      <c r="Y252" s="717"/>
      <c r="Z252" s="717"/>
      <c r="AA252" s="717"/>
      <c r="AB252" s="717"/>
      <c r="AC252" s="717"/>
      <c r="AD252" s="717"/>
      <c r="AE252" s="717"/>
      <c r="AF252" s="717"/>
      <c r="AG252" s="717"/>
      <c r="AH252" s="717"/>
      <c r="AI252" s="717"/>
      <c r="AJ252" s="717"/>
      <c r="AK252" s="717"/>
      <c r="AL252" s="717"/>
      <c r="AM252" s="717"/>
      <c r="AN252" s="717"/>
    </row>
    <row r="253" spans="1:40" ht="15.75" customHeight="1">
      <c r="A253" s="127"/>
      <c r="B253" s="445"/>
      <c r="C253" s="445"/>
      <c r="D253" s="445"/>
      <c r="E253" s="445"/>
      <c r="F253" s="445"/>
      <c r="G253" s="445"/>
      <c r="H253" s="445"/>
      <c r="I253" s="445"/>
      <c r="J253" s="445"/>
      <c r="K253" s="445"/>
      <c r="L253" s="445"/>
      <c r="M253" s="445"/>
      <c r="N253" s="445"/>
      <c r="O253" s="445"/>
      <c r="P253" s="445"/>
      <c r="Q253" s="445"/>
      <c r="R253" s="445"/>
      <c r="S253" s="445"/>
      <c r="T253" s="445"/>
      <c r="U253" s="445"/>
      <c r="V253" s="717"/>
      <c r="W253" s="717"/>
      <c r="X253" s="717"/>
      <c r="Y253" s="717"/>
      <c r="Z253" s="717"/>
      <c r="AA253" s="717"/>
      <c r="AB253" s="717"/>
      <c r="AC253" s="717"/>
      <c r="AD253" s="717"/>
      <c r="AE253" s="717"/>
      <c r="AF253" s="717"/>
      <c r="AG253" s="717"/>
      <c r="AH253" s="717"/>
      <c r="AI253" s="717"/>
      <c r="AJ253" s="717"/>
      <c r="AK253" s="717"/>
      <c r="AL253" s="717"/>
      <c r="AM253" s="717"/>
      <c r="AN253" s="717"/>
    </row>
    <row r="254" spans="1:40" ht="15.75" customHeight="1">
      <c r="A254" s="127"/>
      <c r="B254" s="445"/>
      <c r="C254" s="445"/>
      <c r="D254" s="445"/>
      <c r="E254" s="445"/>
      <c r="F254" s="445"/>
      <c r="G254" s="445"/>
      <c r="H254" s="445"/>
      <c r="I254" s="445"/>
      <c r="J254" s="445"/>
      <c r="K254" s="445"/>
      <c r="L254" s="445"/>
      <c r="M254" s="445"/>
      <c r="N254" s="445"/>
      <c r="O254" s="445"/>
      <c r="P254" s="445"/>
      <c r="Q254" s="445"/>
      <c r="R254" s="445"/>
      <c r="S254" s="445"/>
      <c r="T254" s="445"/>
      <c r="U254" s="445"/>
      <c r="V254" s="717"/>
      <c r="W254" s="717"/>
      <c r="X254" s="717"/>
      <c r="Y254" s="717"/>
      <c r="Z254" s="717"/>
      <c r="AA254" s="717"/>
      <c r="AB254" s="717"/>
      <c r="AC254" s="717"/>
      <c r="AD254" s="717"/>
      <c r="AE254" s="717"/>
      <c r="AF254" s="717"/>
      <c r="AG254" s="717"/>
      <c r="AH254" s="717"/>
      <c r="AI254" s="717"/>
      <c r="AJ254" s="717"/>
      <c r="AK254" s="717"/>
      <c r="AL254" s="717"/>
      <c r="AM254" s="717"/>
      <c r="AN254" s="717"/>
    </row>
    <row r="255" spans="1:40" ht="15.75" customHeight="1">
      <c r="A255" s="127"/>
      <c r="B255" s="445"/>
      <c r="C255" s="445"/>
      <c r="D255" s="445"/>
      <c r="E255" s="445"/>
      <c r="F255" s="445"/>
      <c r="G255" s="445"/>
      <c r="H255" s="445"/>
      <c r="I255" s="445"/>
      <c r="J255" s="445"/>
      <c r="K255" s="445"/>
      <c r="L255" s="445"/>
      <c r="M255" s="445"/>
      <c r="N255" s="445"/>
      <c r="O255" s="445"/>
      <c r="P255" s="445"/>
      <c r="Q255" s="445"/>
      <c r="R255" s="445"/>
      <c r="S255" s="445"/>
      <c r="T255" s="445"/>
      <c r="U255" s="445"/>
      <c r="V255" s="717"/>
      <c r="W255" s="717"/>
      <c r="X255" s="717"/>
      <c r="Y255" s="717"/>
      <c r="Z255" s="717"/>
      <c r="AA255" s="717"/>
      <c r="AB255" s="717"/>
      <c r="AC255" s="717"/>
      <c r="AD255" s="717"/>
      <c r="AE255" s="717"/>
      <c r="AF255" s="717"/>
      <c r="AG255" s="717"/>
      <c r="AH255" s="717"/>
      <c r="AI255" s="717"/>
      <c r="AJ255" s="717"/>
      <c r="AK255" s="717"/>
      <c r="AL255" s="717"/>
      <c r="AM255" s="717"/>
      <c r="AN255" s="717"/>
    </row>
    <row r="256" spans="1:40" ht="15.75" customHeight="1">
      <c r="A256" s="127"/>
      <c r="B256" s="445"/>
      <c r="C256" s="445"/>
      <c r="D256" s="445"/>
      <c r="E256" s="445"/>
      <c r="F256" s="445"/>
      <c r="G256" s="445"/>
      <c r="H256" s="445"/>
      <c r="I256" s="445"/>
      <c r="J256" s="445"/>
      <c r="K256" s="445"/>
      <c r="L256" s="445"/>
      <c r="M256" s="445"/>
      <c r="N256" s="445"/>
      <c r="O256" s="445"/>
      <c r="P256" s="445"/>
      <c r="Q256" s="445"/>
      <c r="R256" s="445"/>
      <c r="S256" s="445"/>
      <c r="T256" s="445"/>
      <c r="U256" s="445"/>
      <c r="V256" s="717"/>
      <c r="W256" s="717"/>
      <c r="X256" s="717"/>
      <c r="Y256" s="717"/>
      <c r="Z256" s="717"/>
      <c r="AA256" s="717"/>
      <c r="AB256" s="717"/>
      <c r="AC256" s="717"/>
      <c r="AD256" s="717"/>
      <c r="AE256" s="717"/>
      <c r="AF256" s="717"/>
      <c r="AG256" s="717"/>
      <c r="AH256" s="717"/>
      <c r="AI256" s="717"/>
      <c r="AJ256" s="717"/>
      <c r="AK256" s="717"/>
      <c r="AL256" s="717"/>
      <c r="AM256" s="717"/>
      <c r="AN256" s="717"/>
    </row>
    <row r="257" spans="1:40" ht="15.75" customHeight="1">
      <c r="A257" s="127"/>
      <c r="B257" s="445"/>
      <c r="C257" s="445"/>
      <c r="D257" s="445"/>
      <c r="E257" s="445"/>
      <c r="F257" s="445"/>
      <c r="G257" s="445"/>
      <c r="H257" s="445"/>
      <c r="I257" s="445"/>
      <c r="J257" s="445"/>
      <c r="K257" s="445"/>
      <c r="L257" s="445"/>
      <c r="M257" s="445"/>
      <c r="N257" s="445"/>
      <c r="O257" s="445"/>
      <c r="P257" s="445"/>
      <c r="Q257" s="445"/>
      <c r="R257" s="445"/>
      <c r="S257" s="445"/>
      <c r="T257" s="445"/>
      <c r="U257" s="445"/>
      <c r="V257" s="717"/>
      <c r="W257" s="717"/>
      <c r="X257" s="717"/>
      <c r="Y257" s="717"/>
      <c r="Z257" s="717"/>
      <c r="AA257" s="717"/>
      <c r="AB257" s="717"/>
      <c r="AC257" s="717"/>
      <c r="AD257" s="717"/>
      <c r="AE257" s="717"/>
      <c r="AF257" s="717"/>
      <c r="AG257" s="717"/>
      <c r="AH257" s="717"/>
      <c r="AI257" s="717"/>
      <c r="AJ257" s="717"/>
      <c r="AK257" s="717"/>
      <c r="AL257" s="717"/>
      <c r="AM257" s="717"/>
      <c r="AN257" s="717"/>
    </row>
    <row r="258" spans="1:40" ht="15.75" customHeight="1">
      <c r="A258" s="127"/>
      <c r="B258" s="445"/>
      <c r="C258" s="445"/>
      <c r="D258" s="445"/>
      <c r="E258" s="445"/>
      <c r="F258" s="445"/>
      <c r="G258" s="445"/>
      <c r="H258" s="445"/>
      <c r="I258" s="445"/>
      <c r="J258" s="445"/>
      <c r="K258" s="445"/>
      <c r="L258" s="445"/>
      <c r="M258" s="445"/>
      <c r="N258" s="445"/>
      <c r="O258" s="445"/>
      <c r="P258" s="445"/>
      <c r="Q258" s="445"/>
      <c r="R258" s="445"/>
      <c r="S258" s="445"/>
      <c r="T258" s="445"/>
      <c r="U258" s="445"/>
      <c r="V258" s="717"/>
      <c r="W258" s="717"/>
      <c r="X258" s="717"/>
      <c r="Y258" s="717"/>
      <c r="Z258" s="717"/>
      <c r="AA258" s="717"/>
      <c r="AB258" s="717"/>
      <c r="AC258" s="717"/>
      <c r="AD258" s="717"/>
      <c r="AE258" s="717"/>
      <c r="AF258" s="717"/>
      <c r="AG258" s="717"/>
      <c r="AH258" s="717"/>
      <c r="AI258" s="717"/>
      <c r="AJ258" s="717"/>
      <c r="AK258" s="717"/>
      <c r="AL258" s="717"/>
      <c r="AM258" s="717"/>
      <c r="AN258" s="717"/>
    </row>
    <row r="259" spans="1:40" ht="15.75" customHeight="1">
      <c r="A259" s="127"/>
      <c r="B259" s="445"/>
      <c r="C259" s="445"/>
      <c r="D259" s="445"/>
      <c r="E259" s="445"/>
      <c r="F259" s="445"/>
      <c r="G259" s="445"/>
      <c r="H259" s="445"/>
      <c r="I259" s="445"/>
      <c r="J259" s="445"/>
      <c r="K259" s="445"/>
      <c r="L259" s="445"/>
      <c r="M259" s="445"/>
      <c r="N259" s="445"/>
      <c r="O259" s="445"/>
      <c r="P259" s="445"/>
      <c r="Q259" s="445"/>
      <c r="R259" s="445"/>
      <c r="S259" s="445"/>
      <c r="T259" s="445"/>
      <c r="U259" s="445"/>
      <c r="V259" s="717"/>
      <c r="W259" s="717"/>
      <c r="X259" s="717"/>
      <c r="Y259" s="717"/>
      <c r="Z259" s="717"/>
      <c r="AA259" s="717"/>
      <c r="AB259" s="717"/>
      <c r="AC259" s="717"/>
      <c r="AD259" s="717"/>
      <c r="AE259" s="717"/>
      <c r="AF259" s="717"/>
      <c r="AG259" s="717"/>
      <c r="AH259" s="717"/>
      <c r="AI259" s="717"/>
      <c r="AJ259" s="717"/>
      <c r="AK259" s="717"/>
      <c r="AL259" s="717"/>
      <c r="AM259" s="717"/>
      <c r="AN259" s="717"/>
    </row>
    <row r="260" spans="1:40" ht="15.75" customHeight="1">
      <c r="A260" s="127"/>
      <c r="B260" s="445"/>
      <c r="C260" s="445"/>
      <c r="D260" s="445"/>
      <c r="E260" s="445"/>
      <c r="F260" s="445"/>
      <c r="G260" s="445"/>
      <c r="H260" s="445"/>
      <c r="I260" s="445"/>
      <c r="J260" s="445"/>
      <c r="K260" s="445"/>
      <c r="L260" s="445"/>
      <c r="M260" s="445"/>
      <c r="N260" s="445"/>
      <c r="O260" s="445"/>
      <c r="P260" s="445"/>
      <c r="Q260" s="445"/>
      <c r="R260" s="445"/>
      <c r="S260" s="445"/>
      <c r="T260" s="445"/>
      <c r="U260" s="445"/>
      <c r="V260" s="717"/>
      <c r="W260" s="717"/>
      <c r="X260" s="717"/>
      <c r="Y260" s="717"/>
      <c r="Z260" s="717"/>
      <c r="AA260" s="717"/>
      <c r="AB260" s="717"/>
      <c r="AC260" s="717"/>
      <c r="AD260" s="717"/>
      <c r="AE260" s="717"/>
      <c r="AF260" s="717"/>
      <c r="AG260" s="717"/>
      <c r="AH260" s="717"/>
      <c r="AI260" s="717"/>
      <c r="AJ260" s="717"/>
      <c r="AK260" s="717"/>
      <c r="AL260" s="717"/>
      <c r="AM260" s="717"/>
      <c r="AN260" s="717"/>
    </row>
    <row r="261" spans="1:40" ht="15.75" customHeight="1">
      <c r="A261" s="127"/>
      <c r="B261" s="445"/>
      <c r="C261" s="445"/>
      <c r="D261" s="445"/>
      <c r="E261" s="445"/>
      <c r="F261" s="445"/>
      <c r="G261" s="445"/>
      <c r="H261" s="445"/>
      <c r="I261" s="445"/>
      <c r="J261" s="445"/>
      <c r="K261" s="445"/>
      <c r="L261" s="445"/>
      <c r="M261" s="445"/>
      <c r="N261" s="445"/>
      <c r="O261" s="445"/>
      <c r="P261" s="445"/>
      <c r="Q261" s="445"/>
      <c r="R261" s="445"/>
      <c r="S261" s="445"/>
      <c r="T261" s="445"/>
      <c r="U261" s="445"/>
      <c r="V261" s="717"/>
      <c r="W261" s="717"/>
      <c r="X261" s="717"/>
      <c r="Y261" s="717"/>
      <c r="Z261" s="717"/>
      <c r="AA261" s="717"/>
      <c r="AB261" s="717"/>
      <c r="AC261" s="717"/>
      <c r="AD261" s="717"/>
      <c r="AE261" s="717"/>
      <c r="AF261" s="717"/>
      <c r="AG261" s="717"/>
      <c r="AH261" s="717"/>
      <c r="AI261" s="717"/>
      <c r="AJ261" s="717"/>
      <c r="AK261" s="717"/>
      <c r="AL261" s="717"/>
      <c r="AM261" s="717"/>
      <c r="AN261" s="717"/>
    </row>
    <row r="262" spans="1:40" ht="15.75" customHeight="1">
      <c r="A262" s="127"/>
      <c r="B262" s="445"/>
      <c r="C262" s="445"/>
      <c r="D262" s="445"/>
      <c r="E262" s="445"/>
      <c r="F262" s="445"/>
      <c r="G262" s="445"/>
      <c r="H262" s="445"/>
      <c r="I262" s="445"/>
      <c r="J262" s="445"/>
      <c r="K262" s="445"/>
      <c r="L262" s="445"/>
      <c r="M262" s="445"/>
      <c r="N262" s="445"/>
      <c r="O262" s="445"/>
      <c r="P262" s="445"/>
      <c r="Q262" s="445"/>
      <c r="R262" s="445"/>
      <c r="S262" s="445"/>
      <c r="T262" s="445"/>
      <c r="U262" s="445"/>
      <c r="V262" s="717"/>
      <c r="W262" s="717"/>
      <c r="X262" s="717"/>
      <c r="Y262" s="717"/>
      <c r="Z262" s="717"/>
      <c r="AA262" s="717"/>
      <c r="AB262" s="717"/>
      <c r="AC262" s="717"/>
      <c r="AD262" s="717"/>
      <c r="AE262" s="717"/>
      <c r="AF262" s="717"/>
      <c r="AG262" s="717"/>
      <c r="AH262" s="717"/>
      <c r="AI262" s="717"/>
      <c r="AJ262" s="717"/>
      <c r="AK262" s="717"/>
      <c r="AL262" s="717"/>
      <c r="AM262" s="717"/>
      <c r="AN262" s="717"/>
    </row>
    <row r="263" spans="1:40" ht="15.75" customHeight="1">
      <c r="A263" s="127"/>
      <c r="B263" s="445"/>
      <c r="C263" s="445"/>
      <c r="D263" s="445"/>
      <c r="E263" s="445"/>
      <c r="F263" s="445"/>
      <c r="G263" s="445"/>
      <c r="H263" s="445"/>
      <c r="I263" s="445"/>
      <c r="J263" s="445"/>
      <c r="K263" s="445"/>
      <c r="L263" s="445"/>
      <c r="M263" s="445"/>
      <c r="N263" s="445"/>
      <c r="O263" s="445"/>
      <c r="P263" s="445"/>
      <c r="Q263" s="445"/>
      <c r="R263" s="445"/>
      <c r="S263" s="445"/>
      <c r="T263" s="445"/>
      <c r="U263" s="445"/>
      <c r="V263" s="717"/>
      <c r="W263" s="717"/>
      <c r="X263" s="717"/>
      <c r="Y263" s="717"/>
      <c r="Z263" s="717"/>
      <c r="AA263" s="717"/>
      <c r="AB263" s="717"/>
      <c r="AC263" s="717"/>
      <c r="AD263" s="717"/>
      <c r="AE263" s="717"/>
      <c r="AF263" s="717"/>
      <c r="AG263" s="717"/>
      <c r="AH263" s="717"/>
      <c r="AI263" s="717"/>
      <c r="AJ263" s="717"/>
      <c r="AK263" s="717"/>
      <c r="AL263" s="717"/>
      <c r="AM263" s="717"/>
      <c r="AN263" s="717"/>
    </row>
    <row r="264" spans="1:40" ht="15.75" customHeight="1">
      <c r="A264" s="127"/>
      <c r="B264" s="445"/>
      <c r="C264" s="445"/>
      <c r="D264" s="445"/>
      <c r="E264" s="445"/>
      <c r="F264" s="445"/>
      <c r="G264" s="445"/>
      <c r="H264" s="445"/>
      <c r="I264" s="445"/>
      <c r="J264" s="445"/>
      <c r="K264" s="445"/>
      <c r="L264" s="445"/>
      <c r="M264" s="445"/>
      <c r="N264" s="445"/>
      <c r="O264" s="445"/>
      <c r="P264" s="445"/>
      <c r="Q264" s="445"/>
      <c r="R264" s="445"/>
      <c r="S264" s="445"/>
      <c r="T264" s="445"/>
      <c r="U264" s="445"/>
      <c r="V264" s="717"/>
      <c r="W264" s="717"/>
      <c r="X264" s="717"/>
      <c r="Y264" s="717"/>
      <c r="Z264" s="717"/>
      <c r="AA264" s="717"/>
      <c r="AB264" s="717"/>
      <c r="AC264" s="717"/>
      <c r="AD264" s="717"/>
      <c r="AE264" s="717"/>
      <c r="AF264" s="717"/>
      <c r="AG264" s="717"/>
      <c r="AH264" s="717"/>
      <c r="AI264" s="717"/>
      <c r="AJ264" s="717"/>
      <c r="AK264" s="717"/>
      <c r="AL264" s="717"/>
      <c r="AM264" s="717"/>
      <c r="AN264" s="717"/>
    </row>
    <row r="265" spans="1:40" ht="15.75" customHeight="1"/>
    <row r="266" spans="1:40" ht="15.75" customHeight="1"/>
    <row r="267" spans="1:40" ht="15.75" customHeight="1"/>
    <row r="268" spans="1:40" ht="15.75" customHeight="1"/>
    <row r="269" spans="1:40" ht="15.75" customHeight="1"/>
    <row r="270" spans="1:40" ht="15.75" customHeight="1"/>
    <row r="271" spans="1:40" ht="15.75" customHeight="1"/>
    <row r="272" spans="1:4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54" xr:uid="{00000000-0001-0000-0400-000000000000}">
    <filterColumn colId="1">
      <filters>
        <filter val="Hamza khot"/>
      </filters>
    </filterColumn>
    <sortState xmlns:xlrd2="http://schemas.microsoft.com/office/spreadsheetml/2017/richdata2" ref="A54:AN54">
      <sortCondition descending="1" ref="AJ1:AJ54"/>
    </sortState>
  </autoFilter>
  <pageMargins left="0.7" right="0.7" top="0.75" bottom="0.75" header="0" footer="0"/>
  <pageSetup orientation="portrait" r:id="rId1"/>
  <ignoredErrors>
    <ignoredError sqref="V5" formulaRange="1"/>
    <ignoredError sqref="AJ6:AJ53 AN5 AJ55" formula="1"/>
    <ignoredError sqref="AJ5" formula="1" formulaRange="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XEB981"/>
  <sheetViews>
    <sheetView zoomScale="93" zoomScaleNormal="94" workbookViewId="0">
      <pane xSplit="5" ySplit="1" topLeftCell="AB28" activePane="bottomRight" state="frozen"/>
      <selection pane="topRight" activeCell="F1" sqref="F1"/>
      <selection pane="bottomLeft" activeCell="A2" sqref="A2"/>
      <selection pane="bottomRight" activeCell="AD28" sqref="AD28:AH28"/>
    </sheetView>
  </sheetViews>
  <sheetFormatPr defaultColWidth="12" defaultRowHeight="15" customHeight="1"/>
  <cols>
    <col min="1" max="1" width="6" style="1000" customWidth="1"/>
    <col min="2" max="2" width="31.5" style="1123" customWidth="1"/>
    <col min="3" max="3" width="19.19921875" style="1123" customWidth="1"/>
    <col min="4" max="6" width="12" style="1000"/>
    <col min="7" max="7" width="25.5" style="1000" customWidth="1"/>
    <col min="8" max="12" width="12" style="1000"/>
    <col min="13" max="14" width="12" style="1052"/>
    <col min="15" max="15" width="12.59765625" style="1052" customWidth="1"/>
    <col min="16" max="16" width="12.8984375" style="1000" customWidth="1"/>
    <col min="17" max="17" width="11" style="1052" customWidth="1"/>
    <col min="18" max="19" width="9.59765625" style="1052" customWidth="1"/>
    <col min="20" max="20" width="10.19921875" style="1052" customWidth="1"/>
    <col min="21" max="21" width="25.5" style="1000" customWidth="1"/>
    <col min="22" max="22" width="9.69921875" style="1000" customWidth="1"/>
    <col min="23" max="23" width="8.69921875" style="1000" customWidth="1"/>
    <col min="24" max="24" width="14.8984375" style="1000" customWidth="1"/>
    <col min="25" max="25" width="11.5" style="1000" customWidth="1"/>
    <col min="26" max="26" width="9.69921875" style="1000" customWidth="1"/>
    <col min="27" max="27" width="12" style="1000" customWidth="1"/>
    <col min="28" max="28" width="10.09765625" style="1000" customWidth="1"/>
    <col min="29" max="29" width="9.5" style="1000" customWidth="1"/>
    <col min="30" max="30" width="9.19921875" style="1000" customWidth="1"/>
    <col min="31" max="31" width="9.8984375" style="1000" customWidth="1"/>
    <col min="32" max="32" width="9.69921875" style="1000" customWidth="1"/>
    <col min="33" max="34" width="12" style="1000" customWidth="1"/>
    <col min="35" max="16384" width="12" style="1000"/>
  </cols>
  <sheetData>
    <row r="1" spans="1:42" ht="75" customHeight="1">
      <c r="A1" s="699" t="s">
        <v>0</v>
      </c>
      <c r="B1" s="700" t="s">
        <v>1</v>
      </c>
      <c r="C1" s="700" t="s">
        <v>48</v>
      </c>
      <c r="D1" s="700" t="s">
        <v>2</v>
      </c>
      <c r="E1" s="700" t="s">
        <v>3</v>
      </c>
      <c r="F1" s="701" t="s">
        <v>265</v>
      </c>
      <c r="G1" s="701" t="s">
        <v>266</v>
      </c>
      <c r="H1" s="700" t="s">
        <v>4</v>
      </c>
      <c r="I1" s="700" t="s">
        <v>49</v>
      </c>
      <c r="J1" s="700" t="s">
        <v>50</v>
      </c>
      <c r="K1" s="700" t="s">
        <v>51</v>
      </c>
      <c r="L1" s="707" t="s">
        <v>52</v>
      </c>
      <c r="M1" s="707" t="s">
        <v>53</v>
      </c>
      <c r="N1" s="707" t="s">
        <v>8</v>
      </c>
      <c r="O1" s="707" t="s">
        <v>9</v>
      </c>
      <c r="P1" s="707" t="s">
        <v>10</v>
      </c>
      <c r="Q1" s="707" t="s">
        <v>591</v>
      </c>
      <c r="R1" s="990" t="s">
        <v>12</v>
      </c>
      <c r="S1" s="990" t="s">
        <v>13</v>
      </c>
      <c r="T1" s="990" t="s">
        <v>14</v>
      </c>
      <c r="U1" s="707" t="s">
        <v>699</v>
      </c>
      <c r="V1" s="707" t="s">
        <v>318</v>
      </c>
      <c r="W1" s="707" t="s">
        <v>319</v>
      </c>
      <c r="X1" s="707" t="s">
        <v>268</v>
      </c>
      <c r="Y1" s="707" t="s">
        <v>320</v>
      </c>
      <c r="Z1" s="707" t="s">
        <v>321</v>
      </c>
      <c r="AA1" s="707" t="s">
        <v>322</v>
      </c>
      <c r="AB1" s="707" t="s">
        <v>323</v>
      </c>
      <c r="AC1" s="707" t="s">
        <v>324</v>
      </c>
      <c r="AD1" s="707" t="s">
        <v>325</v>
      </c>
      <c r="AE1" s="707" t="s">
        <v>326</v>
      </c>
      <c r="AF1" s="707" t="s">
        <v>327</v>
      </c>
      <c r="AG1" s="707" t="s">
        <v>914</v>
      </c>
      <c r="AH1" s="707" t="s">
        <v>328</v>
      </c>
      <c r="AI1" s="707" t="s">
        <v>329</v>
      </c>
      <c r="AJ1" s="707" t="s">
        <v>330</v>
      </c>
      <c r="AK1" s="707" t="s">
        <v>967</v>
      </c>
      <c r="AL1" s="707" t="s">
        <v>281</v>
      </c>
      <c r="AM1" s="707" t="s">
        <v>194</v>
      </c>
      <c r="AN1" s="707" t="s">
        <v>195</v>
      </c>
      <c r="AO1" s="707" t="s">
        <v>196</v>
      </c>
      <c r="AP1" s="707" t="s">
        <v>197</v>
      </c>
    </row>
    <row r="2" spans="1:42" ht="21" hidden="1" customHeight="1">
      <c r="A2" s="993">
        <v>47</v>
      </c>
      <c r="B2" s="992" t="s">
        <v>921</v>
      </c>
      <c r="C2" s="992" t="s">
        <v>224</v>
      </c>
      <c r="D2" s="992">
        <v>6000</v>
      </c>
      <c r="E2" s="992">
        <v>4000</v>
      </c>
      <c r="F2" s="994">
        <v>45428</v>
      </c>
      <c r="G2" s="994">
        <v>46158</v>
      </c>
      <c r="H2" s="994" t="s">
        <v>282</v>
      </c>
      <c r="I2" s="1037" t="s">
        <v>30</v>
      </c>
      <c r="J2" s="1037" t="s">
        <v>30</v>
      </c>
      <c r="K2" s="1037" t="s">
        <v>30</v>
      </c>
      <c r="L2" s="1037" t="s">
        <v>30</v>
      </c>
      <c r="M2" s="1037" t="s">
        <v>30</v>
      </c>
      <c r="N2" s="1037" t="s">
        <v>30</v>
      </c>
      <c r="O2" s="1037" t="s">
        <v>30</v>
      </c>
      <c r="P2" s="1037" t="s">
        <v>30</v>
      </c>
      <c r="Q2" s="995">
        <v>1076</v>
      </c>
      <c r="R2" s="995">
        <v>4000</v>
      </c>
      <c r="S2" s="711">
        <f>E2/22*13</f>
        <v>2363.6363636363635</v>
      </c>
      <c r="T2" s="711">
        <f>E2/22*22</f>
        <v>4000</v>
      </c>
      <c r="U2" s="992"/>
      <c r="V2" s="996"/>
      <c r="W2" s="996"/>
      <c r="X2" s="1039"/>
      <c r="Y2" s="1040"/>
      <c r="Z2" s="1040"/>
      <c r="AA2" s="1040"/>
      <c r="AB2" s="1041"/>
      <c r="AC2" s="1041"/>
      <c r="AD2" s="1041"/>
      <c r="AE2" s="1040"/>
      <c r="AF2" s="1039"/>
      <c r="AG2" s="1039"/>
      <c r="AH2" s="1039"/>
      <c r="AI2" s="1018"/>
      <c r="AJ2" s="1039"/>
      <c r="AK2" s="1039"/>
      <c r="AL2" s="1039"/>
      <c r="AM2" s="1039"/>
      <c r="AN2" s="1039"/>
      <c r="AO2" s="1039"/>
      <c r="AP2" s="1039"/>
    </row>
    <row r="3" spans="1:42" ht="21" hidden="1" customHeight="1">
      <c r="A3" s="139">
        <v>26</v>
      </c>
      <c r="B3" s="128" t="s">
        <v>294</v>
      </c>
      <c r="C3" s="128" t="s">
        <v>341</v>
      </c>
      <c r="D3" s="128">
        <v>10000</v>
      </c>
      <c r="E3" s="128">
        <v>6000</v>
      </c>
      <c r="F3" s="118">
        <v>45227</v>
      </c>
      <c r="G3" s="118">
        <v>45775</v>
      </c>
      <c r="H3" s="128" t="s">
        <v>282</v>
      </c>
      <c r="I3" s="1017">
        <v>4000</v>
      </c>
      <c r="J3" s="1017">
        <v>4000</v>
      </c>
      <c r="K3" s="1017">
        <v>4000</v>
      </c>
      <c r="L3" s="1017">
        <f>4000/23*22</f>
        <v>3826.086956521739</v>
      </c>
      <c r="M3" s="1017">
        <v>6000</v>
      </c>
      <c r="N3" s="1017">
        <f>E3/21*21</f>
        <v>6000</v>
      </c>
      <c r="O3" s="1017">
        <f>E3/22*21</f>
        <v>5727.2727272727279</v>
      </c>
      <c r="P3" s="711">
        <f>E3/22*22</f>
        <v>6000</v>
      </c>
      <c r="Q3" s="708">
        <f>E3/22*22</f>
        <v>6000</v>
      </c>
      <c r="R3" s="708">
        <f>E3/22*22</f>
        <v>6000</v>
      </c>
      <c r="S3" s="711">
        <f>E3/22*18</f>
        <v>4909.0909090909099</v>
      </c>
      <c r="T3" s="711">
        <f>E3/22*22</f>
        <v>6000</v>
      </c>
      <c r="U3" s="991"/>
      <c r="V3" s="170"/>
      <c r="W3" s="170"/>
      <c r="X3" s="1019">
        <f>SUM(I3:V3)</f>
        <v>62462.450592885376</v>
      </c>
      <c r="Y3" s="1019"/>
      <c r="Z3" s="1019"/>
      <c r="AA3" s="1019"/>
      <c r="AB3" s="1019"/>
      <c r="AC3" s="1019"/>
      <c r="AD3" s="1019"/>
      <c r="AE3" s="1019"/>
      <c r="AF3" s="1019"/>
      <c r="AG3" s="1018"/>
      <c r="AH3" s="1019"/>
      <c r="AI3" s="1018"/>
      <c r="AJ3" s="1019"/>
      <c r="AK3" s="1019"/>
      <c r="AL3" s="1019"/>
      <c r="AM3" s="1019"/>
      <c r="AN3" s="1019"/>
      <c r="AO3" s="1019"/>
      <c r="AP3" s="1019"/>
    </row>
    <row r="4" spans="1:42" ht="21" hidden="1" customHeight="1">
      <c r="A4" s="139">
        <v>4</v>
      </c>
      <c r="B4" s="128" t="s">
        <v>331</v>
      </c>
      <c r="C4" s="128" t="s">
        <v>332</v>
      </c>
      <c r="D4" s="128">
        <v>6000</v>
      </c>
      <c r="E4" s="128">
        <v>6000</v>
      </c>
      <c r="F4" s="118">
        <v>45476</v>
      </c>
      <c r="G4" s="118"/>
      <c r="H4" s="128" t="s">
        <v>282</v>
      </c>
      <c r="I4" s="1017"/>
      <c r="J4" s="708"/>
      <c r="K4" s="708"/>
      <c r="L4" s="711"/>
      <c r="M4" s="708"/>
      <c r="N4" s="708"/>
      <c r="O4" s="711">
        <f>4000/22*21.5</f>
        <v>3909.090909090909</v>
      </c>
      <c r="P4" s="711">
        <f>4000/22*20.5</f>
        <v>3727.272727272727</v>
      </c>
      <c r="Q4" s="711">
        <f>4000/22*20</f>
        <v>3636.363636363636</v>
      </c>
      <c r="R4" s="711">
        <f>4000/22*7</f>
        <v>1272.7272727272727</v>
      </c>
      <c r="S4" s="965">
        <f>E4/21*16+1426</f>
        <v>5997.4285714285716</v>
      </c>
      <c r="T4" s="965">
        <f>E4/22*21.5</f>
        <v>5863.636363636364</v>
      </c>
      <c r="U4" s="128" t="s">
        <v>957</v>
      </c>
      <c r="V4" s="170"/>
      <c r="W4" s="170"/>
      <c r="X4" s="1018"/>
      <c r="Y4" s="1018"/>
      <c r="Z4" s="1018"/>
      <c r="AA4" s="1018"/>
      <c r="AB4" s="1019"/>
      <c r="AC4" s="1019"/>
      <c r="AD4" s="1019"/>
      <c r="AE4" s="1018"/>
      <c r="AF4" s="1018"/>
      <c r="AG4" s="1018"/>
      <c r="AH4" s="1018">
        <f>E4/21*5</f>
        <v>1428.5714285714287</v>
      </c>
      <c r="AI4" s="1020">
        <v>4473.6190476190477</v>
      </c>
      <c r="AJ4" s="1014">
        <f>T4</f>
        <v>5863.636363636364</v>
      </c>
      <c r="AK4" s="1018"/>
      <c r="AL4" s="1018"/>
      <c r="AM4" s="1018"/>
      <c r="AN4" s="1018"/>
      <c r="AO4" s="1018"/>
      <c r="AP4" s="1018"/>
    </row>
    <row r="5" spans="1:42" ht="30.75" hidden="1" customHeight="1">
      <c r="A5" s="1124">
        <v>21</v>
      </c>
      <c r="B5" s="128" t="s">
        <v>286</v>
      </c>
      <c r="C5" s="128" t="s">
        <v>76</v>
      </c>
      <c r="D5" s="128">
        <v>10000</v>
      </c>
      <c r="E5" s="128">
        <v>6000</v>
      </c>
      <c r="F5" s="118">
        <v>45271</v>
      </c>
      <c r="G5" s="118">
        <v>45819</v>
      </c>
      <c r="H5" s="128" t="s">
        <v>282</v>
      </c>
      <c r="I5" s="1017">
        <f>4000/27*20</f>
        <v>2962.962962962963</v>
      </c>
      <c r="J5" s="708">
        <v>4000</v>
      </c>
      <c r="K5" s="708">
        <v>4000</v>
      </c>
      <c r="L5" s="711">
        <f>4000/23*20</f>
        <v>3478.2608695652175</v>
      </c>
      <c r="M5" s="711">
        <f>4000/22*20</f>
        <v>3636.363636363636</v>
      </c>
      <c r="N5" s="212">
        <v>0</v>
      </c>
      <c r="O5" s="212">
        <v>3000</v>
      </c>
      <c r="P5" s="212">
        <v>0</v>
      </c>
      <c r="Q5" s="711">
        <v>0</v>
      </c>
      <c r="R5" s="711">
        <v>0</v>
      </c>
      <c r="S5" s="711">
        <v>0</v>
      </c>
      <c r="T5" s="711">
        <v>3000</v>
      </c>
      <c r="U5" s="991" t="s">
        <v>941</v>
      </c>
      <c r="V5" s="170"/>
      <c r="W5" s="170"/>
      <c r="X5" s="1018">
        <f>SUM(I5:V5)+'[2]2023'!T9</f>
        <v>25837.587468891819</v>
      </c>
      <c r="Y5" s="1018"/>
      <c r="Z5" s="1018"/>
      <c r="AA5" s="1018"/>
      <c r="AB5" s="1019"/>
      <c r="AC5" s="1019"/>
      <c r="AD5" s="1019"/>
      <c r="AE5" s="1018"/>
      <c r="AF5" s="1018"/>
      <c r="AG5" s="1018"/>
      <c r="AH5" s="1018"/>
      <c r="AI5" s="1018"/>
      <c r="AJ5" s="1018"/>
      <c r="AK5" s="1018"/>
      <c r="AL5" s="1014"/>
      <c r="AM5" s="1014"/>
      <c r="AN5" s="1014"/>
      <c r="AO5" s="1014"/>
      <c r="AP5" s="1014"/>
    </row>
    <row r="6" spans="1:42" ht="21.6" hidden="1" customHeight="1">
      <c r="A6" s="139">
        <v>14</v>
      </c>
      <c r="B6" s="52" t="s">
        <v>206</v>
      </c>
      <c r="C6" s="52" t="s">
        <v>86</v>
      </c>
      <c r="D6" s="52">
        <v>25000</v>
      </c>
      <c r="E6" s="52">
        <v>5000</v>
      </c>
      <c r="F6" s="119">
        <v>44817</v>
      </c>
      <c r="G6" s="119">
        <v>45182</v>
      </c>
      <c r="H6" s="52" t="s">
        <v>282</v>
      </c>
      <c r="I6" s="610">
        <f>E6/23*18</f>
        <v>3913.0434782608695</v>
      </c>
      <c r="J6" s="54">
        <v>5000</v>
      </c>
      <c r="K6" s="1024">
        <v>4000</v>
      </c>
      <c r="L6" s="54">
        <v>3000</v>
      </c>
      <c r="M6" s="54">
        <v>3000</v>
      </c>
      <c r="N6" s="54">
        <f>E6/21*21</f>
        <v>5000</v>
      </c>
      <c r="O6" s="965">
        <v>0</v>
      </c>
      <c r="P6" s="965">
        <v>0</v>
      </c>
      <c r="Q6" s="711">
        <v>0</v>
      </c>
      <c r="R6" s="965">
        <v>0</v>
      </c>
      <c r="S6" s="965">
        <f>E6/22*21</f>
        <v>4772.727272727273</v>
      </c>
      <c r="T6" s="965">
        <v>0</v>
      </c>
      <c r="U6" s="991" t="s">
        <v>954</v>
      </c>
      <c r="V6" s="716"/>
      <c r="W6" s="716"/>
      <c r="X6" s="1014">
        <f>SUM(I6:V6)</f>
        <v>28685.770750988144</v>
      </c>
      <c r="Y6" s="1014">
        <f>'[3]2022'!U10</f>
        <v>29090.909090909099</v>
      </c>
      <c r="Z6" s="1014">
        <f>I6</f>
        <v>3913.0434782608695</v>
      </c>
      <c r="AA6" s="1014">
        <v>5000</v>
      </c>
      <c r="AB6" s="1015">
        <v>4000</v>
      </c>
      <c r="AC6" s="1016">
        <f>L6</f>
        <v>3000</v>
      </c>
      <c r="AD6" s="1016">
        <f>M6</f>
        <v>3000</v>
      </c>
      <c r="AE6" s="880">
        <f>N6</f>
        <v>5000</v>
      </c>
      <c r="AF6" s="880">
        <f t="shared" ref="AF6:AH8" si="0">P6</f>
        <v>0</v>
      </c>
      <c r="AG6" s="1014">
        <f t="shared" si="0"/>
        <v>0</v>
      </c>
      <c r="AH6" s="1014">
        <f t="shared" si="0"/>
        <v>0</v>
      </c>
      <c r="AI6" s="1014"/>
      <c r="AJ6" s="1014">
        <f>T6</f>
        <v>0</v>
      </c>
      <c r="AK6" s="1014">
        <f>V6</f>
        <v>0</v>
      </c>
      <c r="AL6" s="1014"/>
      <c r="AM6" s="1014"/>
      <c r="AN6" s="1014"/>
      <c r="AO6" s="1014"/>
      <c r="AP6" s="1014"/>
    </row>
    <row r="7" spans="1:42" ht="41.4" hidden="1">
      <c r="A7" s="993">
        <v>55</v>
      </c>
      <c r="B7" s="705" t="s">
        <v>315</v>
      </c>
      <c r="C7" s="705" t="s">
        <v>316</v>
      </c>
      <c r="D7" s="705">
        <v>20000</v>
      </c>
      <c r="E7" s="705">
        <v>5000</v>
      </c>
      <c r="F7" s="706">
        <v>45061</v>
      </c>
      <c r="G7" s="705"/>
      <c r="H7" s="705" t="s">
        <v>282</v>
      </c>
      <c r="I7" s="1030">
        <f>E7/23*16</f>
        <v>3478.2608695652175</v>
      </c>
      <c r="J7" s="964">
        <v>6000</v>
      </c>
      <c r="K7" s="964">
        <v>6000</v>
      </c>
      <c r="L7" s="212">
        <f>E7/23*22</f>
        <v>4782.608695652174</v>
      </c>
      <c r="M7" s="967">
        <v>5000</v>
      </c>
      <c r="N7" s="967">
        <f>E7/21*21</f>
        <v>5000</v>
      </c>
      <c r="O7" s="967">
        <v>2000</v>
      </c>
      <c r="P7" s="967">
        <f>E7/22*22</f>
        <v>5000</v>
      </c>
      <c r="Q7" s="967">
        <f>E7/22*19</f>
        <v>4318.181818181818</v>
      </c>
      <c r="R7" s="964">
        <f>E7/22*22</f>
        <v>5000</v>
      </c>
      <c r="S7" s="965">
        <f>E7/22*21.5</f>
        <v>4886.3636363636369</v>
      </c>
      <c r="T7" s="965">
        <f>E7/22*22</f>
        <v>5000</v>
      </c>
      <c r="U7" s="705"/>
      <c r="V7" s="705"/>
      <c r="W7" s="716"/>
      <c r="X7" s="1014">
        <f>SUM(I7:V7)</f>
        <v>56465.415019762848</v>
      </c>
      <c r="Y7" s="1014"/>
      <c r="Z7" s="1014">
        <f>I7</f>
        <v>3478.2608695652175</v>
      </c>
      <c r="AA7" s="1014">
        <v>0</v>
      </c>
      <c r="AB7" s="1043">
        <v>6000</v>
      </c>
      <c r="AC7" s="1016" t="s">
        <v>355</v>
      </c>
      <c r="AD7" s="1016">
        <v>5000</v>
      </c>
      <c r="AE7" s="880">
        <f>N7</f>
        <v>5000</v>
      </c>
      <c r="AF7" s="880">
        <f t="shared" si="0"/>
        <v>5000</v>
      </c>
      <c r="AG7" s="1014">
        <f t="shared" si="0"/>
        <v>4318.181818181818</v>
      </c>
      <c r="AH7" s="1014">
        <f t="shared" si="0"/>
        <v>5000</v>
      </c>
      <c r="AI7" s="1014">
        <f>S7</f>
        <v>4886.3636363636369</v>
      </c>
      <c r="AJ7" s="1014">
        <f>T7</f>
        <v>5000</v>
      </c>
      <c r="AK7" s="1014">
        <f>V7</f>
        <v>0</v>
      </c>
      <c r="AL7" s="1018"/>
      <c r="AM7" s="1018"/>
      <c r="AN7" s="1018"/>
      <c r="AO7" s="1018"/>
      <c r="AP7" s="1018"/>
    </row>
    <row r="8" spans="1:42" ht="33" hidden="1" customHeight="1">
      <c r="A8" s="139">
        <v>5</v>
      </c>
      <c r="B8" s="52" t="s">
        <v>198</v>
      </c>
      <c r="C8" s="52" t="s">
        <v>332</v>
      </c>
      <c r="D8" s="52">
        <v>12000</v>
      </c>
      <c r="E8" s="52">
        <v>9000</v>
      </c>
      <c r="F8" s="52"/>
      <c r="G8" s="52"/>
      <c r="H8" s="52" t="s">
        <v>282</v>
      </c>
      <c r="I8" s="610">
        <f>E8/22*18</f>
        <v>7363.6363636363631</v>
      </c>
      <c r="J8" s="1021">
        <v>2000</v>
      </c>
      <c r="K8" s="54">
        <v>9000</v>
      </c>
      <c r="L8" s="965">
        <v>9000</v>
      </c>
      <c r="M8" s="967">
        <v>9000</v>
      </c>
      <c r="N8" s="967">
        <f>E8/21*15</f>
        <v>6428.5714285714284</v>
      </c>
      <c r="O8" s="967">
        <v>8000</v>
      </c>
      <c r="P8" s="967">
        <v>7000</v>
      </c>
      <c r="Q8" s="965">
        <f>E8/22*19.5</f>
        <v>7977.272727272727</v>
      </c>
      <c r="R8" s="965">
        <f>E8/22*22</f>
        <v>9000</v>
      </c>
      <c r="S8" s="965">
        <f>E8/22*6</f>
        <v>2454.5454545454545</v>
      </c>
      <c r="T8" s="965">
        <f>E8/22*19-1000</f>
        <v>6772.7272727272721</v>
      </c>
      <c r="U8" s="52" t="s">
        <v>961</v>
      </c>
      <c r="V8" s="52" t="s">
        <v>959</v>
      </c>
      <c r="W8" s="52"/>
      <c r="X8" s="880">
        <f>SUM(I8:V8)</f>
        <v>83996.753246753244</v>
      </c>
      <c r="Y8" s="880">
        <f>'[3]2022'!U2</f>
        <v>20000</v>
      </c>
      <c r="Z8" s="880">
        <f>I8</f>
        <v>7363.6363636363631</v>
      </c>
      <c r="AA8" s="880">
        <v>2000</v>
      </c>
      <c r="AB8" s="1022">
        <v>9000</v>
      </c>
      <c r="AC8" s="1016">
        <f>M8</f>
        <v>9000</v>
      </c>
      <c r="AD8" s="64">
        <f>M8</f>
        <v>9000</v>
      </c>
      <c r="AE8" s="880">
        <f>N8</f>
        <v>6428.5714285714284</v>
      </c>
      <c r="AF8" s="880">
        <f t="shared" si="0"/>
        <v>7000</v>
      </c>
      <c r="AG8" s="1014">
        <f t="shared" si="0"/>
        <v>7977.272727272727</v>
      </c>
      <c r="AH8" s="880">
        <f t="shared" si="0"/>
        <v>9000</v>
      </c>
      <c r="AI8" s="1014">
        <f>S8</f>
        <v>2454.5454545454545</v>
      </c>
      <c r="AJ8" s="1014">
        <f>T8</f>
        <v>6772.7272727272721</v>
      </c>
      <c r="AK8" s="880"/>
      <c r="AL8" s="1014"/>
      <c r="AM8" s="1014"/>
      <c r="AN8" s="1014"/>
      <c r="AO8" s="1014"/>
      <c r="AP8" s="1014"/>
    </row>
    <row r="9" spans="1:42" ht="34.950000000000003" hidden="1" customHeight="1">
      <c r="A9" s="139">
        <v>7</v>
      </c>
      <c r="B9" s="128" t="s">
        <v>334</v>
      </c>
      <c r="C9" s="128" t="s">
        <v>333</v>
      </c>
      <c r="D9" s="128">
        <v>30000</v>
      </c>
      <c r="E9" s="128">
        <v>5000</v>
      </c>
      <c r="F9" s="118">
        <v>44806</v>
      </c>
      <c r="G9" s="118">
        <v>45171</v>
      </c>
      <c r="H9" s="128" t="s">
        <v>282</v>
      </c>
      <c r="I9" s="1017">
        <v>5000</v>
      </c>
      <c r="J9" s="711">
        <f>E9/22*16</f>
        <v>3636.3636363636365</v>
      </c>
      <c r="K9" s="708">
        <f>E9/20*16</f>
        <v>4000</v>
      </c>
      <c r="L9" s="708">
        <v>5000</v>
      </c>
      <c r="M9" s="708">
        <v>5000</v>
      </c>
      <c r="N9" s="708">
        <f>E9/21*21</f>
        <v>5000</v>
      </c>
      <c r="O9" s="711">
        <f>E9/22*21.5</f>
        <v>4886.3636363636369</v>
      </c>
      <c r="P9" s="711">
        <v>4500</v>
      </c>
      <c r="Q9" s="708">
        <f>E9/22*22</f>
        <v>5000</v>
      </c>
      <c r="R9" s="711">
        <f>E9/22*19</f>
        <v>4318.181818181818</v>
      </c>
      <c r="S9" s="711">
        <f>E9/22*21</f>
        <v>4772.727272727273</v>
      </c>
      <c r="T9" s="711">
        <f>E9/22*22</f>
        <v>5000</v>
      </c>
      <c r="U9" s="991" t="s">
        <v>953</v>
      </c>
      <c r="V9" s="170"/>
      <c r="W9" s="739"/>
      <c r="X9" s="1018">
        <f>SUM(I9:V9)</f>
        <v>56113.63636363636</v>
      </c>
      <c r="Y9" s="1018">
        <f>'[3]2022'!U38</f>
        <v>37928.571428571398</v>
      </c>
      <c r="Z9" s="1018"/>
      <c r="AA9" s="1018"/>
      <c r="AB9" s="1019"/>
      <c r="AC9" s="1019"/>
      <c r="AD9" s="1019"/>
      <c r="AE9" s="1018"/>
      <c r="AF9" s="1018"/>
      <c r="AG9" s="1018"/>
      <c r="AH9" s="1018"/>
      <c r="AI9" s="1018"/>
      <c r="AJ9" s="1018"/>
      <c r="AK9" s="1018"/>
      <c r="AL9" s="1018"/>
      <c r="AM9" s="1018"/>
      <c r="AN9" s="1018"/>
      <c r="AO9" s="1018"/>
      <c r="AP9" s="280"/>
    </row>
    <row r="10" spans="1:42" ht="29.4" hidden="1" customHeight="1">
      <c r="A10" s="1124">
        <v>24</v>
      </c>
      <c r="B10" s="128" t="s">
        <v>293</v>
      </c>
      <c r="C10" s="128" t="s">
        <v>76</v>
      </c>
      <c r="D10" s="128">
        <v>10000</v>
      </c>
      <c r="E10" s="128">
        <v>6000</v>
      </c>
      <c r="F10" s="118">
        <v>45164</v>
      </c>
      <c r="G10" s="118">
        <v>45714</v>
      </c>
      <c r="H10" s="128" t="s">
        <v>282</v>
      </c>
      <c r="I10" s="1017">
        <v>10000</v>
      </c>
      <c r="J10" s="708">
        <v>10000</v>
      </c>
      <c r="K10" s="708">
        <v>10000</v>
      </c>
      <c r="L10" s="711">
        <f>10000/23*20</f>
        <v>8695.652173913044</v>
      </c>
      <c r="M10" s="711">
        <v>10000</v>
      </c>
      <c r="N10" s="212">
        <f>E10/21*21</f>
        <v>6000</v>
      </c>
      <c r="O10" s="212">
        <f>E10/22*22</f>
        <v>6000</v>
      </c>
      <c r="P10" s="212">
        <f>E10/22*22</f>
        <v>6000</v>
      </c>
      <c r="Q10" s="711">
        <f>E10/22*22</f>
        <v>6000</v>
      </c>
      <c r="R10" s="711">
        <f>E10/22*22</f>
        <v>6000</v>
      </c>
      <c r="S10" s="711">
        <f>E10/22*12.5</f>
        <v>3409.0909090909095</v>
      </c>
      <c r="T10" s="711">
        <f>E10/22*22</f>
        <v>6000</v>
      </c>
      <c r="U10" s="991"/>
      <c r="V10" s="170"/>
      <c r="W10" s="170"/>
      <c r="X10" s="1018">
        <f>SUM(I10:V10)</f>
        <v>88104.743083003952</v>
      </c>
      <c r="Y10" s="1018"/>
      <c r="Z10" s="1018"/>
      <c r="AA10" s="1018"/>
      <c r="AB10" s="1019"/>
      <c r="AC10" s="1019"/>
      <c r="AD10" s="1019"/>
      <c r="AE10" s="1018"/>
      <c r="AF10" s="1018"/>
      <c r="AG10" s="1018"/>
      <c r="AH10" s="1018"/>
      <c r="AI10" s="1018"/>
      <c r="AJ10" s="1018"/>
      <c r="AK10" s="1018"/>
      <c r="AL10" s="1014"/>
      <c r="AM10" s="1014"/>
      <c r="AN10" s="1014"/>
      <c r="AO10" s="1014"/>
      <c r="AP10" s="1014"/>
    </row>
    <row r="11" spans="1:42" ht="29.4" hidden="1" customHeight="1">
      <c r="A11" s="139">
        <v>1</v>
      </c>
      <c r="B11" s="52" t="s">
        <v>285</v>
      </c>
      <c r="C11" s="52" t="s">
        <v>958</v>
      </c>
      <c r="D11" s="52">
        <v>6000</v>
      </c>
      <c r="E11" s="52">
        <v>6000</v>
      </c>
      <c r="F11" s="52"/>
      <c r="G11" s="52"/>
      <c r="H11" s="52" t="s">
        <v>282</v>
      </c>
      <c r="I11" s="610">
        <v>8000</v>
      </c>
      <c r="J11" s="54">
        <v>6000</v>
      </c>
      <c r="K11" s="54">
        <v>6000</v>
      </c>
      <c r="L11" s="54">
        <v>5500</v>
      </c>
      <c r="M11" s="965">
        <v>6000</v>
      </c>
      <c r="N11" s="965">
        <f>E11/21*21</f>
        <v>6000</v>
      </c>
      <c r="O11" s="965">
        <f>E11/22*20</f>
        <v>5454.545454545455</v>
      </c>
      <c r="P11" s="965">
        <f>E11/22*20</f>
        <v>5454.545454545455</v>
      </c>
      <c r="Q11" s="54">
        <v>6000</v>
      </c>
      <c r="R11" s="965">
        <f>E11/22*20</f>
        <v>5454.545454545455</v>
      </c>
      <c r="S11" s="965">
        <f>E11/22*21</f>
        <v>5727.2727272727279</v>
      </c>
      <c r="T11" s="965">
        <f>E11/22*19</f>
        <v>5181.818181818182</v>
      </c>
      <c r="U11" s="52" t="s">
        <v>937</v>
      </c>
      <c r="V11" s="716"/>
      <c r="W11" s="223">
        <f>SUM(I11:T11)</f>
        <v>70772.727272727265</v>
      </c>
      <c r="X11" s="1014">
        <f>'2023'!AN5</f>
        <v>12000</v>
      </c>
      <c r="Y11" s="1014">
        <v>8000</v>
      </c>
      <c r="Z11" s="1014">
        <v>6000</v>
      </c>
      <c r="AA11" s="1014">
        <v>6000</v>
      </c>
      <c r="AB11" s="1014">
        <v>5500</v>
      </c>
      <c r="AC11" s="1014">
        <v>6000</v>
      </c>
      <c r="AD11" s="1014">
        <v>6000</v>
      </c>
      <c r="AE11" s="1014">
        <v>5454.545454545455</v>
      </c>
      <c r="AF11" s="1014">
        <v>5454.545454545455</v>
      </c>
      <c r="AG11" s="1014">
        <v>6000</v>
      </c>
      <c r="AH11" s="1014">
        <v>5454.545454545455</v>
      </c>
      <c r="AI11" s="1014">
        <v>5727.2727272727279</v>
      </c>
      <c r="AJ11" s="1014">
        <v>5181.818181818182</v>
      </c>
      <c r="AK11" s="1014">
        <f>SUM(Y11:AJ11)</f>
        <v>70772.727272727265</v>
      </c>
      <c r="AL11" s="1014">
        <f>SUM('2023'!O5:P5)</f>
        <v>12000</v>
      </c>
      <c r="AM11" s="1014">
        <v>0</v>
      </c>
      <c r="AN11" s="1014">
        <v>0</v>
      </c>
      <c r="AO11" s="1014">
        <v>0</v>
      </c>
      <c r="AP11" s="1014">
        <f>AL11</f>
        <v>12000</v>
      </c>
    </row>
    <row r="12" spans="1:42" ht="27.6" hidden="1" customHeight="1">
      <c r="A12" s="139">
        <v>15</v>
      </c>
      <c r="B12" s="128" t="s">
        <v>289</v>
      </c>
      <c r="C12" s="128" t="s">
        <v>86</v>
      </c>
      <c r="D12" s="128">
        <v>16000</v>
      </c>
      <c r="E12" s="128">
        <v>6000</v>
      </c>
      <c r="F12" s="118">
        <v>45608</v>
      </c>
      <c r="G12" s="1122">
        <v>46338</v>
      </c>
      <c r="H12" s="128" t="s">
        <v>282</v>
      </c>
      <c r="I12" s="1017">
        <v>10000</v>
      </c>
      <c r="J12" s="708">
        <v>6000</v>
      </c>
      <c r="K12" s="708">
        <v>0</v>
      </c>
      <c r="L12" s="708">
        <f>10000/23*19</f>
        <v>8260.8695652173919</v>
      </c>
      <c r="M12" s="708">
        <v>9000</v>
      </c>
      <c r="N12" s="708">
        <f>10000/21*21</f>
        <v>10000</v>
      </c>
      <c r="O12" s="711">
        <f>10000/22*21</f>
        <v>9545.454545454546</v>
      </c>
      <c r="P12" s="711">
        <f>10000/22*22</f>
        <v>10000</v>
      </c>
      <c r="Q12" s="711">
        <f>10000/22*22</f>
        <v>10000</v>
      </c>
      <c r="R12" s="708">
        <f>10000/22*15</f>
        <v>6818.181818181818</v>
      </c>
      <c r="S12" s="711">
        <f>E12/22*9+5909</f>
        <v>8363.5454545454559</v>
      </c>
      <c r="T12" s="711">
        <f>E12/22*22</f>
        <v>6000</v>
      </c>
      <c r="U12" s="128"/>
      <c r="V12" s="170"/>
      <c r="W12" s="170"/>
      <c r="X12" s="1018">
        <f>SUM(I12:V12)</f>
        <v>93988.051383399215</v>
      </c>
      <c r="Y12" s="1018"/>
      <c r="Z12" s="1018"/>
      <c r="AA12" s="1018"/>
      <c r="AB12" s="1019"/>
      <c r="AC12" s="1019"/>
      <c r="AD12" s="1019"/>
      <c r="AE12" s="1018"/>
      <c r="AF12" s="1018"/>
      <c r="AG12" s="1018"/>
      <c r="AH12" s="1018"/>
      <c r="AI12" s="1018"/>
      <c r="AJ12" s="1018"/>
      <c r="AK12" s="1018"/>
      <c r="AL12" s="1018"/>
      <c r="AM12" s="1018"/>
      <c r="AN12" s="1018"/>
      <c r="AO12" s="1018"/>
      <c r="AP12" s="1018"/>
    </row>
    <row r="13" spans="1:42" ht="21" hidden="1" customHeight="1">
      <c r="A13" s="139">
        <v>8</v>
      </c>
      <c r="B13" s="52" t="s">
        <v>241</v>
      </c>
      <c r="C13" s="52" t="s">
        <v>333</v>
      </c>
      <c r="D13" s="52">
        <v>30000</v>
      </c>
      <c r="E13" s="52">
        <v>5000</v>
      </c>
      <c r="F13" s="119">
        <v>45317</v>
      </c>
      <c r="G13" s="119">
        <v>45683</v>
      </c>
      <c r="H13" s="52" t="s">
        <v>282</v>
      </c>
      <c r="I13" s="54">
        <v>5000</v>
      </c>
      <c r="J13" s="54">
        <v>5000</v>
      </c>
      <c r="K13" s="54">
        <v>5000</v>
      </c>
      <c r="L13" s="54">
        <v>5000</v>
      </c>
      <c r="M13" s="965">
        <v>5000</v>
      </c>
      <c r="N13" s="965">
        <f>E13/21*21</f>
        <v>5000</v>
      </c>
      <c r="O13" s="965">
        <f>E13/22*22</f>
        <v>5000</v>
      </c>
      <c r="P13" s="965">
        <f>E13/22*21-500</f>
        <v>4272.727272727273</v>
      </c>
      <c r="Q13" s="54">
        <f>E13/22*22</f>
        <v>5000</v>
      </c>
      <c r="R13" s="54">
        <f>E13/22*22</f>
        <v>5000</v>
      </c>
      <c r="S13" s="965">
        <f>E13/22*22</f>
        <v>5000</v>
      </c>
      <c r="T13" s="965">
        <f>E13/22*22</f>
        <v>5000</v>
      </c>
      <c r="U13" s="52"/>
      <c r="V13" s="716"/>
      <c r="W13" s="716"/>
      <c r="X13" s="1014">
        <f>SUM(I13:V13)</f>
        <v>59272.727272727272</v>
      </c>
      <c r="Y13" s="1014" t="s">
        <v>283</v>
      </c>
      <c r="Z13" s="1018"/>
      <c r="AA13" s="1014">
        <v>5000</v>
      </c>
      <c r="AB13" s="1015">
        <v>5000</v>
      </c>
      <c r="AC13" s="1016">
        <f>L13</f>
        <v>5000</v>
      </c>
      <c r="AD13" s="1016">
        <f>M13</f>
        <v>5000</v>
      </c>
      <c r="AE13" s="880">
        <f>N13</f>
        <v>5000</v>
      </c>
      <c r="AF13" s="880">
        <f>P13</f>
        <v>4272.727272727273</v>
      </c>
      <c r="AG13" s="1014">
        <f>Q13</f>
        <v>5000</v>
      </c>
      <c r="AH13" s="880">
        <f>R13</f>
        <v>5000</v>
      </c>
      <c r="AI13" s="1014">
        <f>S13</f>
        <v>5000</v>
      </c>
      <c r="AJ13" s="1014">
        <f>T13</f>
        <v>5000</v>
      </c>
      <c r="AK13" s="1014"/>
      <c r="AL13" s="1014"/>
      <c r="AM13" s="1014"/>
      <c r="AN13" s="1014"/>
      <c r="AO13" s="1014"/>
      <c r="AP13" s="1014"/>
    </row>
    <row r="14" spans="1:42" ht="55.95" hidden="1" customHeight="1">
      <c r="A14" s="139">
        <v>28</v>
      </c>
      <c r="B14" s="128" t="s">
        <v>201</v>
      </c>
      <c r="C14" s="128" t="s">
        <v>342</v>
      </c>
      <c r="D14" s="128">
        <v>25000</v>
      </c>
      <c r="E14" s="128">
        <v>5000</v>
      </c>
      <c r="F14" s="118">
        <v>44830</v>
      </c>
      <c r="G14" s="118">
        <v>45195</v>
      </c>
      <c r="H14" s="128" t="s">
        <v>282</v>
      </c>
      <c r="I14" s="1017">
        <f>E14/23*18</f>
        <v>3913.0434782608695</v>
      </c>
      <c r="J14" s="708">
        <v>5000</v>
      </c>
      <c r="K14" s="708">
        <v>5000</v>
      </c>
      <c r="L14" s="708">
        <v>5000</v>
      </c>
      <c r="M14" s="711">
        <f>E14/22*17</f>
        <v>3863.636363636364</v>
      </c>
      <c r="N14" s="711">
        <f>E14/21*20.5</f>
        <v>4880.9523809523807</v>
      </c>
      <c r="O14" s="711">
        <v>2500</v>
      </c>
      <c r="P14" s="711">
        <f>E14/22*12</f>
        <v>2727.2727272727275</v>
      </c>
      <c r="Q14" s="711">
        <v>0</v>
      </c>
      <c r="R14" s="711">
        <f>E14/22*22</f>
        <v>5000</v>
      </c>
      <c r="S14" s="711">
        <v>0</v>
      </c>
      <c r="T14" s="711">
        <v>0</v>
      </c>
      <c r="U14" s="991"/>
      <c r="V14" s="170"/>
      <c r="W14" s="170"/>
      <c r="X14" s="1018">
        <f>SUM(I14:V14)</f>
        <v>37884.904950122342</v>
      </c>
      <c r="Y14" s="1018">
        <f>'[3]2022'!U4</f>
        <v>0</v>
      </c>
      <c r="Z14" s="1018"/>
      <c r="AA14" s="1018"/>
      <c r="AB14" s="1019"/>
      <c r="AC14" s="1019"/>
      <c r="AD14" s="1019"/>
      <c r="AE14" s="1018"/>
      <c r="AF14" s="1018"/>
      <c r="AG14" s="1018"/>
      <c r="AH14" s="1018"/>
      <c r="AI14" s="1018"/>
      <c r="AJ14" s="1018"/>
      <c r="AK14" s="1018"/>
      <c r="AL14" s="1018"/>
      <c r="AM14" s="1018"/>
      <c r="AN14" s="1018"/>
      <c r="AO14" s="1018"/>
      <c r="AP14" s="1018"/>
    </row>
    <row r="15" spans="1:42" ht="21" hidden="1" customHeight="1">
      <c r="A15" s="139">
        <v>39</v>
      </c>
      <c r="B15" s="52" t="s">
        <v>306</v>
      </c>
      <c r="C15" s="52" t="s">
        <v>224</v>
      </c>
      <c r="D15" s="52">
        <v>25000</v>
      </c>
      <c r="E15" s="52">
        <v>10000</v>
      </c>
      <c r="F15" s="119">
        <v>44837</v>
      </c>
      <c r="G15" s="119">
        <v>45202</v>
      </c>
      <c r="H15" s="52" t="s">
        <v>282</v>
      </c>
      <c r="I15" s="610">
        <f>E15</f>
        <v>10000</v>
      </c>
      <c r="J15" s="54">
        <v>10000</v>
      </c>
      <c r="K15" s="1024">
        <v>10000</v>
      </c>
      <c r="L15" s="54">
        <v>10000</v>
      </c>
      <c r="M15" s="54">
        <v>10000</v>
      </c>
      <c r="N15" s="54">
        <f>E15/21*21</f>
        <v>10000</v>
      </c>
      <c r="O15" s="54">
        <f>E15/22*22</f>
        <v>10000</v>
      </c>
      <c r="P15" s="54">
        <f>E15/22*22</f>
        <v>10000</v>
      </c>
      <c r="Q15" s="54">
        <f>E15/22*22</f>
        <v>10000</v>
      </c>
      <c r="R15" s="54">
        <f>E15/22*22</f>
        <v>10000</v>
      </c>
      <c r="S15" s="965">
        <f>E15/22*22</f>
        <v>10000</v>
      </c>
      <c r="T15" s="965">
        <f>E15/22*22</f>
        <v>10000</v>
      </c>
      <c r="U15" s="52"/>
      <c r="V15" s="716"/>
      <c r="W15" s="716"/>
      <c r="X15" s="1014">
        <f>SUM(I15:V15)</f>
        <v>120000</v>
      </c>
      <c r="Y15" s="1014">
        <f>'[3]On hold bonus'!B51</f>
        <v>24000</v>
      </c>
      <c r="Z15" s="1014">
        <f>I15</f>
        <v>10000</v>
      </c>
      <c r="AA15" s="1014">
        <v>10000</v>
      </c>
      <c r="AB15" s="1015">
        <v>10000</v>
      </c>
      <c r="AC15" s="1016">
        <f>L15</f>
        <v>10000</v>
      </c>
      <c r="AD15" s="1016">
        <f>M15</f>
        <v>10000</v>
      </c>
      <c r="AE15" s="880">
        <f>N15</f>
        <v>10000</v>
      </c>
      <c r="AF15" s="880">
        <f>P15</f>
        <v>10000</v>
      </c>
      <c r="AG15" s="1014">
        <f>Q15</f>
        <v>10000</v>
      </c>
      <c r="AH15" s="1014">
        <f>R15</f>
        <v>10000</v>
      </c>
      <c r="AI15" s="1014">
        <f>S15</f>
        <v>10000</v>
      </c>
      <c r="AJ15" s="1014">
        <f>T15</f>
        <v>10000</v>
      </c>
      <c r="AK15" s="1014">
        <f>V15</f>
        <v>0</v>
      </c>
      <c r="AL15" s="1014"/>
      <c r="AM15" s="1014"/>
      <c r="AN15" s="1014"/>
      <c r="AO15" s="1014"/>
      <c r="AP15" s="1014"/>
    </row>
    <row r="16" spans="1:42" ht="33.6" hidden="1" customHeight="1">
      <c r="A16" s="139">
        <v>25</v>
      </c>
      <c r="B16" s="128" t="s">
        <v>340</v>
      </c>
      <c r="C16" s="128" t="s">
        <v>341</v>
      </c>
      <c r="D16" s="128">
        <v>6000</v>
      </c>
      <c r="E16" s="128">
        <v>4000</v>
      </c>
      <c r="F16" s="118">
        <v>45517</v>
      </c>
      <c r="G16" s="118">
        <v>46246</v>
      </c>
      <c r="H16" s="128" t="s">
        <v>282</v>
      </c>
      <c r="I16" s="1017" t="s">
        <v>30</v>
      </c>
      <c r="J16" s="1017" t="s">
        <v>30</v>
      </c>
      <c r="K16" s="1017" t="s">
        <v>30</v>
      </c>
      <c r="L16" s="1017" t="s">
        <v>30</v>
      </c>
      <c r="M16" s="1017" t="s">
        <v>30</v>
      </c>
      <c r="N16" s="1017" t="s">
        <v>30</v>
      </c>
      <c r="O16" s="1017" t="s">
        <v>30</v>
      </c>
      <c r="P16" s="711">
        <f>E16/22*11</f>
        <v>2000</v>
      </c>
      <c r="Q16" s="708">
        <f>E16/22*22</f>
        <v>4000</v>
      </c>
      <c r="R16" s="708">
        <f>E16/26*26</f>
        <v>4000</v>
      </c>
      <c r="S16" s="711">
        <f>E16/22*22</f>
        <v>4000</v>
      </c>
      <c r="T16" s="711">
        <f>E16/26*26</f>
        <v>4000</v>
      </c>
      <c r="U16" s="998"/>
      <c r="V16" s="170"/>
      <c r="W16" s="170"/>
      <c r="X16" s="1019"/>
      <c r="Y16" s="1019"/>
      <c r="Z16" s="1019"/>
      <c r="AA16" s="1019"/>
      <c r="AB16" s="1019"/>
      <c r="AC16" s="1019"/>
      <c r="AD16" s="1019"/>
      <c r="AE16" s="1019"/>
      <c r="AF16" s="1019"/>
      <c r="AG16" s="1018"/>
      <c r="AH16" s="1019"/>
      <c r="AI16" s="1018"/>
      <c r="AJ16" s="1019"/>
      <c r="AK16" s="1019"/>
      <c r="AL16" s="1019"/>
      <c r="AM16" s="1019"/>
      <c r="AN16" s="1019"/>
      <c r="AO16" s="1019"/>
      <c r="AP16" s="1019"/>
    </row>
    <row r="17" spans="1:42" ht="47.4" hidden="1" customHeight="1">
      <c r="A17" s="139">
        <v>3</v>
      </c>
      <c r="B17" s="128" t="s">
        <v>204</v>
      </c>
      <c r="C17" s="128" t="s">
        <v>93</v>
      </c>
      <c r="D17" s="128">
        <v>30000</v>
      </c>
      <c r="E17" s="128">
        <v>5000</v>
      </c>
      <c r="F17" s="118">
        <v>44799</v>
      </c>
      <c r="G17" s="118">
        <v>45164</v>
      </c>
      <c r="H17" s="128" t="s">
        <v>282</v>
      </c>
      <c r="I17" s="1017">
        <v>5000</v>
      </c>
      <c r="J17" s="708">
        <v>3000</v>
      </c>
      <c r="K17" s="708">
        <v>5000</v>
      </c>
      <c r="L17" s="711">
        <f>E17/23*19</f>
        <v>4130.434782608696</v>
      </c>
      <c r="M17" s="711">
        <v>2000</v>
      </c>
      <c r="N17" s="711">
        <f>E17/21*18</f>
        <v>4285.7142857142862</v>
      </c>
      <c r="O17" s="711">
        <f>E17/22*22</f>
        <v>5000</v>
      </c>
      <c r="P17" s="711">
        <f>E17/22*22</f>
        <v>5000</v>
      </c>
      <c r="Q17" s="708">
        <v>0</v>
      </c>
      <c r="R17" s="711">
        <f>E17/22*22</f>
        <v>5000</v>
      </c>
      <c r="S17" s="711">
        <f>E17/22*22</f>
        <v>5000</v>
      </c>
      <c r="T17" s="711">
        <f>E17/22*21</f>
        <v>4772.727272727273</v>
      </c>
      <c r="U17" s="991" t="s">
        <v>960</v>
      </c>
      <c r="V17" s="170"/>
      <c r="W17" s="170"/>
      <c r="X17" s="1018">
        <f>SUM(I17:V17)</f>
        <v>48188.876341050251</v>
      </c>
      <c r="Y17" s="1018">
        <f>'[3]2022'!U7</f>
        <v>14130.4347826087</v>
      </c>
      <c r="Z17" s="1018"/>
      <c r="AA17" s="1018"/>
      <c r="AB17" s="1019"/>
      <c r="AC17" s="1019"/>
      <c r="AD17" s="1019"/>
      <c r="AE17" s="1018"/>
      <c r="AF17" s="1018"/>
      <c r="AG17" s="1018"/>
      <c r="AH17" s="1018"/>
      <c r="AI17" s="1018"/>
      <c r="AJ17" s="1018"/>
      <c r="AK17" s="1018"/>
      <c r="AL17" s="1014"/>
      <c r="AM17" s="1014"/>
      <c r="AN17" s="1014"/>
      <c r="AO17" s="1014"/>
      <c r="AP17" s="1014"/>
    </row>
    <row r="18" spans="1:42" s="1123" customFormat="1" ht="32.25" hidden="1" customHeight="1">
      <c r="A18" s="139">
        <v>31</v>
      </c>
      <c r="B18" s="128" t="s">
        <v>292</v>
      </c>
      <c r="C18" s="128" t="s">
        <v>212</v>
      </c>
      <c r="D18" s="128">
        <v>30000</v>
      </c>
      <c r="E18" s="128">
        <v>10000</v>
      </c>
      <c r="F18" s="118">
        <v>45362</v>
      </c>
      <c r="G18" s="118">
        <v>45727</v>
      </c>
      <c r="H18" s="128" t="s">
        <v>282</v>
      </c>
      <c r="I18" s="1017">
        <f>E18/23*14</f>
        <v>6086.9565217391309</v>
      </c>
      <c r="J18" s="708">
        <v>8000</v>
      </c>
      <c r="K18" s="708">
        <v>10000</v>
      </c>
      <c r="L18" s="708">
        <v>10000</v>
      </c>
      <c r="M18" s="708">
        <v>10000</v>
      </c>
      <c r="N18" s="711">
        <v>0</v>
      </c>
      <c r="O18" s="711">
        <f>E18/22*21</f>
        <v>9545.454545454546</v>
      </c>
      <c r="P18" s="711">
        <f>E18/22*22</f>
        <v>10000</v>
      </c>
      <c r="Q18" s="708">
        <f>E18/22*22</f>
        <v>10000</v>
      </c>
      <c r="R18" s="711">
        <v>0</v>
      </c>
      <c r="S18" s="711">
        <v>0</v>
      </c>
      <c r="T18" s="711">
        <v>0</v>
      </c>
      <c r="U18" s="991"/>
      <c r="V18" s="170"/>
      <c r="W18" s="170"/>
      <c r="X18" s="1018">
        <f>SUM(I18:V18)</f>
        <v>73632.41106719368</v>
      </c>
      <c r="Y18" s="1018">
        <f>SUM(K18:V18)</f>
        <v>59545.454545454544</v>
      </c>
      <c r="Z18" s="1018"/>
      <c r="AA18" s="1018"/>
      <c r="AB18" s="1019"/>
      <c r="AC18" s="1019"/>
      <c r="AD18" s="1019"/>
      <c r="AE18" s="1018"/>
      <c r="AF18" s="1018"/>
      <c r="AG18" s="1018"/>
      <c r="AH18" s="1018"/>
      <c r="AI18" s="1018"/>
      <c r="AJ18" s="1018"/>
      <c r="AK18" s="1018"/>
      <c r="AL18" s="1018"/>
      <c r="AM18" s="1018"/>
      <c r="AN18" s="1018"/>
      <c r="AO18" s="1018"/>
      <c r="AP18" s="1018"/>
    </row>
    <row r="19" spans="1:42" s="1123" customFormat="1" ht="32.25" hidden="1" customHeight="1">
      <c r="A19" s="993">
        <v>49</v>
      </c>
      <c r="B19" s="52" t="s">
        <v>96</v>
      </c>
      <c r="C19" s="52" t="s">
        <v>352</v>
      </c>
      <c r="D19" s="52">
        <v>57000</v>
      </c>
      <c r="E19" s="52">
        <v>5000</v>
      </c>
      <c r="F19" s="119">
        <v>45370</v>
      </c>
      <c r="G19" s="119">
        <v>45735</v>
      </c>
      <c r="H19" s="52" t="s">
        <v>282</v>
      </c>
      <c r="I19" s="54">
        <v>5000</v>
      </c>
      <c r="J19" s="54">
        <v>5000</v>
      </c>
      <c r="K19" s="54">
        <v>5000</v>
      </c>
      <c r="L19" s="54">
        <v>5000</v>
      </c>
      <c r="M19" s="54">
        <v>5000</v>
      </c>
      <c r="N19" s="54">
        <f>E19/21*21</f>
        <v>5000</v>
      </c>
      <c r="O19" s="54">
        <f>E19/22*22</f>
        <v>5000</v>
      </c>
      <c r="P19" s="54">
        <f>E19/22*22</f>
        <v>5000</v>
      </c>
      <c r="Q19" s="54">
        <f>E19/22*22</f>
        <v>5000</v>
      </c>
      <c r="R19" s="708">
        <f>E19/22*22</f>
        <v>5000</v>
      </c>
      <c r="S19" s="711">
        <f>E19/22*19</f>
        <v>4318.181818181818</v>
      </c>
      <c r="T19" s="711">
        <f>E19/22*10</f>
        <v>2272.727272727273</v>
      </c>
      <c r="U19" s="128" t="s">
        <v>945</v>
      </c>
      <c r="V19" s="170"/>
      <c r="W19" s="716"/>
      <c r="X19" s="1014">
        <f>SUM(I19:V19)</f>
        <v>56590.909090909088</v>
      </c>
      <c r="Y19" s="1014">
        <f>'[3]2022'!U56</f>
        <v>12500</v>
      </c>
      <c r="Z19" s="1014"/>
      <c r="AA19" s="1014"/>
      <c r="AB19" s="1022">
        <v>5000</v>
      </c>
      <c r="AC19" s="1016">
        <f>L19</f>
        <v>5000</v>
      </c>
      <c r="AD19" s="1016">
        <f>M19</f>
        <v>5000</v>
      </c>
      <c r="AE19" s="880">
        <f>N19</f>
        <v>5000</v>
      </c>
      <c r="AF19" s="880">
        <f>P19</f>
        <v>5000</v>
      </c>
      <c r="AG19" s="1014">
        <f>Q19</f>
        <v>5000</v>
      </c>
      <c r="AH19" s="1014">
        <f>R19</f>
        <v>5000</v>
      </c>
      <c r="AI19" s="1014">
        <f>S19</f>
        <v>4318.181818181818</v>
      </c>
      <c r="AJ19" s="1014">
        <f>T19</f>
        <v>2272.727272727273</v>
      </c>
      <c r="AK19" s="1014"/>
      <c r="AL19" s="1014"/>
      <c r="AM19" s="1014"/>
      <c r="AN19" s="1014"/>
      <c r="AO19" s="1014"/>
      <c r="AP19" s="1014"/>
    </row>
    <row r="20" spans="1:42" ht="42.6" hidden="1" customHeight="1">
      <c r="A20" s="139">
        <v>44</v>
      </c>
      <c r="B20" s="128" t="s">
        <v>349</v>
      </c>
      <c r="C20" s="128" t="s">
        <v>224</v>
      </c>
      <c r="D20" s="128">
        <v>6000</v>
      </c>
      <c r="E20" s="128">
        <v>4000</v>
      </c>
      <c r="F20" s="118">
        <v>45383</v>
      </c>
      <c r="G20" s="118">
        <v>46113</v>
      </c>
      <c r="H20" s="118" t="s">
        <v>282</v>
      </c>
      <c r="I20" s="1017" t="s">
        <v>30</v>
      </c>
      <c r="J20" s="1017" t="s">
        <v>30</v>
      </c>
      <c r="K20" s="708" t="s">
        <v>30</v>
      </c>
      <c r="L20" s="711" t="s">
        <v>30</v>
      </c>
      <c r="M20" s="711" t="s">
        <v>30</v>
      </c>
      <c r="N20" s="711" t="s">
        <v>30</v>
      </c>
      <c r="O20" s="711" t="s">
        <v>30</v>
      </c>
      <c r="P20" s="711">
        <f>E20/27*22</f>
        <v>3259.2592592592591</v>
      </c>
      <c r="Q20" s="711">
        <v>0</v>
      </c>
      <c r="R20" s="711">
        <f>E20/22*21</f>
        <v>3818.181818181818</v>
      </c>
      <c r="S20" s="711">
        <f>E20/22*21.5</f>
        <v>3909.090909090909</v>
      </c>
      <c r="T20" s="711">
        <f>E20/22*22</f>
        <v>4000</v>
      </c>
      <c r="U20" s="142"/>
      <c r="V20" s="170"/>
      <c r="W20" s="170"/>
      <c r="X20" s="1018"/>
      <c r="Y20" s="1018"/>
      <c r="Z20" s="1018"/>
      <c r="AA20" s="1018"/>
      <c r="AB20" s="1019"/>
      <c r="AC20" s="1019"/>
      <c r="AD20" s="1019"/>
      <c r="AE20" s="1018"/>
      <c r="AF20" s="1018"/>
      <c r="AG20" s="1018"/>
      <c r="AH20" s="1018"/>
      <c r="AI20" s="1018"/>
      <c r="AJ20" s="1018"/>
      <c r="AK20" s="1018"/>
      <c r="AL20" s="1018"/>
      <c r="AM20" s="1018"/>
      <c r="AN20" s="1018"/>
      <c r="AO20" s="1018"/>
      <c r="AP20" s="1018"/>
    </row>
    <row r="21" spans="1:42" ht="21" hidden="1" customHeight="1">
      <c r="A21" s="139">
        <v>40</v>
      </c>
      <c r="B21" s="52" t="s">
        <v>87</v>
      </c>
      <c r="C21" s="52" t="s">
        <v>224</v>
      </c>
      <c r="D21" s="52">
        <v>52000</v>
      </c>
      <c r="E21" s="52">
        <v>5000</v>
      </c>
      <c r="F21" s="119">
        <v>44491</v>
      </c>
      <c r="G21" s="119">
        <v>44856</v>
      </c>
      <c r="H21" s="52" t="s">
        <v>282</v>
      </c>
      <c r="I21" s="610">
        <v>5000</v>
      </c>
      <c r="J21" s="54">
        <v>5000</v>
      </c>
      <c r="K21" s="54">
        <v>5000</v>
      </c>
      <c r="L21" s="54">
        <v>5000</v>
      </c>
      <c r="M21" s="54">
        <v>5000</v>
      </c>
      <c r="N21" s="54">
        <f>E21/21*21</f>
        <v>5000</v>
      </c>
      <c r="O21" s="54">
        <f>E21/22*22</f>
        <v>5000</v>
      </c>
      <c r="P21" s="54">
        <f>E21/22*22</f>
        <v>5000</v>
      </c>
      <c r="Q21" s="54">
        <f>E21/22*22</f>
        <v>5000</v>
      </c>
      <c r="R21" s="54">
        <f>E21/22*22</f>
        <v>5000</v>
      </c>
      <c r="S21" s="965">
        <v>0</v>
      </c>
      <c r="T21" s="965">
        <v>0</v>
      </c>
      <c r="U21" s="52" t="s">
        <v>943</v>
      </c>
      <c r="V21" s="716"/>
      <c r="W21" s="716"/>
      <c r="X21" s="1014">
        <f>SUM(I21:V21)</f>
        <v>50000</v>
      </c>
      <c r="Y21" s="1014">
        <f>'[3]On hold bonus'!B4</f>
        <v>90000</v>
      </c>
      <c r="Z21" s="1014">
        <f>I21</f>
        <v>5000</v>
      </c>
      <c r="AA21" s="1014">
        <v>5000</v>
      </c>
      <c r="AB21" s="1022">
        <v>5000</v>
      </c>
      <c r="AC21" s="1016">
        <f>L21</f>
        <v>5000</v>
      </c>
      <c r="AD21" s="1016">
        <f>M21</f>
        <v>5000</v>
      </c>
      <c r="AE21" s="880">
        <f>N21</f>
        <v>5000</v>
      </c>
      <c r="AF21" s="880">
        <f>P21</f>
        <v>5000</v>
      </c>
      <c r="AG21" s="1014">
        <f>Q21</f>
        <v>5000</v>
      </c>
      <c r="AH21" s="1014">
        <f>R21</f>
        <v>5000</v>
      </c>
      <c r="AI21" s="1014">
        <f>S21</f>
        <v>0</v>
      </c>
      <c r="AJ21" s="1014">
        <f>T21</f>
        <v>0</v>
      </c>
      <c r="AK21" s="1014">
        <f>V21</f>
        <v>0</v>
      </c>
      <c r="AL21" s="1014"/>
      <c r="AM21" s="1014"/>
      <c r="AN21" s="1014"/>
      <c r="AO21" s="1014"/>
      <c r="AP21" s="1014"/>
    </row>
    <row r="22" spans="1:42" ht="30" hidden="1" customHeight="1">
      <c r="A22" s="139">
        <v>20</v>
      </c>
      <c r="B22" s="128" t="s">
        <v>339</v>
      </c>
      <c r="C22" s="128" t="s">
        <v>86</v>
      </c>
      <c r="D22" s="128">
        <v>10000</v>
      </c>
      <c r="E22" s="128">
        <v>6000</v>
      </c>
      <c r="F22" s="118">
        <v>45286</v>
      </c>
      <c r="G22" s="118">
        <v>45834</v>
      </c>
      <c r="H22" s="128" t="s">
        <v>282</v>
      </c>
      <c r="I22" s="1017">
        <f>4000/27*18.5</f>
        <v>2740.7407407407409</v>
      </c>
      <c r="J22" s="708">
        <v>4000</v>
      </c>
      <c r="K22" s="1025">
        <v>4000</v>
      </c>
      <c r="L22" s="711">
        <f>4000/23*20</f>
        <v>3478.2608695652175</v>
      </c>
      <c r="M22" s="711">
        <f>4000/22*17</f>
        <v>3090.909090909091</v>
      </c>
      <c r="N22" s="711">
        <v>0</v>
      </c>
      <c r="O22" s="711">
        <v>0</v>
      </c>
      <c r="P22" s="711">
        <f>E22/22*22</f>
        <v>6000</v>
      </c>
      <c r="Q22" s="708">
        <f>E22/22*22</f>
        <v>6000</v>
      </c>
      <c r="R22" s="711">
        <f>E22/22*20</f>
        <v>5454.545454545455</v>
      </c>
      <c r="S22" s="711">
        <f>E22/22*19</f>
        <v>5181.818181818182</v>
      </c>
      <c r="T22" s="711">
        <f>E22/22*22</f>
        <v>6000</v>
      </c>
      <c r="U22" s="991" t="s">
        <v>955</v>
      </c>
      <c r="V22" s="170"/>
      <c r="W22" s="170"/>
      <c r="X22" s="1019"/>
      <c r="Y22" s="1019"/>
      <c r="Z22" s="1019"/>
      <c r="AA22" s="1019"/>
      <c r="AB22" s="1019"/>
      <c r="AC22" s="1019"/>
      <c r="AD22" s="1019"/>
      <c r="AE22" s="1019"/>
      <c r="AF22" s="1018"/>
      <c r="AG22" s="1018"/>
      <c r="AH22" s="1019"/>
      <c r="AI22" s="1018"/>
      <c r="AJ22" s="1018"/>
      <c r="AK22" s="1019"/>
      <c r="AL22" s="1019"/>
      <c r="AM22" s="1019"/>
      <c r="AN22" s="1019"/>
      <c r="AO22" s="1019"/>
      <c r="AP22" s="1019"/>
    </row>
    <row r="23" spans="1:42" ht="22.2" hidden="1" customHeight="1">
      <c r="A23" s="139">
        <v>17</v>
      </c>
      <c r="B23" s="52" t="s">
        <v>288</v>
      </c>
      <c r="C23" s="52" t="s">
        <v>86</v>
      </c>
      <c r="D23" s="52">
        <v>10000</v>
      </c>
      <c r="E23" s="52">
        <v>10000</v>
      </c>
      <c r="F23" s="119">
        <v>45362</v>
      </c>
      <c r="G23" s="119">
        <v>45727</v>
      </c>
      <c r="H23" s="52" t="s">
        <v>282</v>
      </c>
      <c r="I23" s="965">
        <v>0</v>
      </c>
      <c r="J23" s="965">
        <v>6000</v>
      </c>
      <c r="K23" s="965">
        <f>5000+3000</f>
        <v>8000</v>
      </c>
      <c r="L23" s="965">
        <f>E23/27*22</f>
        <v>8148.1481481481487</v>
      </c>
      <c r="M23" s="965">
        <f>E23/22*16</f>
        <v>7272.727272727273</v>
      </c>
      <c r="N23" s="965">
        <v>0</v>
      </c>
      <c r="O23" s="965">
        <v>7000</v>
      </c>
      <c r="P23" s="965">
        <f>E23/22*20</f>
        <v>9090.9090909090919</v>
      </c>
      <c r="Q23" s="965">
        <v>5000</v>
      </c>
      <c r="R23" s="965">
        <f>E23/22*18</f>
        <v>8181.818181818182</v>
      </c>
      <c r="S23" s="965">
        <f>E23/22*17.5</f>
        <v>7954.545454545455</v>
      </c>
      <c r="T23" s="965">
        <f>E23/22*11</f>
        <v>5000</v>
      </c>
      <c r="U23" s="52" t="s">
        <v>951</v>
      </c>
      <c r="V23" s="52"/>
      <c r="W23" s="716"/>
      <c r="X23" s="1014">
        <f>SUM(I23:V23)</f>
        <v>71648.148148148146</v>
      </c>
      <c r="Y23" s="1014">
        <f>'[3]2022'!U28</f>
        <v>16000</v>
      </c>
      <c r="Z23" s="1014"/>
      <c r="AA23" s="1014"/>
      <c r="AB23" s="1022">
        <v>8000</v>
      </c>
      <c r="AC23" s="1016">
        <f t="shared" ref="AC23:AE24" si="1">L23</f>
        <v>8148.1481481481487</v>
      </c>
      <c r="AD23" s="1016">
        <f t="shared" si="1"/>
        <v>7272.727272727273</v>
      </c>
      <c r="AE23" s="880">
        <f t="shared" si="1"/>
        <v>0</v>
      </c>
      <c r="AF23" s="880">
        <f t="shared" ref="AF23:AJ24" si="2">P23</f>
        <v>9090.9090909090919</v>
      </c>
      <c r="AG23" s="1014">
        <f t="shared" si="2"/>
        <v>5000</v>
      </c>
      <c r="AH23" s="1014">
        <f t="shared" si="2"/>
        <v>8181.818181818182</v>
      </c>
      <c r="AI23" s="1014">
        <f t="shared" si="2"/>
        <v>7954.545454545455</v>
      </c>
      <c r="AJ23" s="1014">
        <f t="shared" si="2"/>
        <v>5000</v>
      </c>
      <c r="AK23" s="1014"/>
      <c r="AL23" s="1018"/>
      <c r="AM23" s="1018"/>
      <c r="AN23" s="1018"/>
      <c r="AO23" s="1018"/>
      <c r="AP23" s="1018"/>
    </row>
    <row r="24" spans="1:42" ht="21" hidden="1" customHeight="1">
      <c r="A24" s="139">
        <v>9</v>
      </c>
      <c r="B24" s="52" t="s">
        <v>20</v>
      </c>
      <c r="C24" s="52" t="s">
        <v>333</v>
      </c>
      <c r="D24" s="52">
        <v>27000</v>
      </c>
      <c r="E24" s="52">
        <v>10000</v>
      </c>
      <c r="F24" s="52"/>
      <c r="G24" s="52"/>
      <c r="H24" s="52" t="s">
        <v>282</v>
      </c>
      <c r="I24" s="610">
        <v>10000</v>
      </c>
      <c r="J24" s="54">
        <v>10000</v>
      </c>
      <c r="K24" s="54">
        <v>10000</v>
      </c>
      <c r="L24" s="965">
        <v>10000</v>
      </c>
      <c r="M24" s="965">
        <v>10000</v>
      </c>
      <c r="N24" s="965">
        <f>E24/21*21</f>
        <v>10000</v>
      </c>
      <c r="O24" s="965">
        <f>E24/22*22</f>
        <v>10000</v>
      </c>
      <c r="P24" s="965">
        <f>E24/22*22</f>
        <v>10000</v>
      </c>
      <c r="Q24" s="54">
        <f>E24/22*22</f>
        <v>10000</v>
      </c>
      <c r="R24" s="54">
        <f>E24/22*22</f>
        <v>10000</v>
      </c>
      <c r="S24" s="965">
        <f>E24/22*22</f>
        <v>10000</v>
      </c>
      <c r="T24" s="965">
        <f>E24/22*22</f>
        <v>10000</v>
      </c>
      <c r="U24" s="52"/>
      <c r="V24" s="52"/>
      <c r="W24" s="716"/>
      <c r="X24" s="1014">
        <f>SUM(I24:V24)</f>
        <v>120000</v>
      </c>
      <c r="Y24" s="1014">
        <f>'[3]2022'!U39</f>
        <v>36000</v>
      </c>
      <c r="Z24" s="1014">
        <v>10000</v>
      </c>
      <c r="AA24" s="1014">
        <v>10000</v>
      </c>
      <c r="AB24" s="1023">
        <v>10000</v>
      </c>
      <c r="AC24" s="1016">
        <f t="shared" si="1"/>
        <v>10000</v>
      </c>
      <c r="AD24" s="1016">
        <f t="shared" si="1"/>
        <v>10000</v>
      </c>
      <c r="AE24" s="880">
        <f t="shared" si="1"/>
        <v>10000</v>
      </c>
      <c r="AF24" s="880">
        <f t="shared" si="2"/>
        <v>10000</v>
      </c>
      <c r="AG24" s="1014">
        <f t="shared" si="2"/>
        <v>10000</v>
      </c>
      <c r="AH24" s="880">
        <f t="shared" si="2"/>
        <v>10000</v>
      </c>
      <c r="AI24" s="1014">
        <f t="shared" si="2"/>
        <v>10000</v>
      </c>
      <c r="AJ24" s="1014">
        <f t="shared" si="2"/>
        <v>10000</v>
      </c>
      <c r="AK24" s="1014">
        <f>V24</f>
        <v>0</v>
      </c>
      <c r="AL24" s="1018"/>
      <c r="AM24" s="1018"/>
      <c r="AN24" s="1018"/>
      <c r="AO24" s="1018"/>
      <c r="AP24" s="1018"/>
    </row>
    <row r="25" spans="1:42" ht="21" hidden="1" customHeight="1">
      <c r="A25" s="993">
        <v>50</v>
      </c>
      <c r="B25" s="128" t="s">
        <v>303</v>
      </c>
      <c r="C25" s="128" t="s">
        <v>352</v>
      </c>
      <c r="D25" s="128">
        <v>15000</v>
      </c>
      <c r="E25" s="128">
        <v>6000</v>
      </c>
      <c r="F25" s="118">
        <v>45154</v>
      </c>
      <c r="G25" s="118">
        <v>45520</v>
      </c>
      <c r="H25" s="128" t="s">
        <v>282</v>
      </c>
      <c r="I25" s="1017">
        <v>6000</v>
      </c>
      <c r="J25" s="1035">
        <v>6000</v>
      </c>
      <c r="K25" s="708">
        <v>6000</v>
      </c>
      <c r="L25" s="711">
        <v>6000</v>
      </c>
      <c r="M25" s="708">
        <v>6000</v>
      </c>
      <c r="N25" s="708">
        <f>E25/21*21</f>
        <v>6000</v>
      </c>
      <c r="O25" s="708">
        <f>E25/22*22</f>
        <v>6000</v>
      </c>
      <c r="P25" s="708">
        <f>E25/22*22</f>
        <v>6000</v>
      </c>
      <c r="Q25" s="711">
        <f>E25/22*21.5</f>
        <v>5863.636363636364</v>
      </c>
      <c r="R25" s="711">
        <f>E25/22*22</f>
        <v>6000</v>
      </c>
      <c r="S25" s="711">
        <f>E25/22*22</f>
        <v>6000</v>
      </c>
      <c r="T25" s="711">
        <f>E25/22*22</f>
        <v>6000</v>
      </c>
      <c r="U25" s="991" t="s">
        <v>964</v>
      </c>
      <c r="V25" s="170"/>
      <c r="W25" s="170"/>
      <c r="X25" s="1018">
        <f>SUM(I25:V25)</f>
        <v>71863.636363636368</v>
      </c>
      <c r="Y25" s="1018" t="s">
        <v>283</v>
      </c>
      <c r="Z25" s="1018"/>
      <c r="AA25" s="1018"/>
      <c r="AB25" s="1019"/>
      <c r="AC25" s="1019"/>
      <c r="AD25" s="1019"/>
      <c r="AE25" s="1018"/>
      <c r="AF25" s="1018"/>
      <c r="AG25" s="1018"/>
      <c r="AH25" s="1018"/>
      <c r="AI25" s="1018"/>
      <c r="AJ25" s="1018"/>
      <c r="AK25" s="1018"/>
      <c r="AL25" s="1018"/>
      <c r="AM25" s="1018"/>
      <c r="AN25" s="1018"/>
      <c r="AO25" s="1018"/>
      <c r="AP25" s="1018"/>
    </row>
    <row r="26" spans="1:42" ht="21" hidden="1" customHeight="1">
      <c r="A26" s="993">
        <v>53</v>
      </c>
      <c r="B26" s="128" t="s">
        <v>353</v>
      </c>
      <c r="C26" s="128" t="s">
        <v>337</v>
      </c>
      <c r="D26" s="128">
        <v>6000</v>
      </c>
      <c r="E26" s="128">
        <v>6000</v>
      </c>
      <c r="F26" s="118">
        <v>45498</v>
      </c>
      <c r="G26" s="118"/>
      <c r="H26" s="128"/>
      <c r="I26" s="1017" t="s">
        <v>30</v>
      </c>
      <c r="J26" s="1017" t="s">
        <v>30</v>
      </c>
      <c r="K26" s="1017" t="s">
        <v>30</v>
      </c>
      <c r="L26" s="1017" t="s">
        <v>30</v>
      </c>
      <c r="M26" s="1017" t="s">
        <v>30</v>
      </c>
      <c r="N26" s="1017" t="s">
        <v>30</v>
      </c>
      <c r="O26" s="1017" t="s">
        <v>30</v>
      </c>
      <c r="P26" s="711">
        <f>E26/22*21.5</f>
        <v>5863.636363636364</v>
      </c>
      <c r="Q26" s="711">
        <v>3000</v>
      </c>
      <c r="R26" s="711">
        <f>E26/22*20.5</f>
        <v>5590.909090909091</v>
      </c>
      <c r="S26" s="711">
        <f>E26/22*17</f>
        <v>4636.3636363636369</v>
      </c>
      <c r="T26" s="711">
        <v>4000</v>
      </c>
      <c r="U26" s="128" t="s">
        <v>923</v>
      </c>
      <c r="V26" s="170"/>
      <c r="W26" s="170"/>
      <c r="X26" s="1018"/>
      <c r="Y26" s="1018"/>
      <c r="Z26" s="1018"/>
      <c r="AA26" s="1018"/>
      <c r="AB26" s="1019"/>
      <c r="AC26" s="1019"/>
      <c r="AD26" s="1019"/>
      <c r="AE26" s="1018"/>
      <c r="AF26" s="1018"/>
      <c r="AG26" s="1018"/>
      <c r="AH26" s="1018"/>
      <c r="AI26" s="1014">
        <f>S26</f>
        <v>4636.3636363636369</v>
      </c>
      <c r="AJ26" s="1014">
        <f>T26</f>
        <v>4000</v>
      </c>
      <c r="AK26" s="1018"/>
      <c r="AL26" s="1018"/>
      <c r="AM26" s="1018"/>
      <c r="AN26" s="1018"/>
      <c r="AO26" s="1018"/>
      <c r="AP26" s="1018"/>
    </row>
    <row r="27" spans="1:42" ht="21" hidden="1" customHeight="1">
      <c r="A27" s="139">
        <v>32</v>
      </c>
      <c r="B27" s="142" t="s">
        <v>345</v>
      </c>
      <c r="C27" s="142" t="s">
        <v>212</v>
      </c>
      <c r="D27" s="142">
        <v>8000</v>
      </c>
      <c r="E27" s="142">
        <v>6000</v>
      </c>
      <c r="F27" s="143">
        <v>45369</v>
      </c>
      <c r="G27" s="143">
        <v>45553</v>
      </c>
      <c r="H27" s="142"/>
      <c r="I27" s="1028"/>
      <c r="J27" s="1029"/>
      <c r="K27" s="1029">
        <f>E27/20*5</f>
        <v>1500</v>
      </c>
      <c r="L27" s="1029">
        <v>4000</v>
      </c>
      <c r="M27" s="212">
        <f>E27/23*20</f>
        <v>5217.391304347826</v>
      </c>
      <c r="N27" s="212">
        <f>E27/21*19</f>
        <v>5428.5714285714284</v>
      </c>
      <c r="O27" s="212">
        <f>E27/26*26</f>
        <v>6000</v>
      </c>
      <c r="P27" s="212">
        <f>E27/27*21</f>
        <v>4666.666666666667</v>
      </c>
      <c r="Q27" s="212">
        <v>1091</v>
      </c>
      <c r="R27" s="1029">
        <f>E27/22*22</f>
        <v>6000</v>
      </c>
      <c r="S27" s="711">
        <f>E27/22*20</f>
        <v>5454.545454545455</v>
      </c>
      <c r="T27" s="711">
        <f>E27/22*22</f>
        <v>6000</v>
      </c>
      <c r="U27" s="142"/>
      <c r="V27" s="170"/>
      <c r="W27" s="170"/>
      <c r="X27" s="1018"/>
      <c r="Y27" s="1018"/>
      <c r="Z27" s="1018"/>
      <c r="AA27" s="1018"/>
      <c r="AB27" s="1019"/>
      <c r="AC27" s="1019"/>
      <c r="AD27" s="1019"/>
      <c r="AE27" s="1018"/>
      <c r="AF27" s="1018"/>
      <c r="AG27" s="1018"/>
      <c r="AH27" s="1018"/>
      <c r="AI27" s="1018"/>
      <c r="AJ27" s="1018"/>
      <c r="AK27" s="1018"/>
      <c r="AL27" s="1018"/>
      <c r="AM27" s="1018"/>
      <c r="AN27" s="1018"/>
      <c r="AO27" s="1018"/>
      <c r="AP27" s="1018"/>
    </row>
    <row r="28" spans="1:42" ht="37.200000000000003" customHeight="1">
      <c r="A28" s="139">
        <v>12</v>
      </c>
      <c r="B28" s="128" t="s">
        <v>336</v>
      </c>
      <c r="C28" s="128" t="s">
        <v>337</v>
      </c>
      <c r="D28" s="128">
        <v>6000</v>
      </c>
      <c r="E28" s="128">
        <v>6000</v>
      </c>
      <c r="F28" s="118">
        <v>45358</v>
      </c>
      <c r="G28" s="128"/>
      <c r="H28" s="128" t="s">
        <v>282</v>
      </c>
      <c r="I28" s="1017" t="s">
        <v>30</v>
      </c>
      <c r="J28" s="708" t="s">
        <v>30</v>
      </c>
      <c r="K28" s="708">
        <f>E28/20*12</f>
        <v>3600</v>
      </c>
      <c r="L28" s="708">
        <v>6000</v>
      </c>
      <c r="M28" s="711">
        <f>E28/22*17</f>
        <v>4636.3636363636369</v>
      </c>
      <c r="N28" s="212">
        <f>E28/21*17</f>
        <v>4857.1428571428569</v>
      </c>
      <c r="O28" s="212">
        <f>E28/22*20.5</f>
        <v>5590.909090909091</v>
      </c>
      <c r="P28" s="212">
        <f>E28/22*22</f>
        <v>6000</v>
      </c>
      <c r="Q28" s="711">
        <f>E28/22*21</f>
        <v>5727.2727272727279</v>
      </c>
      <c r="R28" s="708">
        <f>E28/22*22</f>
        <v>6000</v>
      </c>
      <c r="S28" s="711">
        <f>E28/22*19.5</f>
        <v>5318.1818181818189</v>
      </c>
      <c r="T28" s="711">
        <f>E28/22*15.5</f>
        <v>4227.2727272727279</v>
      </c>
      <c r="U28" s="128" t="s">
        <v>940</v>
      </c>
      <c r="V28" s="170"/>
      <c r="W28" s="170"/>
      <c r="X28" s="1018"/>
      <c r="Y28" s="1018"/>
      <c r="Z28" s="1018"/>
      <c r="AA28" s="1018"/>
      <c r="AB28" s="1019"/>
      <c r="AC28" s="1019"/>
      <c r="AD28" s="1019">
        <f>N28</f>
        <v>4857.1428571428569</v>
      </c>
      <c r="AE28" s="1019">
        <f t="shared" ref="AE28:AH28" si="3">O28</f>
        <v>5590.909090909091</v>
      </c>
      <c r="AF28" s="1019">
        <f t="shared" si="3"/>
        <v>6000</v>
      </c>
      <c r="AG28" s="1019">
        <f t="shared" si="3"/>
        <v>5727.2727272727279</v>
      </c>
      <c r="AH28" s="1019">
        <f t="shared" si="3"/>
        <v>6000</v>
      </c>
      <c r="AI28" s="1014">
        <f>S28</f>
        <v>5318.1818181818189</v>
      </c>
      <c r="AJ28" s="1014">
        <f>T28</f>
        <v>4227.2727272727279</v>
      </c>
      <c r="AK28" s="1018"/>
      <c r="AL28" s="1018"/>
      <c r="AM28" s="1018"/>
      <c r="AN28" s="1018"/>
      <c r="AO28" s="1018"/>
      <c r="AP28" s="1018"/>
    </row>
    <row r="29" spans="1:42" ht="94.2" hidden="1" customHeight="1">
      <c r="A29" s="139">
        <v>42</v>
      </c>
      <c r="B29" s="128" t="s">
        <v>309</v>
      </c>
      <c r="C29" s="128" t="s">
        <v>224</v>
      </c>
      <c r="D29" s="128">
        <v>20000</v>
      </c>
      <c r="E29" s="128">
        <v>5000</v>
      </c>
      <c r="F29" s="118">
        <v>45364</v>
      </c>
      <c r="G29" s="118">
        <v>45729</v>
      </c>
      <c r="H29" s="128" t="s">
        <v>282</v>
      </c>
      <c r="I29" s="1017">
        <v>7000</v>
      </c>
      <c r="J29" s="1017">
        <v>7000</v>
      </c>
      <c r="K29" s="708">
        <f>4000+2000</f>
        <v>6000</v>
      </c>
      <c r="L29" s="708">
        <v>5000</v>
      </c>
      <c r="M29" s="708">
        <v>3000</v>
      </c>
      <c r="N29" s="711">
        <v>0</v>
      </c>
      <c r="O29" s="711">
        <v>3000</v>
      </c>
      <c r="P29" s="711">
        <f>E29/22*19-500</f>
        <v>3818.181818181818</v>
      </c>
      <c r="Q29" s="711">
        <v>0</v>
      </c>
      <c r="R29" s="711">
        <f>E29/22*21</f>
        <v>4772.727272727273</v>
      </c>
      <c r="S29" s="711">
        <v>2000</v>
      </c>
      <c r="T29" s="711">
        <v>3500</v>
      </c>
      <c r="U29" s="142" t="s">
        <v>939</v>
      </c>
      <c r="V29" s="170"/>
      <c r="W29" s="170"/>
      <c r="X29" s="1018">
        <f>SUM(I29:V29)</f>
        <v>45090.909090909088</v>
      </c>
      <c r="Y29" s="1018">
        <f>'[3]2022'!U63</f>
        <v>50000</v>
      </c>
      <c r="Z29" s="1018"/>
      <c r="AA29" s="1018"/>
      <c r="AB29" s="1019"/>
      <c r="AC29" s="1019"/>
      <c r="AD29" s="1019"/>
      <c r="AE29" s="1018"/>
      <c r="AF29" s="1018"/>
      <c r="AG29" s="1018"/>
      <c r="AH29" s="1018"/>
      <c r="AI29" s="1018"/>
      <c r="AJ29" s="1018"/>
      <c r="AK29" s="1018"/>
      <c r="AL29" s="280"/>
      <c r="AM29" s="280"/>
      <c r="AN29" s="280"/>
      <c r="AO29" s="280"/>
      <c r="AP29" s="280"/>
    </row>
    <row r="30" spans="1:42" ht="96" hidden="1" customHeight="1">
      <c r="A30" s="139">
        <v>13</v>
      </c>
      <c r="B30" s="128" t="s">
        <v>297</v>
      </c>
      <c r="C30" s="128" t="s">
        <v>337</v>
      </c>
      <c r="D30" s="128">
        <v>25000</v>
      </c>
      <c r="E30" s="128">
        <v>5000</v>
      </c>
      <c r="F30" s="118">
        <v>44937</v>
      </c>
      <c r="G30" s="128"/>
      <c r="H30" s="128" t="s">
        <v>282</v>
      </c>
      <c r="I30" s="1017">
        <v>5000</v>
      </c>
      <c r="J30" s="708">
        <v>5000</v>
      </c>
      <c r="K30" s="708">
        <v>5000</v>
      </c>
      <c r="L30" s="708">
        <v>5000</v>
      </c>
      <c r="M30" s="708">
        <v>5000</v>
      </c>
      <c r="N30" s="708">
        <f>E30/21*21</f>
        <v>5000</v>
      </c>
      <c r="O30" s="711">
        <f>E30/22*21</f>
        <v>4772.727272727273</v>
      </c>
      <c r="P30" s="711">
        <f>E30/22*22</f>
        <v>5000</v>
      </c>
      <c r="Q30" s="711">
        <f>E30/22*21</f>
        <v>4772.727272727273</v>
      </c>
      <c r="R30" s="708">
        <f>E30/22*22</f>
        <v>5000</v>
      </c>
      <c r="S30" s="711">
        <f>E30/22*21</f>
        <v>4772.727272727273</v>
      </c>
      <c r="T30" s="711">
        <f>E30/22*19.5</f>
        <v>4431.818181818182</v>
      </c>
      <c r="U30" s="128" t="s">
        <v>962</v>
      </c>
      <c r="V30" s="170"/>
      <c r="W30" s="170"/>
      <c r="X30" s="1018">
        <f>SUM(I30:V30)</f>
        <v>58750</v>
      </c>
      <c r="Y30" s="1127">
        <f>'[3]2022'!U20</f>
        <v>20727.272727272699</v>
      </c>
      <c r="Z30" s="1018"/>
      <c r="AA30" s="1018"/>
      <c r="AB30" s="1019"/>
      <c r="AC30" s="1019"/>
      <c r="AD30" s="1019"/>
      <c r="AE30" s="1018"/>
      <c r="AF30" s="1018"/>
      <c r="AG30" s="1018"/>
      <c r="AH30" s="1018"/>
      <c r="AI30" s="1018"/>
      <c r="AJ30" s="1018"/>
      <c r="AK30" s="1018"/>
      <c r="AL30" s="1018"/>
      <c r="AM30" s="1018"/>
      <c r="AN30" s="1018"/>
      <c r="AO30" s="1018"/>
      <c r="AP30" s="1018"/>
    </row>
    <row r="31" spans="1:42" ht="36" hidden="1" customHeight="1">
      <c r="A31" s="993">
        <v>52</v>
      </c>
      <c r="B31" s="992" t="s">
        <v>314</v>
      </c>
      <c r="C31" s="992" t="s">
        <v>74</v>
      </c>
      <c r="D31" s="992">
        <v>10000</v>
      </c>
      <c r="E31" s="992">
        <v>6000</v>
      </c>
      <c r="F31" s="994">
        <v>45227</v>
      </c>
      <c r="G31" s="994">
        <v>45775</v>
      </c>
      <c r="H31" s="992" t="s">
        <v>282</v>
      </c>
      <c r="I31" s="1037">
        <f>E31/27*18</f>
        <v>4000</v>
      </c>
      <c r="J31" s="1038">
        <v>4000</v>
      </c>
      <c r="K31" s="1038">
        <v>4000</v>
      </c>
      <c r="L31" s="995">
        <f>4000/23*22</f>
        <v>3826.086956521739</v>
      </c>
      <c r="M31" s="1079">
        <v>6000</v>
      </c>
      <c r="N31" s="1038">
        <f>E31/21*21</f>
        <v>6000</v>
      </c>
      <c r="O31" s="995">
        <f>E31/22*20</f>
        <v>5454.545454545455</v>
      </c>
      <c r="P31" s="995">
        <v>2000</v>
      </c>
      <c r="Q31" s="995">
        <v>3000</v>
      </c>
      <c r="R31" s="995">
        <f>E31/22*19.5</f>
        <v>5318.1818181818189</v>
      </c>
      <c r="S31" s="711">
        <v>3000</v>
      </c>
      <c r="T31" s="711">
        <f>E31/22*22</f>
        <v>6000</v>
      </c>
      <c r="U31" s="992"/>
      <c r="V31" s="996"/>
      <c r="W31" s="996"/>
      <c r="X31" s="1039">
        <f>SUM(I31:V31)</f>
        <v>52598.814229249008</v>
      </c>
      <c r="Y31" s="1039"/>
      <c r="Z31" s="1039"/>
      <c r="AA31" s="1039"/>
      <c r="AB31" s="1042"/>
      <c r="AC31" s="1042"/>
      <c r="AD31" s="1042"/>
      <c r="AE31" s="1039"/>
      <c r="AF31" s="1039"/>
      <c r="AG31" s="1039"/>
      <c r="AH31" s="1039"/>
      <c r="AI31" s="1039"/>
      <c r="AJ31" s="1039"/>
      <c r="AK31" s="1039"/>
      <c r="AL31" s="1039"/>
      <c r="AM31" s="1039"/>
      <c r="AN31" s="1039"/>
      <c r="AO31" s="1039"/>
      <c r="AP31" s="1039"/>
    </row>
    <row r="32" spans="1:42" ht="36" hidden="1" customHeight="1">
      <c r="A32" s="139">
        <v>10</v>
      </c>
      <c r="B32" s="52" t="s">
        <v>916</v>
      </c>
      <c r="C32" s="52" t="s">
        <v>333</v>
      </c>
      <c r="D32" s="52">
        <v>10000</v>
      </c>
      <c r="E32" s="52">
        <v>6000</v>
      </c>
      <c r="F32" s="52">
        <v>45420</v>
      </c>
      <c r="G32" s="52">
        <v>46150</v>
      </c>
      <c r="H32" s="52" t="s">
        <v>282</v>
      </c>
      <c r="I32" s="610" t="s">
        <v>30</v>
      </c>
      <c r="J32" s="54" t="s">
        <v>30</v>
      </c>
      <c r="K32" s="54" t="s">
        <v>30</v>
      </c>
      <c r="L32" s="965" t="s">
        <v>30</v>
      </c>
      <c r="M32" s="965">
        <v>2308</v>
      </c>
      <c r="N32" s="965">
        <f>E32/26*26</f>
        <v>6000</v>
      </c>
      <c r="O32" s="965">
        <f>E32/26*25</f>
        <v>5769.2307692307695</v>
      </c>
      <c r="P32" s="965">
        <f>E32/27*27</f>
        <v>6000</v>
      </c>
      <c r="Q32" s="54">
        <f>E32/26*25</f>
        <v>5769.2307692307695</v>
      </c>
      <c r="R32" s="54">
        <f>E32/26*26</f>
        <v>6000</v>
      </c>
      <c r="S32" s="965">
        <f>E32/22*22</f>
        <v>6000</v>
      </c>
      <c r="T32" s="965">
        <f>E32/22*22</f>
        <v>6000</v>
      </c>
      <c r="U32" s="52"/>
      <c r="V32" s="52"/>
      <c r="W32" s="716"/>
      <c r="X32" s="1014"/>
      <c r="Y32" s="1014"/>
      <c r="Z32" s="1014"/>
      <c r="AA32" s="1014"/>
      <c r="AB32" s="1023"/>
      <c r="AC32" s="1016"/>
      <c r="AD32" s="1016">
        <f>M32</f>
        <v>2308</v>
      </c>
      <c r="AE32" s="880"/>
      <c r="AF32" s="880">
        <f>P32</f>
        <v>6000</v>
      </c>
      <c r="AG32" s="1014">
        <f>Q32</f>
        <v>5769.2307692307695</v>
      </c>
      <c r="AH32" s="880">
        <f>R32</f>
        <v>6000</v>
      </c>
      <c r="AI32" s="1014">
        <f>S32</f>
        <v>6000</v>
      </c>
      <c r="AJ32" s="1014">
        <f>T32</f>
        <v>6000</v>
      </c>
      <c r="AK32" s="1014"/>
      <c r="AL32" s="1018"/>
      <c r="AM32" s="1018"/>
      <c r="AN32" s="1018"/>
      <c r="AO32" s="1018"/>
      <c r="AP32" s="1018"/>
    </row>
    <row r="33" spans="1:16356" ht="37.950000000000003" hidden="1" customHeight="1">
      <c r="A33" s="139">
        <v>29</v>
      </c>
      <c r="B33" s="62" t="s">
        <v>343</v>
      </c>
      <c r="C33" s="62" t="s">
        <v>342</v>
      </c>
      <c r="D33" s="128">
        <v>10000</v>
      </c>
      <c r="E33" s="128">
        <v>6000</v>
      </c>
      <c r="F33" s="118">
        <v>45286</v>
      </c>
      <c r="G33" s="118">
        <v>45834</v>
      </c>
      <c r="H33" s="128" t="s">
        <v>282</v>
      </c>
      <c r="I33" s="1017">
        <f>4000/23*22</f>
        <v>3826.086956521739</v>
      </c>
      <c r="J33" s="711">
        <v>4000</v>
      </c>
      <c r="K33" s="708">
        <v>4000</v>
      </c>
      <c r="L33" s="711">
        <f>4000/23*22</f>
        <v>3826.086956521739</v>
      </c>
      <c r="M33" s="708">
        <v>4000</v>
      </c>
      <c r="N33" s="708">
        <f>4000/26*26</f>
        <v>4000</v>
      </c>
      <c r="O33" s="708">
        <f>E33/22*22</f>
        <v>6000</v>
      </c>
      <c r="P33" s="711">
        <f>E33/22*22</f>
        <v>6000</v>
      </c>
      <c r="Q33" s="708">
        <f>E33/22*22</f>
        <v>6000</v>
      </c>
      <c r="R33" s="708">
        <f>E33/22*22</f>
        <v>6000</v>
      </c>
      <c r="S33" s="711">
        <f>E33/22*12</f>
        <v>3272.727272727273</v>
      </c>
      <c r="T33" s="708">
        <f>E33/22*22</f>
        <v>6000</v>
      </c>
      <c r="U33" s="991"/>
      <c r="V33" s="170"/>
      <c r="W33" s="170"/>
      <c r="X33" s="1019"/>
      <c r="Y33" s="1019"/>
      <c r="Z33" s="1019"/>
      <c r="AA33" s="1019"/>
      <c r="AB33" s="1019"/>
      <c r="AC33" s="1019"/>
      <c r="AD33" s="1019"/>
      <c r="AE33" s="1019"/>
      <c r="AF33" s="1019"/>
      <c r="AG33" s="1018"/>
      <c r="AH33" s="1018"/>
      <c r="AI33" s="1018"/>
      <c r="AJ33" s="1019"/>
      <c r="AK33" s="1019"/>
      <c r="AL33" s="1019"/>
      <c r="AM33" s="1019"/>
      <c r="AN33" s="1019"/>
      <c r="AO33" s="1019"/>
      <c r="AP33" s="1019"/>
    </row>
    <row r="34" spans="1:16356" s="1036" customFormat="1" ht="36" hidden="1" customHeight="1">
      <c r="A34" s="139">
        <v>45</v>
      </c>
      <c r="B34" s="128" t="s">
        <v>350</v>
      </c>
      <c r="C34" s="128" t="s">
        <v>224</v>
      </c>
      <c r="D34" s="128">
        <v>6000</v>
      </c>
      <c r="E34" s="128">
        <v>4000</v>
      </c>
      <c r="F34" s="118">
        <v>45383</v>
      </c>
      <c r="G34" s="118">
        <v>46113</v>
      </c>
      <c r="H34" s="118" t="s">
        <v>282</v>
      </c>
      <c r="I34" s="1017" t="s">
        <v>30</v>
      </c>
      <c r="J34" s="1017" t="s">
        <v>30</v>
      </c>
      <c r="K34" s="708" t="s">
        <v>30</v>
      </c>
      <c r="L34" s="711" t="s">
        <v>30</v>
      </c>
      <c r="M34" s="711" t="s">
        <v>30</v>
      </c>
      <c r="N34" s="711" t="s">
        <v>30</v>
      </c>
      <c r="O34" s="711">
        <f>E34/27*19</f>
        <v>2814.8148148148148</v>
      </c>
      <c r="P34" s="711">
        <f>E34/27*19.5</f>
        <v>2888.8888888888891</v>
      </c>
      <c r="Q34" s="711">
        <v>0</v>
      </c>
      <c r="R34" s="711">
        <f>E34/22*15</f>
        <v>2727.272727272727</v>
      </c>
      <c r="S34" s="711">
        <f>E34/22*15.5</f>
        <v>2818.181818181818</v>
      </c>
      <c r="T34" s="711">
        <f>E34/22*22</f>
        <v>4000</v>
      </c>
      <c r="U34" s="128"/>
      <c r="V34" s="170"/>
      <c r="W34" s="170"/>
      <c r="X34" s="1018"/>
      <c r="Y34" s="1018"/>
      <c r="Z34" s="1018"/>
      <c r="AA34" s="1018"/>
      <c r="AB34" s="1019"/>
      <c r="AC34" s="1019"/>
      <c r="AD34" s="1019"/>
      <c r="AE34" s="1018"/>
      <c r="AF34" s="1018"/>
      <c r="AG34" s="1018"/>
      <c r="AH34" s="1018"/>
      <c r="AI34" s="1018"/>
      <c r="AJ34" s="1018"/>
      <c r="AK34" s="1018"/>
      <c r="AL34" s="1018"/>
      <c r="AM34" s="1018"/>
      <c r="AN34" s="1018"/>
      <c r="AO34" s="1018"/>
      <c r="AP34" s="1018"/>
      <c r="AQ34" s="1000"/>
      <c r="AR34" s="1000"/>
      <c r="AS34" s="1000"/>
      <c r="AT34" s="1000"/>
      <c r="AU34" s="1000"/>
      <c r="AV34" s="1000"/>
      <c r="AW34" s="1000"/>
      <c r="AX34" s="1000"/>
      <c r="AY34" s="1000"/>
      <c r="AZ34" s="1000"/>
      <c r="BA34" s="1000"/>
      <c r="BB34" s="1000"/>
      <c r="BC34" s="1000"/>
      <c r="BD34" s="1000"/>
      <c r="BE34" s="1000"/>
      <c r="BF34" s="1000"/>
      <c r="BG34" s="1000"/>
      <c r="BH34" s="1000"/>
      <c r="BI34" s="1000"/>
      <c r="BJ34" s="1000"/>
      <c r="BK34" s="1000"/>
      <c r="BL34" s="1000"/>
      <c r="BM34" s="1000"/>
      <c r="BN34" s="1000"/>
      <c r="BO34" s="1000"/>
      <c r="BP34" s="1000"/>
      <c r="BQ34" s="1000"/>
      <c r="BR34" s="1000"/>
      <c r="BS34" s="1000"/>
      <c r="BT34" s="1000"/>
      <c r="BU34" s="1000"/>
      <c r="BV34" s="1000"/>
      <c r="BW34" s="1000"/>
      <c r="BX34" s="1000"/>
      <c r="BY34" s="1000"/>
      <c r="BZ34" s="1000"/>
      <c r="CA34" s="1000"/>
      <c r="CB34" s="1000"/>
      <c r="CC34" s="1000"/>
      <c r="CD34" s="1000"/>
      <c r="CE34" s="1000"/>
      <c r="CF34" s="1000"/>
      <c r="CG34" s="1000"/>
      <c r="CH34" s="1000"/>
      <c r="CI34" s="1000"/>
      <c r="CJ34" s="1000"/>
      <c r="CK34" s="1000"/>
      <c r="CL34" s="1000"/>
      <c r="CM34" s="1000"/>
      <c r="CN34" s="1000"/>
      <c r="CO34" s="1000"/>
      <c r="CP34" s="1000"/>
      <c r="CQ34" s="1000"/>
      <c r="CR34" s="1000"/>
      <c r="CS34" s="1000"/>
      <c r="CT34" s="1000"/>
      <c r="CU34" s="1000"/>
      <c r="CV34" s="1000"/>
      <c r="CW34" s="1000"/>
      <c r="CX34" s="1000"/>
      <c r="CY34" s="1000"/>
      <c r="CZ34" s="1000"/>
      <c r="DA34" s="1000"/>
      <c r="DB34" s="1000"/>
      <c r="DC34" s="1000"/>
      <c r="DD34" s="1000"/>
      <c r="DE34" s="1000"/>
      <c r="DF34" s="1000"/>
      <c r="DG34" s="1000"/>
      <c r="DH34" s="1000"/>
      <c r="DI34" s="1000"/>
      <c r="DJ34" s="1000"/>
      <c r="DK34" s="1000"/>
      <c r="DL34" s="1000"/>
      <c r="DM34" s="1000"/>
      <c r="DN34" s="1000"/>
      <c r="DO34" s="1000"/>
      <c r="DP34" s="1000"/>
      <c r="DQ34" s="1000"/>
      <c r="DR34" s="1000"/>
      <c r="DS34" s="1000"/>
      <c r="DT34" s="1000"/>
      <c r="DU34" s="1000"/>
      <c r="DV34" s="1000"/>
      <c r="DW34" s="1000"/>
      <c r="DX34" s="1000"/>
      <c r="DY34" s="1000"/>
      <c r="DZ34" s="1000"/>
      <c r="EA34" s="1000"/>
      <c r="EB34" s="1000"/>
      <c r="EC34" s="1000"/>
      <c r="ED34" s="1000"/>
      <c r="EE34" s="1000"/>
      <c r="EF34" s="1000"/>
      <c r="EG34" s="1000"/>
      <c r="EH34" s="1000"/>
      <c r="EI34" s="1000"/>
      <c r="EJ34" s="1000"/>
      <c r="EK34" s="1000"/>
      <c r="EL34" s="1000"/>
      <c r="EM34" s="1000"/>
      <c r="EN34" s="1000"/>
      <c r="EO34" s="1000"/>
      <c r="EP34" s="1000"/>
      <c r="EQ34" s="1000"/>
      <c r="ER34" s="1000"/>
      <c r="ES34" s="1000"/>
      <c r="ET34" s="1000"/>
      <c r="EU34" s="1000"/>
      <c r="EV34" s="1000"/>
      <c r="EW34" s="1000"/>
      <c r="EX34" s="1000"/>
      <c r="EY34" s="1000"/>
      <c r="EZ34" s="1000"/>
      <c r="FA34" s="1000"/>
      <c r="FB34" s="1000"/>
      <c r="FC34" s="1000"/>
      <c r="FD34" s="1000"/>
      <c r="FE34" s="1000"/>
      <c r="FF34" s="1000"/>
      <c r="FG34" s="1000"/>
      <c r="FH34" s="1000"/>
      <c r="FI34" s="1000"/>
      <c r="FJ34" s="1000"/>
      <c r="FK34" s="1000"/>
      <c r="FL34" s="1000"/>
      <c r="FM34" s="1000"/>
      <c r="FN34" s="1000"/>
      <c r="FO34" s="1000"/>
      <c r="FP34" s="1000"/>
      <c r="FQ34" s="1000"/>
      <c r="FR34" s="1000"/>
      <c r="FS34" s="1000"/>
      <c r="FT34" s="1000"/>
      <c r="FU34" s="1000"/>
      <c r="FV34" s="1000"/>
      <c r="FW34" s="1000"/>
      <c r="FX34" s="1000"/>
      <c r="FY34" s="1000"/>
      <c r="FZ34" s="1000"/>
      <c r="GA34" s="1000"/>
      <c r="GB34" s="1000"/>
      <c r="GC34" s="1000"/>
      <c r="GD34" s="1000"/>
      <c r="GE34" s="1000"/>
      <c r="GF34" s="1000"/>
      <c r="GG34" s="1000"/>
      <c r="GH34" s="1000"/>
      <c r="GI34" s="1000"/>
      <c r="GJ34" s="1000"/>
      <c r="GK34" s="1000"/>
      <c r="GL34" s="1000"/>
      <c r="GM34" s="1000"/>
      <c r="GN34" s="1000"/>
      <c r="GO34" s="1000"/>
      <c r="GP34" s="1000"/>
      <c r="GQ34" s="1000"/>
      <c r="GR34" s="1000"/>
      <c r="GS34" s="1000"/>
      <c r="GT34" s="1000"/>
      <c r="GU34" s="1000"/>
      <c r="GV34" s="1000"/>
      <c r="GW34" s="1000"/>
      <c r="GX34" s="1000"/>
      <c r="GY34" s="1000"/>
      <c r="GZ34" s="1000"/>
      <c r="HA34" s="1000"/>
      <c r="HB34" s="1000"/>
      <c r="HC34" s="1000"/>
      <c r="HD34" s="1000"/>
      <c r="HE34" s="1000"/>
      <c r="HF34" s="1000"/>
      <c r="HG34" s="1000"/>
      <c r="HH34" s="1000"/>
      <c r="HI34" s="1000"/>
      <c r="HJ34" s="1000"/>
      <c r="HK34" s="1000"/>
      <c r="HL34" s="1000"/>
      <c r="HM34" s="1000"/>
      <c r="HN34" s="1000"/>
      <c r="HO34" s="1000"/>
      <c r="HP34" s="1000"/>
      <c r="HQ34" s="1000"/>
      <c r="HR34" s="1000"/>
      <c r="HS34" s="1000"/>
      <c r="HT34" s="1000"/>
      <c r="HU34" s="1000"/>
      <c r="HV34" s="1000"/>
      <c r="HW34" s="1000"/>
      <c r="HX34" s="1000"/>
      <c r="HY34" s="1000"/>
      <c r="HZ34" s="1000"/>
      <c r="IA34" s="1000"/>
      <c r="IB34" s="1000"/>
      <c r="IC34" s="1000"/>
      <c r="ID34" s="1000"/>
      <c r="IE34" s="1000"/>
      <c r="IF34" s="1000"/>
      <c r="IG34" s="1000"/>
      <c r="IH34" s="1000"/>
      <c r="II34" s="1000"/>
      <c r="IJ34" s="1000"/>
      <c r="IK34" s="1000"/>
      <c r="IL34" s="1000"/>
      <c r="IM34" s="1000"/>
      <c r="IN34" s="1000"/>
      <c r="IO34" s="1000"/>
      <c r="IP34" s="1000"/>
      <c r="IQ34" s="1000"/>
      <c r="IR34" s="1000"/>
      <c r="IS34" s="1000"/>
      <c r="IT34" s="1000"/>
      <c r="IU34" s="1000"/>
      <c r="IV34" s="1000"/>
      <c r="IW34" s="1000"/>
      <c r="IX34" s="1000"/>
      <c r="IY34" s="1000"/>
      <c r="IZ34" s="1000"/>
      <c r="JA34" s="1000"/>
      <c r="JB34" s="1000"/>
      <c r="JC34" s="1000"/>
      <c r="JD34" s="1000"/>
      <c r="JE34" s="1000"/>
      <c r="JF34" s="1000"/>
      <c r="JG34" s="1000"/>
      <c r="JH34" s="1000"/>
      <c r="JI34" s="1000"/>
      <c r="JJ34" s="1000"/>
      <c r="JK34" s="1000"/>
      <c r="JL34" s="1000"/>
      <c r="JM34" s="1000"/>
      <c r="JN34" s="1000"/>
      <c r="JO34" s="1000"/>
      <c r="JP34" s="1000"/>
      <c r="JQ34" s="1000"/>
      <c r="JR34" s="1000"/>
      <c r="JS34" s="1000"/>
      <c r="JT34" s="1000"/>
      <c r="JU34" s="1000"/>
      <c r="JV34" s="1000"/>
      <c r="JW34" s="1000"/>
      <c r="JX34" s="1000"/>
      <c r="JY34" s="1000"/>
      <c r="JZ34" s="1000"/>
      <c r="KA34" s="1000"/>
      <c r="KB34" s="1000"/>
      <c r="KC34" s="1000"/>
      <c r="KD34" s="1000"/>
      <c r="KE34" s="1000"/>
      <c r="KF34" s="1000"/>
      <c r="KG34" s="1000"/>
      <c r="KH34" s="1000"/>
      <c r="KI34" s="1000"/>
      <c r="KJ34" s="1000"/>
      <c r="KK34" s="1000"/>
      <c r="KL34" s="1000"/>
      <c r="KM34" s="1000"/>
      <c r="KN34" s="1000"/>
      <c r="KO34" s="1000"/>
      <c r="KP34" s="1000"/>
      <c r="KQ34" s="1000"/>
      <c r="KR34" s="1000"/>
      <c r="KS34" s="1000"/>
      <c r="KT34" s="1000"/>
      <c r="KU34" s="1000"/>
      <c r="KV34" s="1000"/>
      <c r="KW34" s="1000"/>
      <c r="KX34" s="1000"/>
      <c r="KY34" s="1000"/>
      <c r="KZ34" s="1000"/>
      <c r="LA34" s="1000"/>
      <c r="LB34" s="1000"/>
      <c r="LC34" s="1000"/>
      <c r="LD34" s="1000"/>
      <c r="LE34" s="1000"/>
      <c r="LF34" s="1000"/>
      <c r="LG34" s="1000"/>
      <c r="LH34" s="1000"/>
      <c r="LI34" s="1000"/>
      <c r="LJ34" s="1000"/>
      <c r="LK34" s="1000"/>
      <c r="LL34" s="1000"/>
      <c r="LM34" s="1000"/>
      <c r="LN34" s="1000"/>
      <c r="LO34" s="1000"/>
      <c r="LP34" s="1000"/>
      <c r="LQ34" s="1000"/>
      <c r="LR34" s="1000"/>
      <c r="LS34" s="1000"/>
      <c r="LT34" s="1000"/>
      <c r="LU34" s="1000"/>
      <c r="LV34" s="1000"/>
      <c r="LW34" s="1000"/>
      <c r="LX34" s="1000"/>
      <c r="LY34" s="1000"/>
      <c r="LZ34" s="1000"/>
      <c r="MA34" s="1000"/>
      <c r="MB34" s="1000"/>
      <c r="MC34" s="1000"/>
      <c r="MD34" s="1000"/>
      <c r="ME34" s="1000"/>
      <c r="MF34" s="1000"/>
      <c r="MG34" s="1000"/>
      <c r="MH34" s="1000"/>
      <c r="MI34" s="1000"/>
      <c r="MJ34" s="1000"/>
      <c r="MK34" s="1000"/>
      <c r="ML34" s="1000"/>
      <c r="MM34" s="1000"/>
      <c r="MN34" s="1000"/>
      <c r="MO34" s="1000"/>
      <c r="MP34" s="1000"/>
      <c r="MQ34" s="1000"/>
      <c r="MR34" s="1000"/>
      <c r="MS34" s="1000"/>
      <c r="MT34" s="1000"/>
      <c r="MU34" s="1000"/>
      <c r="MV34" s="1000"/>
      <c r="MW34" s="1000"/>
      <c r="MX34" s="1000"/>
      <c r="MY34" s="1000"/>
      <c r="MZ34" s="1000"/>
      <c r="NA34" s="1000"/>
      <c r="NB34" s="1000"/>
      <c r="NC34" s="1000"/>
      <c r="ND34" s="1000"/>
      <c r="NE34" s="1000"/>
      <c r="NF34" s="1000"/>
      <c r="NG34" s="1000"/>
      <c r="NH34" s="1000"/>
      <c r="NI34" s="1000"/>
      <c r="NJ34" s="1000"/>
      <c r="NK34" s="1000"/>
      <c r="NL34" s="1000"/>
      <c r="NM34" s="1000"/>
      <c r="NN34" s="1000"/>
      <c r="NO34" s="1000"/>
      <c r="NP34" s="1000"/>
      <c r="NQ34" s="1000"/>
      <c r="NR34" s="1000"/>
      <c r="NS34" s="1000"/>
      <c r="NT34" s="1000"/>
      <c r="NU34" s="1000"/>
      <c r="NV34" s="1000"/>
      <c r="NW34" s="1000"/>
      <c r="NX34" s="1000"/>
      <c r="NY34" s="1000"/>
      <c r="NZ34" s="1000"/>
      <c r="OA34" s="1000"/>
      <c r="OB34" s="1000"/>
      <c r="OC34" s="1000"/>
      <c r="OD34" s="1000"/>
      <c r="OE34" s="1000"/>
      <c r="OF34" s="1000"/>
      <c r="OG34" s="1000"/>
      <c r="OH34" s="1000"/>
      <c r="OI34" s="1000"/>
      <c r="OJ34" s="1000"/>
      <c r="OK34" s="1000"/>
      <c r="OL34" s="1000"/>
      <c r="OM34" s="1000"/>
      <c r="ON34" s="1000"/>
      <c r="OO34" s="1000"/>
      <c r="OP34" s="1000"/>
      <c r="OQ34" s="1000"/>
      <c r="OR34" s="1000"/>
      <c r="OS34" s="1000"/>
      <c r="OT34" s="1000"/>
      <c r="OU34" s="1000"/>
      <c r="OV34" s="1000"/>
      <c r="OW34" s="1000"/>
      <c r="OX34" s="1000"/>
      <c r="OY34" s="1000"/>
      <c r="OZ34" s="1000"/>
      <c r="PA34" s="1000"/>
      <c r="PB34" s="1000"/>
      <c r="PC34" s="1000"/>
      <c r="PD34" s="1000"/>
      <c r="PE34" s="1000"/>
      <c r="PF34" s="1000"/>
      <c r="PG34" s="1000"/>
      <c r="PH34" s="1000"/>
      <c r="PI34" s="1000"/>
      <c r="PJ34" s="1000"/>
      <c r="PK34" s="1000"/>
      <c r="PL34" s="1000"/>
      <c r="PM34" s="1000"/>
      <c r="PN34" s="1000"/>
      <c r="PO34" s="1000"/>
      <c r="PP34" s="1000"/>
      <c r="PQ34" s="1000"/>
      <c r="PR34" s="1000"/>
      <c r="PS34" s="1000"/>
      <c r="PT34" s="1000"/>
      <c r="PU34" s="1000"/>
      <c r="PV34" s="1000"/>
      <c r="PW34" s="1000"/>
      <c r="PX34" s="1000"/>
      <c r="PY34" s="1000"/>
      <c r="PZ34" s="1000"/>
      <c r="QA34" s="1000"/>
      <c r="QB34" s="1000"/>
      <c r="QC34" s="1000"/>
      <c r="QD34" s="1000"/>
      <c r="QE34" s="1000"/>
      <c r="QF34" s="1000"/>
      <c r="QG34" s="1000"/>
      <c r="QH34" s="1000"/>
      <c r="QI34" s="1000"/>
      <c r="QJ34" s="1000"/>
      <c r="QK34" s="1000"/>
      <c r="QL34" s="1000"/>
      <c r="QM34" s="1000"/>
      <c r="QN34" s="1000"/>
      <c r="QO34" s="1000"/>
      <c r="QP34" s="1000"/>
      <c r="QQ34" s="1000"/>
      <c r="QR34" s="1000"/>
      <c r="QS34" s="1000"/>
      <c r="QT34" s="1000"/>
      <c r="QU34" s="1000"/>
      <c r="QV34" s="1000"/>
      <c r="QW34" s="1000"/>
      <c r="QX34" s="1000"/>
      <c r="QY34" s="1000"/>
      <c r="QZ34" s="1000"/>
      <c r="RA34" s="1000"/>
      <c r="RB34" s="1000"/>
      <c r="RC34" s="1000"/>
      <c r="RD34" s="1000"/>
      <c r="RE34" s="1000"/>
      <c r="RF34" s="1000"/>
      <c r="RG34" s="1000"/>
      <c r="RH34" s="1000"/>
      <c r="RI34" s="1000"/>
      <c r="RJ34" s="1000"/>
      <c r="RK34" s="1000"/>
      <c r="RL34" s="1000"/>
      <c r="RM34" s="1000"/>
      <c r="RN34" s="1000"/>
      <c r="RO34" s="1000"/>
      <c r="RP34" s="1000"/>
      <c r="RQ34" s="1000"/>
      <c r="RR34" s="1000"/>
      <c r="RS34" s="1000"/>
      <c r="RT34" s="1000"/>
      <c r="RU34" s="1000"/>
      <c r="RV34" s="1000"/>
      <c r="RW34" s="1000"/>
      <c r="RX34" s="1000"/>
      <c r="RY34" s="1000"/>
      <c r="RZ34" s="1000"/>
      <c r="SA34" s="1000"/>
      <c r="SB34" s="1000"/>
      <c r="SC34" s="1000"/>
      <c r="SD34" s="1000"/>
      <c r="SE34" s="1000"/>
      <c r="SF34" s="1000"/>
      <c r="SG34" s="1000"/>
      <c r="SH34" s="1000"/>
      <c r="SI34" s="1000"/>
      <c r="SJ34" s="1000"/>
      <c r="SK34" s="1000"/>
      <c r="SL34" s="1000"/>
      <c r="SM34" s="1000"/>
      <c r="SN34" s="1000"/>
      <c r="SO34" s="1000"/>
      <c r="SP34" s="1000"/>
      <c r="SQ34" s="1000"/>
      <c r="SR34" s="1000"/>
      <c r="SS34" s="1000"/>
      <c r="ST34" s="1000"/>
      <c r="SU34" s="1000"/>
      <c r="SV34" s="1000"/>
      <c r="SW34" s="1000"/>
      <c r="SX34" s="1000"/>
      <c r="SY34" s="1000"/>
      <c r="SZ34" s="1000"/>
      <c r="TA34" s="1000"/>
      <c r="TB34" s="1000"/>
      <c r="TC34" s="1000"/>
      <c r="TD34" s="1000"/>
      <c r="TE34" s="1000"/>
      <c r="TF34" s="1000"/>
      <c r="TG34" s="1000"/>
      <c r="TH34" s="1000"/>
      <c r="TI34" s="1000"/>
      <c r="TJ34" s="1000"/>
      <c r="TK34" s="1000"/>
      <c r="TL34" s="1000"/>
      <c r="TM34" s="1000"/>
      <c r="TN34" s="1000"/>
      <c r="TO34" s="1000"/>
      <c r="TP34" s="1000"/>
      <c r="TQ34" s="1000"/>
      <c r="TR34" s="1000"/>
      <c r="TS34" s="1000"/>
      <c r="TT34" s="1000"/>
      <c r="TU34" s="1000"/>
      <c r="TV34" s="1000"/>
      <c r="TW34" s="1000"/>
      <c r="TX34" s="1000"/>
      <c r="TY34" s="1000"/>
      <c r="TZ34" s="1000"/>
      <c r="UA34" s="1000"/>
      <c r="UB34" s="1000"/>
      <c r="UC34" s="1000"/>
      <c r="UD34" s="1000"/>
      <c r="UE34" s="1000"/>
      <c r="UF34" s="1000"/>
      <c r="UG34" s="1000"/>
      <c r="UH34" s="1000"/>
      <c r="UI34" s="1000"/>
      <c r="UJ34" s="1000"/>
      <c r="UK34" s="1000"/>
      <c r="UL34" s="1000"/>
      <c r="UM34" s="1000"/>
      <c r="UN34" s="1000"/>
      <c r="UO34" s="1000"/>
      <c r="UP34" s="1000"/>
      <c r="UQ34" s="1000"/>
      <c r="UR34" s="1000"/>
      <c r="US34" s="1000"/>
      <c r="UT34" s="1000"/>
      <c r="UU34" s="1000"/>
      <c r="UV34" s="1000"/>
      <c r="UW34" s="1000"/>
      <c r="UX34" s="1000"/>
      <c r="UY34" s="1000"/>
      <c r="UZ34" s="1000"/>
      <c r="VA34" s="1000"/>
      <c r="VB34" s="1000"/>
      <c r="VC34" s="1000"/>
      <c r="VD34" s="1000"/>
      <c r="VE34" s="1000"/>
      <c r="VF34" s="1000"/>
      <c r="VG34" s="1000"/>
      <c r="VH34" s="1000"/>
      <c r="VI34" s="1000"/>
      <c r="VJ34" s="1000"/>
      <c r="VK34" s="1000"/>
      <c r="VL34" s="1000"/>
      <c r="VM34" s="1000"/>
      <c r="VN34" s="1000"/>
      <c r="VO34" s="1000"/>
      <c r="VP34" s="1000"/>
      <c r="VQ34" s="1000"/>
      <c r="VR34" s="1000"/>
      <c r="VS34" s="1000"/>
      <c r="VT34" s="1000"/>
      <c r="VU34" s="1000"/>
      <c r="VV34" s="1000"/>
      <c r="VW34" s="1000"/>
      <c r="VX34" s="1000"/>
      <c r="VY34" s="1000"/>
      <c r="VZ34" s="1000"/>
      <c r="WA34" s="1000"/>
      <c r="WB34" s="1000"/>
      <c r="WC34" s="1000"/>
      <c r="WD34" s="1000"/>
      <c r="WE34" s="1000"/>
      <c r="WF34" s="1000"/>
      <c r="WG34" s="1000"/>
      <c r="WH34" s="1000"/>
      <c r="WI34" s="1000"/>
      <c r="WJ34" s="1000"/>
      <c r="WK34" s="1000"/>
      <c r="WL34" s="1000"/>
      <c r="WM34" s="1000"/>
      <c r="WN34" s="1000"/>
      <c r="WO34" s="1000"/>
      <c r="WP34" s="1000"/>
      <c r="WQ34" s="1000"/>
      <c r="WR34" s="1000"/>
      <c r="WS34" s="1000"/>
      <c r="WT34" s="1000"/>
      <c r="WU34" s="1000"/>
      <c r="WV34" s="1000"/>
      <c r="WW34" s="1000"/>
      <c r="WX34" s="1000"/>
      <c r="WY34" s="1000"/>
      <c r="WZ34" s="1000"/>
      <c r="XA34" s="1000"/>
      <c r="XB34" s="1000"/>
      <c r="XC34" s="1000"/>
      <c r="XD34" s="1000"/>
      <c r="XE34" s="1000"/>
      <c r="XF34" s="1000"/>
      <c r="XG34" s="1000"/>
      <c r="XH34" s="1000"/>
      <c r="XI34" s="1000"/>
      <c r="XJ34" s="1000"/>
      <c r="XK34" s="1000"/>
      <c r="XL34" s="1000"/>
      <c r="XM34" s="1000"/>
      <c r="XN34" s="1000"/>
      <c r="XO34" s="1000"/>
      <c r="XP34" s="1000"/>
      <c r="XQ34" s="1000"/>
      <c r="XR34" s="1000"/>
      <c r="XS34" s="1000"/>
      <c r="XT34" s="1000"/>
      <c r="XU34" s="1000"/>
      <c r="XV34" s="1000"/>
      <c r="XW34" s="1000"/>
      <c r="XX34" s="1000"/>
      <c r="XY34" s="1000"/>
      <c r="XZ34" s="1000"/>
      <c r="YA34" s="1000"/>
      <c r="YB34" s="1000"/>
      <c r="YC34" s="1000"/>
      <c r="YD34" s="1000"/>
      <c r="YE34" s="1000"/>
      <c r="YF34" s="1000"/>
      <c r="YG34" s="1000"/>
      <c r="YH34" s="1000"/>
      <c r="YI34" s="1000"/>
      <c r="YJ34" s="1000"/>
      <c r="YK34" s="1000"/>
      <c r="YL34" s="1000"/>
      <c r="YM34" s="1000"/>
      <c r="YN34" s="1000"/>
      <c r="YO34" s="1000"/>
      <c r="YP34" s="1000"/>
      <c r="YQ34" s="1000"/>
      <c r="YR34" s="1000"/>
      <c r="YS34" s="1000"/>
      <c r="YT34" s="1000"/>
      <c r="YU34" s="1000"/>
      <c r="YV34" s="1000"/>
      <c r="YW34" s="1000"/>
      <c r="YX34" s="1000"/>
      <c r="YY34" s="1000"/>
      <c r="YZ34" s="1000"/>
      <c r="ZA34" s="1000"/>
      <c r="ZB34" s="1000"/>
      <c r="ZC34" s="1000"/>
      <c r="ZD34" s="1000"/>
      <c r="ZE34" s="1000"/>
      <c r="ZF34" s="1000"/>
      <c r="ZG34" s="1000"/>
      <c r="ZH34" s="1000"/>
      <c r="ZI34" s="1000"/>
      <c r="ZJ34" s="1000"/>
      <c r="ZK34" s="1000"/>
      <c r="ZL34" s="1000"/>
      <c r="ZM34" s="1000"/>
      <c r="ZN34" s="1000"/>
      <c r="ZO34" s="1000"/>
      <c r="ZP34" s="1000"/>
      <c r="ZQ34" s="1000"/>
      <c r="ZR34" s="1000"/>
      <c r="ZS34" s="1000"/>
      <c r="ZT34" s="1000"/>
      <c r="ZU34" s="1000"/>
      <c r="ZV34" s="1000"/>
      <c r="ZW34" s="1000"/>
      <c r="ZX34" s="1000"/>
      <c r="ZY34" s="1000"/>
      <c r="ZZ34" s="1000"/>
      <c r="AAA34" s="1000"/>
      <c r="AAB34" s="1000"/>
      <c r="AAC34" s="1000"/>
      <c r="AAD34" s="1000"/>
      <c r="AAE34" s="1000"/>
      <c r="AAF34" s="1000"/>
      <c r="AAG34" s="1000"/>
      <c r="AAH34" s="1000"/>
      <c r="AAI34" s="1000"/>
      <c r="AAJ34" s="1000"/>
      <c r="AAK34" s="1000"/>
      <c r="AAL34" s="1000"/>
      <c r="AAM34" s="1000"/>
      <c r="AAN34" s="1000"/>
      <c r="AAO34" s="1000"/>
      <c r="AAP34" s="1000"/>
      <c r="AAQ34" s="1000"/>
      <c r="AAR34" s="1000"/>
      <c r="AAS34" s="1000"/>
      <c r="AAT34" s="1000"/>
      <c r="AAU34" s="1000"/>
      <c r="AAV34" s="1000"/>
      <c r="AAW34" s="1000"/>
      <c r="AAX34" s="1000"/>
      <c r="AAY34" s="1000"/>
      <c r="AAZ34" s="1000"/>
      <c r="ABA34" s="1000"/>
      <c r="ABB34" s="1000"/>
      <c r="ABC34" s="1000"/>
      <c r="ABD34" s="1000"/>
      <c r="ABE34" s="1000"/>
      <c r="ABF34" s="1000"/>
      <c r="ABG34" s="1000"/>
      <c r="ABH34" s="1000"/>
      <c r="ABI34" s="1000"/>
      <c r="ABJ34" s="1000"/>
      <c r="ABK34" s="1000"/>
      <c r="ABL34" s="1000"/>
      <c r="ABM34" s="1000"/>
      <c r="ABN34" s="1000"/>
      <c r="ABO34" s="1000"/>
      <c r="ABP34" s="1000"/>
      <c r="ABQ34" s="1000"/>
      <c r="ABR34" s="1000"/>
      <c r="ABS34" s="1000"/>
      <c r="ABT34" s="1000"/>
      <c r="ABU34" s="1000"/>
      <c r="ABV34" s="1000"/>
      <c r="ABW34" s="1000"/>
      <c r="ABX34" s="1000"/>
      <c r="ABY34" s="1000"/>
      <c r="ABZ34" s="1000"/>
      <c r="ACA34" s="1000"/>
      <c r="ACB34" s="1000"/>
      <c r="ACC34" s="1000"/>
      <c r="ACD34" s="1000"/>
      <c r="ACE34" s="1000"/>
      <c r="ACF34" s="1000"/>
      <c r="ACG34" s="1000"/>
      <c r="ACH34" s="1000"/>
      <c r="ACI34" s="1000"/>
      <c r="ACJ34" s="1000"/>
      <c r="ACK34" s="1000"/>
      <c r="ACL34" s="1000"/>
      <c r="ACM34" s="1000"/>
      <c r="ACN34" s="1000"/>
      <c r="ACO34" s="1000"/>
      <c r="ACP34" s="1000"/>
      <c r="ACQ34" s="1000"/>
      <c r="ACR34" s="1000"/>
      <c r="ACS34" s="1000"/>
      <c r="ACT34" s="1000"/>
      <c r="ACU34" s="1000"/>
      <c r="ACV34" s="1000"/>
      <c r="ACW34" s="1000"/>
      <c r="ACX34" s="1000"/>
      <c r="ACY34" s="1000"/>
      <c r="ACZ34" s="1000"/>
      <c r="ADA34" s="1000"/>
      <c r="ADB34" s="1000"/>
      <c r="ADC34" s="1000"/>
      <c r="ADD34" s="1000"/>
      <c r="ADE34" s="1000"/>
      <c r="ADF34" s="1000"/>
      <c r="ADG34" s="1000"/>
      <c r="ADH34" s="1000"/>
      <c r="ADI34" s="1000"/>
      <c r="ADJ34" s="1000"/>
      <c r="ADK34" s="1000"/>
      <c r="ADL34" s="1000"/>
      <c r="ADM34" s="1000"/>
      <c r="ADN34" s="1000"/>
      <c r="ADO34" s="1000"/>
      <c r="ADP34" s="1000"/>
      <c r="ADQ34" s="1000"/>
      <c r="ADR34" s="1000"/>
      <c r="ADS34" s="1000"/>
      <c r="ADT34" s="1000"/>
      <c r="ADU34" s="1000"/>
      <c r="ADV34" s="1000"/>
      <c r="ADW34" s="1000"/>
      <c r="ADX34" s="1000"/>
      <c r="ADY34" s="1000"/>
      <c r="ADZ34" s="1000"/>
      <c r="AEA34" s="1000"/>
      <c r="AEB34" s="1000"/>
      <c r="AEC34" s="1000"/>
      <c r="AED34" s="1000"/>
      <c r="AEE34" s="1000"/>
      <c r="AEF34" s="1000"/>
      <c r="AEG34" s="1000"/>
      <c r="AEH34" s="1000"/>
      <c r="AEI34" s="1000"/>
      <c r="AEJ34" s="1000"/>
      <c r="AEK34" s="1000"/>
      <c r="AEL34" s="1000"/>
      <c r="AEM34" s="1000"/>
      <c r="AEN34" s="1000"/>
      <c r="AEO34" s="1000"/>
      <c r="AEP34" s="1000"/>
      <c r="AEQ34" s="1000"/>
      <c r="AER34" s="1000"/>
      <c r="AES34" s="1000"/>
      <c r="AET34" s="1000"/>
      <c r="AEU34" s="1000"/>
      <c r="AEV34" s="1000"/>
      <c r="AEW34" s="1000"/>
      <c r="AEX34" s="1000"/>
      <c r="AEY34" s="1000"/>
      <c r="AEZ34" s="1000"/>
      <c r="AFA34" s="1000"/>
      <c r="AFB34" s="1000"/>
      <c r="AFC34" s="1000"/>
      <c r="AFD34" s="1000"/>
      <c r="AFE34" s="1000"/>
      <c r="AFF34" s="1000"/>
      <c r="AFG34" s="1000"/>
      <c r="AFH34" s="1000"/>
      <c r="AFI34" s="1000"/>
      <c r="AFJ34" s="1000"/>
      <c r="AFK34" s="1000"/>
      <c r="AFL34" s="1000"/>
      <c r="AFM34" s="1000"/>
      <c r="AFN34" s="1000"/>
      <c r="AFO34" s="1000"/>
      <c r="AFP34" s="1000"/>
      <c r="AFQ34" s="1000"/>
      <c r="AFR34" s="1000"/>
      <c r="AFS34" s="1000"/>
      <c r="AFT34" s="1000"/>
      <c r="AFU34" s="1000"/>
      <c r="AFV34" s="1000"/>
      <c r="AFW34" s="1000"/>
      <c r="AFX34" s="1000"/>
      <c r="AFY34" s="1000"/>
      <c r="AFZ34" s="1000"/>
      <c r="AGA34" s="1000"/>
      <c r="AGB34" s="1000"/>
      <c r="AGC34" s="1000"/>
      <c r="AGD34" s="1000"/>
      <c r="AGE34" s="1000"/>
      <c r="AGF34" s="1000"/>
      <c r="AGG34" s="1000"/>
      <c r="AGH34" s="1000"/>
      <c r="AGI34" s="1000"/>
      <c r="AGJ34" s="1000"/>
      <c r="AGK34" s="1000"/>
      <c r="AGL34" s="1000"/>
      <c r="AGM34" s="1000"/>
      <c r="AGN34" s="1000"/>
      <c r="AGO34" s="1000"/>
      <c r="AGP34" s="1000"/>
      <c r="AGQ34" s="1000"/>
      <c r="AGR34" s="1000"/>
      <c r="AGS34" s="1000"/>
      <c r="AGT34" s="1000"/>
      <c r="AGU34" s="1000"/>
      <c r="AGV34" s="1000"/>
      <c r="AGW34" s="1000"/>
      <c r="AGX34" s="1000"/>
      <c r="AGY34" s="1000"/>
      <c r="AGZ34" s="1000"/>
      <c r="AHA34" s="1000"/>
      <c r="AHB34" s="1000"/>
      <c r="AHC34" s="1000"/>
      <c r="AHD34" s="1000"/>
      <c r="AHE34" s="1000"/>
      <c r="AHF34" s="1000"/>
      <c r="AHG34" s="1000"/>
      <c r="AHH34" s="1000"/>
      <c r="AHI34" s="1000"/>
      <c r="AHJ34" s="1000"/>
      <c r="AHK34" s="1000"/>
      <c r="AHL34" s="1000"/>
      <c r="AHM34" s="1000"/>
      <c r="AHN34" s="1000"/>
      <c r="AHO34" s="1000"/>
      <c r="AHP34" s="1000"/>
      <c r="AHQ34" s="1000"/>
      <c r="AHR34" s="1000"/>
      <c r="AHS34" s="1000"/>
      <c r="AHT34" s="1000"/>
      <c r="AHU34" s="1000"/>
      <c r="AHV34" s="1000"/>
      <c r="AHW34" s="1000"/>
      <c r="AHX34" s="1000"/>
      <c r="AHY34" s="1000"/>
      <c r="AHZ34" s="1000"/>
      <c r="AIA34" s="1000"/>
      <c r="AIB34" s="1000"/>
      <c r="AIC34" s="1000"/>
      <c r="AID34" s="1000"/>
      <c r="AIE34" s="1000"/>
      <c r="AIF34" s="1000"/>
      <c r="AIG34" s="1000"/>
      <c r="AIH34" s="1000"/>
      <c r="AII34" s="1000"/>
      <c r="AIJ34" s="1000"/>
      <c r="AIK34" s="1000"/>
      <c r="AIL34" s="1000"/>
      <c r="AIM34" s="1000"/>
      <c r="AIN34" s="1000"/>
      <c r="AIO34" s="1000"/>
      <c r="AIP34" s="1000"/>
      <c r="AIQ34" s="1000"/>
      <c r="AIR34" s="1000"/>
      <c r="AIS34" s="1000"/>
      <c r="AIT34" s="1000"/>
      <c r="AIU34" s="1000"/>
      <c r="AIV34" s="1000"/>
      <c r="AIW34" s="1000"/>
      <c r="AIX34" s="1000"/>
      <c r="AIY34" s="1000"/>
      <c r="AIZ34" s="1000"/>
      <c r="AJA34" s="1000"/>
      <c r="AJB34" s="1000"/>
      <c r="AJC34" s="1000"/>
      <c r="AJD34" s="1000"/>
      <c r="AJE34" s="1000"/>
      <c r="AJF34" s="1000"/>
      <c r="AJG34" s="1000"/>
      <c r="AJH34" s="1000"/>
      <c r="AJI34" s="1000"/>
      <c r="AJJ34" s="1000"/>
      <c r="AJK34" s="1000"/>
      <c r="AJL34" s="1000"/>
      <c r="AJM34" s="1000"/>
      <c r="AJN34" s="1000"/>
      <c r="AJO34" s="1000"/>
      <c r="AJP34" s="1000"/>
      <c r="AJQ34" s="1000"/>
      <c r="AJR34" s="1000"/>
      <c r="AJS34" s="1000"/>
      <c r="AJT34" s="1000"/>
      <c r="AJU34" s="1000"/>
      <c r="AJV34" s="1000"/>
      <c r="AJW34" s="1000"/>
      <c r="AJX34" s="1000"/>
      <c r="AJY34" s="1000"/>
      <c r="AJZ34" s="1000"/>
      <c r="AKA34" s="1000"/>
      <c r="AKB34" s="1000"/>
      <c r="AKC34" s="1000"/>
      <c r="AKD34" s="1000"/>
      <c r="AKE34" s="1000"/>
      <c r="AKF34" s="1000"/>
      <c r="AKG34" s="1000"/>
      <c r="AKH34" s="1000"/>
      <c r="AKI34" s="1000"/>
      <c r="AKJ34" s="1000"/>
      <c r="AKK34" s="1000"/>
      <c r="AKL34" s="1000"/>
      <c r="AKM34" s="1000"/>
      <c r="AKN34" s="1000"/>
      <c r="AKO34" s="1000"/>
      <c r="AKP34" s="1000"/>
      <c r="AKQ34" s="1000"/>
      <c r="AKR34" s="1000"/>
      <c r="AKS34" s="1000"/>
      <c r="AKT34" s="1000"/>
      <c r="AKU34" s="1000"/>
      <c r="AKV34" s="1000"/>
      <c r="AKW34" s="1000"/>
      <c r="AKX34" s="1000"/>
      <c r="AKY34" s="1000"/>
      <c r="AKZ34" s="1000"/>
      <c r="ALA34" s="1000"/>
      <c r="ALB34" s="1000"/>
      <c r="ALC34" s="1000"/>
      <c r="ALD34" s="1000"/>
      <c r="ALE34" s="1000"/>
      <c r="ALF34" s="1000"/>
      <c r="ALG34" s="1000"/>
      <c r="ALH34" s="1000"/>
      <c r="ALI34" s="1000"/>
      <c r="ALJ34" s="1000"/>
      <c r="ALK34" s="1000"/>
      <c r="ALL34" s="1000"/>
      <c r="ALM34" s="1000"/>
      <c r="ALN34" s="1000"/>
      <c r="ALO34" s="1000"/>
      <c r="ALP34" s="1000"/>
      <c r="ALQ34" s="1000"/>
      <c r="ALR34" s="1000"/>
      <c r="ALS34" s="1000"/>
      <c r="ALT34" s="1000"/>
      <c r="ALU34" s="1000"/>
      <c r="ALV34" s="1000"/>
      <c r="ALW34" s="1000"/>
      <c r="ALX34" s="1000"/>
      <c r="ALY34" s="1000"/>
      <c r="ALZ34" s="1000"/>
      <c r="AMA34" s="1000"/>
      <c r="AMB34" s="1000"/>
      <c r="AMC34" s="1000"/>
      <c r="AMD34" s="1000"/>
      <c r="AME34" s="1000"/>
      <c r="AMF34" s="1000"/>
      <c r="AMG34" s="1000"/>
      <c r="AMH34" s="1000"/>
      <c r="AMI34" s="1000"/>
      <c r="AMJ34" s="1000"/>
      <c r="AMK34" s="1000"/>
      <c r="AML34" s="1000"/>
      <c r="AMM34" s="1000"/>
      <c r="AMN34" s="1000"/>
      <c r="AMO34" s="1000"/>
      <c r="AMP34" s="1000"/>
      <c r="AMQ34" s="1000"/>
      <c r="AMR34" s="1000"/>
      <c r="AMS34" s="1000"/>
      <c r="AMT34" s="1000"/>
      <c r="AMU34" s="1000"/>
      <c r="AMV34" s="1000"/>
      <c r="AMW34" s="1000"/>
      <c r="AMX34" s="1000"/>
      <c r="AMY34" s="1000"/>
      <c r="AMZ34" s="1000"/>
      <c r="ANA34" s="1000"/>
      <c r="ANB34" s="1000"/>
      <c r="ANC34" s="1000"/>
      <c r="AND34" s="1000"/>
      <c r="ANE34" s="1000"/>
      <c r="ANF34" s="1000"/>
      <c r="ANG34" s="1000"/>
      <c r="ANH34" s="1000"/>
      <c r="ANI34" s="1000"/>
      <c r="ANJ34" s="1000"/>
      <c r="ANK34" s="1000"/>
      <c r="ANL34" s="1000"/>
      <c r="ANM34" s="1000"/>
      <c r="ANN34" s="1000"/>
      <c r="ANO34" s="1000"/>
      <c r="ANP34" s="1000"/>
      <c r="ANQ34" s="1000"/>
      <c r="ANR34" s="1000"/>
      <c r="ANS34" s="1000"/>
      <c r="ANT34" s="1000"/>
      <c r="ANU34" s="1000"/>
      <c r="ANV34" s="1000"/>
      <c r="ANW34" s="1000"/>
      <c r="ANX34" s="1000"/>
      <c r="ANY34" s="1000"/>
      <c r="ANZ34" s="1000"/>
      <c r="AOA34" s="1000"/>
      <c r="AOB34" s="1000"/>
      <c r="AOC34" s="1000"/>
      <c r="AOD34" s="1000"/>
      <c r="AOE34" s="1000"/>
      <c r="AOF34" s="1000"/>
      <c r="AOG34" s="1000"/>
      <c r="AOH34" s="1000"/>
      <c r="AOI34" s="1000"/>
      <c r="AOJ34" s="1000"/>
      <c r="AOK34" s="1000"/>
      <c r="AOL34" s="1000"/>
      <c r="AOM34" s="1000"/>
      <c r="AON34" s="1000"/>
      <c r="AOO34" s="1000"/>
      <c r="AOP34" s="1000"/>
      <c r="AOQ34" s="1000"/>
      <c r="AOR34" s="1000"/>
      <c r="AOS34" s="1000"/>
      <c r="AOT34" s="1000"/>
      <c r="AOU34" s="1000"/>
      <c r="AOV34" s="1000"/>
      <c r="AOW34" s="1000"/>
      <c r="AOX34" s="1000"/>
      <c r="AOY34" s="1000"/>
      <c r="AOZ34" s="1000"/>
      <c r="APA34" s="1000"/>
      <c r="APB34" s="1000"/>
      <c r="APC34" s="1000"/>
      <c r="APD34" s="1000"/>
      <c r="APE34" s="1000"/>
      <c r="APF34" s="1000"/>
      <c r="APG34" s="1000"/>
      <c r="APH34" s="1000"/>
      <c r="API34" s="1000"/>
      <c r="APJ34" s="1000"/>
      <c r="APK34" s="1000"/>
      <c r="APL34" s="1000"/>
      <c r="APM34" s="1000"/>
      <c r="APN34" s="1000"/>
      <c r="APO34" s="1000"/>
      <c r="APP34" s="1000"/>
      <c r="APQ34" s="1000"/>
      <c r="APR34" s="1000"/>
      <c r="APS34" s="1000"/>
      <c r="APT34" s="1000"/>
      <c r="APU34" s="1000"/>
      <c r="APV34" s="1000"/>
      <c r="APW34" s="1000"/>
      <c r="APX34" s="1000"/>
      <c r="APY34" s="1000"/>
      <c r="APZ34" s="1000"/>
      <c r="AQA34" s="1000"/>
      <c r="AQB34" s="1000"/>
      <c r="AQC34" s="1000"/>
      <c r="AQD34" s="1000"/>
      <c r="AQE34" s="1000"/>
      <c r="AQF34" s="1000"/>
      <c r="AQG34" s="1000"/>
      <c r="AQH34" s="1000"/>
      <c r="AQI34" s="1000"/>
      <c r="AQJ34" s="1000"/>
      <c r="AQK34" s="1000"/>
      <c r="AQL34" s="1000"/>
      <c r="AQM34" s="1000"/>
      <c r="AQN34" s="1000"/>
      <c r="AQO34" s="1000"/>
      <c r="AQP34" s="1000"/>
      <c r="AQQ34" s="1000"/>
      <c r="AQR34" s="1000"/>
      <c r="AQS34" s="1000"/>
      <c r="AQT34" s="1000"/>
      <c r="AQU34" s="1000"/>
      <c r="AQV34" s="1000"/>
      <c r="AQW34" s="1000"/>
      <c r="AQX34" s="1000"/>
      <c r="AQY34" s="1000"/>
      <c r="AQZ34" s="1000"/>
      <c r="ARA34" s="1000"/>
      <c r="ARB34" s="1000"/>
      <c r="ARC34" s="1000"/>
      <c r="ARD34" s="1000"/>
      <c r="ARE34" s="1000"/>
      <c r="ARF34" s="1000"/>
      <c r="ARG34" s="1000"/>
      <c r="ARH34" s="1000"/>
      <c r="ARI34" s="1000"/>
      <c r="ARJ34" s="1000"/>
      <c r="ARK34" s="1000"/>
      <c r="ARL34" s="1000"/>
      <c r="ARM34" s="1000"/>
      <c r="ARN34" s="1000"/>
      <c r="ARO34" s="1000"/>
      <c r="ARP34" s="1000"/>
      <c r="ARQ34" s="1000"/>
      <c r="ARR34" s="1000"/>
      <c r="ARS34" s="1000"/>
      <c r="ART34" s="1000"/>
      <c r="ARU34" s="1000"/>
      <c r="ARV34" s="1000"/>
      <c r="ARW34" s="1000"/>
      <c r="ARX34" s="1000"/>
      <c r="ARY34" s="1000"/>
      <c r="ARZ34" s="1000"/>
      <c r="ASA34" s="1000"/>
      <c r="ASB34" s="1000"/>
      <c r="ASC34" s="1000"/>
      <c r="ASD34" s="1000"/>
      <c r="ASE34" s="1000"/>
      <c r="ASF34" s="1000"/>
      <c r="ASG34" s="1000"/>
      <c r="ASH34" s="1000"/>
      <c r="ASI34" s="1000"/>
      <c r="ASJ34" s="1000"/>
      <c r="ASK34" s="1000"/>
      <c r="ASL34" s="1000"/>
      <c r="ASM34" s="1000"/>
      <c r="ASN34" s="1000"/>
      <c r="ASO34" s="1000"/>
      <c r="ASP34" s="1000"/>
      <c r="ASQ34" s="1000"/>
      <c r="ASR34" s="1000"/>
      <c r="ASS34" s="1000"/>
      <c r="AST34" s="1000"/>
      <c r="ASU34" s="1000"/>
      <c r="ASV34" s="1000"/>
      <c r="ASW34" s="1000"/>
      <c r="ASX34" s="1000"/>
      <c r="ASY34" s="1000"/>
      <c r="ASZ34" s="1000"/>
      <c r="ATA34" s="1000"/>
      <c r="ATB34" s="1000"/>
      <c r="ATC34" s="1000"/>
      <c r="ATD34" s="1000"/>
      <c r="ATE34" s="1000"/>
      <c r="ATF34" s="1000"/>
      <c r="ATG34" s="1000"/>
      <c r="ATH34" s="1000"/>
      <c r="ATI34" s="1000"/>
      <c r="ATJ34" s="1000"/>
      <c r="ATK34" s="1000"/>
      <c r="ATL34" s="1000"/>
      <c r="ATM34" s="1000"/>
      <c r="ATN34" s="1000"/>
      <c r="ATO34" s="1000"/>
      <c r="ATP34" s="1000"/>
      <c r="ATQ34" s="1000"/>
      <c r="ATR34" s="1000"/>
      <c r="ATS34" s="1000"/>
      <c r="ATT34" s="1000"/>
      <c r="ATU34" s="1000"/>
      <c r="ATV34" s="1000"/>
      <c r="ATW34" s="1000"/>
      <c r="ATX34" s="1000"/>
      <c r="ATY34" s="1000"/>
      <c r="ATZ34" s="1000"/>
      <c r="AUA34" s="1000"/>
      <c r="AUB34" s="1000"/>
      <c r="AUC34" s="1000"/>
      <c r="AUD34" s="1000"/>
      <c r="AUE34" s="1000"/>
      <c r="AUF34" s="1000"/>
      <c r="AUG34" s="1000"/>
      <c r="AUH34" s="1000"/>
      <c r="AUI34" s="1000"/>
      <c r="AUJ34" s="1000"/>
      <c r="AUK34" s="1000"/>
      <c r="AUL34" s="1000"/>
      <c r="AUM34" s="1000"/>
      <c r="AUN34" s="1000"/>
      <c r="AUO34" s="1000"/>
      <c r="AUP34" s="1000"/>
      <c r="AUQ34" s="1000"/>
      <c r="AUR34" s="1000"/>
      <c r="AUS34" s="1000"/>
      <c r="AUT34" s="1000"/>
      <c r="AUU34" s="1000"/>
      <c r="AUV34" s="1000"/>
      <c r="AUW34" s="1000"/>
      <c r="AUX34" s="1000"/>
      <c r="AUY34" s="1000"/>
      <c r="AUZ34" s="1000"/>
      <c r="AVA34" s="1000"/>
      <c r="AVB34" s="1000"/>
      <c r="AVC34" s="1000"/>
      <c r="AVD34" s="1000"/>
      <c r="AVE34" s="1000"/>
      <c r="AVF34" s="1000"/>
      <c r="AVG34" s="1000"/>
      <c r="AVH34" s="1000"/>
      <c r="AVI34" s="1000"/>
      <c r="AVJ34" s="1000"/>
      <c r="AVK34" s="1000"/>
      <c r="AVL34" s="1000"/>
      <c r="AVM34" s="1000"/>
      <c r="AVN34" s="1000"/>
      <c r="AVO34" s="1000"/>
      <c r="AVP34" s="1000"/>
      <c r="AVQ34" s="1000"/>
      <c r="AVR34" s="1000"/>
      <c r="AVS34" s="1000"/>
      <c r="AVT34" s="1000"/>
      <c r="AVU34" s="1000"/>
      <c r="AVV34" s="1000"/>
      <c r="AVW34" s="1000"/>
      <c r="AVX34" s="1000"/>
      <c r="AVY34" s="1000"/>
      <c r="AVZ34" s="1000"/>
      <c r="AWA34" s="1000"/>
      <c r="AWB34" s="1000"/>
      <c r="AWC34" s="1000"/>
      <c r="AWD34" s="1000"/>
      <c r="AWE34" s="1000"/>
      <c r="AWF34" s="1000"/>
      <c r="AWG34" s="1000"/>
      <c r="AWH34" s="1000"/>
      <c r="AWI34" s="1000"/>
      <c r="AWJ34" s="1000"/>
      <c r="AWK34" s="1000"/>
      <c r="AWL34" s="1000"/>
      <c r="AWM34" s="1000"/>
      <c r="AWN34" s="1000"/>
      <c r="AWO34" s="1000"/>
      <c r="AWP34" s="1000"/>
      <c r="AWQ34" s="1000"/>
      <c r="AWR34" s="1000"/>
      <c r="AWS34" s="1000"/>
      <c r="AWT34" s="1000"/>
      <c r="AWU34" s="1000"/>
      <c r="AWV34" s="1000"/>
      <c r="AWW34" s="1000"/>
      <c r="AWX34" s="1000"/>
      <c r="AWY34" s="1000"/>
      <c r="AWZ34" s="1000"/>
      <c r="AXA34" s="1000"/>
      <c r="AXB34" s="1000"/>
      <c r="AXC34" s="1000"/>
      <c r="AXD34" s="1000"/>
      <c r="AXE34" s="1000"/>
      <c r="AXF34" s="1000"/>
      <c r="AXG34" s="1000"/>
      <c r="AXH34" s="1000"/>
      <c r="AXI34" s="1000"/>
      <c r="AXJ34" s="1000"/>
      <c r="AXK34" s="1000"/>
      <c r="AXL34" s="1000"/>
      <c r="AXM34" s="1000"/>
      <c r="AXN34" s="1000"/>
      <c r="AXO34" s="1000"/>
      <c r="AXP34" s="1000"/>
      <c r="AXQ34" s="1000"/>
      <c r="AXR34" s="1000"/>
      <c r="AXS34" s="1000"/>
      <c r="AXT34" s="1000"/>
      <c r="AXU34" s="1000"/>
      <c r="AXV34" s="1000"/>
      <c r="AXW34" s="1000"/>
      <c r="AXX34" s="1000"/>
      <c r="AXY34" s="1000"/>
      <c r="AXZ34" s="1000"/>
      <c r="AYA34" s="1000"/>
      <c r="AYB34" s="1000"/>
      <c r="AYC34" s="1000"/>
      <c r="AYD34" s="1000"/>
      <c r="AYE34" s="1000"/>
      <c r="AYF34" s="1000"/>
      <c r="AYG34" s="1000"/>
      <c r="AYH34" s="1000"/>
      <c r="AYI34" s="1000"/>
      <c r="AYJ34" s="1000"/>
      <c r="AYK34" s="1000"/>
      <c r="AYL34" s="1000"/>
      <c r="AYM34" s="1000"/>
      <c r="AYN34" s="1000"/>
      <c r="AYO34" s="1000"/>
      <c r="AYP34" s="1000"/>
      <c r="AYQ34" s="1000"/>
      <c r="AYR34" s="1000"/>
      <c r="AYS34" s="1000"/>
      <c r="AYT34" s="1000"/>
      <c r="AYU34" s="1000"/>
      <c r="AYV34" s="1000"/>
      <c r="AYW34" s="1000"/>
      <c r="AYX34" s="1000"/>
      <c r="AYY34" s="1000"/>
      <c r="AYZ34" s="1000"/>
      <c r="AZA34" s="1000"/>
      <c r="AZB34" s="1000"/>
      <c r="AZC34" s="1000"/>
      <c r="AZD34" s="1000"/>
      <c r="AZE34" s="1000"/>
      <c r="AZF34" s="1000"/>
      <c r="AZG34" s="1000"/>
      <c r="AZH34" s="1000"/>
      <c r="AZI34" s="1000"/>
      <c r="AZJ34" s="1000"/>
      <c r="AZK34" s="1000"/>
      <c r="AZL34" s="1000"/>
      <c r="AZM34" s="1000"/>
      <c r="AZN34" s="1000"/>
      <c r="AZO34" s="1000"/>
      <c r="AZP34" s="1000"/>
      <c r="AZQ34" s="1000"/>
      <c r="AZR34" s="1000"/>
      <c r="AZS34" s="1000"/>
      <c r="AZT34" s="1000"/>
      <c r="AZU34" s="1000"/>
      <c r="AZV34" s="1000"/>
      <c r="AZW34" s="1000"/>
      <c r="AZX34" s="1000"/>
      <c r="AZY34" s="1000"/>
      <c r="AZZ34" s="1000"/>
      <c r="BAA34" s="1000"/>
      <c r="BAB34" s="1000"/>
      <c r="BAC34" s="1000"/>
      <c r="BAD34" s="1000"/>
      <c r="BAE34" s="1000"/>
      <c r="BAF34" s="1000"/>
      <c r="BAG34" s="1000"/>
      <c r="BAH34" s="1000"/>
      <c r="BAI34" s="1000"/>
      <c r="BAJ34" s="1000"/>
      <c r="BAK34" s="1000"/>
      <c r="BAL34" s="1000"/>
      <c r="BAM34" s="1000"/>
      <c r="BAN34" s="1000"/>
      <c r="BAO34" s="1000"/>
      <c r="BAP34" s="1000"/>
      <c r="BAQ34" s="1000"/>
      <c r="BAR34" s="1000"/>
      <c r="BAS34" s="1000"/>
      <c r="BAT34" s="1000"/>
      <c r="BAU34" s="1000"/>
      <c r="BAV34" s="1000"/>
      <c r="BAW34" s="1000"/>
      <c r="BAX34" s="1000"/>
      <c r="BAY34" s="1000"/>
      <c r="BAZ34" s="1000"/>
      <c r="BBA34" s="1000"/>
      <c r="BBB34" s="1000"/>
      <c r="BBC34" s="1000"/>
      <c r="BBD34" s="1000"/>
      <c r="BBE34" s="1000"/>
      <c r="BBF34" s="1000"/>
      <c r="BBG34" s="1000"/>
      <c r="BBH34" s="1000"/>
      <c r="BBI34" s="1000"/>
      <c r="BBJ34" s="1000"/>
      <c r="BBK34" s="1000"/>
      <c r="BBL34" s="1000"/>
      <c r="BBM34" s="1000"/>
      <c r="BBN34" s="1000"/>
      <c r="BBO34" s="1000"/>
      <c r="BBP34" s="1000"/>
      <c r="BBQ34" s="1000"/>
      <c r="BBR34" s="1000"/>
      <c r="BBS34" s="1000"/>
      <c r="BBT34" s="1000"/>
      <c r="BBU34" s="1000"/>
      <c r="BBV34" s="1000"/>
      <c r="BBW34" s="1000"/>
      <c r="BBX34" s="1000"/>
      <c r="BBY34" s="1000"/>
      <c r="BBZ34" s="1000"/>
      <c r="BCA34" s="1000"/>
      <c r="BCB34" s="1000"/>
      <c r="BCC34" s="1000"/>
      <c r="BCD34" s="1000"/>
      <c r="BCE34" s="1000"/>
      <c r="BCF34" s="1000"/>
      <c r="BCG34" s="1000"/>
      <c r="BCH34" s="1000"/>
      <c r="BCI34" s="1000"/>
      <c r="BCJ34" s="1000"/>
      <c r="BCK34" s="1000"/>
      <c r="BCL34" s="1000"/>
      <c r="BCM34" s="1000"/>
      <c r="BCN34" s="1000"/>
      <c r="BCO34" s="1000"/>
      <c r="BCP34" s="1000"/>
      <c r="BCQ34" s="1000"/>
      <c r="BCR34" s="1000"/>
      <c r="BCS34" s="1000"/>
      <c r="BCT34" s="1000"/>
      <c r="BCU34" s="1000"/>
      <c r="BCV34" s="1000"/>
      <c r="BCW34" s="1000"/>
      <c r="BCX34" s="1000"/>
      <c r="BCY34" s="1000"/>
      <c r="BCZ34" s="1000"/>
      <c r="BDA34" s="1000"/>
      <c r="BDB34" s="1000"/>
      <c r="BDC34" s="1000"/>
      <c r="BDD34" s="1000"/>
      <c r="BDE34" s="1000"/>
      <c r="BDF34" s="1000"/>
      <c r="BDG34" s="1000"/>
      <c r="BDH34" s="1000"/>
      <c r="BDI34" s="1000"/>
      <c r="BDJ34" s="1000"/>
      <c r="BDK34" s="1000"/>
      <c r="BDL34" s="1000"/>
      <c r="BDM34" s="1000"/>
      <c r="BDN34" s="1000"/>
      <c r="BDO34" s="1000"/>
      <c r="BDP34" s="1000"/>
      <c r="BDQ34" s="1000"/>
      <c r="BDR34" s="1000"/>
      <c r="BDS34" s="1000"/>
      <c r="BDT34" s="1000"/>
      <c r="BDU34" s="1000"/>
      <c r="BDV34" s="1000"/>
      <c r="BDW34" s="1000"/>
      <c r="BDX34" s="1000"/>
      <c r="BDY34" s="1000"/>
      <c r="BDZ34" s="1000"/>
      <c r="BEA34" s="1000"/>
      <c r="BEB34" s="1000"/>
      <c r="BEC34" s="1000"/>
      <c r="BED34" s="1000"/>
      <c r="BEE34" s="1000"/>
      <c r="BEF34" s="1000"/>
      <c r="BEG34" s="1000"/>
      <c r="BEH34" s="1000"/>
      <c r="BEI34" s="1000"/>
      <c r="BEJ34" s="1000"/>
      <c r="BEK34" s="1000"/>
      <c r="BEL34" s="1000"/>
      <c r="BEM34" s="1000"/>
      <c r="BEN34" s="1000"/>
      <c r="BEO34" s="1000"/>
      <c r="BEP34" s="1000"/>
      <c r="BEQ34" s="1000"/>
      <c r="BER34" s="1000"/>
      <c r="BES34" s="1000"/>
      <c r="BET34" s="1000"/>
      <c r="BEU34" s="1000"/>
      <c r="BEV34" s="1000"/>
      <c r="BEW34" s="1000"/>
      <c r="BEX34" s="1000"/>
      <c r="BEY34" s="1000"/>
      <c r="BEZ34" s="1000"/>
      <c r="BFA34" s="1000"/>
      <c r="BFB34" s="1000"/>
      <c r="BFC34" s="1000"/>
      <c r="BFD34" s="1000"/>
      <c r="BFE34" s="1000"/>
      <c r="BFF34" s="1000"/>
      <c r="BFG34" s="1000"/>
      <c r="BFH34" s="1000"/>
      <c r="BFI34" s="1000"/>
      <c r="BFJ34" s="1000"/>
      <c r="BFK34" s="1000"/>
      <c r="BFL34" s="1000"/>
      <c r="BFM34" s="1000"/>
      <c r="BFN34" s="1000"/>
      <c r="BFO34" s="1000"/>
      <c r="BFP34" s="1000"/>
      <c r="BFQ34" s="1000"/>
      <c r="BFR34" s="1000"/>
      <c r="BFS34" s="1000"/>
      <c r="BFT34" s="1000"/>
      <c r="BFU34" s="1000"/>
      <c r="BFV34" s="1000"/>
      <c r="BFW34" s="1000"/>
      <c r="BFX34" s="1000"/>
      <c r="BFY34" s="1000"/>
      <c r="BFZ34" s="1000"/>
      <c r="BGA34" s="1000"/>
      <c r="BGB34" s="1000"/>
      <c r="BGC34" s="1000"/>
      <c r="BGD34" s="1000"/>
      <c r="BGE34" s="1000"/>
      <c r="BGF34" s="1000"/>
      <c r="BGG34" s="1000"/>
      <c r="BGH34" s="1000"/>
      <c r="BGI34" s="1000"/>
      <c r="BGJ34" s="1000"/>
      <c r="BGK34" s="1000"/>
      <c r="BGL34" s="1000"/>
      <c r="BGM34" s="1000"/>
      <c r="BGN34" s="1000"/>
      <c r="BGO34" s="1000"/>
      <c r="BGP34" s="1000"/>
      <c r="BGQ34" s="1000"/>
      <c r="BGR34" s="1000"/>
      <c r="BGS34" s="1000"/>
      <c r="BGT34" s="1000"/>
      <c r="BGU34" s="1000"/>
      <c r="BGV34" s="1000"/>
      <c r="BGW34" s="1000"/>
      <c r="BGX34" s="1000"/>
      <c r="BGY34" s="1000"/>
      <c r="BGZ34" s="1000"/>
      <c r="BHA34" s="1000"/>
      <c r="BHB34" s="1000"/>
      <c r="BHC34" s="1000"/>
      <c r="BHD34" s="1000"/>
      <c r="BHE34" s="1000"/>
      <c r="BHF34" s="1000"/>
      <c r="BHG34" s="1000"/>
      <c r="BHH34" s="1000"/>
      <c r="BHI34" s="1000"/>
      <c r="BHJ34" s="1000"/>
      <c r="BHK34" s="1000"/>
      <c r="BHL34" s="1000"/>
      <c r="BHM34" s="1000"/>
      <c r="BHN34" s="1000"/>
      <c r="BHO34" s="1000"/>
      <c r="BHP34" s="1000"/>
      <c r="BHQ34" s="1000"/>
      <c r="BHR34" s="1000"/>
      <c r="BHS34" s="1000"/>
      <c r="BHT34" s="1000"/>
      <c r="BHU34" s="1000"/>
      <c r="BHV34" s="1000"/>
      <c r="BHW34" s="1000"/>
      <c r="BHX34" s="1000"/>
      <c r="BHY34" s="1000"/>
      <c r="BHZ34" s="1000"/>
      <c r="BIA34" s="1000"/>
      <c r="BIB34" s="1000"/>
      <c r="BIC34" s="1000"/>
      <c r="BID34" s="1000"/>
      <c r="BIE34" s="1000"/>
      <c r="BIF34" s="1000"/>
      <c r="BIG34" s="1000"/>
      <c r="BIH34" s="1000"/>
      <c r="BII34" s="1000"/>
      <c r="BIJ34" s="1000"/>
      <c r="BIK34" s="1000"/>
      <c r="BIL34" s="1000"/>
      <c r="BIM34" s="1000"/>
      <c r="BIN34" s="1000"/>
      <c r="BIO34" s="1000"/>
      <c r="BIP34" s="1000"/>
      <c r="BIQ34" s="1000"/>
      <c r="BIR34" s="1000"/>
      <c r="BIS34" s="1000"/>
      <c r="BIT34" s="1000"/>
      <c r="BIU34" s="1000"/>
      <c r="BIV34" s="1000"/>
      <c r="BIW34" s="1000"/>
      <c r="BIX34" s="1000"/>
      <c r="BIY34" s="1000"/>
      <c r="BIZ34" s="1000"/>
      <c r="BJA34" s="1000"/>
      <c r="BJB34" s="1000"/>
      <c r="BJC34" s="1000"/>
      <c r="BJD34" s="1000"/>
      <c r="BJE34" s="1000"/>
      <c r="BJF34" s="1000"/>
      <c r="BJG34" s="1000"/>
      <c r="BJH34" s="1000"/>
      <c r="BJI34" s="1000"/>
      <c r="BJJ34" s="1000"/>
      <c r="BJK34" s="1000"/>
      <c r="BJL34" s="1000"/>
      <c r="BJM34" s="1000"/>
      <c r="BJN34" s="1000"/>
      <c r="BJO34" s="1000"/>
      <c r="BJP34" s="1000"/>
      <c r="BJQ34" s="1000"/>
      <c r="BJR34" s="1000"/>
      <c r="BJS34" s="1000"/>
      <c r="BJT34" s="1000"/>
      <c r="BJU34" s="1000"/>
      <c r="BJV34" s="1000"/>
      <c r="BJW34" s="1000"/>
      <c r="BJX34" s="1000"/>
      <c r="BJY34" s="1000"/>
      <c r="BJZ34" s="1000"/>
      <c r="BKA34" s="1000"/>
      <c r="BKB34" s="1000"/>
      <c r="BKC34" s="1000"/>
      <c r="BKD34" s="1000"/>
      <c r="BKE34" s="1000"/>
      <c r="BKF34" s="1000"/>
      <c r="BKG34" s="1000"/>
      <c r="BKH34" s="1000"/>
      <c r="BKI34" s="1000"/>
      <c r="BKJ34" s="1000"/>
      <c r="BKK34" s="1000"/>
      <c r="BKL34" s="1000"/>
      <c r="BKM34" s="1000"/>
      <c r="BKN34" s="1000"/>
      <c r="BKO34" s="1000"/>
      <c r="BKP34" s="1000"/>
      <c r="BKQ34" s="1000"/>
      <c r="BKR34" s="1000"/>
      <c r="BKS34" s="1000"/>
      <c r="BKT34" s="1000"/>
      <c r="BKU34" s="1000"/>
      <c r="BKV34" s="1000"/>
      <c r="BKW34" s="1000"/>
      <c r="BKX34" s="1000"/>
      <c r="BKY34" s="1000"/>
      <c r="BKZ34" s="1000"/>
      <c r="BLA34" s="1000"/>
      <c r="BLB34" s="1000"/>
      <c r="BLC34" s="1000"/>
      <c r="BLD34" s="1000"/>
      <c r="BLE34" s="1000"/>
      <c r="BLF34" s="1000"/>
      <c r="BLG34" s="1000"/>
      <c r="BLH34" s="1000"/>
      <c r="BLI34" s="1000"/>
      <c r="BLJ34" s="1000"/>
      <c r="BLK34" s="1000"/>
      <c r="BLL34" s="1000"/>
      <c r="BLM34" s="1000"/>
      <c r="BLN34" s="1000"/>
      <c r="BLO34" s="1000"/>
      <c r="BLP34" s="1000"/>
      <c r="BLQ34" s="1000"/>
      <c r="BLR34" s="1000"/>
      <c r="BLS34" s="1000"/>
      <c r="BLT34" s="1000"/>
      <c r="BLU34" s="1000"/>
      <c r="BLV34" s="1000"/>
      <c r="BLW34" s="1000"/>
      <c r="BLX34" s="1000"/>
      <c r="BLY34" s="1000"/>
      <c r="BLZ34" s="1000"/>
      <c r="BMA34" s="1000"/>
      <c r="BMB34" s="1000"/>
      <c r="BMC34" s="1000"/>
      <c r="BMD34" s="1000"/>
      <c r="BME34" s="1000"/>
      <c r="BMF34" s="1000"/>
      <c r="BMG34" s="1000"/>
      <c r="BMH34" s="1000"/>
      <c r="BMI34" s="1000"/>
      <c r="BMJ34" s="1000"/>
      <c r="BMK34" s="1000"/>
      <c r="BML34" s="1000"/>
      <c r="BMM34" s="1000"/>
      <c r="BMN34" s="1000"/>
      <c r="BMO34" s="1000"/>
      <c r="BMP34" s="1000"/>
      <c r="BMQ34" s="1000"/>
      <c r="BMR34" s="1000"/>
      <c r="BMS34" s="1000"/>
      <c r="BMT34" s="1000"/>
      <c r="BMU34" s="1000"/>
      <c r="BMV34" s="1000"/>
      <c r="BMW34" s="1000"/>
      <c r="BMX34" s="1000"/>
      <c r="BMY34" s="1000"/>
      <c r="BMZ34" s="1000"/>
      <c r="BNA34" s="1000"/>
      <c r="BNB34" s="1000"/>
      <c r="BNC34" s="1000"/>
      <c r="BND34" s="1000"/>
      <c r="BNE34" s="1000"/>
      <c r="BNF34" s="1000"/>
      <c r="BNG34" s="1000"/>
      <c r="BNH34" s="1000"/>
      <c r="BNI34" s="1000"/>
      <c r="BNJ34" s="1000"/>
      <c r="BNK34" s="1000"/>
      <c r="BNL34" s="1000"/>
      <c r="BNM34" s="1000"/>
      <c r="BNN34" s="1000"/>
      <c r="BNO34" s="1000"/>
      <c r="BNP34" s="1000"/>
      <c r="BNQ34" s="1000"/>
      <c r="BNR34" s="1000"/>
      <c r="BNS34" s="1000"/>
      <c r="BNT34" s="1000"/>
      <c r="BNU34" s="1000"/>
      <c r="BNV34" s="1000"/>
      <c r="BNW34" s="1000"/>
      <c r="BNX34" s="1000"/>
      <c r="BNY34" s="1000"/>
      <c r="BNZ34" s="1000"/>
      <c r="BOA34" s="1000"/>
      <c r="BOB34" s="1000"/>
      <c r="BOC34" s="1000"/>
      <c r="BOD34" s="1000"/>
      <c r="BOE34" s="1000"/>
      <c r="BOF34" s="1000"/>
      <c r="BOG34" s="1000"/>
      <c r="BOH34" s="1000"/>
      <c r="BOI34" s="1000"/>
      <c r="BOJ34" s="1000"/>
      <c r="BOK34" s="1000"/>
      <c r="BOL34" s="1000"/>
      <c r="BOM34" s="1000"/>
      <c r="BON34" s="1000"/>
      <c r="BOO34" s="1000"/>
      <c r="BOP34" s="1000"/>
      <c r="BOQ34" s="1000"/>
      <c r="BOR34" s="1000"/>
      <c r="BOS34" s="1000"/>
      <c r="BOT34" s="1000"/>
      <c r="BOU34" s="1000"/>
      <c r="BOV34" s="1000"/>
      <c r="BOW34" s="1000"/>
      <c r="BOX34" s="1000"/>
      <c r="BOY34" s="1000"/>
      <c r="BOZ34" s="1000"/>
      <c r="BPA34" s="1000"/>
      <c r="BPB34" s="1000"/>
      <c r="BPC34" s="1000"/>
      <c r="BPD34" s="1000"/>
      <c r="BPE34" s="1000"/>
      <c r="BPF34" s="1000"/>
      <c r="BPG34" s="1000"/>
      <c r="BPH34" s="1000"/>
      <c r="BPI34" s="1000"/>
      <c r="BPJ34" s="1000"/>
      <c r="BPK34" s="1000"/>
      <c r="BPL34" s="1000"/>
      <c r="BPM34" s="1000"/>
      <c r="BPN34" s="1000"/>
      <c r="BPO34" s="1000"/>
      <c r="BPP34" s="1000"/>
      <c r="BPQ34" s="1000"/>
      <c r="BPR34" s="1000"/>
      <c r="BPS34" s="1000"/>
      <c r="BPT34" s="1000"/>
      <c r="BPU34" s="1000"/>
      <c r="BPV34" s="1000"/>
      <c r="BPW34" s="1000"/>
      <c r="BPX34" s="1000"/>
      <c r="BPY34" s="1000"/>
      <c r="BPZ34" s="1000"/>
      <c r="BQA34" s="1000"/>
      <c r="BQB34" s="1000"/>
      <c r="BQC34" s="1000"/>
      <c r="BQD34" s="1000"/>
      <c r="BQE34" s="1000"/>
      <c r="BQF34" s="1000"/>
      <c r="BQG34" s="1000"/>
      <c r="BQH34" s="1000"/>
      <c r="BQI34" s="1000"/>
      <c r="BQJ34" s="1000"/>
      <c r="BQK34" s="1000"/>
      <c r="BQL34" s="1000"/>
      <c r="BQM34" s="1000"/>
      <c r="BQN34" s="1000"/>
      <c r="BQO34" s="1000"/>
      <c r="BQP34" s="1000"/>
      <c r="BQQ34" s="1000"/>
      <c r="BQR34" s="1000"/>
      <c r="BQS34" s="1000"/>
      <c r="BQT34" s="1000"/>
      <c r="BQU34" s="1000"/>
      <c r="BQV34" s="1000"/>
      <c r="BQW34" s="1000"/>
      <c r="BQX34" s="1000"/>
      <c r="BQY34" s="1000"/>
      <c r="BQZ34" s="1000"/>
      <c r="BRA34" s="1000"/>
      <c r="BRB34" s="1000"/>
      <c r="BRC34" s="1000"/>
      <c r="BRD34" s="1000"/>
      <c r="BRE34" s="1000"/>
      <c r="BRF34" s="1000"/>
      <c r="BRG34" s="1000"/>
      <c r="BRH34" s="1000"/>
      <c r="BRI34" s="1000"/>
      <c r="BRJ34" s="1000"/>
      <c r="BRK34" s="1000"/>
      <c r="BRL34" s="1000"/>
      <c r="BRM34" s="1000"/>
      <c r="BRN34" s="1000"/>
      <c r="BRO34" s="1000"/>
      <c r="BRP34" s="1000"/>
      <c r="BRQ34" s="1000"/>
      <c r="BRR34" s="1000"/>
      <c r="BRS34" s="1000"/>
      <c r="BRT34" s="1000"/>
      <c r="BRU34" s="1000"/>
      <c r="BRV34" s="1000"/>
      <c r="BRW34" s="1000"/>
      <c r="BRX34" s="1000"/>
      <c r="BRY34" s="1000"/>
      <c r="BRZ34" s="1000"/>
      <c r="BSA34" s="1000"/>
      <c r="BSB34" s="1000"/>
      <c r="BSC34" s="1000"/>
      <c r="BSD34" s="1000"/>
      <c r="BSE34" s="1000"/>
      <c r="BSF34" s="1000"/>
      <c r="BSG34" s="1000"/>
      <c r="BSH34" s="1000"/>
      <c r="BSI34" s="1000"/>
      <c r="BSJ34" s="1000"/>
      <c r="BSK34" s="1000"/>
      <c r="BSL34" s="1000"/>
      <c r="BSM34" s="1000"/>
      <c r="BSN34" s="1000"/>
      <c r="BSO34" s="1000"/>
      <c r="BSP34" s="1000"/>
      <c r="BSQ34" s="1000"/>
      <c r="BSR34" s="1000"/>
      <c r="BSS34" s="1000"/>
      <c r="BST34" s="1000"/>
      <c r="BSU34" s="1000"/>
      <c r="BSV34" s="1000"/>
      <c r="BSW34" s="1000"/>
      <c r="BSX34" s="1000"/>
      <c r="BSY34" s="1000"/>
      <c r="BSZ34" s="1000"/>
      <c r="BTA34" s="1000"/>
      <c r="BTB34" s="1000"/>
      <c r="BTC34" s="1000"/>
      <c r="BTD34" s="1000"/>
      <c r="BTE34" s="1000"/>
      <c r="BTF34" s="1000"/>
      <c r="BTG34" s="1000"/>
      <c r="BTH34" s="1000"/>
      <c r="BTI34" s="1000"/>
      <c r="BTJ34" s="1000"/>
      <c r="BTK34" s="1000"/>
      <c r="BTL34" s="1000"/>
      <c r="BTM34" s="1000"/>
      <c r="BTN34" s="1000"/>
      <c r="BTO34" s="1000"/>
      <c r="BTP34" s="1000"/>
      <c r="BTQ34" s="1000"/>
      <c r="BTR34" s="1000"/>
      <c r="BTS34" s="1000"/>
      <c r="BTT34" s="1000"/>
      <c r="BTU34" s="1000"/>
      <c r="BTV34" s="1000"/>
      <c r="BTW34" s="1000"/>
      <c r="BTX34" s="1000"/>
      <c r="BTY34" s="1000"/>
      <c r="BTZ34" s="1000"/>
      <c r="BUA34" s="1000"/>
      <c r="BUB34" s="1000"/>
      <c r="BUC34" s="1000"/>
      <c r="BUD34" s="1000"/>
      <c r="BUE34" s="1000"/>
      <c r="BUF34" s="1000"/>
      <c r="BUG34" s="1000"/>
      <c r="BUH34" s="1000"/>
      <c r="BUI34" s="1000"/>
      <c r="BUJ34" s="1000"/>
      <c r="BUK34" s="1000"/>
      <c r="BUL34" s="1000"/>
      <c r="BUM34" s="1000"/>
      <c r="BUN34" s="1000"/>
      <c r="BUO34" s="1000"/>
      <c r="BUP34" s="1000"/>
      <c r="BUQ34" s="1000"/>
      <c r="BUR34" s="1000"/>
      <c r="BUS34" s="1000"/>
      <c r="BUT34" s="1000"/>
      <c r="BUU34" s="1000"/>
      <c r="BUV34" s="1000"/>
      <c r="BUW34" s="1000"/>
      <c r="BUX34" s="1000"/>
      <c r="BUY34" s="1000"/>
      <c r="BUZ34" s="1000"/>
      <c r="BVA34" s="1000"/>
      <c r="BVB34" s="1000"/>
      <c r="BVC34" s="1000"/>
      <c r="BVD34" s="1000"/>
      <c r="BVE34" s="1000"/>
      <c r="BVF34" s="1000"/>
      <c r="BVG34" s="1000"/>
      <c r="BVH34" s="1000"/>
      <c r="BVI34" s="1000"/>
      <c r="BVJ34" s="1000"/>
      <c r="BVK34" s="1000"/>
      <c r="BVL34" s="1000"/>
      <c r="BVM34" s="1000"/>
      <c r="BVN34" s="1000"/>
      <c r="BVO34" s="1000"/>
      <c r="BVP34" s="1000"/>
      <c r="BVQ34" s="1000"/>
      <c r="BVR34" s="1000"/>
      <c r="BVS34" s="1000"/>
      <c r="BVT34" s="1000"/>
      <c r="BVU34" s="1000"/>
      <c r="BVV34" s="1000"/>
      <c r="BVW34" s="1000"/>
      <c r="BVX34" s="1000"/>
      <c r="BVY34" s="1000"/>
      <c r="BVZ34" s="1000"/>
      <c r="BWA34" s="1000"/>
      <c r="BWB34" s="1000"/>
      <c r="BWC34" s="1000"/>
      <c r="BWD34" s="1000"/>
      <c r="BWE34" s="1000"/>
      <c r="BWF34" s="1000"/>
      <c r="BWG34" s="1000"/>
      <c r="BWH34" s="1000"/>
      <c r="BWI34" s="1000"/>
      <c r="BWJ34" s="1000"/>
      <c r="BWK34" s="1000"/>
      <c r="BWL34" s="1000"/>
      <c r="BWM34" s="1000"/>
      <c r="BWN34" s="1000"/>
      <c r="BWO34" s="1000"/>
      <c r="BWP34" s="1000"/>
      <c r="BWQ34" s="1000"/>
      <c r="BWR34" s="1000"/>
      <c r="BWS34" s="1000"/>
      <c r="BWT34" s="1000"/>
      <c r="BWU34" s="1000"/>
      <c r="BWV34" s="1000"/>
      <c r="BWW34" s="1000"/>
      <c r="BWX34" s="1000"/>
      <c r="BWY34" s="1000"/>
      <c r="BWZ34" s="1000"/>
      <c r="BXA34" s="1000"/>
      <c r="BXB34" s="1000"/>
      <c r="BXC34" s="1000"/>
      <c r="BXD34" s="1000"/>
      <c r="BXE34" s="1000"/>
      <c r="BXF34" s="1000"/>
      <c r="BXG34" s="1000"/>
      <c r="BXH34" s="1000"/>
      <c r="BXI34" s="1000"/>
      <c r="BXJ34" s="1000"/>
      <c r="BXK34" s="1000"/>
      <c r="BXL34" s="1000"/>
      <c r="BXM34" s="1000"/>
      <c r="BXN34" s="1000"/>
      <c r="BXO34" s="1000"/>
      <c r="BXP34" s="1000"/>
      <c r="BXQ34" s="1000"/>
      <c r="BXR34" s="1000"/>
      <c r="BXS34" s="1000"/>
      <c r="BXT34" s="1000"/>
      <c r="BXU34" s="1000"/>
      <c r="BXV34" s="1000"/>
      <c r="BXW34" s="1000"/>
      <c r="BXX34" s="1000"/>
      <c r="BXY34" s="1000"/>
      <c r="BXZ34" s="1000"/>
      <c r="BYA34" s="1000"/>
      <c r="BYB34" s="1000"/>
      <c r="BYC34" s="1000"/>
      <c r="BYD34" s="1000"/>
      <c r="BYE34" s="1000"/>
      <c r="BYF34" s="1000"/>
      <c r="BYG34" s="1000"/>
      <c r="BYH34" s="1000"/>
      <c r="BYI34" s="1000"/>
      <c r="BYJ34" s="1000"/>
      <c r="BYK34" s="1000"/>
      <c r="BYL34" s="1000"/>
      <c r="BYM34" s="1000"/>
      <c r="BYN34" s="1000"/>
      <c r="BYO34" s="1000"/>
      <c r="BYP34" s="1000"/>
      <c r="BYQ34" s="1000"/>
      <c r="BYR34" s="1000"/>
      <c r="BYS34" s="1000"/>
      <c r="BYT34" s="1000"/>
      <c r="BYU34" s="1000"/>
      <c r="BYV34" s="1000"/>
      <c r="BYW34" s="1000"/>
      <c r="BYX34" s="1000"/>
      <c r="BYY34" s="1000"/>
      <c r="BYZ34" s="1000"/>
      <c r="BZA34" s="1000"/>
      <c r="BZB34" s="1000"/>
      <c r="BZC34" s="1000"/>
      <c r="BZD34" s="1000"/>
      <c r="BZE34" s="1000"/>
      <c r="BZF34" s="1000"/>
      <c r="BZG34" s="1000"/>
      <c r="BZH34" s="1000"/>
      <c r="BZI34" s="1000"/>
      <c r="BZJ34" s="1000"/>
      <c r="BZK34" s="1000"/>
      <c r="BZL34" s="1000"/>
      <c r="BZM34" s="1000"/>
      <c r="BZN34" s="1000"/>
      <c r="BZO34" s="1000"/>
      <c r="BZP34" s="1000"/>
      <c r="BZQ34" s="1000"/>
      <c r="BZR34" s="1000"/>
      <c r="BZS34" s="1000"/>
      <c r="BZT34" s="1000"/>
      <c r="BZU34" s="1000"/>
      <c r="BZV34" s="1000"/>
      <c r="BZW34" s="1000"/>
      <c r="BZX34" s="1000"/>
      <c r="BZY34" s="1000"/>
      <c r="BZZ34" s="1000"/>
      <c r="CAA34" s="1000"/>
      <c r="CAB34" s="1000"/>
      <c r="CAC34" s="1000"/>
      <c r="CAD34" s="1000"/>
      <c r="CAE34" s="1000"/>
      <c r="CAF34" s="1000"/>
      <c r="CAG34" s="1000"/>
      <c r="CAH34" s="1000"/>
      <c r="CAI34" s="1000"/>
      <c r="CAJ34" s="1000"/>
      <c r="CAK34" s="1000"/>
      <c r="CAL34" s="1000"/>
      <c r="CAM34" s="1000"/>
      <c r="CAN34" s="1000"/>
      <c r="CAO34" s="1000"/>
      <c r="CAP34" s="1000"/>
      <c r="CAQ34" s="1000"/>
      <c r="CAR34" s="1000"/>
      <c r="CAS34" s="1000"/>
      <c r="CAT34" s="1000"/>
      <c r="CAU34" s="1000"/>
      <c r="CAV34" s="1000"/>
      <c r="CAW34" s="1000"/>
      <c r="CAX34" s="1000"/>
      <c r="CAY34" s="1000"/>
      <c r="CAZ34" s="1000"/>
      <c r="CBA34" s="1000"/>
      <c r="CBB34" s="1000"/>
      <c r="CBC34" s="1000"/>
      <c r="CBD34" s="1000"/>
      <c r="CBE34" s="1000"/>
      <c r="CBF34" s="1000"/>
      <c r="CBG34" s="1000"/>
      <c r="CBH34" s="1000"/>
      <c r="CBI34" s="1000"/>
      <c r="CBJ34" s="1000"/>
      <c r="CBK34" s="1000"/>
      <c r="CBL34" s="1000"/>
      <c r="CBM34" s="1000"/>
      <c r="CBN34" s="1000"/>
      <c r="CBO34" s="1000"/>
      <c r="CBP34" s="1000"/>
      <c r="CBQ34" s="1000"/>
      <c r="CBR34" s="1000"/>
      <c r="CBS34" s="1000"/>
      <c r="CBT34" s="1000"/>
      <c r="CBU34" s="1000"/>
      <c r="CBV34" s="1000"/>
      <c r="CBW34" s="1000"/>
      <c r="CBX34" s="1000"/>
      <c r="CBY34" s="1000"/>
      <c r="CBZ34" s="1000"/>
      <c r="CCA34" s="1000"/>
      <c r="CCB34" s="1000"/>
      <c r="CCC34" s="1000"/>
      <c r="CCD34" s="1000"/>
      <c r="CCE34" s="1000"/>
      <c r="CCF34" s="1000"/>
      <c r="CCG34" s="1000"/>
      <c r="CCH34" s="1000"/>
      <c r="CCI34" s="1000"/>
      <c r="CCJ34" s="1000"/>
      <c r="CCK34" s="1000"/>
      <c r="CCL34" s="1000"/>
      <c r="CCM34" s="1000"/>
      <c r="CCN34" s="1000"/>
      <c r="CCO34" s="1000"/>
      <c r="CCP34" s="1000"/>
      <c r="CCQ34" s="1000"/>
      <c r="CCR34" s="1000"/>
      <c r="CCS34" s="1000"/>
      <c r="CCT34" s="1000"/>
      <c r="CCU34" s="1000"/>
      <c r="CCV34" s="1000"/>
      <c r="CCW34" s="1000"/>
      <c r="CCX34" s="1000"/>
      <c r="CCY34" s="1000"/>
      <c r="CCZ34" s="1000"/>
      <c r="CDA34" s="1000"/>
      <c r="CDB34" s="1000"/>
      <c r="CDC34" s="1000"/>
      <c r="CDD34" s="1000"/>
      <c r="CDE34" s="1000"/>
      <c r="CDF34" s="1000"/>
      <c r="CDG34" s="1000"/>
      <c r="CDH34" s="1000"/>
      <c r="CDI34" s="1000"/>
      <c r="CDJ34" s="1000"/>
      <c r="CDK34" s="1000"/>
      <c r="CDL34" s="1000"/>
      <c r="CDM34" s="1000"/>
      <c r="CDN34" s="1000"/>
      <c r="CDO34" s="1000"/>
      <c r="CDP34" s="1000"/>
      <c r="CDQ34" s="1000"/>
      <c r="CDR34" s="1000"/>
      <c r="CDS34" s="1000"/>
      <c r="CDT34" s="1000"/>
      <c r="CDU34" s="1000"/>
      <c r="CDV34" s="1000"/>
      <c r="CDW34" s="1000"/>
      <c r="CDX34" s="1000"/>
      <c r="CDY34" s="1000"/>
      <c r="CDZ34" s="1000"/>
      <c r="CEA34" s="1000"/>
      <c r="CEB34" s="1000"/>
      <c r="CEC34" s="1000"/>
      <c r="CED34" s="1000"/>
      <c r="CEE34" s="1000"/>
      <c r="CEF34" s="1000"/>
      <c r="CEG34" s="1000"/>
      <c r="CEH34" s="1000"/>
      <c r="CEI34" s="1000"/>
      <c r="CEJ34" s="1000"/>
      <c r="CEK34" s="1000"/>
      <c r="CEL34" s="1000"/>
      <c r="CEM34" s="1000"/>
      <c r="CEN34" s="1000"/>
      <c r="CEO34" s="1000"/>
      <c r="CEP34" s="1000"/>
      <c r="CEQ34" s="1000"/>
      <c r="CER34" s="1000"/>
      <c r="CES34" s="1000"/>
      <c r="CET34" s="1000"/>
      <c r="CEU34" s="1000"/>
      <c r="CEV34" s="1000"/>
      <c r="CEW34" s="1000"/>
      <c r="CEX34" s="1000"/>
      <c r="CEY34" s="1000"/>
      <c r="CEZ34" s="1000"/>
      <c r="CFA34" s="1000"/>
      <c r="CFB34" s="1000"/>
      <c r="CFC34" s="1000"/>
      <c r="CFD34" s="1000"/>
      <c r="CFE34" s="1000"/>
      <c r="CFF34" s="1000"/>
      <c r="CFG34" s="1000"/>
      <c r="CFH34" s="1000"/>
      <c r="CFI34" s="1000"/>
      <c r="CFJ34" s="1000"/>
      <c r="CFK34" s="1000"/>
      <c r="CFL34" s="1000"/>
      <c r="CFM34" s="1000"/>
      <c r="CFN34" s="1000"/>
      <c r="CFO34" s="1000"/>
      <c r="CFP34" s="1000"/>
      <c r="CFQ34" s="1000"/>
      <c r="CFR34" s="1000"/>
      <c r="CFS34" s="1000"/>
      <c r="CFT34" s="1000"/>
      <c r="CFU34" s="1000"/>
      <c r="CFV34" s="1000"/>
      <c r="CFW34" s="1000"/>
      <c r="CFX34" s="1000"/>
      <c r="CFY34" s="1000"/>
      <c r="CFZ34" s="1000"/>
      <c r="CGA34" s="1000"/>
      <c r="CGB34" s="1000"/>
      <c r="CGC34" s="1000"/>
      <c r="CGD34" s="1000"/>
      <c r="CGE34" s="1000"/>
      <c r="CGF34" s="1000"/>
      <c r="CGG34" s="1000"/>
      <c r="CGH34" s="1000"/>
      <c r="CGI34" s="1000"/>
      <c r="CGJ34" s="1000"/>
      <c r="CGK34" s="1000"/>
      <c r="CGL34" s="1000"/>
      <c r="CGM34" s="1000"/>
      <c r="CGN34" s="1000"/>
      <c r="CGO34" s="1000"/>
      <c r="CGP34" s="1000"/>
      <c r="CGQ34" s="1000"/>
      <c r="CGR34" s="1000"/>
      <c r="CGS34" s="1000"/>
      <c r="CGT34" s="1000"/>
      <c r="CGU34" s="1000"/>
      <c r="CGV34" s="1000"/>
      <c r="CGW34" s="1000"/>
      <c r="CGX34" s="1000"/>
      <c r="CGY34" s="1000"/>
      <c r="CGZ34" s="1000"/>
      <c r="CHA34" s="1000"/>
      <c r="CHB34" s="1000"/>
      <c r="CHC34" s="1000"/>
      <c r="CHD34" s="1000"/>
      <c r="CHE34" s="1000"/>
      <c r="CHF34" s="1000"/>
      <c r="CHG34" s="1000"/>
      <c r="CHH34" s="1000"/>
      <c r="CHI34" s="1000"/>
      <c r="CHJ34" s="1000"/>
      <c r="CHK34" s="1000"/>
      <c r="CHL34" s="1000"/>
      <c r="CHM34" s="1000"/>
      <c r="CHN34" s="1000"/>
      <c r="CHO34" s="1000"/>
      <c r="CHP34" s="1000"/>
      <c r="CHQ34" s="1000"/>
      <c r="CHR34" s="1000"/>
      <c r="CHS34" s="1000"/>
      <c r="CHT34" s="1000"/>
      <c r="CHU34" s="1000"/>
      <c r="CHV34" s="1000"/>
      <c r="CHW34" s="1000"/>
      <c r="CHX34" s="1000"/>
      <c r="CHY34" s="1000"/>
      <c r="CHZ34" s="1000"/>
      <c r="CIA34" s="1000"/>
      <c r="CIB34" s="1000"/>
      <c r="CIC34" s="1000"/>
      <c r="CID34" s="1000"/>
      <c r="CIE34" s="1000"/>
      <c r="CIF34" s="1000"/>
      <c r="CIG34" s="1000"/>
      <c r="CIH34" s="1000"/>
      <c r="CII34" s="1000"/>
      <c r="CIJ34" s="1000"/>
      <c r="CIK34" s="1000"/>
      <c r="CIL34" s="1000"/>
      <c r="CIM34" s="1000"/>
      <c r="CIN34" s="1000"/>
      <c r="CIO34" s="1000"/>
      <c r="CIP34" s="1000"/>
      <c r="CIQ34" s="1000"/>
      <c r="CIR34" s="1000"/>
      <c r="CIS34" s="1000"/>
      <c r="CIT34" s="1000"/>
      <c r="CIU34" s="1000"/>
      <c r="CIV34" s="1000"/>
      <c r="CIW34" s="1000"/>
      <c r="CIX34" s="1000"/>
      <c r="CIY34" s="1000"/>
      <c r="CIZ34" s="1000"/>
      <c r="CJA34" s="1000"/>
      <c r="CJB34" s="1000"/>
      <c r="CJC34" s="1000"/>
      <c r="CJD34" s="1000"/>
      <c r="CJE34" s="1000"/>
      <c r="CJF34" s="1000"/>
      <c r="CJG34" s="1000"/>
      <c r="CJH34" s="1000"/>
      <c r="CJI34" s="1000"/>
      <c r="CJJ34" s="1000"/>
      <c r="CJK34" s="1000"/>
      <c r="CJL34" s="1000"/>
      <c r="CJM34" s="1000"/>
      <c r="CJN34" s="1000"/>
      <c r="CJO34" s="1000"/>
      <c r="CJP34" s="1000"/>
      <c r="CJQ34" s="1000"/>
      <c r="CJR34" s="1000"/>
      <c r="CJS34" s="1000"/>
      <c r="CJT34" s="1000"/>
      <c r="CJU34" s="1000"/>
      <c r="CJV34" s="1000"/>
      <c r="CJW34" s="1000"/>
      <c r="CJX34" s="1000"/>
      <c r="CJY34" s="1000"/>
      <c r="CJZ34" s="1000"/>
      <c r="CKA34" s="1000"/>
      <c r="CKB34" s="1000"/>
      <c r="CKC34" s="1000"/>
      <c r="CKD34" s="1000"/>
      <c r="CKE34" s="1000"/>
      <c r="CKF34" s="1000"/>
      <c r="CKG34" s="1000"/>
      <c r="CKH34" s="1000"/>
      <c r="CKI34" s="1000"/>
      <c r="CKJ34" s="1000"/>
      <c r="CKK34" s="1000"/>
      <c r="CKL34" s="1000"/>
      <c r="CKM34" s="1000"/>
      <c r="CKN34" s="1000"/>
      <c r="CKO34" s="1000"/>
      <c r="CKP34" s="1000"/>
      <c r="CKQ34" s="1000"/>
      <c r="CKR34" s="1000"/>
      <c r="CKS34" s="1000"/>
      <c r="CKT34" s="1000"/>
      <c r="CKU34" s="1000"/>
      <c r="CKV34" s="1000"/>
      <c r="CKW34" s="1000"/>
      <c r="CKX34" s="1000"/>
      <c r="CKY34" s="1000"/>
      <c r="CKZ34" s="1000"/>
      <c r="CLA34" s="1000"/>
      <c r="CLB34" s="1000"/>
      <c r="CLC34" s="1000"/>
      <c r="CLD34" s="1000"/>
      <c r="CLE34" s="1000"/>
      <c r="CLF34" s="1000"/>
      <c r="CLG34" s="1000"/>
      <c r="CLH34" s="1000"/>
      <c r="CLI34" s="1000"/>
      <c r="CLJ34" s="1000"/>
      <c r="CLK34" s="1000"/>
      <c r="CLL34" s="1000"/>
      <c r="CLM34" s="1000"/>
      <c r="CLN34" s="1000"/>
      <c r="CLO34" s="1000"/>
      <c r="CLP34" s="1000"/>
      <c r="CLQ34" s="1000"/>
      <c r="CLR34" s="1000"/>
      <c r="CLS34" s="1000"/>
      <c r="CLT34" s="1000"/>
      <c r="CLU34" s="1000"/>
      <c r="CLV34" s="1000"/>
      <c r="CLW34" s="1000"/>
      <c r="CLX34" s="1000"/>
      <c r="CLY34" s="1000"/>
      <c r="CLZ34" s="1000"/>
      <c r="CMA34" s="1000"/>
      <c r="CMB34" s="1000"/>
      <c r="CMC34" s="1000"/>
      <c r="CMD34" s="1000"/>
      <c r="CME34" s="1000"/>
      <c r="CMF34" s="1000"/>
      <c r="CMG34" s="1000"/>
      <c r="CMH34" s="1000"/>
      <c r="CMI34" s="1000"/>
      <c r="CMJ34" s="1000"/>
      <c r="CMK34" s="1000"/>
      <c r="CML34" s="1000"/>
      <c r="CMM34" s="1000"/>
      <c r="CMN34" s="1000"/>
      <c r="CMO34" s="1000"/>
      <c r="CMP34" s="1000"/>
      <c r="CMQ34" s="1000"/>
      <c r="CMR34" s="1000"/>
      <c r="CMS34" s="1000"/>
      <c r="CMT34" s="1000"/>
      <c r="CMU34" s="1000"/>
      <c r="CMV34" s="1000"/>
      <c r="CMW34" s="1000"/>
      <c r="CMX34" s="1000"/>
      <c r="CMY34" s="1000"/>
      <c r="CMZ34" s="1000"/>
      <c r="CNA34" s="1000"/>
      <c r="CNB34" s="1000"/>
      <c r="CNC34" s="1000"/>
      <c r="CND34" s="1000"/>
      <c r="CNE34" s="1000"/>
      <c r="CNF34" s="1000"/>
      <c r="CNG34" s="1000"/>
      <c r="CNH34" s="1000"/>
      <c r="CNI34" s="1000"/>
      <c r="CNJ34" s="1000"/>
      <c r="CNK34" s="1000"/>
      <c r="CNL34" s="1000"/>
      <c r="CNM34" s="1000"/>
      <c r="CNN34" s="1000"/>
      <c r="CNO34" s="1000"/>
      <c r="CNP34" s="1000"/>
      <c r="CNQ34" s="1000"/>
      <c r="CNR34" s="1000"/>
      <c r="CNS34" s="1000"/>
      <c r="CNT34" s="1000"/>
      <c r="CNU34" s="1000"/>
      <c r="CNV34" s="1000"/>
      <c r="CNW34" s="1000"/>
      <c r="CNX34" s="1000"/>
      <c r="CNY34" s="1000"/>
      <c r="CNZ34" s="1000"/>
      <c r="COA34" s="1000"/>
      <c r="COB34" s="1000"/>
      <c r="COC34" s="1000"/>
      <c r="COD34" s="1000"/>
      <c r="COE34" s="1000"/>
      <c r="COF34" s="1000"/>
      <c r="COG34" s="1000"/>
      <c r="COH34" s="1000"/>
      <c r="COI34" s="1000"/>
      <c r="COJ34" s="1000"/>
      <c r="COK34" s="1000"/>
      <c r="COL34" s="1000"/>
      <c r="COM34" s="1000"/>
      <c r="CON34" s="1000"/>
      <c r="COO34" s="1000"/>
      <c r="COP34" s="1000"/>
      <c r="COQ34" s="1000"/>
      <c r="COR34" s="1000"/>
      <c r="COS34" s="1000"/>
      <c r="COT34" s="1000"/>
      <c r="COU34" s="1000"/>
      <c r="COV34" s="1000"/>
      <c r="COW34" s="1000"/>
      <c r="COX34" s="1000"/>
      <c r="COY34" s="1000"/>
      <c r="COZ34" s="1000"/>
      <c r="CPA34" s="1000"/>
      <c r="CPB34" s="1000"/>
      <c r="CPC34" s="1000"/>
      <c r="CPD34" s="1000"/>
      <c r="CPE34" s="1000"/>
      <c r="CPF34" s="1000"/>
      <c r="CPG34" s="1000"/>
      <c r="CPH34" s="1000"/>
      <c r="CPI34" s="1000"/>
      <c r="CPJ34" s="1000"/>
      <c r="CPK34" s="1000"/>
      <c r="CPL34" s="1000"/>
      <c r="CPM34" s="1000"/>
      <c r="CPN34" s="1000"/>
      <c r="CPO34" s="1000"/>
      <c r="CPP34" s="1000"/>
      <c r="CPQ34" s="1000"/>
      <c r="CPR34" s="1000"/>
      <c r="CPS34" s="1000"/>
      <c r="CPT34" s="1000"/>
      <c r="CPU34" s="1000"/>
      <c r="CPV34" s="1000"/>
      <c r="CPW34" s="1000"/>
      <c r="CPX34" s="1000"/>
      <c r="CPY34" s="1000"/>
      <c r="CPZ34" s="1000"/>
      <c r="CQA34" s="1000"/>
      <c r="CQB34" s="1000"/>
      <c r="CQC34" s="1000"/>
      <c r="CQD34" s="1000"/>
      <c r="CQE34" s="1000"/>
      <c r="CQF34" s="1000"/>
      <c r="CQG34" s="1000"/>
      <c r="CQH34" s="1000"/>
      <c r="CQI34" s="1000"/>
      <c r="CQJ34" s="1000"/>
      <c r="CQK34" s="1000"/>
      <c r="CQL34" s="1000"/>
      <c r="CQM34" s="1000"/>
      <c r="CQN34" s="1000"/>
      <c r="CQO34" s="1000"/>
      <c r="CQP34" s="1000"/>
      <c r="CQQ34" s="1000"/>
      <c r="CQR34" s="1000"/>
      <c r="CQS34" s="1000"/>
      <c r="CQT34" s="1000"/>
      <c r="CQU34" s="1000"/>
      <c r="CQV34" s="1000"/>
      <c r="CQW34" s="1000"/>
      <c r="CQX34" s="1000"/>
      <c r="CQY34" s="1000"/>
      <c r="CQZ34" s="1000"/>
      <c r="CRA34" s="1000"/>
      <c r="CRB34" s="1000"/>
      <c r="CRC34" s="1000"/>
      <c r="CRD34" s="1000"/>
      <c r="CRE34" s="1000"/>
      <c r="CRF34" s="1000"/>
      <c r="CRG34" s="1000"/>
      <c r="CRH34" s="1000"/>
      <c r="CRI34" s="1000"/>
      <c r="CRJ34" s="1000"/>
      <c r="CRK34" s="1000"/>
      <c r="CRL34" s="1000"/>
      <c r="CRM34" s="1000"/>
      <c r="CRN34" s="1000"/>
      <c r="CRO34" s="1000"/>
      <c r="CRP34" s="1000"/>
      <c r="CRQ34" s="1000"/>
      <c r="CRR34" s="1000"/>
      <c r="CRS34" s="1000"/>
      <c r="CRT34" s="1000"/>
      <c r="CRU34" s="1000"/>
      <c r="CRV34" s="1000"/>
      <c r="CRW34" s="1000"/>
      <c r="CRX34" s="1000"/>
      <c r="CRY34" s="1000"/>
      <c r="CRZ34" s="1000"/>
      <c r="CSA34" s="1000"/>
      <c r="CSB34" s="1000"/>
      <c r="CSC34" s="1000"/>
      <c r="CSD34" s="1000"/>
      <c r="CSE34" s="1000"/>
      <c r="CSF34" s="1000"/>
      <c r="CSG34" s="1000"/>
      <c r="CSH34" s="1000"/>
      <c r="CSI34" s="1000"/>
      <c r="CSJ34" s="1000"/>
      <c r="CSK34" s="1000"/>
      <c r="CSL34" s="1000"/>
      <c r="CSM34" s="1000"/>
      <c r="CSN34" s="1000"/>
      <c r="CSO34" s="1000"/>
      <c r="CSP34" s="1000"/>
      <c r="CSQ34" s="1000"/>
      <c r="CSR34" s="1000"/>
      <c r="CSS34" s="1000"/>
      <c r="CST34" s="1000"/>
      <c r="CSU34" s="1000"/>
      <c r="CSV34" s="1000"/>
      <c r="CSW34" s="1000"/>
      <c r="CSX34" s="1000"/>
      <c r="CSY34" s="1000"/>
      <c r="CSZ34" s="1000"/>
      <c r="CTA34" s="1000"/>
      <c r="CTB34" s="1000"/>
      <c r="CTC34" s="1000"/>
      <c r="CTD34" s="1000"/>
      <c r="CTE34" s="1000"/>
      <c r="CTF34" s="1000"/>
      <c r="CTG34" s="1000"/>
      <c r="CTH34" s="1000"/>
      <c r="CTI34" s="1000"/>
      <c r="CTJ34" s="1000"/>
      <c r="CTK34" s="1000"/>
      <c r="CTL34" s="1000"/>
      <c r="CTM34" s="1000"/>
      <c r="CTN34" s="1000"/>
      <c r="CTO34" s="1000"/>
      <c r="CTP34" s="1000"/>
      <c r="CTQ34" s="1000"/>
      <c r="CTR34" s="1000"/>
      <c r="CTS34" s="1000"/>
      <c r="CTT34" s="1000"/>
      <c r="CTU34" s="1000"/>
      <c r="CTV34" s="1000"/>
      <c r="CTW34" s="1000"/>
      <c r="CTX34" s="1000"/>
      <c r="CTY34" s="1000"/>
      <c r="CTZ34" s="1000"/>
      <c r="CUA34" s="1000"/>
      <c r="CUB34" s="1000"/>
      <c r="CUC34" s="1000"/>
      <c r="CUD34" s="1000"/>
      <c r="CUE34" s="1000"/>
      <c r="CUF34" s="1000"/>
      <c r="CUG34" s="1000"/>
      <c r="CUH34" s="1000"/>
      <c r="CUI34" s="1000"/>
      <c r="CUJ34" s="1000"/>
      <c r="CUK34" s="1000"/>
      <c r="CUL34" s="1000"/>
      <c r="CUM34" s="1000"/>
      <c r="CUN34" s="1000"/>
      <c r="CUO34" s="1000"/>
      <c r="CUP34" s="1000"/>
      <c r="CUQ34" s="1000"/>
      <c r="CUR34" s="1000"/>
      <c r="CUS34" s="1000"/>
      <c r="CUT34" s="1000"/>
      <c r="CUU34" s="1000"/>
      <c r="CUV34" s="1000"/>
      <c r="CUW34" s="1000"/>
      <c r="CUX34" s="1000"/>
      <c r="CUY34" s="1000"/>
      <c r="CUZ34" s="1000"/>
      <c r="CVA34" s="1000"/>
      <c r="CVB34" s="1000"/>
      <c r="CVC34" s="1000"/>
      <c r="CVD34" s="1000"/>
      <c r="CVE34" s="1000"/>
      <c r="CVF34" s="1000"/>
      <c r="CVG34" s="1000"/>
      <c r="CVH34" s="1000"/>
      <c r="CVI34" s="1000"/>
      <c r="CVJ34" s="1000"/>
      <c r="CVK34" s="1000"/>
      <c r="CVL34" s="1000"/>
      <c r="CVM34" s="1000"/>
      <c r="CVN34" s="1000"/>
      <c r="CVO34" s="1000"/>
      <c r="CVP34" s="1000"/>
      <c r="CVQ34" s="1000"/>
      <c r="CVR34" s="1000"/>
      <c r="CVS34" s="1000"/>
      <c r="CVT34" s="1000"/>
      <c r="CVU34" s="1000"/>
      <c r="CVV34" s="1000"/>
      <c r="CVW34" s="1000"/>
      <c r="CVX34" s="1000"/>
      <c r="CVY34" s="1000"/>
      <c r="CVZ34" s="1000"/>
      <c r="CWA34" s="1000"/>
      <c r="CWB34" s="1000"/>
      <c r="CWC34" s="1000"/>
      <c r="CWD34" s="1000"/>
      <c r="CWE34" s="1000"/>
      <c r="CWF34" s="1000"/>
      <c r="CWG34" s="1000"/>
      <c r="CWH34" s="1000"/>
      <c r="CWI34" s="1000"/>
      <c r="CWJ34" s="1000"/>
      <c r="CWK34" s="1000"/>
      <c r="CWL34" s="1000"/>
      <c r="CWM34" s="1000"/>
      <c r="CWN34" s="1000"/>
      <c r="CWO34" s="1000"/>
      <c r="CWP34" s="1000"/>
      <c r="CWQ34" s="1000"/>
      <c r="CWR34" s="1000"/>
      <c r="CWS34" s="1000"/>
      <c r="CWT34" s="1000"/>
      <c r="CWU34" s="1000"/>
      <c r="CWV34" s="1000"/>
      <c r="CWW34" s="1000"/>
      <c r="CWX34" s="1000"/>
      <c r="CWY34" s="1000"/>
      <c r="CWZ34" s="1000"/>
      <c r="CXA34" s="1000"/>
      <c r="CXB34" s="1000"/>
      <c r="CXC34" s="1000"/>
      <c r="CXD34" s="1000"/>
      <c r="CXE34" s="1000"/>
      <c r="CXF34" s="1000"/>
      <c r="CXG34" s="1000"/>
      <c r="CXH34" s="1000"/>
      <c r="CXI34" s="1000"/>
      <c r="CXJ34" s="1000"/>
      <c r="CXK34" s="1000"/>
      <c r="CXL34" s="1000"/>
      <c r="CXM34" s="1000"/>
      <c r="CXN34" s="1000"/>
      <c r="CXO34" s="1000"/>
      <c r="CXP34" s="1000"/>
      <c r="CXQ34" s="1000"/>
      <c r="CXR34" s="1000"/>
      <c r="CXS34" s="1000"/>
      <c r="CXT34" s="1000"/>
      <c r="CXU34" s="1000"/>
      <c r="CXV34" s="1000"/>
      <c r="CXW34" s="1000"/>
      <c r="CXX34" s="1000"/>
      <c r="CXY34" s="1000"/>
      <c r="CXZ34" s="1000"/>
      <c r="CYA34" s="1000"/>
      <c r="CYB34" s="1000"/>
      <c r="CYC34" s="1000"/>
      <c r="CYD34" s="1000"/>
      <c r="CYE34" s="1000"/>
      <c r="CYF34" s="1000"/>
      <c r="CYG34" s="1000"/>
      <c r="CYH34" s="1000"/>
      <c r="CYI34" s="1000"/>
      <c r="CYJ34" s="1000"/>
      <c r="CYK34" s="1000"/>
      <c r="CYL34" s="1000"/>
      <c r="CYM34" s="1000"/>
      <c r="CYN34" s="1000"/>
      <c r="CYO34" s="1000"/>
      <c r="CYP34" s="1000"/>
      <c r="CYQ34" s="1000"/>
      <c r="CYR34" s="1000"/>
      <c r="CYS34" s="1000"/>
      <c r="CYT34" s="1000"/>
      <c r="CYU34" s="1000"/>
      <c r="CYV34" s="1000"/>
      <c r="CYW34" s="1000"/>
      <c r="CYX34" s="1000"/>
      <c r="CYY34" s="1000"/>
      <c r="CYZ34" s="1000"/>
      <c r="CZA34" s="1000"/>
      <c r="CZB34" s="1000"/>
      <c r="CZC34" s="1000"/>
      <c r="CZD34" s="1000"/>
      <c r="CZE34" s="1000"/>
      <c r="CZF34" s="1000"/>
      <c r="CZG34" s="1000"/>
      <c r="CZH34" s="1000"/>
      <c r="CZI34" s="1000"/>
      <c r="CZJ34" s="1000"/>
      <c r="CZK34" s="1000"/>
      <c r="CZL34" s="1000"/>
      <c r="CZM34" s="1000"/>
      <c r="CZN34" s="1000"/>
      <c r="CZO34" s="1000"/>
      <c r="CZP34" s="1000"/>
      <c r="CZQ34" s="1000"/>
      <c r="CZR34" s="1000"/>
      <c r="CZS34" s="1000"/>
      <c r="CZT34" s="1000"/>
      <c r="CZU34" s="1000"/>
      <c r="CZV34" s="1000"/>
      <c r="CZW34" s="1000"/>
      <c r="CZX34" s="1000"/>
      <c r="CZY34" s="1000"/>
      <c r="CZZ34" s="1000"/>
      <c r="DAA34" s="1000"/>
      <c r="DAB34" s="1000"/>
      <c r="DAC34" s="1000"/>
      <c r="DAD34" s="1000"/>
      <c r="DAE34" s="1000"/>
      <c r="DAF34" s="1000"/>
      <c r="DAG34" s="1000"/>
      <c r="DAH34" s="1000"/>
      <c r="DAI34" s="1000"/>
      <c r="DAJ34" s="1000"/>
      <c r="DAK34" s="1000"/>
      <c r="DAL34" s="1000"/>
      <c r="DAM34" s="1000"/>
      <c r="DAN34" s="1000"/>
      <c r="DAO34" s="1000"/>
      <c r="DAP34" s="1000"/>
      <c r="DAQ34" s="1000"/>
      <c r="DAR34" s="1000"/>
      <c r="DAS34" s="1000"/>
      <c r="DAT34" s="1000"/>
      <c r="DAU34" s="1000"/>
      <c r="DAV34" s="1000"/>
      <c r="DAW34" s="1000"/>
      <c r="DAX34" s="1000"/>
      <c r="DAY34" s="1000"/>
      <c r="DAZ34" s="1000"/>
      <c r="DBA34" s="1000"/>
      <c r="DBB34" s="1000"/>
      <c r="DBC34" s="1000"/>
      <c r="DBD34" s="1000"/>
      <c r="DBE34" s="1000"/>
      <c r="DBF34" s="1000"/>
      <c r="DBG34" s="1000"/>
      <c r="DBH34" s="1000"/>
      <c r="DBI34" s="1000"/>
      <c r="DBJ34" s="1000"/>
      <c r="DBK34" s="1000"/>
      <c r="DBL34" s="1000"/>
      <c r="DBM34" s="1000"/>
      <c r="DBN34" s="1000"/>
      <c r="DBO34" s="1000"/>
      <c r="DBP34" s="1000"/>
      <c r="DBQ34" s="1000"/>
      <c r="DBR34" s="1000"/>
      <c r="DBS34" s="1000"/>
      <c r="DBT34" s="1000"/>
      <c r="DBU34" s="1000"/>
      <c r="DBV34" s="1000"/>
      <c r="DBW34" s="1000"/>
      <c r="DBX34" s="1000"/>
      <c r="DBY34" s="1000"/>
      <c r="DBZ34" s="1000"/>
      <c r="DCA34" s="1000"/>
      <c r="DCB34" s="1000"/>
      <c r="DCC34" s="1000"/>
      <c r="DCD34" s="1000"/>
      <c r="DCE34" s="1000"/>
      <c r="DCF34" s="1000"/>
      <c r="DCG34" s="1000"/>
      <c r="DCH34" s="1000"/>
      <c r="DCI34" s="1000"/>
      <c r="DCJ34" s="1000"/>
      <c r="DCK34" s="1000"/>
      <c r="DCL34" s="1000"/>
      <c r="DCM34" s="1000"/>
      <c r="DCN34" s="1000"/>
      <c r="DCO34" s="1000"/>
      <c r="DCP34" s="1000"/>
      <c r="DCQ34" s="1000"/>
      <c r="DCR34" s="1000"/>
      <c r="DCS34" s="1000"/>
      <c r="DCT34" s="1000"/>
      <c r="DCU34" s="1000"/>
      <c r="DCV34" s="1000"/>
      <c r="DCW34" s="1000"/>
      <c r="DCX34" s="1000"/>
      <c r="DCY34" s="1000"/>
      <c r="DCZ34" s="1000"/>
      <c r="DDA34" s="1000"/>
      <c r="DDB34" s="1000"/>
      <c r="DDC34" s="1000"/>
      <c r="DDD34" s="1000"/>
      <c r="DDE34" s="1000"/>
      <c r="DDF34" s="1000"/>
      <c r="DDG34" s="1000"/>
      <c r="DDH34" s="1000"/>
      <c r="DDI34" s="1000"/>
      <c r="DDJ34" s="1000"/>
      <c r="DDK34" s="1000"/>
      <c r="DDL34" s="1000"/>
      <c r="DDM34" s="1000"/>
      <c r="DDN34" s="1000"/>
      <c r="DDO34" s="1000"/>
      <c r="DDP34" s="1000"/>
      <c r="DDQ34" s="1000"/>
      <c r="DDR34" s="1000"/>
      <c r="DDS34" s="1000"/>
      <c r="DDT34" s="1000"/>
      <c r="DDU34" s="1000"/>
      <c r="DDV34" s="1000"/>
      <c r="DDW34" s="1000"/>
      <c r="DDX34" s="1000"/>
      <c r="DDY34" s="1000"/>
      <c r="DDZ34" s="1000"/>
      <c r="DEA34" s="1000"/>
      <c r="DEB34" s="1000"/>
      <c r="DEC34" s="1000"/>
      <c r="DED34" s="1000"/>
      <c r="DEE34" s="1000"/>
      <c r="DEF34" s="1000"/>
      <c r="DEG34" s="1000"/>
      <c r="DEH34" s="1000"/>
      <c r="DEI34" s="1000"/>
      <c r="DEJ34" s="1000"/>
      <c r="DEK34" s="1000"/>
      <c r="DEL34" s="1000"/>
      <c r="DEM34" s="1000"/>
      <c r="DEN34" s="1000"/>
      <c r="DEO34" s="1000"/>
      <c r="DEP34" s="1000"/>
      <c r="DEQ34" s="1000"/>
      <c r="DER34" s="1000"/>
      <c r="DES34" s="1000"/>
      <c r="DET34" s="1000"/>
      <c r="DEU34" s="1000"/>
      <c r="DEV34" s="1000"/>
      <c r="DEW34" s="1000"/>
      <c r="DEX34" s="1000"/>
      <c r="DEY34" s="1000"/>
      <c r="DEZ34" s="1000"/>
      <c r="DFA34" s="1000"/>
      <c r="DFB34" s="1000"/>
      <c r="DFC34" s="1000"/>
      <c r="DFD34" s="1000"/>
      <c r="DFE34" s="1000"/>
      <c r="DFF34" s="1000"/>
      <c r="DFG34" s="1000"/>
      <c r="DFH34" s="1000"/>
      <c r="DFI34" s="1000"/>
      <c r="DFJ34" s="1000"/>
      <c r="DFK34" s="1000"/>
      <c r="DFL34" s="1000"/>
      <c r="DFM34" s="1000"/>
      <c r="DFN34" s="1000"/>
      <c r="DFO34" s="1000"/>
      <c r="DFP34" s="1000"/>
      <c r="DFQ34" s="1000"/>
      <c r="DFR34" s="1000"/>
      <c r="DFS34" s="1000"/>
      <c r="DFT34" s="1000"/>
      <c r="DFU34" s="1000"/>
      <c r="DFV34" s="1000"/>
      <c r="DFW34" s="1000"/>
      <c r="DFX34" s="1000"/>
      <c r="DFY34" s="1000"/>
      <c r="DFZ34" s="1000"/>
      <c r="DGA34" s="1000"/>
      <c r="DGB34" s="1000"/>
      <c r="DGC34" s="1000"/>
      <c r="DGD34" s="1000"/>
      <c r="DGE34" s="1000"/>
      <c r="DGF34" s="1000"/>
      <c r="DGG34" s="1000"/>
      <c r="DGH34" s="1000"/>
      <c r="DGI34" s="1000"/>
      <c r="DGJ34" s="1000"/>
      <c r="DGK34" s="1000"/>
      <c r="DGL34" s="1000"/>
      <c r="DGM34" s="1000"/>
      <c r="DGN34" s="1000"/>
      <c r="DGO34" s="1000"/>
      <c r="DGP34" s="1000"/>
      <c r="DGQ34" s="1000"/>
      <c r="DGR34" s="1000"/>
      <c r="DGS34" s="1000"/>
      <c r="DGT34" s="1000"/>
      <c r="DGU34" s="1000"/>
      <c r="DGV34" s="1000"/>
      <c r="DGW34" s="1000"/>
      <c r="DGX34" s="1000"/>
      <c r="DGY34" s="1000"/>
      <c r="DGZ34" s="1000"/>
      <c r="DHA34" s="1000"/>
      <c r="DHB34" s="1000"/>
      <c r="DHC34" s="1000"/>
      <c r="DHD34" s="1000"/>
      <c r="DHE34" s="1000"/>
      <c r="DHF34" s="1000"/>
      <c r="DHG34" s="1000"/>
      <c r="DHH34" s="1000"/>
      <c r="DHI34" s="1000"/>
      <c r="DHJ34" s="1000"/>
      <c r="DHK34" s="1000"/>
      <c r="DHL34" s="1000"/>
      <c r="DHM34" s="1000"/>
      <c r="DHN34" s="1000"/>
      <c r="DHO34" s="1000"/>
      <c r="DHP34" s="1000"/>
      <c r="DHQ34" s="1000"/>
      <c r="DHR34" s="1000"/>
      <c r="DHS34" s="1000"/>
      <c r="DHT34" s="1000"/>
      <c r="DHU34" s="1000"/>
      <c r="DHV34" s="1000"/>
      <c r="DHW34" s="1000"/>
      <c r="DHX34" s="1000"/>
      <c r="DHY34" s="1000"/>
      <c r="DHZ34" s="1000"/>
      <c r="DIA34" s="1000"/>
      <c r="DIB34" s="1000"/>
      <c r="DIC34" s="1000"/>
      <c r="DID34" s="1000"/>
      <c r="DIE34" s="1000"/>
      <c r="DIF34" s="1000"/>
      <c r="DIG34" s="1000"/>
      <c r="DIH34" s="1000"/>
      <c r="DII34" s="1000"/>
      <c r="DIJ34" s="1000"/>
      <c r="DIK34" s="1000"/>
      <c r="DIL34" s="1000"/>
      <c r="DIM34" s="1000"/>
      <c r="DIN34" s="1000"/>
      <c r="DIO34" s="1000"/>
      <c r="DIP34" s="1000"/>
      <c r="DIQ34" s="1000"/>
      <c r="DIR34" s="1000"/>
      <c r="DIS34" s="1000"/>
      <c r="DIT34" s="1000"/>
      <c r="DIU34" s="1000"/>
      <c r="DIV34" s="1000"/>
      <c r="DIW34" s="1000"/>
      <c r="DIX34" s="1000"/>
      <c r="DIY34" s="1000"/>
      <c r="DIZ34" s="1000"/>
      <c r="DJA34" s="1000"/>
      <c r="DJB34" s="1000"/>
      <c r="DJC34" s="1000"/>
      <c r="DJD34" s="1000"/>
      <c r="DJE34" s="1000"/>
      <c r="DJF34" s="1000"/>
      <c r="DJG34" s="1000"/>
      <c r="DJH34" s="1000"/>
      <c r="DJI34" s="1000"/>
      <c r="DJJ34" s="1000"/>
      <c r="DJK34" s="1000"/>
      <c r="DJL34" s="1000"/>
      <c r="DJM34" s="1000"/>
      <c r="DJN34" s="1000"/>
      <c r="DJO34" s="1000"/>
      <c r="DJP34" s="1000"/>
      <c r="DJQ34" s="1000"/>
      <c r="DJR34" s="1000"/>
      <c r="DJS34" s="1000"/>
      <c r="DJT34" s="1000"/>
      <c r="DJU34" s="1000"/>
      <c r="DJV34" s="1000"/>
      <c r="DJW34" s="1000"/>
      <c r="DJX34" s="1000"/>
      <c r="DJY34" s="1000"/>
      <c r="DJZ34" s="1000"/>
      <c r="DKA34" s="1000"/>
      <c r="DKB34" s="1000"/>
      <c r="DKC34" s="1000"/>
      <c r="DKD34" s="1000"/>
      <c r="DKE34" s="1000"/>
      <c r="DKF34" s="1000"/>
      <c r="DKG34" s="1000"/>
      <c r="DKH34" s="1000"/>
      <c r="DKI34" s="1000"/>
      <c r="DKJ34" s="1000"/>
      <c r="DKK34" s="1000"/>
      <c r="DKL34" s="1000"/>
      <c r="DKM34" s="1000"/>
      <c r="DKN34" s="1000"/>
      <c r="DKO34" s="1000"/>
      <c r="DKP34" s="1000"/>
      <c r="DKQ34" s="1000"/>
      <c r="DKR34" s="1000"/>
      <c r="DKS34" s="1000"/>
      <c r="DKT34" s="1000"/>
      <c r="DKU34" s="1000"/>
      <c r="DKV34" s="1000"/>
      <c r="DKW34" s="1000"/>
      <c r="DKX34" s="1000"/>
      <c r="DKY34" s="1000"/>
      <c r="DKZ34" s="1000"/>
      <c r="DLA34" s="1000"/>
      <c r="DLB34" s="1000"/>
      <c r="DLC34" s="1000"/>
      <c r="DLD34" s="1000"/>
      <c r="DLE34" s="1000"/>
      <c r="DLF34" s="1000"/>
      <c r="DLG34" s="1000"/>
      <c r="DLH34" s="1000"/>
      <c r="DLI34" s="1000"/>
      <c r="DLJ34" s="1000"/>
      <c r="DLK34" s="1000"/>
      <c r="DLL34" s="1000"/>
      <c r="DLM34" s="1000"/>
      <c r="DLN34" s="1000"/>
      <c r="DLO34" s="1000"/>
      <c r="DLP34" s="1000"/>
      <c r="DLQ34" s="1000"/>
      <c r="DLR34" s="1000"/>
      <c r="DLS34" s="1000"/>
      <c r="DLT34" s="1000"/>
      <c r="DLU34" s="1000"/>
      <c r="DLV34" s="1000"/>
      <c r="DLW34" s="1000"/>
      <c r="DLX34" s="1000"/>
      <c r="DLY34" s="1000"/>
      <c r="DLZ34" s="1000"/>
      <c r="DMA34" s="1000"/>
      <c r="DMB34" s="1000"/>
      <c r="DMC34" s="1000"/>
      <c r="DMD34" s="1000"/>
      <c r="DME34" s="1000"/>
      <c r="DMF34" s="1000"/>
      <c r="DMG34" s="1000"/>
      <c r="DMH34" s="1000"/>
      <c r="DMI34" s="1000"/>
      <c r="DMJ34" s="1000"/>
      <c r="DMK34" s="1000"/>
      <c r="DML34" s="1000"/>
      <c r="DMM34" s="1000"/>
      <c r="DMN34" s="1000"/>
      <c r="DMO34" s="1000"/>
      <c r="DMP34" s="1000"/>
      <c r="DMQ34" s="1000"/>
      <c r="DMR34" s="1000"/>
      <c r="DMS34" s="1000"/>
      <c r="DMT34" s="1000"/>
      <c r="DMU34" s="1000"/>
      <c r="DMV34" s="1000"/>
      <c r="DMW34" s="1000"/>
      <c r="DMX34" s="1000"/>
      <c r="DMY34" s="1000"/>
      <c r="DMZ34" s="1000"/>
      <c r="DNA34" s="1000"/>
      <c r="DNB34" s="1000"/>
      <c r="DNC34" s="1000"/>
      <c r="DND34" s="1000"/>
      <c r="DNE34" s="1000"/>
      <c r="DNF34" s="1000"/>
      <c r="DNG34" s="1000"/>
      <c r="DNH34" s="1000"/>
      <c r="DNI34" s="1000"/>
      <c r="DNJ34" s="1000"/>
      <c r="DNK34" s="1000"/>
      <c r="DNL34" s="1000"/>
      <c r="DNM34" s="1000"/>
      <c r="DNN34" s="1000"/>
      <c r="DNO34" s="1000"/>
      <c r="DNP34" s="1000"/>
      <c r="DNQ34" s="1000"/>
      <c r="DNR34" s="1000"/>
      <c r="DNS34" s="1000"/>
      <c r="DNT34" s="1000"/>
      <c r="DNU34" s="1000"/>
      <c r="DNV34" s="1000"/>
      <c r="DNW34" s="1000"/>
      <c r="DNX34" s="1000"/>
      <c r="DNY34" s="1000"/>
      <c r="DNZ34" s="1000"/>
      <c r="DOA34" s="1000"/>
      <c r="DOB34" s="1000"/>
      <c r="DOC34" s="1000"/>
      <c r="DOD34" s="1000"/>
      <c r="DOE34" s="1000"/>
      <c r="DOF34" s="1000"/>
      <c r="DOG34" s="1000"/>
      <c r="DOH34" s="1000"/>
      <c r="DOI34" s="1000"/>
      <c r="DOJ34" s="1000"/>
      <c r="DOK34" s="1000"/>
      <c r="DOL34" s="1000"/>
      <c r="DOM34" s="1000"/>
      <c r="DON34" s="1000"/>
      <c r="DOO34" s="1000"/>
      <c r="DOP34" s="1000"/>
      <c r="DOQ34" s="1000"/>
      <c r="DOR34" s="1000"/>
      <c r="DOS34" s="1000"/>
      <c r="DOT34" s="1000"/>
      <c r="DOU34" s="1000"/>
      <c r="DOV34" s="1000"/>
      <c r="DOW34" s="1000"/>
      <c r="DOX34" s="1000"/>
      <c r="DOY34" s="1000"/>
      <c r="DOZ34" s="1000"/>
      <c r="DPA34" s="1000"/>
      <c r="DPB34" s="1000"/>
      <c r="DPC34" s="1000"/>
      <c r="DPD34" s="1000"/>
      <c r="DPE34" s="1000"/>
      <c r="DPF34" s="1000"/>
      <c r="DPG34" s="1000"/>
      <c r="DPH34" s="1000"/>
      <c r="DPI34" s="1000"/>
      <c r="DPJ34" s="1000"/>
      <c r="DPK34" s="1000"/>
      <c r="DPL34" s="1000"/>
      <c r="DPM34" s="1000"/>
      <c r="DPN34" s="1000"/>
      <c r="DPO34" s="1000"/>
      <c r="DPP34" s="1000"/>
      <c r="DPQ34" s="1000"/>
      <c r="DPR34" s="1000"/>
      <c r="DPS34" s="1000"/>
      <c r="DPT34" s="1000"/>
      <c r="DPU34" s="1000"/>
      <c r="DPV34" s="1000"/>
      <c r="DPW34" s="1000"/>
      <c r="DPX34" s="1000"/>
      <c r="DPY34" s="1000"/>
      <c r="DPZ34" s="1000"/>
      <c r="DQA34" s="1000"/>
      <c r="DQB34" s="1000"/>
      <c r="DQC34" s="1000"/>
      <c r="DQD34" s="1000"/>
      <c r="DQE34" s="1000"/>
      <c r="DQF34" s="1000"/>
      <c r="DQG34" s="1000"/>
      <c r="DQH34" s="1000"/>
      <c r="DQI34" s="1000"/>
      <c r="DQJ34" s="1000"/>
      <c r="DQK34" s="1000"/>
      <c r="DQL34" s="1000"/>
      <c r="DQM34" s="1000"/>
      <c r="DQN34" s="1000"/>
      <c r="DQO34" s="1000"/>
      <c r="DQP34" s="1000"/>
      <c r="DQQ34" s="1000"/>
      <c r="DQR34" s="1000"/>
      <c r="DQS34" s="1000"/>
      <c r="DQT34" s="1000"/>
      <c r="DQU34" s="1000"/>
      <c r="DQV34" s="1000"/>
      <c r="DQW34" s="1000"/>
      <c r="DQX34" s="1000"/>
      <c r="DQY34" s="1000"/>
      <c r="DQZ34" s="1000"/>
      <c r="DRA34" s="1000"/>
      <c r="DRB34" s="1000"/>
      <c r="DRC34" s="1000"/>
      <c r="DRD34" s="1000"/>
      <c r="DRE34" s="1000"/>
      <c r="DRF34" s="1000"/>
      <c r="DRG34" s="1000"/>
      <c r="DRH34" s="1000"/>
      <c r="DRI34" s="1000"/>
      <c r="DRJ34" s="1000"/>
      <c r="DRK34" s="1000"/>
      <c r="DRL34" s="1000"/>
      <c r="DRM34" s="1000"/>
      <c r="DRN34" s="1000"/>
      <c r="DRO34" s="1000"/>
      <c r="DRP34" s="1000"/>
      <c r="DRQ34" s="1000"/>
      <c r="DRR34" s="1000"/>
      <c r="DRS34" s="1000"/>
      <c r="DRT34" s="1000"/>
      <c r="DRU34" s="1000"/>
      <c r="DRV34" s="1000"/>
      <c r="DRW34" s="1000"/>
      <c r="DRX34" s="1000"/>
      <c r="DRY34" s="1000"/>
      <c r="DRZ34" s="1000"/>
      <c r="DSA34" s="1000"/>
      <c r="DSB34" s="1000"/>
      <c r="DSC34" s="1000"/>
      <c r="DSD34" s="1000"/>
      <c r="DSE34" s="1000"/>
      <c r="DSF34" s="1000"/>
      <c r="DSG34" s="1000"/>
      <c r="DSH34" s="1000"/>
      <c r="DSI34" s="1000"/>
      <c r="DSJ34" s="1000"/>
      <c r="DSK34" s="1000"/>
      <c r="DSL34" s="1000"/>
      <c r="DSM34" s="1000"/>
      <c r="DSN34" s="1000"/>
      <c r="DSO34" s="1000"/>
      <c r="DSP34" s="1000"/>
      <c r="DSQ34" s="1000"/>
      <c r="DSR34" s="1000"/>
      <c r="DSS34" s="1000"/>
      <c r="DST34" s="1000"/>
      <c r="DSU34" s="1000"/>
      <c r="DSV34" s="1000"/>
      <c r="DSW34" s="1000"/>
      <c r="DSX34" s="1000"/>
      <c r="DSY34" s="1000"/>
      <c r="DSZ34" s="1000"/>
      <c r="DTA34" s="1000"/>
      <c r="DTB34" s="1000"/>
      <c r="DTC34" s="1000"/>
      <c r="DTD34" s="1000"/>
      <c r="DTE34" s="1000"/>
      <c r="DTF34" s="1000"/>
      <c r="DTG34" s="1000"/>
      <c r="DTH34" s="1000"/>
      <c r="DTI34" s="1000"/>
      <c r="DTJ34" s="1000"/>
      <c r="DTK34" s="1000"/>
      <c r="DTL34" s="1000"/>
      <c r="DTM34" s="1000"/>
      <c r="DTN34" s="1000"/>
      <c r="DTO34" s="1000"/>
      <c r="DTP34" s="1000"/>
      <c r="DTQ34" s="1000"/>
      <c r="DTR34" s="1000"/>
      <c r="DTS34" s="1000"/>
      <c r="DTT34" s="1000"/>
      <c r="DTU34" s="1000"/>
      <c r="DTV34" s="1000"/>
      <c r="DTW34" s="1000"/>
      <c r="DTX34" s="1000"/>
      <c r="DTY34" s="1000"/>
      <c r="DTZ34" s="1000"/>
      <c r="DUA34" s="1000"/>
      <c r="DUB34" s="1000"/>
      <c r="DUC34" s="1000"/>
      <c r="DUD34" s="1000"/>
      <c r="DUE34" s="1000"/>
      <c r="DUF34" s="1000"/>
      <c r="DUG34" s="1000"/>
      <c r="DUH34" s="1000"/>
      <c r="DUI34" s="1000"/>
      <c r="DUJ34" s="1000"/>
      <c r="DUK34" s="1000"/>
      <c r="DUL34" s="1000"/>
      <c r="DUM34" s="1000"/>
      <c r="DUN34" s="1000"/>
      <c r="DUO34" s="1000"/>
      <c r="DUP34" s="1000"/>
      <c r="DUQ34" s="1000"/>
      <c r="DUR34" s="1000"/>
      <c r="DUS34" s="1000"/>
      <c r="DUT34" s="1000"/>
      <c r="DUU34" s="1000"/>
      <c r="DUV34" s="1000"/>
      <c r="DUW34" s="1000"/>
      <c r="DUX34" s="1000"/>
      <c r="DUY34" s="1000"/>
      <c r="DUZ34" s="1000"/>
      <c r="DVA34" s="1000"/>
      <c r="DVB34" s="1000"/>
      <c r="DVC34" s="1000"/>
      <c r="DVD34" s="1000"/>
      <c r="DVE34" s="1000"/>
      <c r="DVF34" s="1000"/>
      <c r="DVG34" s="1000"/>
      <c r="DVH34" s="1000"/>
      <c r="DVI34" s="1000"/>
      <c r="DVJ34" s="1000"/>
      <c r="DVK34" s="1000"/>
      <c r="DVL34" s="1000"/>
      <c r="DVM34" s="1000"/>
      <c r="DVN34" s="1000"/>
      <c r="DVO34" s="1000"/>
      <c r="DVP34" s="1000"/>
      <c r="DVQ34" s="1000"/>
      <c r="DVR34" s="1000"/>
      <c r="DVS34" s="1000"/>
      <c r="DVT34" s="1000"/>
      <c r="DVU34" s="1000"/>
      <c r="DVV34" s="1000"/>
      <c r="DVW34" s="1000"/>
      <c r="DVX34" s="1000"/>
      <c r="DVY34" s="1000"/>
      <c r="DVZ34" s="1000"/>
      <c r="DWA34" s="1000"/>
      <c r="DWB34" s="1000"/>
      <c r="DWC34" s="1000"/>
      <c r="DWD34" s="1000"/>
      <c r="DWE34" s="1000"/>
      <c r="DWF34" s="1000"/>
      <c r="DWG34" s="1000"/>
      <c r="DWH34" s="1000"/>
      <c r="DWI34" s="1000"/>
      <c r="DWJ34" s="1000"/>
      <c r="DWK34" s="1000"/>
      <c r="DWL34" s="1000"/>
      <c r="DWM34" s="1000"/>
      <c r="DWN34" s="1000"/>
      <c r="DWO34" s="1000"/>
      <c r="DWP34" s="1000"/>
      <c r="DWQ34" s="1000"/>
      <c r="DWR34" s="1000"/>
      <c r="DWS34" s="1000"/>
      <c r="DWT34" s="1000"/>
      <c r="DWU34" s="1000"/>
      <c r="DWV34" s="1000"/>
      <c r="DWW34" s="1000"/>
      <c r="DWX34" s="1000"/>
      <c r="DWY34" s="1000"/>
      <c r="DWZ34" s="1000"/>
      <c r="DXA34" s="1000"/>
      <c r="DXB34" s="1000"/>
      <c r="DXC34" s="1000"/>
      <c r="DXD34" s="1000"/>
      <c r="DXE34" s="1000"/>
      <c r="DXF34" s="1000"/>
      <c r="DXG34" s="1000"/>
      <c r="DXH34" s="1000"/>
      <c r="DXI34" s="1000"/>
      <c r="DXJ34" s="1000"/>
      <c r="DXK34" s="1000"/>
      <c r="DXL34" s="1000"/>
      <c r="DXM34" s="1000"/>
      <c r="DXN34" s="1000"/>
      <c r="DXO34" s="1000"/>
      <c r="DXP34" s="1000"/>
      <c r="DXQ34" s="1000"/>
      <c r="DXR34" s="1000"/>
      <c r="DXS34" s="1000"/>
      <c r="DXT34" s="1000"/>
      <c r="DXU34" s="1000"/>
      <c r="DXV34" s="1000"/>
      <c r="DXW34" s="1000"/>
      <c r="DXX34" s="1000"/>
      <c r="DXY34" s="1000"/>
      <c r="DXZ34" s="1000"/>
      <c r="DYA34" s="1000"/>
      <c r="DYB34" s="1000"/>
      <c r="DYC34" s="1000"/>
      <c r="DYD34" s="1000"/>
      <c r="DYE34" s="1000"/>
      <c r="DYF34" s="1000"/>
      <c r="DYG34" s="1000"/>
      <c r="DYH34" s="1000"/>
      <c r="DYI34" s="1000"/>
      <c r="DYJ34" s="1000"/>
      <c r="DYK34" s="1000"/>
      <c r="DYL34" s="1000"/>
      <c r="DYM34" s="1000"/>
      <c r="DYN34" s="1000"/>
      <c r="DYO34" s="1000"/>
      <c r="DYP34" s="1000"/>
      <c r="DYQ34" s="1000"/>
      <c r="DYR34" s="1000"/>
      <c r="DYS34" s="1000"/>
      <c r="DYT34" s="1000"/>
      <c r="DYU34" s="1000"/>
      <c r="DYV34" s="1000"/>
      <c r="DYW34" s="1000"/>
      <c r="DYX34" s="1000"/>
      <c r="DYY34" s="1000"/>
      <c r="DYZ34" s="1000"/>
      <c r="DZA34" s="1000"/>
      <c r="DZB34" s="1000"/>
      <c r="DZC34" s="1000"/>
      <c r="DZD34" s="1000"/>
      <c r="DZE34" s="1000"/>
      <c r="DZF34" s="1000"/>
      <c r="DZG34" s="1000"/>
      <c r="DZH34" s="1000"/>
      <c r="DZI34" s="1000"/>
      <c r="DZJ34" s="1000"/>
      <c r="DZK34" s="1000"/>
      <c r="DZL34" s="1000"/>
      <c r="DZM34" s="1000"/>
      <c r="DZN34" s="1000"/>
      <c r="DZO34" s="1000"/>
      <c r="DZP34" s="1000"/>
      <c r="DZQ34" s="1000"/>
      <c r="DZR34" s="1000"/>
      <c r="DZS34" s="1000"/>
      <c r="DZT34" s="1000"/>
      <c r="DZU34" s="1000"/>
      <c r="DZV34" s="1000"/>
      <c r="DZW34" s="1000"/>
      <c r="DZX34" s="1000"/>
      <c r="DZY34" s="1000"/>
      <c r="DZZ34" s="1000"/>
      <c r="EAA34" s="1000"/>
      <c r="EAB34" s="1000"/>
      <c r="EAC34" s="1000"/>
      <c r="EAD34" s="1000"/>
      <c r="EAE34" s="1000"/>
      <c r="EAF34" s="1000"/>
      <c r="EAG34" s="1000"/>
      <c r="EAH34" s="1000"/>
      <c r="EAI34" s="1000"/>
      <c r="EAJ34" s="1000"/>
      <c r="EAK34" s="1000"/>
      <c r="EAL34" s="1000"/>
      <c r="EAM34" s="1000"/>
      <c r="EAN34" s="1000"/>
      <c r="EAO34" s="1000"/>
      <c r="EAP34" s="1000"/>
      <c r="EAQ34" s="1000"/>
      <c r="EAR34" s="1000"/>
      <c r="EAS34" s="1000"/>
      <c r="EAT34" s="1000"/>
      <c r="EAU34" s="1000"/>
      <c r="EAV34" s="1000"/>
      <c r="EAW34" s="1000"/>
      <c r="EAX34" s="1000"/>
      <c r="EAY34" s="1000"/>
      <c r="EAZ34" s="1000"/>
      <c r="EBA34" s="1000"/>
      <c r="EBB34" s="1000"/>
      <c r="EBC34" s="1000"/>
      <c r="EBD34" s="1000"/>
      <c r="EBE34" s="1000"/>
      <c r="EBF34" s="1000"/>
      <c r="EBG34" s="1000"/>
      <c r="EBH34" s="1000"/>
      <c r="EBI34" s="1000"/>
      <c r="EBJ34" s="1000"/>
      <c r="EBK34" s="1000"/>
      <c r="EBL34" s="1000"/>
      <c r="EBM34" s="1000"/>
      <c r="EBN34" s="1000"/>
      <c r="EBO34" s="1000"/>
      <c r="EBP34" s="1000"/>
      <c r="EBQ34" s="1000"/>
      <c r="EBR34" s="1000"/>
      <c r="EBS34" s="1000"/>
      <c r="EBT34" s="1000"/>
      <c r="EBU34" s="1000"/>
      <c r="EBV34" s="1000"/>
      <c r="EBW34" s="1000"/>
      <c r="EBX34" s="1000"/>
      <c r="EBY34" s="1000"/>
      <c r="EBZ34" s="1000"/>
      <c r="ECA34" s="1000"/>
      <c r="ECB34" s="1000"/>
      <c r="ECC34" s="1000"/>
      <c r="ECD34" s="1000"/>
      <c r="ECE34" s="1000"/>
      <c r="ECF34" s="1000"/>
      <c r="ECG34" s="1000"/>
      <c r="ECH34" s="1000"/>
      <c r="ECI34" s="1000"/>
      <c r="ECJ34" s="1000"/>
      <c r="ECK34" s="1000"/>
      <c r="ECL34" s="1000"/>
      <c r="ECM34" s="1000"/>
      <c r="ECN34" s="1000"/>
      <c r="ECO34" s="1000"/>
      <c r="ECP34" s="1000"/>
      <c r="ECQ34" s="1000"/>
      <c r="ECR34" s="1000"/>
      <c r="ECS34" s="1000"/>
      <c r="ECT34" s="1000"/>
      <c r="ECU34" s="1000"/>
      <c r="ECV34" s="1000"/>
      <c r="ECW34" s="1000"/>
      <c r="ECX34" s="1000"/>
      <c r="ECY34" s="1000"/>
      <c r="ECZ34" s="1000"/>
      <c r="EDA34" s="1000"/>
      <c r="EDB34" s="1000"/>
      <c r="EDC34" s="1000"/>
      <c r="EDD34" s="1000"/>
      <c r="EDE34" s="1000"/>
      <c r="EDF34" s="1000"/>
      <c r="EDG34" s="1000"/>
      <c r="EDH34" s="1000"/>
      <c r="EDI34" s="1000"/>
      <c r="EDJ34" s="1000"/>
      <c r="EDK34" s="1000"/>
      <c r="EDL34" s="1000"/>
      <c r="EDM34" s="1000"/>
      <c r="EDN34" s="1000"/>
      <c r="EDO34" s="1000"/>
      <c r="EDP34" s="1000"/>
      <c r="EDQ34" s="1000"/>
      <c r="EDR34" s="1000"/>
      <c r="EDS34" s="1000"/>
      <c r="EDT34" s="1000"/>
      <c r="EDU34" s="1000"/>
      <c r="EDV34" s="1000"/>
      <c r="EDW34" s="1000"/>
      <c r="EDX34" s="1000"/>
      <c r="EDY34" s="1000"/>
      <c r="EDZ34" s="1000"/>
      <c r="EEA34" s="1000"/>
      <c r="EEB34" s="1000"/>
      <c r="EEC34" s="1000"/>
      <c r="EED34" s="1000"/>
      <c r="EEE34" s="1000"/>
      <c r="EEF34" s="1000"/>
      <c r="EEG34" s="1000"/>
      <c r="EEH34" s="1000"/>
      <c r="EEI34" s="1000"/>
      <c r="EEJ34" s="1000"/>
      <c r="EEK34" s="1000"/>
      <c r="EEL34" s="1000"/>
      <c r="EEM34" s="1000"/>
      <c r="EEN34" s="1000"/>
      <c r="EEO34" s="1000"/>
      <c r="EEP34" s="1000"/>
      <c r="EEQ34" s="1000"/>
      <c r="EER34" s="1000"/>
      <c r="EES34" s="1000"/>
      <c r="EET34" s="1000"/>
      <c r="EEU34" s="1000"/>
      <c r="EEV34" s="1000"/>
      <c r="EEW34" s="1000"/>
      <c r="EEX34" s="1000"/>
      <c r="EEY34" s="1000"/>
      <c r="EEZ34" s="1000"/>
      <c r="EFA34" s="1000"/>
      <c r="EFB34" s="1000"/>
      <c r="EFC34" s="1000"/>
      <c r="EFD34" s="1000"/>
      <c r="EFE34" s="1000"/>
      <c r="EFF34" s="1000"/>
      <c r="EFG34" s="1000"/>
      <c r="EFH34" s="1000"/>
      <c r="EFI34" s="1000"/>
      <c r="EFJ34" s="1000"/>
      <c r="EFK34" s="1000"/>
      <c r="EFL34" s="1000"/>
      <c r="EFM34" s="1000"/>
      <c r="EFN34" s="1000"/>
      <c r="EFO34" s="1000"/>
      <c r="EFP34" s="1000"/>
      <c r="EFQ34" s="1000"/>
      <c r="EFR34" s="1000"/>
      <c r="EFS34" s="1000"/>
      <c r="EFT34" s="1000"/>
      <c r="EFU34" s="1000"/>
      <c r="EFV34" s="1000"/>
      <c r="EFW34" s="1000"/>
      <c r="EFX34" s="1000"/>
      <c r="EFY34" s="1000"/>
      <c r="EFZ34" s="1000"/>
      <c r="EGA34" s="1000"/>
      <c r="EGB34" s="1000"/>
      <c r="EGC34" s="1000"/>
      <c r="EGD34" s="1000"/>
      <c r="EGE34" s="1000"/>
      <c r="EGF34" s="1000"/>
      <c r="EGG34" s="1000"/>
      <c r="EGH34" s="1000"/>
      <c r="EGI34" s="1000"/>
      <c r="EGJ34" s="1000"/>
      <c r="EGK34" s="1000"/>
      <c r="EGL34" s="1000"/>
      <c r="EGM34" s="1000"/>
      <c r="EGN34" s="1000"/>
      <c r="EGO34" s="1000"/>
      <c r="EGP34" s="1000"/>
      <c r="EGQ34" s="1000"/>
      <c r="EGR34" s="1000"/>
      <c r="EGS34" s="1000"/>
      <c r="EGT34" s="1000"/>
      <c r="EGU34" s="1000"/>
      <c r="EGV34" s="1000"/>
      <c r="EGW34" s="1000"/>
      <c r="EGX34" s="1000"/>
      <c r="EGY34" s="1000"/>
      <c r="EGZ34" s="1000"/>
      <c r="EHA34" s="1000"/>
      <c r="EHB34" s="1000"/>
      <c r="EHC34" s="1000"/>
      <c r="EHD34" s="1000"/>
      <c r="EHE34" s="1000"/>
      <c r="EHF34" s="1000"/>
      <c r="EHG34" s="1000"/>
      <c r="EHH34" s="1000"/>
      <c r="EHI34" s="1000"/>
      <c r="EHJ34" s="1000"/>
      <c r="EHK34" s="1000"/>
      <c r="EHL34" s="1000"/>
      <c r="EHM34" s="1000"/>
      <c r="EHN34" s="1000"/>
      <c r="EHO34" s="1000"/>
      <c r="EHP34" s="1000"/>
      <c r="EHQ34" s="1000"/>
      <c r="EHR34" s="1000"/>
      <c r="EHS34" s="1000"/>
      <c r="EHT34" s="1000"/>
      <c r="EHU34" s="1000"/>
      <c r="EHV34" s="1000"/>
      <c r="EHW34" s="1000"/>
      <c r="EHX34" s="1000"/>
      <c r="EHY34" s="1000"/>
      <c r="EHZ34" s="1000"/>
      <c r="EIA34" s="1000"/>
      <c r="EIB34" s="1000"/>
      <c r="EIC34" s="1000"/>
      <c r="EID34" s="1000"/>
      <c r="EIE34" s="1000"/>
      <c r="EIF34" s="1000"/>
      <c r="EIG34" s="1000"/>
      <c r="EIH34" s="1000"/>
      <c r="EII34" s="1000"/>
      <c r="EIJ34" s="1000"/>
      <c r="EIK34" s="1000"/>
      <c r="EIL34" s="1000"/>
      <c r="EIM34" s="1000"/>
      <c r="EIN34" s="1000"/>
      <c r="EIO34" s="1000"/>
      <c r="EIP34" s="1000"/>
      <c r="EIQ34" s="1000"/>
      <c r="EIR34" s="1000"/>
      <c r="EIS34" s="1000"/>
      <c r="EIT34" s="1000"/>
      <c r="EIU34" s="1000"/>
      <c r="EIV34" s="1000"/>
      <c r="EIW34" s="1000"/>
      <c r="EIX34" s="1000"/>
      <c r="EIY34" s="1000"/>
      <c r="EIZ34" s="1000"/>
      <c r="EJA34" s="1000"/>
      <c r="EJB34" s="1000"/>
      <c r="EJC34" s="1000"/>
      <c r="EJD34" s="1000"/>
      <c r="EJE34" s="1000"/>
      <c r="EJF34" s="1000"/>
      <c r="EJG34" s="1000"/>
      <c r="EJH34" s="1000"/>
      <c r="EJI34" s="1000"/>
      <c r="EJJ34" s="1000"/>
      <c r="EJK34" s="1000"/>
      <c r="EJL34" s="1000"/>
      <c r="EJM34" s="1000"/>
      <c r="EJN34" s="1000"/>
      <c r="EJO34" s="1000"/>
      <c r="EJP34" s="1000"/>
      <c r="EJQ34" s="1000"/>
      <c r="EJR34" s="1000"/>
      <c r="EJS34" s="1000"/>
      <c r="EJT34" s="1000"/>
      <c r="EJU34" s="1000"/>
      <c r="EJV34" s="1000"/>
      <c r="EJW34" s="1000"/>
      <c r="EJX34" s="1000"/>
      <c r="EJY34" s="1000"/>
      <c r="EJZ34" s="1000"/>
      <c r="EKA34" s="1000"/>
      <c r="EKB34" s="1000"/>
      <c r="EKC34" s="1000"/>
      <c r="EKD34" s="1000"/>
      <c r="EKE34" s="1000"/>
      <c r="EKF34" s="1000"/>
      <c r="EKG34" s="1000"/>
      <c r="EKH34" s="1000"/>
      <c r="EKI34" s="1000"/>
      <c r="EKJ34" s="1000"/>
      <c r="EKK34" s="1000"/>
      <c r="EKL34" s="1000"/>
      <c r="EKM34" s="1000"/>
      <c r="EKN34" s="1000"/>
      <c r="EKO34" s="1000"/>
      <c r="EKP34" s="1000"/>
      <c r="EKQ34" s="1000"/>
      <c r="EKR34" s="1000"/>
      <c r="EKS34" s="1000"/>
      <c r="EKT34" s="1000"/>
      <c r="EKU34" s="1000"/>
      <c r="EKV34" s="1000"/>
      <c r="EKW34" s="1000"/>
      <c r="EKX34" s="1000"/>
      <c r="EKY34" s="1000"/>
      <c r="EKZ34" s="1000"/>
      <c r="ELA34" s="1000"/>
      <c r="ELB34" s="1000"/>
      <c r="ELC34" s="1000"/>
      <c r="ELD34" s="1000"/>
      <c r="ELE34" s="1000"/>
      <c r="ELF34" s="1000"/>
      <c r="ELG34" s="1000"/>
      <c r="ELH34" s="1000"/>
      <c r="ELI34" s="1000"/>
      <c r="ELJ34" s="1000"/>
      <c r="ELK34" s="1000"/>
      <c r="ELL34" s="1000"/>
      <c r="ELM34" s="1000"/>
      <c r="ELN34" s="1000"/>
      <c r="ELO34" s="1000"/>
      <c r="ELP34" s="1000"/>
      <c r="ELQ34" s="1000"/>
      <c r="ELR34" s="1000"/>
      <c r="ELS34" s="1000"/>
      <c r="ELT34" s="1000"/>
      <c r="ELU34" s="1000"/>
      <c r="ELV34" s="1000"/>
      <c r="ELW34" s="1000"/>
      <c r="ELX34" s="1000"/>
      <c r="ELY34" s="1000"/>
      <c r="ELZ34" s="1000"/>
      <c r="EMA34" s="1000"/>
      <c r="EMB34" s="1000"/>
      <c r="EMC34" s="1000"/>
      <c r="EMD34" s="1000"/>
      <c r="EME34" s="1000"/>
      <c r="EMF34" s="1000"/>
      <c r="EMG34" s="1000"/>
      <c r="EMH34" s="1000"/>
      <c r="EMI34" s="1000"/>
      <c r="EMJ34" s="1000"/>
      <c r="EMK34" s="1000"/>
      <c r="EML34" s="1000"/>
      <c r="EMM34" s="1000"/>
      <c r="EMN34" s="1000"/>
      <c r="EMO34" s="1000"/>
      <c r="EMP34" s="1000"/>
      <c r="EMQ34" s="1000"/>
      <c r="EMR34" s="1000"/>
      <c r="EMS34" s="1000"/>
      <c r="EMT34" s="1000"/>
      <c r="EMU34" s="1000"/>
      <c r="EMV34" s="1000"/>
      <c r="EMW34" s="1000"/>
      <c r="EMX34" s="1000"/>
      <c r="EMY34" s="1000"/>
      <c r="EMZ34" s="1000"/>
      <c r="ENA34" s="1000"/>
      <c r="ENB34" s="1000"/>
      <c r="ENC34" s="1000"/>
      <c r="END34" s="1000"/>
      <c r="ENE34" s="1000"/>
      <c r="ENF34" s="1000"/>
      <c r="ENG34" s="1000"/>
      <c r="ENH34" s="1000"/>
      <c r="ENI34" s="1000"/>
      <c r="ENJ34" s="1000"/>
      <c r="ENK34" s="1000"/>
      <c r="ENL34" s="1000"/>
      <c r="ENM34" s="1000"/>
      <c r="ENN34" s="1000"/>
      <c r="ENO34" s="1000"/>
      <c r="ENP34" s="1000"/>
      <c r="ENQ34" s="1000"/>
      <c r="ENR34" s="1000"/>
      <c r="ENS34" s="1000"/>
      <c r="ENT34" s="1000"/>
      <c r="ENU34" s="1000"/>
      <c r="ENV34" s="1000"/>
      <c r="ENW34" s="1000"/>
      <c r="ENX34" s="1000"/>
      <c r="ENY34" s="1000"/>
      <c r="ENZ34" s="1000"/>
      <c r="EOA34" s="1000"/>
      <c r="EOB34" s="1000"/>
      <c r="EOC34" s="1000"/>
      <c r="EOD34" s="1000"/>
      <c r="EOE34" s="1000"/>
      <c r="EOF34" s="1000"/>
      <c r="EOG34" s="1000"/>
      <c r="EOH34" s="1000"/>
      <c r="EOI34" s="1000"/>
      <c r="EOJ34" s="1000"/>
      <c r="EOK34" s="1000"/>
      <c r="EOL34" s="1000"/>
      <c r="EOM34" s="1000"/>
      <c r="EON34" s="1000"/>
      <c r="EOO34" s="1000"/>
      <c r="EOP34" s="1000"/>
      <c r="EOQ34" s="1000"/>
      <c r="EOR34" s="1000"/>
      <c r="EOS34" s="1000"/>
      <c r="EOT34" s="1000"/>
      <c r="EOU34" s="1000"/>
      <c r="EOV34" s="1000"/>
      <c r="EOW34" s="1000"/>
      <c r="EOX34" s="1000"/>
      <c r="EOY34" s="1000"/>
      <c r="EOZ34" s="1000"/>
      <c r="EPA34" s="1000"/>
      <c r="EPB34" s="1000"/>
      <c r="EPC34" s="1000"/>
      <c r="EPD34" s="1000"/>
      <c r="EPE34" s="1000"/>
      <c r="EPF34" s="1000"/>
      <c r="EPG34" s="1000"/>
      <c r="EPH34" s="1000"/>
      <c r="EPI34" s="1000"/>
      <c r="EPJ34" s="1000"/>
      <c r="EPK34" s="1000"/>
      <c r="EPL34" s="1000"/>
      <c r="EPM34" s="1000"/>
      <c r="EPN34" s="1000"/>
      <c r="EPO34" s="1000"/>
      <c r="EPP34" s="1000"/>
      <c r="EPQ34" s="1000"/>
      <c r="EPR34" s="1000"/>
      <c r="EPS34" s="1000"/>
      <c r="EPT34" s="1000"/>
      <c r="EPU34" s="1000"/>
      <c r="EPV34" s="1000"/>
      <c r="EPW34" s="1000"/>
      <c r="EPX34" s="1000"/>
      <c r="EPY34" s="1000"/>
      <c r="EPZ34" s="1000"/>
      <c r="EQA34" s="1000"/>
      <c r="EQB34" s="1000"/>
      <c r="EQC34" s="1000"/>
      <c r="EQD34" s="1000"/>
      <c r="EQE34" s="1000"/>
      <c r="EQF34" s="1000"/>
      <c r="EQG34" s="1000"/>
      <c r="EQH34" s="1000"/>
      <c r="EQI34" s="1000"/>
      <c r="EQJ34" s="1000"/>
      <c r="EQK34" s="1000"/>
      <c r="EQL34" s="1000"/>
      <c r="EQM34" s="1000"/>
      <c r="EQN34" s="1000"/>
      <c r="EQO34" s="1000"/>
      <c r="EQP34" s="1000"/>
      <c r="EQQ34" s="1000"/>
      <c r="EQR34" s="1000"/>
      <c r="EQS34" s="1000"/>
      <c r="EQT34" s="1000"/>
      <c r="EQU34" s="1000"/>
      <c r="EQV34" s="1000"/>
      <c r="EQW34" s="1000"/>
      <c r="EQX34" s="1000"/>
      <c r="EQY34" s="1000"/>
      <c r="EQZ34" s="1000"/>
      <c r="ERA34" s="1000"/>
      <c r="ERB34" s="1000"/>
      <c r="ERC34" s="1000"/>
      <c r="ERD34" s="1000"/>
      <c r="ERE34" s="1000"/>
      <c r="ERF34" s="1000"/>
      <c r="ERG34" s="1000"/>
      <c r="ERH34" s="1000"/>
      <c r="ERI34" s="1000"/>
      <c r="ERJ34" s="1000"/>
      <c r="ERK34" s="1000"/>
      <c r="ERL34" s="1000"/>
      <c r="ERM34" s="1000"/>
      <c r="ERN34" s="1000"/>
      <c r="ERO34" s="1000"/>
      <c r="ERP34" s="1000"/>
      <c r="ERQ34" s="1000"/>
      <c r="ERR34" s="1000"/>
      <c r="ERS34" s="1000"/>
      <c r="ERT34" s="1000"/>
      <c r="ERU34" s="1000"/>
      <c r="ERV34" s="1000"/>
      <c r="ERW34" s="1000"/>
      <c r="ERX34" s="1000"/>
      <c r="ERY34" s="1000"/>
      <c r="ERZ34" s="1000"/>
      <c r="ESA34" s="1000"/>
      <c r="ESB34" s="1000"/>
      <c r="ESC34" s="1000"/>
      <c r="ESD34" s="1000"/>
      <c r="ESE34" s="1000"/>
      <c r="ESF34" s="1000"/>
      <c r="ESG34" s="1000"/>
      <c r="ESH34" s="1000"/>
      <c r="ESI34" s="1000"/>
      <c r="ESJ34" s="1000"/>
      <c r="ESK34" s="1000"/>
      <c r="ESL34" s="1000"/>
      <c r="ESM34" s="1000"/>
      <c r="ESN34" s="1000"/>
      <c r="ESO34" s="1000"/>
      <c r="ESP34" s="1000"/>
      <c r="ESQ34" s="1000"/>
      <c r="ESR34" s="1000"/>
      <c r="ESS34" s="1000"/>
      <c r="EST34" s="1000"/>
      <c r="ESU34" s="1000"/>
      <c r="ESV34" s="1000"/>
      <c r="ESW34" s="1000"/>
      <c r="ESX34" s="1000"/>
      <c r="ESY34" s="1000"/>
      <c r="ESZ34" s="1000"/>
      <c r="ETA34" s="1000"/>
      <c r="ETB34" s="1000"/>
      <c r="ETC34" s="1000"/>
      <c r="ETD34" s="1000"/>
      <c r="ETE34" s="1000"/>
      <c r="ETF34" s="1000"/>
      <c r="ETG34" s="1000"/>
      <c r="ETH34" s="1000"/>
      <c r="ETI34" s="1000"/>
      <c r="ETJ34" s="1000"/>
      <c r="ETK34" s="1000"/>
      <c r="ETL34" s="1000"/>
      <c r="ETM34" s="1000"/>
      <c r="ETN34" s="1000"/>
      <c r="ETO34" s="1000"/>
      <c r="ETP34" s="1000"/>
      <c r="ETQ34" s="1000"/>
      <c r="ETR34" s="1000"/>
      <c r="ETS34" s="1000"/>
      <c r="ETT34" s="1000"/>
      <c r="ETU34" s="1000"/>
      <c r="ETV34" s="1000"/>
      <c r="ETW34" s="1000"/>
      <c r="ETX34" s="1000"/>
      <c r="ETY34" s="1000"/>
      <c r="ETZ34" s="1000"/>
      <c r="EUA34" s="1000"/>
      <c r="EUB34" s="1000"/>
      <c r="EUC34" s="1000"/>
      <c r="EUD34" s="1000"/>
      <c r="EUE34" s="1000"/>
      <c r="EUF34" s="1000"/>
      <c r="EUG34" s="1000"/>
      <c r="EUH34" s="1000"/>
      <c r="EUI34" s="1000"/>
      <c r="EUJ34" s="1000"/>
      <c r="EUK34" s="1000"/>
      <c r="EUL34" s="1000"/>
      <c r="EUM34" s="1000"/>
      <c r="EUN34" s="1000"/>
      <c r="EUO34" s="1000"/>
      <c r="EUP34" s="1000"/>
      <c r="EUQ34" s="1000"/>
      <c r="EUR34" s="1000"/>
      <c r="EUS34" s="1000"/>
      <c r="EUT34" s="1000"/>
      <c r="EUU34" s="1000"/>
      <c r="EUV34" s="1000"/>
      <c r="EUW34" s="1000"/>
      <c r="EUX34" s="1000"/>
      <c r="EUY34" s="1000"/>
      <c r="EUZ34" s="1000"/>
      <c r="EVA34" s="1000"/>
      <c r="EVB34" s="1000"/>
      <c r="EVC34" s="1000"/>
      <c r="EVD34" s="1000"/>
      <c r="EVE34" s="1000"/>
      <c r="EVF34" s="1000"/>
      <c r="EVG34" s="1000"/>
      <c r="EVH34" s="1000"/>
      <c r="EVI34" s="1000"/>
      <c r="EVJ34" s="1000"/>
      <c r="EVK34" s="1000"/>
      <c r="EVL34" s="1000"/>
      <c r="EVM34" s="1000"/>
      <c r="EVN34" s="1000"/>
      <c r="EVO34" s="1000"/>
      <c r="EVP34" s="1000"/>
      <c r="EVQ34" s="1000"/>
      <c r="EVR34" s="1000"/>
      <c r="EVS34" s="1000"/>
      <c r="EVT34" s="1000"/>
      <c r="EVU34" s="1000"/>
      <c r="EVV34" s="1000"/>
      <c r="EVW34" s="1000"/>
      <c r="EVX34" s="1000"/>
      <c r="EVY34" s="1000"/>
      <c r="EVZ34" s="1000"/>
      <c r="EWA34" s="1000"/>
      <c r="EWB34" s="1000"/>
      <c r="EWC34" s="1000"/>
      <c r="EWD34" s="1000"/>
      <c r="EWE34" s="1000"/>
      <c r="EWF34" s="1000"/>
      <c r="EWG34" s="1000"/>
      <c r="EWH34" s="1000"/>
      <c r="EWI34" s="1000"/>
      <c r="EWJ34" s="1000"/>
      <c r="EWK34" s="1000"/>
      <c r="EWL34" s="1000"/>
      <c r="EWM34" s="1000"/>
      <c r="EWN34" s="1000"/>
      <c r="EWO34" s="1000"/>
      <c r="EWP34" s="1000"/>
      <c r="EWQ34" s="1000"/>
      <c r="EWR34" s="1000"/>
      <c r="EWS34" s="1000"/>
      <c r="EWT34" s="1000"/>
      <c r="EWU34" s="1000"/>
      <c r="EWV34" s="1000"/>
      <c r="EWW34" s="1000"/>
      <c r="EWX34" s="1000"/>
      <c r="EWY34" s="1000"/>
      <c r="EWZ34" s="1000"/>
      <c r="EXA34" s="1000"/>
      <c r="EXB34" s="1000"/>
      <c r="EXC34" s="1000"/>
      <c r="EXD34" s="1000"/>
      <c r="EXE34" s="1000"/>
      <c r="EXF34" s="1000"/>
      <c r="EXG34" s="1000"/>
      <c r="EXH34" s="1000"/>
      <c r="EXI34" s="1000"/>
      <c r="EXJ34" s="1000"/>
      <c r="EXK34" s="1000"/>
      <c r="EXL34" s="1000"/>
      <c r="EXM34" s="1000"/>
      <c r="EXN34" s="1000"/>
      <c r="EXO34" s="1000"/>
      <c r="EXP34" s="1000"/>
      <c r="EXQ34" s="1000"/>
      <c r="EXR34" s="1000"/>
      <c r="EXS34" s="1000"/>
      <c r="EXT34" s="1000"/>
      <c r="EXU34" s="1000"/>
      <c r="EXV34" s="1000"/>
      <c r="EXW34" s="1000"/>
      <c r="EXX34" s="1000"/>
      <c r="EXY34" s="1000"/>
      <c r="EXZ34" s="1000"/>
      <c r="EYA34" s="1000"/>
      <c r="EYB34" s="1000"/>
      <c r="EYC34" s="1000"/>
      <c r="EYD34" s="1000"/>
      <c r="EYE34" s="1000"/>
      <c r="EYF34" s="1000"/>
      <c r="EYG34" s="1000"/>
      <c r="EYH34" s="1000"/>
      <c r="EYI34" s="1000"/>
      <c r="EYJ34" s="1000"/>
      <c r="EYK34" s="1000"/>
      <c r="EYL34" s="1000"/>
      <c r="EYM34" s="1000"/>
      <c r="EYN34" s="1000"/>
      <c r="EYO34" s="1000"/>
      <c r="EYP34" s="1000"/>
      <c r="EYQ34" s="1000"/>
      <c r="EYR34" s="1000"/>
      <c r="EYS34" s="1000"/>
      <c r="EYT34" s="1000"/>
      <c r="EYU34" s="1000"/>
      <c r="EYV34" s="1000"/>
      <c r="EYW34" s="1000"/>
      <c r="EYX34" s="1000"/>
      <c r="EYY34" s="1000"/>
      <c r="EYZ34" s="1000"/>
      <c r="EZA34" s="1000"/>
      <c r="EZB34" s="1000"/>
      <c r="EZC34" s="1000"/>
      <c r="EZD34" s="1000"/>
      <c r="EZE34" s="1000"/>
      <c r="EZF34" s="1000"/>
      <c r="EZG34" s="1000"/>
      <c r="EZH34" s="1000"/>
      <c r="EZI34" s="1000"/>
      <c r="EZJ34" s="1000"/>
      <c r="EZK34" s="1000"/>
      <c r="EZL34" s="1000"/>
      <c r="EZM34" s="1000"/>
      <c r="EZN34" s="1000"/>
      <c r="EZO34" s="1000"/>
      <c r="EZP34" s="1000"/>
      <c r="EZQ34" s="1000"/>
      <c r="EZR34" s="1000"/>
      <c r="EZS34" s="1000"/>
      <c r="EZT34" s="1000"/>
      <c r="EZU34" s="1000"/>
      <c r="EZV34" s="1000"/>
      <c r="EZW34" s="1000"/>
      <c r="EZX34" s="1000"/>
      <c r="EZY34" s="1000"/>
      <c r="EZZ34" s="1000"/>
      <c r="FAA34" s="1000"/>
      <c r="FAB34" s="1000"/>
      <c r="FAC34" s="1000"/>
      <c r="FAD34" s="1000"/>
      <c r="FAE34" s="1000"/>
      <c r="FAF34" s="1000"/>
      <c r="FAG34" s="1000"/>
      <c r="FAH34" s="1000"/>
      <c r="FAI34" s="1000"/>
      <c r="FAJ34" s="1000"/>
      <c r="FAK34" s="1000"/>
      <c r="FAL34" s="1000"/>
      <c r="FAM34" s="1000"/>
      <c r="FAN34" s="1000"/>
      <c r="FAO34" s="1000"/>
      <c r="FAP34" s="1000"/>
      <c r="FAQ34" s="1000"/>
      <c r="FAR34" s="1000"/>
      <c r="FAS34" s="1000"/>
      <c r="FAT34" s="1000"/>
      <c r="FAU34" s="1000"/>
      <c r="FAV34" s="1000"/>
      <c r="FAW34" s="1000"/>
      <c r="FAX34" s="1000"/>
      <c r="FAY34" s="1000"/>
      <c r="FAZ34" s="1000"/>
      <c r="FBA34" s="1000"/>
      <c r="FBB34" s="1000"/>
      <c r="FBC34" s="1000"/>
      <c r="FBD34" s="1000"/>
      <c r="FBE34" s="1000"/>
      <c r="FBF34" s="1000"/>
      <c r="FBG34" s="1000"/>
      <c r="FBH34" s="1000"/>
      <c r="FBI34" s="1000"/>
      <c r="FBJ34" s="1000"/>
      <c r="FBK34" s="1000"/>
      <c r="FBL34" s="1000"/>
      <c r="FBM34" s="1000"/>
      <c r="FBN34" s="1000"/>
      <c r="FBO34" s="1000"/>
      <c r="FBP34" s="1000"/>
      <c r="FBQ34" s="1000"/>
      <c r="FBR34" s="1000"/>
      <c r="FBS34" s="1000"/>
      <c r="FBT34" s="1000"/>
      <c r="FBU34" s="1000"/>
      <c r="FBV34" s="1000"/>
      <c r="FBW34" s="1000"/>
      <c r="FBX34" s="1000"/>
      <c r="FBY34" s="1000"/>
      <c r="FBZ34" s="1000"/>
      <c r="FCA34" s="1000"/>
      <c r="FCB34" s="1000"/>
      <c r="FCC34" s="1000"/>
      <c r="FCD34" s="1000"/>
      <c r="FCE34" s="1000"/>
      <c r="FCF34" s="1000"/>
      <c r="FCG34" s="1000"/>
      <c r="FCH34" s="1000"/>
      <c r="FCI34" s="1000"/>
      <c r="FCJ34" s="1000"/>
      <c r="FCK34" s="1000"/>
      <c r="FCL34" s="1000"/>
      <c r="FCM34" s="1000"/>
      <c r="FCN34" s="1000"/>
      <c r="FCO34" s="1000"/>
      <c r="FCP34" s="1000"/>
      <c r="FCQ34" s="1000"/>
      <c r="FCR34" s="1000"/>
      <c r="FCS34" s="1000"/>
      <c r="FCT34" s="1000"/>
      <c r="FCU34" s="1000"/>
      <c r="FCV34" s="1000"/>
      <c r="FCW34" s="1000"/>
      <c r="FCX34" s="1000"/>
      <c r="FCY34" s="1000"/>
      <c r="FCZ34" s="1000"/>
      <c r="FDA34" s="1000"/>
      <c r="FDB34" s="1000"/>
      <c r="FDC34" s="1000"/>
      <c r="FDD34" s="1000"/>
      <c r="FDE34" s="1000"/>
      <c r="FDF34" s="1000"/>
      <c r="FDG34" s="1000"/>
      <c r="FDH34" s="1000"/>
      <c r="FDI34" s="1000"/>
      <c r="FDJ34" s="1000"/>
      <c r="FDK34" s="1000"/>
      <c r="FDL34" s="1000"/>
      <c r="FDM34" s="1000"/>
      <c r="FDN34" s="1000"/>
      <c r="FDO34" s="1000"/>
      <c r="FDP34" s="1000"/>
      <c r="FDQ34" s="1000"/>
      <c r="FDR34" s="1000"/>
      <c r="FDS34" s="1000"/>
      <c r="FDT34" s="1000"/>
      <c r="FDU34" s="1000"/>
      <c r="FDV34" s="1000"/>
      <c r="FDW34" s="1000"/>
      <c r="FDX34" s="1000"/>
      <c r="FDY34" s="1000"/>
      <c r="FDZ34" s="1000"/>
      <c r="FEA34" s="1000"/>
      <c r="FEB34" s="1000"/>
      <c r="FEC34" s="1000"/>
      <c r="FED34" s="1000"/>
      <c r="FEE34" s="1000"/>
      <c r="FEF34" s="1000"/>
      <c r="FEG34" s="1000"/>
      <c r="FEH34" s="1000"/>
      <c r="FEI34" s="1000"/>
      <c r="FEJ34" s="1000"/>
      <c r="FEK34" s="1000"/>
      <c r="FEL34" s="1000"/>
      <c r="FEM34" s="1000"/>
      <c r="FEN34" s="1000"/>
      <c r="FEO34" s="1000"/>
      <c r="FEP34" s="1000"/>
      <c r="FEQ34" s="1000"/>
      <c r="FER34" s="1000"/>
      <c r="FES34" s="1000"/>
      <c r="FET34" s="1000"/>
      <c r="FEU34" s="1000"/>
      <c r="FEV34" s="1000"/>
      <c r="FEW34" s="1000"/>
      <c r="FEX34" s="1000"/>
      <c r="FEY34" s="1000"/>
      <c r="FEZ34" s="1000"/>
      <c r="FFA34" s="1000"/>
      <c r="FFB34" s="1000"/>
      <c r="FFC34" s="1000"/>
      <c r="FFD34" s="1000"/>
      <c r="FFE34" s="1000"/>
      <c r="FFF34" s="1000"/>
      <c r="FFG34" s="1000"/>
      <c r="FFH34" s="1000"/>
      <c r="FFI34" s="1000"/>
      <c r="FFJ34" s="1000"/>
      <c r="FFK34" s="1000"/>
      <c r="FFL34" s="1000"/>
      <c r="FFM34" s="1000"/>
      <c r="FFN34" s="1000"/>
      <c r="FFO34" s="1000"/>
      <c r="FFP34" s="1000"/>
      <c r="FFQ34" s="1000"/>
      <c r="FFR34" s="1000"/>
      <c r="FFS34" s="1000"/>
      <c r="FFT34" s="1000"/>
      <c r="FFU34" s="1000"/>
      <c r="FFV34" s="1000"/>
      <c r="FFW34" s="1000"/>
      <c r="FFX34" s="1000"/>
      <c r="FFY34" s="1000"/>
      <c r="FFZ34" s="1000"/>
      <c r="FGA34" s="1000"/>
      <c r="FGB34" s="1000"/>
      <c r="FGC34" s="1000"/>
      <c r="FGD34" s="1000"/>
      <c r="FGE34" s="1000"/>
      <c r="FGF34" s="1000"/>
      <c r="FGG34" s="1000"/>
      <c r="FGH34" s="1000"/>
      <c r="FGI34" s="1000"/>
      <c r="FGJ34" s="1000"/>
      <c r="FGK34" s="1000"/>
      <c r="FGL34" s="1000"/>
      <c r="FGM34" s="1000"/>
      <c r="FGN34" s="1000"/>
      <c r="FGO34" s="1000"/>
      <c r="FGP34" s="1000"/>
      <c r="FGQ34" s="1000"/>
      <c r="FGR34" s="1000"/>
      <c r="FGS34" s="1000"/>
      <c r="FGT34" s="1000"/>
      <c r="FGU34" s="1000"/>
      <c r="FGV34" s="1000"/>
      <c r="FGW34" s="1000"/>
      <c r="FGX34" s="1000"/>
      <c r="FGY34" s="1000"/>
      <c r="FGZ34" s="1000"/>
      <c r="FHA34" s="1000"/>
      <c r="FHB34" s="1000"/>
      <c r="FHC34" s="1000"/>
      <c r="FHD34" s="1000"/>
      <c r="FHE34" s="1000"/>
      <c r="FHF34" s="1000"/>
      <c r="FHG34" s="1000"/>
      <c r="FHH34" s="1000"/>
      <c r="FHI34" s="1000"/>
      <c r="FHJ34" s="1000"/>
      <c r="FHK34" s="1000"/>
      <c r="FHL34" s="1000"/>
      <c r="FHM34" s="1000"/>
      <c r="FHN34" s="1000"/>
      <c r="FHO34" s="1000"/>
      <c r="FHP34" s="1000"/>
      <c r="FHQ34" s="1000"/>
      <c r="FHR34" s="1000"/>
      <c r="FHS34" s="1000"/>
      <c r="FHT34" s="1000"/>
      <c r="FHU34" s="1000"/>
      <c r="FHV34" s="1000"/>
      <c r="FHW34" s="1000"/>
      <c r="FHX34" s="1000"/>
      <c r="FHY34" s="1000"/>
      <c r="FHZ34" s="1000"/>
      <c r="FIA34" s="1000"/>
      <c r="FIB34" s="1000"/>
      <c r="FIC34" s="1000"/>
      <c r="FID34" s="1000"/>
      <c r="FIE34" s="1000"/>
      <c r="FIF34" s="1000"/>
      <c r="FIG34" s="1000"/>
      <c r="FIH34" s="1000"/>
      <c r="FII34" s="1000"/>
      <c r="FIJ34" s="1000"/>
      <c r="FIK34" s="1000"/>
      <c r="FIL34" s="1000"/>
      <c r="FIM34" s="1000"/>
      <c r="FIN34" s="1000"/>
      <c r="FIO34" s="1000"/>
      <c r="FIP34" s="1000"/>
      <c r="FIQ34" s="1000"/>
      <c r="FIR34" s="1000"/>
      <c r="FIS34" s="1000"/>
      <c r="FIT34" s="1000"/>
      <c r="FIU34" s="1000"/>
      <c r="FIV34" s="1000"/>
      <c r="FIW34" s="1000"/>
      <c r="FIX34" s="1000"/>
      <c r="FIY34" s="1000"/>
      <c r="FIZ34" s="1000"/>
      <c r="FJA34" s="1000"/>
      <c r="FJB34" s="1000"/>
      <c r="FJC34" s="1000"/>
      <c r="FJD34" s="1000"/>
      <c r="FJE34" s="1000"/>
      <c r="FJF34" s="1000"/>
      <c r="FJG34" s="1000"/>
      <c r="FJH34" s="1000"/>
      <c r="FJI34" s="1000"/>
      <c r="FJJ34" s="1000"/>
      <c r="FJK34" s="1000"/>
      <c r="FJL34" s="1000"/>
      <c r="FJM34" s="1000"/>
      <c r="FJN34" s="1000"/>
      <c r="FJO34" s="1000"/>
      <c r="FJP34" s="1000"/>
      <c r="FJQ34" s="1000"/>
      <c r="FJR34" s="1000"/>
      <c r="FJS34" s="1000"/>
      <c r="FJT34" s="1000"/>
      <c r="FJU34" s="1000"/>
      <c r="FJV34" s="1000"/>
      <c r="FJW34" s="1000"/>
      <c r="FJX34" s="1000"/>
      <c r="FJY34" s="1000"/>
      <c r="FJZ34" s="1000"/>
      <c r="FKA34" s="1000"/>
      <c r="FKB34" s="1000"/>
      <c r="FKC34" s="1000"/>
      <c r="FKD34" s="1000"/>
      <c r="FKE34" s="1000"/>
      <c r="FKF34" s="1000"/>
      <c r="FKG34" s="1000"/>
      <c r="FKH34" s="1000"/>
      <c r="FKI34" s="1000"/>
      <c r="FKJ34" s="1000"/>
      <c r="FKK34" s="1000"/>
      <c r="FKL34" s="1000"/>
      <c r="FKM34" s="1000"/>
      <c r="FKN34" s="1000"/>
      <c r="FKO34" s="1000"/>
      <c r="FKP34" s="1000"/>
      <c r="FKQ34" s="1000"/>
      <c r="FKR34" s="1000"/>
      <c r="FKS34" s="1000"/>
      <c r="FKT34" s="1000"/>
      <c r="FKU34" s="1000"/>
      <c r="FKV34" s="1000"/>
      <c r="FKW34" s="1000"/>
      <c r="FKX34" s="1000"/>
      <c r="FKY34" s="1000"/>
      <c r="FKZ34" s="1000"/>
      <c r="FLA34" s="1000"/>
      <c r="FLB34" s="1000"/>
      <c r="FLC34" s="1000"/>
      <c r="FLD34" s="1000"/>
      <c r="FLE34" s="1000"/>
      <c r="FLF34" s="1000"/>
      <c r="FLG34" s="1000"/>
      <c r="FLH34" s="1000"/>
      <c r="FLI34" s="1000"/>
      <c r="FLJ34" s="1000"/>
      <c r="FLK34" s="1000"/>
      <c r="FLL34" s="1000"/>
      <c r="FLM34" s="1000"/>
      <c r="FLN34" s="1000"/>
      <c r="FLO34" s="1000"/>
      <c r="FLP34" s="1000"/>
      <c r="FLQ34" s="1000"/>
      <c r="FLR34" s="1000"/>
      <c r="FLS34" s="1000"/>
      <c r="FLT34" s="1000"/>
      <c r="FLU34" s="1000"/>
      <c r="FLV34" s="1000"/>
      <c r="FLW34" s="1000"/>
      <c r="FLX34" s="1000"/>
      <c r="FLY34" s="1000"/>
      <c r="FLZ34" s="1000"/>
      <c r="FMA34" s="1000"/>
      <c r="FMB34" s="1000"/>
      <c r="FMC34" s="1000"/>
      <c r="FMD34" s="1000"/>
      <c r="FME34" s="1000"/>
      <c r="FMF34" s="1000"/>
      <c r="FMG34" s="1000"/>
      <c r="FMH34" s="1000"/>
      <c r="FMI34" s="1000"/>
      <c r="FMJ34" s="1000"/>
      <c r="FMK34" s="1000"/>
      <c r="FML34" s="1000"/>
      <c r="FMM34" s="1000"/>
      <c r="FMN34" s="1000"/>
      <c r="FMO34" s="1000"/>
      <c r="FMP34" s="1000"/>
      <c r="FMQ34" s="1000"/>
      <c r="FMR34" s="1000"/>
      <c r="FMS34" s="1000"/>
      <c r="FMT34" s="1000"/>
      <c r="FMU34" s="1000"/>
      <c r="FMV34" s="1000"/>
      <c r="FMW34" s="1000"/>
      <c r="FMX34" s="1000"/>
      <c r="FMY34" s="1000"/>
      <c r="FMZ34" s="1000"/>
      <c r="FNA34" s="1000"/>
      <c r="FNB34" s="1000"/>
      <c r="FNC34" s="1000"/>
      <c r="FND34" s="1000"/>
      <c r="FNE34" s="1000"/>
      <c r="FNF34" s="1000"/>
      <c r="FNG34" s="1000"/>
      <c r="FNH34" s="1000"/>
      <c r="FNI34" s="1000"/>
      <c r="FNJ34" s="1000"/>
      <c r="FNK34" s="1000"/>
      <c r="FNL34" s="1000"/>
      <c r="FNM34" s="1000"/>
      <c r="FNN34" s="1000"/>
      <c r="FNO34" s="1000"/>
      <c r="FNP34" s="1000"/>
      <c r="FNQ34" s="1000"/>
      <c r="FNR34" s="1000"/>
      <c r="FNS34" s="1000"/>
      <c r="FNT34" s="1000"/>
      <c r="FNU34" s="1000"/>
      <c r="FNV34" s="1000"/>
      <c r="FNW34" s="1000"/>
      <c r="FNX34" s="1000"/>
      <c r="FNY34" s="1000"/>
      <c r="FNZ34" s="1000"/>
      <c r="FOA34" s="1000"/>
      <c r="FOB34" s="1000"/>
      <c r="FOC34" s="1000"/>
      <c r="FOD34" s="1000"/>
      <c r="FOE34" s="1000"/>
      <c r="FOF34" s="1000"/>
      <c r="FOG34" s="1000"/>
      <c r="FOH34" s="1000"/>
      <c r="FOI34" s="1000"/>
      <c r="FOJ34" s="1000"/>
      <c r="FOK34" s="1000"/>
      <c r="FOL34" s="1000"/>
      <c r="FOM34" s="1000"/>
      <c r="FON34" s="1000"/>
      <c r="FOO34" s="1000"/>
      <c r="FOP34" s="1000"/>
      <c r="FOQ34" s="1000"/>
      <c r="FOR34" s="1000"/>
      <c r="FOS34" s="1000"/>
      <c r="FOT34" s="1000"/>
      <c r="FOU34" s="1000"/>
      <c r="FOV34" s="1000"/>
      <c r="FOW34" s="1000"/>
      <c r="FOX34" s="1000"/>
      <c r="FOY34" s="1000"/>
      <c r="FOZ34" s="1000"/>
      <c r="FPA34" s="1000"/>
      <c r="FPB34" s="1000"/>
      <c r="FPC34" s="1000"/>
      <c r="FPD34" s="1000"/>
      <c r="FPE34" s="1000"/>
      <c r="FPF34" s="1000"/>
      <c r="FPG34" s="1000"/>
      <c r="FPH34" s="1000"/>
      <c r="FPI34" s="1000"/>
      <c r="FPJ34" s="1000"/>
      <c r="FPK34" s="1000"/>
      <c r="FPL34" s="1000"/>
      <c r="FPM34" s="1000"/>
      <c r="FPN34" s="1000"/>
      <c r="FPO34" s="1000"/>
      <c r="FPP34" s="1000"/>
      <c r="FPQ34" s="1000"/>
      <c r="FPR34" s="1000"/>
      <c r="FPS34" s="1000"/>
      <c r="FPT34" s="1000"/>
      <c r="FPU34" s="1000"/>
      <c r="FPV34" s="1000"/>
      <c r="FPW34" s="1000"/>
      <c r="FPX34" s="1000"/>
      <c r="FPY34" s="1000"/>
      <c r="FPZ34" s="1000"/>
      <c r="FQA34" s="1000"/>
      <c r="FQB34" s="1000"/>
      <c r="FQC34" s="1000"/>
      <c r="FQD34" s="1000"/>
      <c r="FQE34" s="1000"/>
      <c r="FQF34" s="1000"/>
      <c r="FQG34" s="1000"/>
      <c r="FQH34" s="1000"/>
      <c r="FQI34" s="1000"/>
      <c r="FQJ34" s="1000"/>
      <c r="FQK34" s="1000"/>
      <c r="FQL34" s="1000"/>
      <c r="FQM34" s="1000"/>
      <c r="FQN34" s="1000"/>
      <c r="FQO34" s="1000"/>
      <c r="FQP34" s="1000"/>
      <c r="FQQ34" s="1000"/>
      <c r="FQR34" s="1000"/>
      <c r="FQS34" s="1000"/>
      <c r="FQT34" s="1000"/>
      <c r="FQU34" s="1000"/>
      <c r="FQV34" s="1000"/>
      <c r="FQW34" s="1000"/>
      <c r="FQX34" s="1000"/>
      <c r="FQY34" s="1000"/>
      <c r="FQZ34" s="1000"/>
      <c r="FRA34" s="1000"/>
      <c r="FRB34" s="1000"/>
      <c r="FRC34" s="1000"/>
      <c r="FRD34" s="1000"/>
      <c r="FRE34" s="1000"/>
      <c r="FRF34" s="1000"/>
      <c r="FRG34" s="1000"/>
      <c r="FRH34" s="1000"/>
      <c r="FRI34" s="1000"/>
      <c r="FRJ34" s="1000"/>
      <c r="FRK34" s="1000"/>
      <c r="FRL34" s="1000"/>
      <c r="FRM34" s="1000"/>
      <c r="FRN34" s="1000"/>
      <c r="FRO34" s="1000"/>
      <c r="FRP34" s="1000"/>
      <c r="FRQ34" s="1000"/>
      <c r="FRR34" s="1000"/>
      <c r="FRS34" s="1000"/>
      <c r="FRT34" s="1000"/>
      <c r="FRU34" s="1000"/>
      <c r="FRV34" s="1000"/>
      <c r="FRW34" s="1000"/>
      <c r="FRX34" s="1000"/>
      <c r="FRY34" s="1000"/>
      <c r="FRZ34" s="1000"/>
      <c r="FSA34" s="1000"/>
      <c r="FSB34" s="1000"/>
      <c r="FSC34" s="1000"/>
      <c r="FSD34" s="1000"/>
      <c r="FSE34" s="1000"/>
      <c r="FSF34" s="1000"/>
      <c r="FSG34" s="1000"/>
      <c r="FSH34" s="1000"/>
      <c r="FSI34" s="1000"/>
      <c r="FSJ34" s="1000"/>
      <c r="FSK34" s="1000"/>
      <c r="FSL34" s="1000"/>
      <c r="FSM34" s="1000"/>
      <c r="FSN34" s="1000"/>
      <c r="FSO34" s="1000"/>
      <c r="FSP34" s="1000"/>
      <c r="FSQ34" s="1000"/>
      <c r="FSR34" s="1000"/>
      <c r="FSS34" s="1000"/>
      <c r="FST34" s="1000"/>
      <c r="FSU34" s="1000"/>
      <c r="FSV34" s="1000"/>
      <c r="FSW34" s="1000"/>
      <c r="FSX34" s="1000"/>
      <c r="FSY34" s="1000"/>
      <c r="FSZ34" s="1000"/>
      <c r="FTA34" s="1000"/>
      <c r="FTB34" s="1000"/>
      <c r="FTC34" s="1000"/>
      <c r="FTD34" s="1000"/>
      <c r="FTE34" s="1000"/>
      <c r="FTF34" s="1000"/>
      <c r="FTG34" s="1000"/>
      <c r="FTH34" s="1000"/>
      <c r="FTI34" s="1000"/>
      <c r="FTJ34" s="1000"/>
      <c r="FTK34" s="1000"/>
      <c r="FTL34" s="1000"/>
      <c r="FTM34" s="1000"/>
      <c r="FTN34" s="1000"/>
      <c r="FTO34" s="1000"/>
      <c r="FTP34" s="1000"/>
      <c r="FTQ34" s="1000"/>
      <c r="FTR34" s="1000"/>
      <c r="FTS34" s="1000"/>
      <c r="FTT34" s="1000"/>
      <c r="FTU34" s="1000"/>
      <c r="FTV34" s="1000"/>
      <c r="FTW34" s="1000"/>
      <c r="FTX34" s="1000"/>
      <c r="FTY34" s="1000"/>
      <c r="FTZ34" s="1000"/>
      <c r="FUA34" s="1000"/>
      <c r="FUB34" s="1000"/>
      <c r="FUC34" s="1000"/>
      <c r="FUD34" s="1000"/>
      <c r="FUE34" s="1000"/>
      <c r="FUF34" s="1000"/>
      <c r="FUG34" s="1000"/>
      <c r="FUH34" s="1000"/>
      <c r="FUI34" s="1000"/>
      <c r="FUJ34" s="1000"/>
      <c r="FUK34" s="1000"/>
      <c r="FUL34" s="1000"/>
      <c r="FUM34" s="1000"/>
      <c r="FUN34" s="1000"/>
      <c r="FUO34" s="1000"/>
      <c r="FUP34" s="1000"/>
      <c r="FUQ34" s="1000"/>
      <c r="FUR34" s="1000"/>
      <c r="FUS34" s="1000"/>
      <c r="FUT34" s="1000"/>
      <c r="FUU34" s="1000"/>
      <c r="FUV34" s="1000"/>
      <c r="FUW34" s="1000"/>
      <c r="FUX34" s="1000"/>
      <c r="FUY34" s="1000"/>
      <c r="FUZ34" s="1000"/>
      <c r="FVA34" s="1000"/>
      <c r="FVB34" s="1000"/>
      <c r="FVC34" s="1000"/>
      <c r="FVD34" s="1000"/>
      <c r="FVE34" s="1000"/>
      <c r="FVF34" s="1000"/>
      <c r="FVG34" s="1000"/>
      <c r="FVH34" s="1000"/>
      <c r="FVI34" s="1000"/>
      <c r="FVJ34" s="1000"/>
      <c r="FVK34" s="1000"/>
      <c r="FVL34" s="1000"/>
      <c r="FVM34" s="1000"/>
      <c r="FVN34" s="1000"/>
      <c r="FVO34" s="1000"/>
      <c r="FVP34" s="1000"/>
      <c r="FVQ34" s="1000"/>
      <c r="FVR34" s="1000"/>
      <c r="FVS34" s="1000"/>
      <c r="FVT34" s="1000"/>
      <c r="FVU34" s="1000"/>
      <c r="FVV34" s="1000"/>
      <c r="FVW34" s="1000"/>
      <c r="FVX34" s="1000"/>
      <c r="FVY34" s="1000"/>
      <c r="FVZ34" s="1000"/>
      <c r="FWA34" s="1000"/>
      <c r="FWB34" s="1000"/>
      <c r="FWC34" s="1000"/>
      <c r="FWD34" s="1000"/>
      <c r="FWE34" s="1000"/>
      <c r="FWF34" s="1000"/>
      <c r="FWG34" s="1000"/>
      <c r="FWH34" s="1000"/>
      <c r="FWI34" s="1000"/>
      <c r="FWJ34" s="1000"/>
      <c r="FWK34" s="1000"/>
      <c r="FWL34" s="1000"/>
      <c r="FWM34" s="1000"/>
      <c r="FWN34" s="1000"/>
      <c r="FWO34" s="1000"/>
      <c r="FWP34" s="1000"/>
      <c r="FWQ34" s="1000"/>
      <c r="FWR34" s="1000"/>
      <c r="FWS34" s="1000"/>
      <c r="FWT34" s="1000"/>
      <c r="FWU34" s="1000"/>
      <c r="FWV34" s="1000"/>
      <c r="FWW34" s="1000"/>
      <c r="FWX34" s="1000"/>
      <c r="FWY34" s="1000"/>
      <c r="FWZ34" s="1000"/>
      <c r="FXA34" s="1000"/>
      <c r="FXB34" s="1000"/>
      <c r="FXC34" s="1000"/>
      <c r="FXD34" s="1000"/>
      <c r="FXE34" s="1000"/>
      <c r="FXF34" s="1000"/>
      <c r="FXG34" s="1000"/>
      <c r="FXH34" s="1000"/>
      <c r="FXI34" s="1000"/>
      <c r="FXJ34" s="1000"/>
      <c r="FXK34" s="1000"/>
      <c r="FXL34" s="1000"/>
      <c r="FXM34" s="1000"/>
      <c r="FXN34" s="1000"/>
      <c r="FXO34" s="1000"/>
      <c r="FXP34" s="1000"/>
      <c r="FXQ34" s="1000"/>
      <c r="FXR34" s="1000"/>
      <c r="FXS34" s="1000"/>
      <c r="FXT34" s="1000"/>
      <c r="FXU34" s="1000"/>
      <c r="FXV34" s="1000"/>
      <c r="FXW34" s="1000"/>
      <c r="FXX34" s="1000"/>
      <c r="FXY34" s="1000"/>
      <c r="FXZ34" s="1000"/>
      <c r="FYA34" s="1000"/>
      <c r="FYB34" s="1000"/>
      <c r="FYC34" s="1000"/>
      <c r="FYD34" s="1000"/>
      <c r="FYE34" s="1000"/>
      <c r="FYF34" s="1000"/>
      <c r="FYG34" s="1000"/>
      <c r="FYH34" s="1000"/>
      <c r="FYI34" s="1000"/>
      <c r="FYJ34" s="1000"/>
      <c r="FYK34" s="1000"/>
      <c r="FYL34" s="1000"/>
      <c r="FYM34" s="1000"/>
      <c r="FYN34" s="1000"/>
      <c r="FYO34" s="1000"/>
      <c r="FYP34" s="1000"/>
      <c r="FYQ34" s="1000"/>
      <c r="FYR34" s="1000"/>
      <c r="FYS34" s="1000"/>
      <c r="FYT34" s="1000"/>
      <c r="FYU34" s="1000"/>
      <c r="FYV34" s="1000"/>
      <c r="FYW34" s="1000"/>
      <c r="FYX34" s="1000"/>
      <c r="FYY34" s="1000"/>
      <c r="FYZ34" s="1000"/>
      <c r="FZA34" s="1000"/>
      <c r="FZB34" s="1000"/>
      <c r="FZC34" s="1000"/>
      <c r="FZD34" s="1000"/>
      <c r="FZE34" s="1000"/>
      <c r="FZF34" s="1000"/>
      <c r="FZG34" s="1000"/>
      <c r="FZH34" s="1000"/>
      <c r="FZI34" s="1000"/>
      <c r="FZJ34" s="1000"/>
      <c r="FZK34" s="1000"/>
      <c r="FZL34" s="1000"/>
      <c r="FZM34" s="1000"/>
      <c r="FZN34" s="1000"/>
      <c r="FZO34" s="1000"/>
      <c r="FZP34" s="1000"/>
      <c r="FZQ34" s="1000"/>
      <c r="FZR34" s="1000"/>
      <c r="FZS34" s="1000"/>
      <c r="FZT34" s="1000"/>
      <c r="FZU34" s="1000"/>
      <c r="FZV34" s="1000"/>
      <c r="FZW34" s="1000"/>
      <c r="FZX34" s="1000"/>
      <c r="FZY34" s="1000"/>
      <c r="FZZ34" s="1000"/>
      <c r="GAA34" s="1000"/>
      <c r="GAB34" s="1000"/>
      <c r="GAC34" s="1000"/>
      <c r="GAD34" s="1000"/>
      <c r="GAE34" s="1000"/>
      <c r="GAF34" s="1000"/>
      <c r="GAG34" s="1000"/>
      <c r="GAH34" s="1000"/>
      <c r="GAI34" s="1000"/>
      <c r="GAJ34" s="1000"/>
      <c r="GAK34" s="1000"/>
      <c r="GAL34" s="1000"/>
      <c r="GAM34" s="1000"/>
      <c r="GAN34" s="1000"/>
      <c r="GAO34" s="1000"/>
      <c r="GAP34" s="1000"/>
      <c r="GAQ34" s="1000"/>
      <c r="GAR34" s="1000"/>
      <c r="GAS34" s="1000"/>
      <c r="GAT34" s="1000"/>
      <c r="GAU34" s="1000"/>
      <c r="GAV34" s="1000"/>
      <c r="GAW34" s="1000"/>
      <c r="GAX34" s="1000"/>
      <c r="GAY34" s="1000"/>
      <c r="GAZ34" s="1000"/>
      <c r="GBA34" s="1000"/>
      <c r="GBB34" s="1000"/>
      <c r="GBC34" s="1000"/>
      <c r="GBD34" s="1000"/>
      <c r="GBE34" s="1000"/>
      <c r="GBF34" s="1000"/>
      <c r="GBG34" s="1000"/>
      <c r="GBH34" s="1000"/>
      <c r="GBI34" s="1000"/>
      <c r="GBJ34" s="1000"/>
      <c r="GBK34" s="1000"/>
      <c r="GBL34" s="1000"/>
      <c r="GBM34" s="1000"/>
      <c r="GBN34" s="1000"/>
      <c r="GBO34" s="1000"/>
      <c r="GBP34" s="1000"/>
      <c r="GBQ34" s="1000"/>
      <c r="GBR34" s="1000"/>
      <c r="GBS34" s="1000"/>
      <c r="GBT34" s="1000"/>
      <c r="GBU34" s="1000"/>
      <c r="GBV34" s="1000"/>
      <c r="GBW34" s="1000"/>
      <c r="GBX34" s="1000"/>
      <c r="GBY34" s="1000"/>
      <c r="GBZ34" s="1000"/>
      <c r="GCA34" s="1000"/>
      <c r="GCB34" s="1000"/>
      <c r="GCC34" s="1000"/>
      <c r="GCD34" s="1000"/>
      <c r="GCE34" s="1000"/>
      <c r="GCF34" s="1000"/>
      <c r="GCG34" s="1000"/>
      <c r="GCH34" s="1000"/>
      <c r="GCI34" s="1000"/>
      <c r="GCJ34" s="1000"/>
      <c r="GCK34" s="1000"/>
      <c r="GCL34" s="1000"/>
      <c r="GCM34" s="1000"/>
      <c r="GCN34" s="1000"/>
      <c r="GCO34" s="1000"/>
      <c r="GCP34" s="1000"/>
      <c r="GCQ34" s="1000"/>
      <c r="GCR34" s="1000"/>
      <c r="GCS34" s="1000"/>
      <c r="GCT34" s="1000"/>
      <c r="GCU34" s="1000"/>
      <c r="GCV34" s="1000"/>
      <c r="GCW34" s="1000"/>
      <c r="GCX34" s="1000"/>
      <c r="GCY34" s="1000"/>
      <c r="GCZ34" s="1000"/>
      <c r="GDA34" s="1000"/>
      <c r="GDB34" s="1000"/>
      <c r="GDC34" s="1000"/>
      <c r="GDD34" s="1000"/>
      <c r="GDE34" s="1000"/>
      <c r="GDF34" s="1000"/>
      <c r="GDG34" s="1000"/>
      <c r="GDH34" s="1000"/>
      <c r="GDI34" s="1000"/>
      <c r="GDJ34" s="1000"/>
      <c r="GDK34" s="1000"/>
      <c r="GDL34" s="1000"/>
      <c r="GDM34" s="1000"/>
      <c r="GDN34" s="1000"/>
      <c r="GDO34" s="1000"/>
      <c r="GDP34" s="1000"/>
      <c r="GDQ34" s="1000"/>
      <c r="GDR34" s="1000"/>
      <c r="GDS34" s="1000"/>
      <c r="GDT34" s="1000"/>
      <c r="GDU34" s="1000"/>
      <c r="GDV34" s="1000"/>
      <c r="GDW34" s="1000"/>
      <c r="GDX34" s="1000"/>
      <c r="GDY34" s="1000"/>
      <c r="GDZ34" s="1000"/>
      <c r="GEA34" s="1000"/>
      <c r="GEB34" s="1000"/>
      <c r="GEC34" s="1000"/>
      <c r="GED34" s="1000"/>
      <c r="GEE34" s="1000"/>
      <c r="GEF34" s="1000"/>
      <c r="GEG34" s="1000"/>
      <c r="GEH34" s="1000"/>
      <c r="GEI34" s="1000"/>
      <c r="GEJ34" s="1000"/>
      <c r="GEK34" s="1000"/>
      <c r="GEL34" s="1000"/>
      <c r="GEM34" s="1000"/>
      <c r="GEN34" s="1000"/>
      <c r="GEO34" s="1000"/>
      <c r="GEP34" s="1000"/>
      <c r="GEQ34" s="1000"/>
      <c r="GER34" s="1000"/>
      <c r="GES34" s="1000"/>
      <c r="GET34" s="1000"/>
      <c r="GEU34" s="1000"/>
      <c r="GEV34" s="1000"/>
      <c r="GEW34" s="1000"/>
      <c r="GEX34" s="1000"/>
      <c r="GEY34" s="1000"/>
      <c r="GEZ34" s="1000"/>
      <c r="GFA34" s="1000"/>
      <c r="GFB34" s="1000"/>
      <c r="GFC34" s="1000"/>
      <c r="GFD34" s="1000"/>
      <c r="GFE34" s="1000"/>
      <c r="GFF34" s="1000"/>
      <c r="GFG34" s="1000"/>
      <c r="GFH34" s="1000"/>
      <c r="GFI34" s="1000"/>
      <c r="GFJ34" s="1000"/>
      <c r="GFK34" s="1000"/>
      <c r="GFL34" s="1000"/>
      <c r="GFM34" s="1000"/>
      <c r="GFN34" s="1000"/>
      <c r="GFO34" s="1000"/>
      <c r="GFP34" s="1000"/>
      <c r="GFQ34" s="1000"/>
      <c r="GFR34" s="1000"/>
      <c r="GFS34" s="1000"/>
      <c r="GFT34" s="1000"/>
      <c r="GFU34" s="1000"/>
      <c r="GFV34" s="1000"/>
      <c r="GFW34" s="1000"/>
      <c r="GFX34" s="1000"/>
      <c r="GFY34" s="1000"/>
      <c r="GFZ34" s="1000"/>
      <c r="GGA34" s="1000"/>
      <c r="GGB34" s="1000"/>
      <c r="GGC34" s="1000"/>
      <c r="GGD34" s="1000"/>
      <c r="GGE34" s="1000"/>
      <c r="GGF34" s="1000"/>
      <c r="GGG34" s="1000"/>
      <c r="GGH34" s="1000"/>
      <c r="GGI34" s="1000"/>
      <c r="GGJ34" s="1000"/>
      <c r="GGK34" s="1000"/>
      <c r="GGL34" s="1000"/>
      <c r="GGM34" s="1000"/>
      <c r="GGN34" s="1000"/>
      <c r="GGO34" s="1000"/>
      <c r="GGP34" s="1000"/>
      <c r="GGQ34" s="1000"/>
      <c r="GGR34" s="1000"/>
      <c r="GGS34" s="1000"/>
      <c r="GGT34" s="1000"/>
      <c r="GGU34" s="1000"/>
      <c r="GGV34" s="1000"/>
      <c r="GGW34" s="1000"/>
      <c r="GGX34" s="1000"/>
      <c r="GGY34" s="1000"/>
      <c r="GGZ34" s="1000"/>
      <c r="GHA34" s="1000"/>
      <c r="GHB34" s="1000"/>
      <c r="GHC34" s="1000"/>
      <c r="GHD34" s="1000"/>
      <c r="GHE34" s="1000"/>
      <c r="GHF34" s="1000"/>
      <c r="GHG34" s="1000"/>
      <c r="GHH34" s="1000"/>
      <c r="GHI34" s="1000"/>
      <c r="GHJ34" s="1000"/>
      <c r="GHK34" s="1000"/>
      <c r="GHL34" s="1000"/>
      <c r="GHM34" s="1000"/>
      <c r="GHN34" s="1000"/>
      <c r="GHO34" s="1000"/>
      <c r="GHP34" s="1000"/>
      <c r="GHQ34" s="1000"/>
      <c r="GHR34" s="1000"/>
      <c r="GHS34" s="1000"/>
      <c r="GHT34" s="1000"/>
      <c r="GHU34" s="1000"/>
      <c r="GHV34" s="1000"/>
      <c r="GHW34" s="1000"/>
      <c r="GHX34" s="1000"/>
      <c r="GHY34" s="1000"/>
      <c r="GHZ34" s="1000"/>
      <c r="GIA34" s="1000"/>
      <c r="GIB34" s="1000"/>
      <c r="GIC34" s="1000"/>
      <c r="GID34" s="1000"/>
      <c r="GIE34" s="1000"/>
      <c r="GIF34" s="1000"/>
      <c r="GIG34" s="1000"/>
      <c r="GIH34" s="1000"/>
      <c r="GII34" s="1000"/>
      <c r="GIJ34" s="1000"/>
      <c r="GIK34" s="1000"/>
      <c r="GIL34" s="1000"/>
      <c r="GIM34" s="1000"/>
      <c r="GIN34" s="1000"/>
      <c r="GIO34" s="1000"/>
      <c r="GIP34" s="1000"/>
      <c r="GIQ34" s="1000"/>
      <c r="GIR34" s="1000"/>
      <c r="GIS34" s="1000"/>
      <c r="GIT34" s="1000"/>
      <c r="GIU34" s="1000"/>
      <c r="GIV34" s="1000"/>
      <c r="GIW34" s="1000"/>
      <c r="GIX34" s="1000"/>
      <c r="GIY34" s="1000"/>
      <c r="GIZ34" s="1000"/>
      <c r="GJA34" s="1000"/>
      <c r="GJB34" s="1000"/>
      <c r="GJC34" s="1000"/>
      <c r="GJD34" s="1000"/>
      <c r="GJE34" s="1000"/>
      <c r="GJF34" s="1000"/>
      <c r="GJG34" s="1000"/>
      <c r="GJH34" s="1000"/>
      <c r="GJI34" s="1000"/>
      <c r="GJJ34" s="1000"/>
      <c r="GJK34" s="1000"/>
      <c r="GJL34" s="1000"/>
      <c r="GJM34" s="1000"/>
      <c r="GJN34" s="1000"/>
      <c r="GJO34" s="1000"/>
      <c r="GJP34" s="1000"/>
      <c r="GJQ34" s="1000"/>
      <c r="GJR34" s="1000"/>
      <c r="GJS34" s="1000"/>
      <c r="GJT34" s="1000"/>
      <c r="GJU34" s="1000"/>
      <c r="GJV34" s="1000"/>
      <c r="GJW34" s="1000"/>
      <c r="GJX34" s="1000"/>
      <c r="GJY34" s="1000"/>
      <c r="GJZ34" s="1000"/>
      <c r="GKA34" s="1000"/>
      <c r="GKB34" s="1000"/>
      <c r="GKC34" s="1000"/>
      <c r="GKD34" s="1000"/>
      <c r="GKE34" s="1000"/>
      <c r="GKF34" s="1000"/>
      <c r="GKG34" s="1000"/>
      <c r="GKH34" s="1000"/>
      <c r="GKI34" s="1000"/>
      <c r="GKJ34" s="1000"/>
      <c r="GKK34" s="1000"/>
      <c r="GKL34" s="1000"/>
      <c r="GKM34" s="1000"/>
      <c r="GKN34" s="1000"/>
      <c r="GKO34" s="1000"/>
      <c r="GKP34" s="1000"/>
      <c r="GKQ34" s="1000"/>
      <c r="GKR34" s="1000"/>
      <c r="GKS34" s="1000"/>
      <c r="GKT34" s="1000"/>
      <c r="GKU34" s="1000"/>
      <c r="GKV34" s="1000"/>
      <c r="GKW34" s="1000"/>
      <c r="GKX34" s="1000"/>
      <c r="GKY34" s="1000"/>
      <c r="GKZ34" s="1000"/>
      <c r="GLA34" s="1000"/>
      <c r="GLB34" s="1000"/>
      <c r="GLC34" s="1000"/>
      <c r="GLD34" s="1000"/>
      <c r="GLE34" s="1000"/>
      <c r="GLF34" s="1000"/>
      <c r="GLG34" s="1000"/>
      <c r="GLH34" s="1000"/>
      <c r="GLI34" s="1000"/>
      <c r="GLJ34" s="1000"/>
      <c r="GLK34" s="1000"/>
      <c r="GLL34" s="1000"/>
      <c r="GLM34" s="1000"/>
      <c r="GLN34" s="1000"/>
      <c r="GLO34" s="1000"/>
      <c r="GLP34" s="1000"/>
      <c r="GLQ34" s="1000"/>
      <c r="GLR34" s="1000"/>
      <c r="GLS34" s="1000"/>
      <c r="GLT34" s="1000"/>
      <c r="GLU34" s="1000"/>
      <c r="GLV34" s="1000"/>
      <c r="GLW34" s="1000"/>
      <c r="GLX34" s="1000"/>
      <c r="GLY34" s="1000"/>
      <c r="GLZ34" s="1000"/>
      <c r="GMA34" s="1000"/>
      <c r="GMB34" s="1000"/>
      <c r="GMC34" s="1000"/>
      <c r="GMD34" s="1000"/>
      <c r="GME34" s="1000"/>
      <c r="GMF34" s="1000"/>
      <c r="GMG34" s="1000"/>
      <c r="GMH34" s="1000"/>
      <c r="GMI34" s="1000"/>
      <c r="GMJ34" s="1000"/>
      <c r="GMK34" s="1000"/>
      <c r="GML34" s="1000"/>
      <c r="GMM34" s="1000"/>
      <c r="GMN34" s="1000"/>
      <c r="GMO34" s="1000"/>
      <c r="GMP34" s="1000"/>
      <c r="GMQ34" s="1000"/>
      <c r="GMR34" s="1000"/>
      <c r="GMS34" s="1000"/>
      <c r="GMT34" s="1000"/>
      <c r="GMU34" s="1000"/>
      <c r="GMV34" s="1000"/>
      <c r="GMW34" s="1000"/>
      <c r="GMX34" s="1000"/>
      <c r="GMY34" s="1000"/>
      <c r="GMZ34" s="1000"/>
      <c r="GNA34" s="1000"/>
      <c r="GNB34" s="1000"/>
      <c r="GNC34" s="1000"/>
      <c r="GND34" s="1000"/>
      <c r="GNE34" s="1000"/>
      <c r="GNF34" s="1000"/>
      <c r="GNG34" s="1000"/>
      <c r="GNH34" s="1000"/>
      <c r="GNI34" s="1000"/>
      <c r="GNJ34" s="1000"/>
      <c r="GNK34" s="1000"/>
      <c r="GNL34" s="1000"/>
      <c r="GNM34" s="1000"/>
      <c r="GNN34" s="1000"/>
      <c r="GNO34" s="1000"/>
      <c r="GNP34" s="1000"/>
      <c r="GNQ34" s="1000"/>
      <c r="GNR34" s="1000"/>
      <c r="GNS34" s="1000"/>
      <c r="GNT34" s="1000"/>
      <c r="GNU34" s="1000"/>
      <c r="GNV34" s="1000"/>
      <c r="GNW34" s="1000"/>
      <c r="GNX34" s="1000"/>
      <c r="GNY34" s="1000"/>
      <c r="GNZ34" s="1000"/>
      <c r="GOA34" s="1000"/>
      <c r="GOB34" s="1000"/>
      <c r="GOC34" s="1000"/>
      <c r="GOD34" s="1000"/>
      <c r="GOE34" s="1000"/>
      <c r="GOF34" s="1000"/>
      <c r="GOG34" s="1000"/>
      <c r="GOH34" s="1000"/>
      <c r="GOI34" s="1000"/>
      <c r="GOJ34" s="1000"/>
      <c r="GOK34" s="1000"/>
      <c r="GOL34" s="1000"/>
      <c r="GOM34" s="1000"/>
      <c r="GON34" s="1000"/>
      <c r="GOO34" s="1000"/>
      <c r="GOP34" s="1000"/>
      <c r="GOQ34" s="1000"/>
      <c r="GOR34" s="1000"/>
      <c r="GOS34" s="1000"/>
      <c r="GOT34" s="1000"/>
      <c r="GOU34" s="1000"/>
      <c r="GOV34" s="1000"/>
      <c r="GOW34" s="1000"/>
      <c r="GOX34" s="1000"/>
      <c r="GOY34" s="1000"/>
      <c r="GOZ34" s="1000"/>
      <c r="GPA34" s="1000"/>
      <c r="GPB34" s="1000"/>
      <c r="GPC34" s="1000"/>
      <c r="GPD34" s="1000"/>
      <c r="GPE34" s="1000"/>
      <c r="GPF34" s="1000"/>
      <c r="GPG34" s="1000"/>
      <c r="GPH34" s="1000"/>
      <c r="GPI34" s="1000"/>
      <c r="GPJ34" s="1000"/>
      <c r="GPK34" s="1000"/>
      <c r="GPL34" s="1000"/>
      <c r="GPM34" s="1000"/>
      <c r="GPN34" s="1000"/>
      <c r="GPO34" s="1000"/>
      <c r="GPP34" s="1000"/>
      <c r="GPQ34" s="1000"/>
      <c r="GPR34" s="1000"/>
      <c r="GPS34" s="1000"/>
      <c r="GPT34" s="1000"/>
      <c r="GPU34" s="1000"/>
      <c r="GPV34" s="1000"/>
      <c r="GPW34" s="1000"/>
      <c r="GPX34" s="1000"/>
      <c r="GPY34" s="1000"/>
      <c r="GPZ34" s="1000"/>
      <c r="GQA34" s="1000"/>
      <c r="GQB34" s="1000"/>
      <c r="GQC34" s="1000"/>
      <c r="GQD34" s="1000"/>
      <c r="GQE34" s="1000"/>
      <c r="GQF34" s="1000"/>
      <c r="GQG34" s="1000"/>
      <c r="GQH34" s="1000"/>
      <c r="GQI34" s="1000"/>
      <c r="GQJ34" s="1000"/>
      <c r="GQK34" s="1000"/>
      <c r="GQL34" s="1000"/>
      <c r="GQM34" s="1000"/>
      <c r="GQN34" s="1000"/>
      <c r="GQO34" s="1000"/>
      <c r="GQP34" s="1000"/>
      <c r="GQQ34" s="1000"/>
      <c r="GQR34" s="1000"/>
      <c r="GQS34" s="1000"/>
      <c r="GQT34" s="1000"/>
      <c r="GQU34" s="1000"/>
      <c r="GQV34" s="1000"/>
      <c r="GQW34" s="1000"/>
      <c r="GQX34" s="1000"/>
      <c r="GQY34" s="1000"/>
      <c r="GQZ34" s="1000"/>
      <c r="GRA34" s="1000"/>
      <c r="GRB34" s="1000"/>
      <c r="GRC34" s="1000"/>
      <c r="GRD34" s="1000"/>
      <c r="GRE34" s="1000"/>
      <c r="GRF34" s="1000"/>
      <c r="GRG34" s="1000"/>
      <c r="GRH34" s="1000"/>
      <c r="GRI34" s="1000"/>
      <c r="GRJ34" s="1000"/>
      <c r="GRK34" s="1000"/>
      <c r="GRL34" s="1000"/>
      <c r="GRM34" s="1000"/>
      <c r="GRN34" s="1000"/>
      <c r="GRO34" s="1000"/>
      <c r="GRP34" s="1000"/>
      <c r="GRQ34" s="1000"/>
      <c r="GRR34" s="1000"/>
      <c r="GRS34" s="1000"/>
      <c r="GRT34" s="1000"/>
      <c r="GRU34" s="1000"/>
      <c r="GRV34" s="1000"/>
      <c r="GRW34" s="1000"/>
      <c r="GRX34" s="1000"/>
      <c r="GRY34" s="1000"/>
      <c r="GRZ34" s="1000"/>
      <c r="GSA34" s="1000"/>
      <c r="GSB34" s="1000"/>
      <c r="GSC34" s="1000"/>
      <c r="GSD34" s="1000"/>
      <c r="GSE34" s="1000"/>
      <c r="GSF34" s="1000"/>
      <c r="GSG34" s="1000"/>
      <c r="GSH34" s="1000"/>
      <c r="GSI34" s="1000"/>
      <c r="GSJ34" s="1000"/>
      <c r="GSK34" s="1000"/>
      <c r="GSL34" s="1000"/>
      <c r="GSM34" s="1000"/>
      <c r="GSN34" s="1000"/>
      <c r="GSO34" s="1000"/>
      <c r="GSP34" s="1000"/>
      <c r="GSQ34" s="1000"/>
      <c r="GSR34" s="1000"/>
      <c r="GSS34" s="1000"/>
      <c r="GST34" s="1000"/>
      <c r="GSU34" s="1000"/>
      <c r="GSV34" s="1000"/>
      <c r="GSW34" s="1000"/>
      <c r="GSX34" s="1000"/>
      <c r="GSY34" s="1000"/>
      <c r="GSZ34" s="1000"/>
      <c r="GTA34" s="1000"/>
      <c r="GTB34" s="1000"/>
      <c r="GTC34" s="1000"/>
      <c r="GTD34" s="1000"/>
      <c r="GTE34" s="1000"/>
      <c r="GTF34" s="1000"/>
      <c r="GTG34" s="1000"/>
      <c r="GTH34" s="1000"/>
      <c r="GTI34" s="1000"/>
      <c r="GTJ34" s="1000"/>
      <c r="GTK34" s="1000"/>
      <c r="GTL34" s="1000"/>
      <c r="GTM34" s="1000"/>
      <c r="GTN34" s="1000"/>
      <c r="GTO34" s="1000"/>
      <c r="GTP34" s="1000"/>
      <c r="GTQ34" s="1000"/>
      <c r="GTR34" s="1000"/>
      <c r="GTS34" s="1000"/>
      <c r="GTT34" s="1000"/>
      <c r="GTU34" s="1000"/>
      <c r="GTV34" s="1000"/>
      <c r="GTW34" s="1000"/>
      <c r="GTX34" s="1000"/>
      <c r="GTY34" s="1000"/>
      <c r="GTZ34" s="1000"/>
      <c r="GUA34" s="1000"/>
      <c r="GUB34" s="1000"/>
      <c r="GUC34" s="1000"/>
      <c r="GUD34" s="1000"/>
      <c r="GUE34" s="1000"/>
      <c r="GUF34" s="1000"/>
      <c r="GUG34" s="1000"/>
      <c r="GUH34" s="1000"/>
      <c r="GUI34" s="1000"/>
      <c r="GUJ34" s="1000"/>
      <c r="GUK34" s="1000"/>
      <c r="GUL34" s="1000"/>
      <c r="GUM34" s="1000"/>
      <c r="GUN34" s="1000"/>
      <c r="GUO34" s="1000"/>
      <c r="GUP34" s="1000"/>
      <c r="GUQ34" s="1000"/>
      <c r="GUR34" s="1000"/>
      <c r="GUS34" s="1000"/>
      <c r="GUT34" s="1000"/>
      <c r="GUU34" s="1000"/>
      <c r="GUV34" s="1000"/>
      <c r="GUW34" s="1000"/>
      <c r="GUX34" s="1000"/>
      <c r="GUY34" s="1000"/>
      <c r="GUZ34" s="1000"/>
      <c r="GVA34" s="1000"/>
      <c r="GVB34" s="1000"/>
      <c r="GVC34" s="1000"/>
      <c r="GVD34" s="1000"/>
      <c r="GVE34" s="1000"/>
      <c r="GVF34" s="1000"/>
      <c r="GVG34" s="1000"/>
      <c r="GVH34" s="1000"/>
      <c r="GVI34" s="1000"/>
      <c r="GVJ34" s="1000"/>
      <c r="GVK34" s="1000"/>
      <c r="GVL34" s="1000"/>
      <c r="GVM34" s="1000"/>
      <c r="GVN34" s="1000"/>
      <c r="GVO34" s="1000"/>
      <c r="GVP34" s="1000"/>
      <c r="GVQ34" s="1000"/>
      <c r="GVR34" s="1000"/>
      <c r="GVS34" s="1000"/>
      <c r="GVT34" s="1000"/>
      <c r="GVU34" s="1000"/>
      <c r="GVV34" s="1000"/>
      <c r="GVW34" s="1000"/>
      <c r="GVX34" s="1000"/>
      <c r="GVY34" s="1000"/>
      <c r="GVZ34" s="1000"/>
      <c r="GWA34" s="1000"/>
      <c r="GWB34" s="1000"/>
      <c r="GWC34" s="1000"/>
      <c r="GWD34" s="1000"/>
      <c r="GWE34" s="1000"/>
      <c r="GWF34" s="1000"/>
      <c r="GWG34" s="1000"/>
      <c r="GWH34" s="1000"/>
      <c r="GWI34" s="1000"/>
      <c r="GWJ34" s="1000"/>
      <c r="GWK34" s="1000"/>
      <c r="GWL34" s="1000"/>
      <c r="GWM34" s="1000"/>
      <c r="GWN34" s="1000"/>
      <c r="GWO34" s="1000"/>
      <c r="GWP34" s="1000"/>
      <c r="GWQ34" s="1000"/>
      <c r="GWR34" s="1000"/>
      <c r="GWS34" s="1000"/>
      <c r="GWT34" s="1000"/>
      <c r="GWU34" s="1000"/>
      <c r="GWV34" s="1000"/>
      <c r="GWW34" s="1000"/>
      <c r="GWX34" s="1000"/>
      <c r="GWY34" s="1000"/>
      <c r="GWZ34" s="1000"/>
      <c r="GXA34" s="1000"/>
      <c r="GXB34" s="1000"/>
      <c r="GXC34" s="1000"/>
      <c r="GXD34" s="1000"/>
      <c r="GXE34" s="1000"/>
      <c r="GXF34" s="1000"/>
      <c r="GXG34" s="1000"/>
      <c r="GXH34" s="1000"/>
      <c r="GXI34" s="1000"/>
      <c r="GXJ34" s="1000"/>
      <c r="GXK34" s="1000"/>
      <c r="GXL34" s="1000"/>
      <c r="GXM34" s="1000"/>
      <c r="GXN34" s="1000"/>
      <c r="GXO34" s="1000"/>
      <c r="GXP34" s="1000"/>
      <c r="GXQ34" s="1000"/>
      <c r="GXR34" s="1000"/>
      <c r="GXS34" s="1000"/>
      <c r="GXT34" s="1000"/>
      <c r="GXU34" s="1000"/>
      <c r="GXV34" s="1000"/>
      <c r="GXW34" s="1000"/>
      <c r="GXX34" s="1000"/>
      <c r="GXY34" s="1000"/>
      <c r="GXZ34" s="1000"/>
      <c r="GYA34" s="1000"/>
      <c r="GYB34" s="1000"/>
      <c r="GYC34" s="1000"/>
      <c r="GYD34" s="1000"/>
      <c r="GYE34" s="1000"/>
      <c r="GYF34" s="1000"/>
      <c r="GYG34" s="1000"/>
      <c r="GYH34" s="1000"/>
      <c r="GYI34" s="1000"/>
      <c r="GYJ34" s="1000"/>
      <c r="GYK34" s="1000"/>
      <c r="GYL34" s="1000"/>
      <c r="GYM34" s="1000"/>
      <c r="GYN34" s="1000"/>
      <c r="GYO34" s="1000"/>
      <c r="GYP34" s="1000"/>
      <c r="GYQ34" s="1000"/>
      <c r="GYR34" s="1000"/>
      <c r="GYS34" s="1000"/>
      <c r="GYT34" s="1000"/>
      <c r="GYU34" s="1000"/>
      <c r="GYV34" s="1000"/>
      <c r="GYW34" s="1000"/>
      <c r="GYX34" s="1000"/>
      <c r="GYY34" s="1000"/>
      <c r="GYZ34" s="1000"/>
      <c r="GZA34" s="1000"/>
      <c r="GZB34" s="1000"/>
      <c r="GZC34" s="1000"/>
      <c r="GZD34" s="1000"/>
      <c r="GZE34" s="1000"/>
      <c r="GZF34" s="1000"/>
      <c r="GZG34" s="1000"/>
      <c r="GZH34" s="1000"/>
      <c r="GZI34" s="1000"/>
      <c r="GZJ34" s="1000"/>
      <c r="GZK34" s="1000"/>
      <c r="GZL34" s="1000"/>
      <c r="GZM34" s="1000"/>
      <c r="GZN34" s="1000"/>
      <c r="GZO34" s="1000"/>
      <c r="GZP34" s="1000"/>
      <c r="GZQ34" s="1000"/>
      <c r="GZR34" s="1000"/>
      <c r="GZS34" s="1000"/>
      <c r="GZT34" s="1000"/>
      <c r="GZU34" s="1000"/>
      <c r="GZV34" s="1000"/>
      <c r="GZW34" s="1000"/>
      <c r="GZX34" s="1000"/>
      <c r="GZY34" s="1000"/>
      <c r="GZZ34" s="1000"/>
      <c r="HAA34" s="1000"/>
      <c r="HAB34" s="1000"/>
      <c r="HAC34" s="1000"/>
      <c r="HAD34" s="1000"/>
      <c r="HAE34" s="1000"/>
      <c r="HAF34" s="1000"/>
      <c r="HAG34" s="1000"/>
      <c r="HAH34" s="1000"/>
      <c r="HAI34" s="1000"/>
      <c r="HAJ34" s="1000"/>
      <c r="HAK34" s="1000"/>
      <c r="HAL34" s="1000"/>
      <c r="HAM34" s="1000"/>
      <c r="HAN34" s="1000"/>
      <c r="HAO34" s="1000"/>
      <c r="HAP34" s="1000"/>
      <c r="HAQ34" s="1000"/>
      <c r="HAR34" s="1000"/>
      <c r="HAS34" s="1000"/>
      <c r="HAT34" s="1000"/>
      <c r="HAU34" s="1000"/>
      <c r="HAV34" s="1000"/>
      <c r="HAW34" s="1000"/>
      <c r="HAX34" s="1000"/>
      <c r="HAY34" s="1000"/>
      <c r="HAZ34" s="1000"/>
      <c r="HBA34" s="1000"/>
      <c r="HBB34" s="1000"/>
      <c r="HBC34" s="1000"/>
      <c r="HBD34" s="1000"/>
      <c r="HBE34" s="1000"/>
      <c r="HBF34" s="1000"/>
      <c r="HBG34" s="1000"/>
      <c r="HBH34" s="1000"/>
      <c r="HBI34" s="1000"/>
      <c r="HBJ34" s="1000"/>
      <c r="HBK34" s="1000"/>
      <c r="HBL34" s="1000"/>
      <c r="HBM34" s="1000"/>
      <c r="HBN34" s="1000"/>
      <c r="HBO34" s="1000"/>
      <c r="HBP34" s="1000"/>
      <c r="HBQ34" s="1000"/>
      <c r="HBR34" s="1000"/>
      <c r="HBS34" s="1000"/>
      <c r="HBT34" s="1000"/>
      <c r="HBU34" s="1000"/>
      <c r="HBV34" s="1000"/>
      <c r="HBW34" s="1000"/>
      <c r="HBX34" s="1000"/>
      <c r="HBY34" s="1000"/>
      <c r="HBZ34" s="1000"/>
      <c r="HCA34" s="1000"/>
      <c r="HCB34" s="1000"/>
      <c r="HCC34" s="1000"/>
      <c r="HCD34" s="1000"/>
      <c r="HCE34" s="1000"/>
      <c r="HCF34" s="1000"/>
      <c r="HCG34" s="1000"/>
      <c r="HCH34" s="1000"/>
      <c r="HCI34" s="1000"/>
      <c r="HCJ34" s="1000"/>
      <c r="HCK34" s="1000"/>
      <c r="HCL34" s="1000"/>
      <c r="HCM34" s="1000"/>
      <c r="HCN34" s="1000"/>
      <c r="HCO34" s="1000"/>
      <c r="HCP34" s="1000"/>
      <c r="HCQ34" s="1000"/>
      <c r="HCR34" s="1000"/>
      <c r="HCS34" s="1000"/>
      <c r="HCT34" s="1000"/>
      <c r="HCU34" s="1000"/>
      <c r="HCV34" s="1000"/>
      <c r="HCW34" s="1000"/>
      <c r="HCX34" s="1000"/>
      <c r="HCY34" s="1000"/>
      <c r="HCZ34" s="1000"/>
      <c r="HDA34" s="1000"/>
      <c r="HDB34" s="1000"/>
      <c r="HDC34" s="1000"/>
      <c r="HDD34" s="1000"/>
      <c r="HDE34" s="1000"/>
      <c r="HDF34" s="1000"/>
      <c r="HDG34" s="1000"/>
      <c r="HDH34" s="1000"/>
      <c r="HDI34" s="1000"/>
      <c r="HDJ34" s="1000"/>
      <c r="HDK34" s="1000"/>
      <c r="HDL34" s="1000"/>
      <c r="HDM34" s="1000"/>
      <c r="HDN34" s="1000"/>
      <c r="HDO34" s="1000"/>
      <c r="HDP34" s="1000"/>
      <c r="HDQ34" s="1000"/>
      <c r="HDR34" s="1000"/>
      <c r="HDS34" s="1000"/>
      <c r="HDT34" s="1000"/>
      <c r="HDU34" s="1000"/>
      <c r="HDV34" s="1000"/>
      <c r="HDW34" s="1000"/>
      <c r="HDX34" s="1000"/>
      <c r="HDY34" s="1000"/>
      <c r="HDZ34" s="1000"/>
      <c r="HEA34" s="1000"/>
      <c r="HEB34" s="1000"/>
      <c r="HEC34" s="1000"/>
      <c r="HED34" s="1000"/>
      <c r="HEE34" s="1000"/>
      <c r="HEF34" s="1000"/>
      <c r="HEG34" s="1000"/>
      <c r="HEH34" s="1000"/>
      <c r="HEI34" s="1000"/>
      <c r="HEJ34" s="1000"/>
      <c r="HEK34" s="1000"/>
      <c r="HEL34" s="1000"/>
      <c r="HEM34" s="1000"/>
      <c r="HEN34" s="1000"/>
      <c r="HEO34" s="1000"/>
      <c r="HEP34" s="1000"/>
      <c r="HEQ34" s="1000"/>
      <c r="HER34" s="1000"/>
      <c r="HES34" s="1000"/>
      <c r="HET34" s="1000"/>
      <c r="HEU34" s="1000"/>
      <c r="HEV34" s="1000"/>
      <c r="HEW34" s="1000"/>
      <c r="HEX34" s="1000"/>
      <c r="HEY34" s="1000"/>
      <c r="HEZ34" s="1000"/>
      <c r="HFA34" s="1000"/>
      <c r="HFB34" s="1000"/>
      <c r="HFC34" s="1000"/>
      <c r="HFD34" s="1000"/>
      <c r="HFE34" s="1000"/>
      <c r="HFF34" s="1000"/>
      <c r="HFG34" s="1000"/>
      <c r="HFH34" s="1000"/>
      <c r="HFI34" s="1000"/>
      <c r="HFJ34" s="1000"/>
      <c r="HFK34" s="1000"/>
      <c r="HFL34" s="1000"/>
      <c r="HFM34" s="1000"/>
      <c r="HFN34" s="1000"/>
      <c r="HFO34" s="1000"/>
      <c r="HFP34" s="1000"/>
      <c r="HFQ34" s="1000"/>
      <c r="HFR34" s="1000"/>
      <c r="HFS34" s="1000"/>
      <c r="HFT34" s="1000"/>
      <c r="HFU34" s="1000"/>
      <c r="HFV34" s="1000"/>
      <c r="HFW34" s="1000"/>
      <c r="HFX34" s="1000"/>
      <c r="HFY34" s="1000"/>
      <c r="HFZ34" s="1000"/>
      <c r="HGA34" s="1000"/>
      <c r="HGB34" s="1000"/>
      <c r="HGC34" s="1000"/>
      <c r="HGD34" s="1000"/>
      <c r="HGE34" s="1000"/>
      <c r="HGF34" s="1000"/>
      <c r="HGG34" s="1000"/>
      <c r="HGH34" s="1000"/>
      <c r="HGI34" s="1000"/>
      <c r="HGJ34" s="1000"/>
      <c r="HGK34" s="1000"/>
      <c r="HGL34" s="1000"/>
      <c r="HGM34" s="1000"/>
      <c r="HGN34" s="1000"/>
      <c r="HGO34" s="1000"/>
      <c r="HGP34" s="1000"/>
      <c r="HGQ34" s="1000"/>
      <c r="HGR34" s="1000"/>
      <c r="HGS34" s="1000"/>
      <c r="HGT34" s="1000"/>
      <c r="HGU34" s="1000"/>
      <c r="HGV34" s="1000"/>
      <c r="HGW34" s="1000"/>
      <c r="HGX34" s="1000"/>
      <c r="HGY34" s="1000"/>
      <c r="HGZ34" s="1000"/>
      <c r="HHA34" s="1000"/>
      <c r="HHB34" s="1000"/>
      <c r="HHC34" s="1000"/>
      <c r="HHD34" s="1000"/>
      <c r="HHE34" s="1000"/>
      <c r="HHF34" s="1000"/>
      <c r="HHG34" s="1000"/>
      <c r="HHH34" s="1000"/>
      <c r="HHI34" s="1000"/>
      <c r="HHJ34" s="1000"/>
      <c r="HHK34" s="1000"/>
      <c r="HHL34" s="1000"/>
      <c r="HHM34" s="1000"/>
      <c r="HHN34" s="1000"/>
      <c r="HHO34" s="1000"/>
      <c r="HHP34" s="1000"/>
      <c r="HHQ34" s="1000"/>
      <c r="HHR34" s="1000"/>
      <c r="HHS34" s="1000"/>
      <c r="HHT34" s="1000"/>
      <c r="HHU34" s="1000"/>
      <c r="HHV34" s="1000"/>
      <c r="HHW34" s="1000"/>
      <c r="HHX34" s="1000"/>
      <c r="HHY34" s="1000"/>
      <c r="HHZ34" s="1000"/>
      <c r="HIA34" s="1000"/>
      <c r="HIB34" s="1000"/>
      <c r="HIC34" s="1000"/>
      <c r="HID34" s="1000"/>
      <c r="HIE34" s="1000"/>
      <c r="HIF34" s="1000"/>
      <c r="HIG34" s="1000"/>
      <c r="HIH34" s="1000"/>
      <c r="HII34" s="1000"/>
      <c r="HIJ34" s="1000"/>
      <c r="HIK34" s="1000"/>
      <c r="HIL34" s="1000"/>
      <c r="HIM34" s="1000"/>
      <c r="HIN34" s="1000"/>
      <c r="HIO34" s="1000"/>
      <c r="HIP34" s="1000"/>
      <c r="HIQ34" s="1000"/>
      <c r="HIR34" s="1000"/>
      <c r="HIS34" s="1000"/>
      <c r="HIT34" s="1000"/>
      <c r="HIU34" s="1000"/>
      <c r="HIV34" s="1000"/>
      <c r="HIW34" s="1000"/>
      <c r="HIX34" s="1000"/>
      <c r="HIY34" s="1000"/>
      <c r="HIZ34" s="1000"/>
      <c r="HJA34" s="1000"/>
      <c r="HJB34" s="1000"/>
      <c r="HJC34" s="1000"/>
      <c r="HJD34" s="1000"/>
      <c r="HJE34" s="1000"/>
      <c r="HJF34" s="1000"/>
      <c r="HJG34" s="1000"/>
      <c r="HJH34" s="1000"/>
      <c r="HJI34" s="1000"/>
      <c r="HJJ34" s="1000"/>
      <c r="HJK34" s="1000"/>
      <c r="HJL34" s="1000"/>
      <c r="HJM34" s="1000"/>
      <c r="HJN34" s="1000"/>
      <c r="HJO34" s="1000"/>
      <c r="HJP34" s="1000"/>
      <c r="HJQ34" s="1000"/>
      <c r="HJR34" s="1000"/>
      <c r="HJS34" s="1000"/>
      <c r="HJT34" s="1000"/>
      <c r="HJU34" s="1000"/>
      <c r="HJV34" s="1000"/>
      <c r="HJW34" s="1000"/>
      <c r="HJX34" s="1000"/>
      <c r="HJY34" s="1000"/>
      <c r="HJZ34" s="1000"/>
      <c r="HKA34" s="1000"/>
      <c r="HKB34" s="1000"/>
      <c r="HKC34" s="1000"/>
      <c r="HKD34" s="1000"/>
      <c r="HKE34" s="1000"/>
      <c r="HKF34" s="1000"/>
      <c r="HKG34" s="1000"/>
      <c r="HKH34" s="1000"/>
      <c r="HKI34" s="1000"/>
      <c r="HKJ34" s="1000"/>
      <c r="HKK34" s="1000"/>
      <c r="HKL34" s="1000"/>
      <c r="HKM34" s="1000"/>
      <c r="HKN34" s="1000"/>
      <c r="HKO34" s="1000"/>
      <c r="HKP34" s="1000"/>
      <c r="HKQ34" s="1000"/>
      <c r="HKR34" s="1000"/>
      <c r="HKS34" s="1000"/>
      <c r="HKT34" s="1000"/>
      <c r="HKU34" s="1000"/>
      <c r="HKV34" s="1000"/>
      <c r="HKW34" s="1000"/>
      <c r="HKX34" s="1000"/>
      <c r="HKY34" s="1000"/>
      <c r="HKZ34" s="1000"/>
      <c r="HLA34" s="1000"/>
      <c r="HLB34" s="1000"/>
      <c r="HLC34" s="1000"/>
      <c r="HLD34" s="1000"/>
      <c r="HLE34" s="1000"/>
      <c r="HLF34" s="1000"/>
      <c r="HLG34" s="1000"/>
      <c r="HLH34" s="1000"/>
      <c r="HLI34" s="1000"/>
      <c r="HLJ34" s="1000"/>
      <c r="HLK34" s="1000"/>
      <c r="HLL34" s="1000"/>
      <c r="HLM34" s="1000"/>
      <c r="HLN34" s="1000"/>
      <c r="HLO34" s="1000"/>
      <c r="HLP34" s="1000"/>
      <c r="HLQ34" s="1000"/>
      <c r="HLR34" s="1000"/>
      <c r="HLS34" s="1000"/>
      <c r="HLT34" s="1000"/>
      <c r="HLU34" s="1000"/>
      <c r="HLV34" s="1000"/>
      <c r="HLW34" s="1000"/>
      <c r="HLX34" s="1000"/>
      <c r="HLY34" s="1000"/>
      <c r="HLZ34" s="1000"/>
      <c r="HMA34" s="1000"/>
      <c r="HMB34" s="1000"/>
      <c r="HMC34" s="1000"/>
      <c r="HMD34" s="1000"/>
      <c r="HME34" s="1000"/>
      <c r="HMF34" s="1000"/>
      <c r="HMG34" s="1000"/>
      <c r="HMH34" s="1000"/>
      <c r="HMI34" s="1000"/>
      <c r="HMJ34" s="1000"/>
      <c r="HMK34" s="1000"/>
      <c r="HML34" s="1000"/>
      <c r="HMM34" s="1000"/>
      <c r="HMN34" s="1000"/>
      <c r="HMO34" s="1000"/>
      <c r="HMP34" s="1000"/>
      <c r="HMQ34" s="1000"/>
      <c r="HMR34" s="1000"/>
      <c r="HMS34" s="1000"/>
      <c r="HMT34" s="1000"/>
      <c r="HMU34" s="1000"/>
      <c r="HMV34" s="1000"/>
      <c r="HMW34" s="1000"/>
      <c r="HMX34" s="1000"/>
      <c r="HMY34" s="1000"/>
      <c r="HMZ34" s="1000"/>
      <c r="HNA34" s="1000"/>
      <c r="HNB34" s="1000"/>
      <c r="HNC34" s="1000"/>
      <c r="HND34" s="1000"/>
      <c r="HNE34" s="1000"/>
      <c r="HNF34" s="1000"/>
      <c r="HNG34" s="1000"/>
      <c r="HNH34" s="1000"/>
      <c r="HNI34" s="1000"/>
      <c r="HNJ34" s="1000"/>
      <c r="HNK34" s="1000"/>
      <c r="HNL34" s="1000"/>
      <c r="HNM34" s="1000"/>
      <c r="HNN34" s="1000"/>
      <c r="HNO34" s="1000"/>
      <c r="HNP34" s="1000"/>
      <c r="HNQ34" s="1000"/>
      <c r="HNR34" s="1000"/>
      <c r="HNS34" s="1000"/>
      <c r="HNT34" s="1000"/>
      <c r="HNU34" s="1000"/>
      <c r="HNV34" s="1000"/>
      <c r="HNW34" s="1000"/>
      <c r="HNX34" s="1000"/>
      <c r="HNY34" s="1000"/>
      <c r="HNZ34" s="1000"/>
      <c r="HOA34" s="1000"/>
      <c r="HOB34" s="1000"/>
      <c r="HOC34" s="1000"/>
      <c r="HOD34" s="1000"/>
      <c r="HOE34" s="1000"/>
      <c r="HOF34" s="1000"/>
      <c r="HOG34" s="1000"/>
      <c r="HOH34" s="1000"/>
      <c r="HOI34" s="1000"/>
      <c r="HOJ34" s="1000"/>
      <c r="HOK34" s="1000"/>
      <c r="HOL34" s="1000"/>
      <c r="HOM34" s="1000"/>
      <c r="HON34" s="1000"/>
      <c r="HOO34" s="1000"/>
      <c r="HOP34" s="1000"/>
      <c r="HOQ34" s="1000"/>
      <c r="HOR34" s="1000"/>
      <c r="HOS34" s="1000"/>
      <c r="HOT34" s="1000"/>
      <c r="HOU34" s="1000"/>
      <c r="HOV34" s="1000"/>
      <c r="HOW34" s="1000"/>
      <c r="HOX34" s="1000"/>
      <c r="HOY34" s="1000"/>
      <c r="HOZ34" s="1000"/>
      <c r="HPA34" s="1000"/>
      <c r="HPB34" s="1000"/>
      <c r="HPC34" s="1000"/>
      <c r="HPD34" s="1000"/>
      <c r="HPE34" s="1000"/>
      <c r="HPF34" s="1000"/>
      <c r="HPG34" s="1000"/>
      <c r="HPH34" s="1000"/>
      <c r="HPI34" s="1000"/>
      <c r="HPJ34" s="1000"/>
      <c r="HPK34" s="1000"/>
      <c r="HPL34" s="1000"/>
      <c r="HPM34" s="1000"/>
      <c r="HPN34" s="1000"/>
      <c r="HPO34" s="1000"/>
      <c r="HPP34" s="1000"/>
      <c r="HPQ34" s="1000"/>
      <c r="HPR34" s="1000"/>
      <c r="HPS34" s="1000"/>
      <c r="HPT34" s="1000"/>
      <c r="HPU34" s="1000"/>
      <c r="HPV34" s="1000"/>
      <c r="HPW34" s="1000"/>
      <c r="HPX34" s="1000"/>
      <c r="HPY34" s="1000"/>
      <c r="HPZ34" s="1000"/>
      <c r="HQA34" s="1000"/>
      <c r="HQB34" s="1000"/>
      <c r="HQC34" s="1000"/>
      <c r="HQD34" s="1000"/>
      <c r="HQE34" s="1000"/>
      <c r="HQF34" s="1000"/>
      <c r="HQG34" s="1000"/>
      <c r="HQH34" s="1000"/>
      <c r="HQI34" s="1000"/>
      <c r="HQJ34" s="1000"/>
      <c r="HQK34" s="1000"/>
      <c r="HQL34" s="1000"/>
      <c r="HQM34" s="1000"/>
      <c r="HQN34" s="1000"/>
      <c r="HQO34" s="1000"/>
      <c r="HQP34" s="1000"/>
      <c r="HQQ34" s="1000"/>
      <c r="HQR34" s="1000"/>
      <c r="HQS34" s="1000"/>
      <c r="HQT34" s="1000"/>
      <c r="HQU34" s="1000"/>
      <c r="HQV34" s="1000"/>
      <c r="HQW34" s="1000"/>
      <c r="HQX34" s="1000"/>
      <c r="HQY34" s="1000"/>
      <c r="HQZ34" s="1000"/>
      <c r="HRA34" s="1000"/>
      <c r="HRB34" s="1000"/>
      <c r="HRC34" s="1000"/>
      <c r="HRD34" s="1000"/>
      <c r="HRE34" s="1000"/>
      <c r="HRF34" s="1000"/>
      <c r="HRG34" s="1000"/>
      <c r="HRH34" s="1000"/>
      <c r="HRI34" s="1000"/>
      <c r="HRJ34" s="1000"/>
      <c r="HRK34" s="1000"/>
      <c r="HRL34" s="1000"/>
      <c r="HRM34" s="1000"/>
      <c r="HRN34" s="1000"/>
      <c r="HRO34" s="1000"/>
      <c r="HRP34" s="1000"/>
      <c r="HRQ34" s="1000"/>
      <c r="HRR34" s="1000"/>
      <c r="HRS34" s="1000"/>
      <c r="HRT34" s="1000"/>
      <c r="HRU34" s="1000"/>
      <c r="HRV34" s="1000"/>
      <c r="HRW34" s="1000"/>
      <c r="HRX34" s="1000"/>
      <c r="HRY34" s="1000"/>
      <c r="HRZ34" s="1000"/>
      <c r="HSA34" s="1000"/>
      <c r="HSB34" s="1000"/>
      <c r="HSC34" s="1000"/>
      <c r="HSD34" s="1000"/>
      <c r="HSE34" s="1000"/>
      <c r="HSF34" s="1000"/>
      <c r="HSG34" s="1000"/>
      <c r="HSH34" s="1000"/>
      <c r="HSI34" s="1000"/>
      <c r="HSJ34" s="1000"/>
      <c r="HSK34" s="1000"/>
      <c r="HSL34" s="1000"/>
      <c r="HSM34" s="1000"/>
      <c r="HSN34" s="1000"/>
      <c r="HSO34" s="1000"/>
      <c r="HSP34" s="1000"/>
      <c r="HSQ34" s="1000"/>
      <c r="HSR34" s="1000"/>
      <c r="HSS34" s="1000"/>
      <c r="HST34" s="1000"/>
      <c r="HSU34" s="1000"/>
      <c r="HSV34" s="1000"/>
      <c r="HSW34" s="1000"/>
      <c r="HSX34" s="1000"/>
      <c r="HSY34" s="1000"/>
      <c r="HSZ34" s="1000"/>
      <c r="HTA34" s="1000"/>
      <c r="HTB34" s="1000"/>
      <c r="HTC34" s="1000"/>
      <c r="HTD34" s="1000"/>
      <c r="HTE34" s="1000"/>
      <c r="HTF34" s="1000"/>
      <c r="HTG34" s="1000"/>
      <c r="HTH34" s="1000"/>
      <c r="HTI34" s="1000"/>
      <c r="HTJ34" s="1000"/>
      <c r="HTK34" s="1000"/>
      <c r="HTL34" s="1000"/>
      <c r="HTM34" s="1000"/>
      <c r="HTN34" s="1000"/>
      <c r="HTO34" s="1000"/>
      <c r="HTP34" s="1000"/>
      <c r="HTQ34" s="1000"/>
      <c r="HTR34" s="1000"/>
      <c r="HTS34" s="1000"/>
      <c r="HTT34" s="1000"/>
      <c r="HTU34" s="1000"/>
      <c r="HTV34" s="1000"/>
      <c r="HTW34" s="1000"/>
      <c r="HTX34" s="1000"/>
      <c r="HTY34" s="1000"/>
      <c r="HTZ34" s="1000"/>
      <c r="HUA34" s="1000"/>
      <c r="HUB34" s="1000"/>
      <c r="HUC34" s="1000"/>
      <c r="HUD34" s="1000"/>
      <c r="HUE34" s="1000"/>
      <c r="HUF34" s="1000"/>
      <c r="HUG34" s="1000"/>
      <c r="HUH34" s="1000"/>
      <c r="HUI34" s="1000"/>
      <c r="HUJ34" s="1000"/>
      <c r="HUK34" s="1000"/>
      <c r="HUL34" s="1000"/>
      <c r="HUM34" s="1000"/>
      <c r="HUN34" s="1000"/>
      <c r="HUO34" s="1000"/>
      <c r="HUP34" s="1000"/>
      <c r="HUQ34" s="1000"/>
      <c r="HUR34" s="1000"/>
      <c r="HUS34" s="1000"/>
      <c r="HUT34" s="1000"/>
      <c r="HUU34" s="1000"/>
      <c r="HUV34" s="1000"/>
      <c r="HUW34" s="1000"/>
      <c r="HUX34" s="1000"/>
      <c r="HUY34" s="1000"/>
      <c r="HUZ34" s="1000"/>
      <c r="HVA34" s="1000"/>
      <c r="HVB34" s="1000"/>
      <c r="HVC34" s="1000"/>
      <c r="HVD34" s="1000"/>
      <c r="HVE34" s="1000"/>
      <c r="HVF34" s="1000"/>
      <c r="HVG34" s="1000"/>
      <c r="HVH34" s="1000"/>
      <c r="HVI34" s="1000"/>
      <c r="HVJ34" s="1000"/>
      <c r="HVK34" s="1000"/>
      <c r="HVL34" s="1000"/>
      <c r="HVM34" s="1000"/>
      <c r="HVN34" s="1000"/>
      <c r="HVO34" s="1000"/>
      <c r="HVP34" s="1000"/>
      <c r="HVQ34" s="1000"/>
      <c r="HVR34" s="1000"/>
      <c r="HVS34" s="1000"/>
      <c r="HVT34" s="1000"/>
      <c r="HVU34" s="1000"/>
      <c r="HVV34" s="1000"/>
      <c r="HVW34" s="1000"/>
      <c r="HVX34" s="1000"/>
      <c r="HVY34" s="1000"/>
      <c r="HVZ34" s="1000"/>
      <c r="HWA34" s="1000"/>
      <c r="HWB34" s="1000"/>
      <c r="HWC34" s="1000"/>
      <c r="HWD34" s="1000"/>
      <c r="HWE34" s="1000"/>
      <c r="HWF34" s="1000"/>
      <c r="HWG34" s="1000"/>
      <c r="HWH34" s="1000"/>
      <c r="HWI34" s="1000"/>
      <c r="HWJ34" s="1000"/>
      <c r="HWK34" s="1000"/>
      <c r="HWL34" s="1000"/>
      <c r="HWM34" s="1000"/>
      <c r="HWN34" s="1000"/>
      <c r="HWO34" s="1000"/>
      <c r="HWP34" s="1000"/>
      <c r="HWQ34" s="1000"/>
      <c r="HWR34" s="1000"/>
      <c r="HWS34" s="1000"/>
      <c r="HWT34" s="1000"/>
      <c r="HWU34" s="1000"/>
      <c r="HWV34" s="1000"/>
      <c r="HWW34" s="1000"/>
      <c r="HWX34" s="1000"/>
      <c r="HWY34" s="1000"/>
      <c r="HWZ34" s="1000"/>
      <c r="HXA34" s="1000"/>
      <c r="HXB34" s="1000"/>
      <c r="HXC34" s="1000"/>
      <c r="HXD34" s="1000"/>
      <c r="HXE34" s="1000"/>
      <c r="HXF34" s="1000"/>
      <c r="HXG34" s="1000"/>
      <c r="HXH34" s="1000"/>
      <c r="HXI34" s="1000"/>
      <c r="HXJ34" s="1000"/>
      <c r="HXK34" s="1000"/>
      <c r="HXL34" s="1000"/>
      <c r="HXM34" s="1000"/>
      <c r="HXN34" s="1000"/>
      <c r="HXO34" s="1000"/>
      <c r="HXP34" s="1000"/>
      <c r="HXQ34" s="1000"/>
      <c r="HXR34" s="1000"/>
      <c r="HXS34" s="1000"/>
      <c r="HXT34" s="1000"/>
      <c r="HXU34" s="1000"/>
      <c r="HXV34" s="1000"/>
      <c r="HXW34" s="1000"/>
      <c r="HXX34" s="1000"/>
      <c r="HXY34" s="1000"/>
      <c r="HXZ34" s="1000"/>
      <c r="HYA34" s="1000"/>
      <c r="HYB34" s="1000"/>
      <c r="HYC34" s="1000"/>
      <c r="HYD34" s="1000"/>
      <c r="HYE34" s="1000"/>
      <c r="HYF34" s="1000"/>
      <c r="HYG34" s="1000"/>
      <c r="HYH34" s="1000"/>
      <c r="HYI34" s="1000"/>
      <c r="HYJ34" s="1000"/>
      <c r="HYK34" s="1000"/>
      <c r="HYL34" s="1000"/>
      <c r="HYM34" s="1000"/>
      <c r="HYN34" s="1000"/>
      <c r="HYO34" s="1000"/>
      <c r="HYP34" s="1000"/>
      <c r="HYQ34" s="1000"/>
      <c r="HYR34" s="1000"/>
      <c r="HYS34" s="1000"/>
      <c r="HYT34" s="1000"/>
      <c r="HYU34" s="1000"/>
      <c r="HYV34" s="1000"/>
      <c r="HYW34" s="1000"/>
      <c r="HYX34" s="1000"/>
      <c r="HYY34" s="1000"/>
      <c r="HYZ34" s="1000"/>
      <c r="HZA34" s="1000"/>
      <c r="HZB34" s="1000"/>
      <c r="HZC34" s="1000"/>
      <c r="HZD34" s="1000"/>
      <c r="HZE34" s="1000"/>
      <c r="HZF34" s="1000"/>
      <c r="HZG34" s="1000"/>
      <c r="HZH34" s="1000"/>
      <c r="HZI34" s="1000"/>
      <c r="HZJ34" s="1000"/>
      <c r="HZK34" s="1000"/>
      <c r="HZL34" s="1000"/>
      <c r="HZM34" s="1000"/>
      <c r="HZN34" s="1000"/>
      <c r="HZO34" s="1000"/>
      <c r="HZP34" s="1000"/>
      <c r="HZQ34" s="1000"/>
      <c r="HZR34" s="1000"/>
      <c r="HZS34" s="1000"/>
      <c r="HZT34" s="1000"/>
      <c r="HZU34" s="1000"/>
      <c r="HZV34" s="1000"/>
      <c r="HZW34" s="1000"/>
      <c r="HZX34" s="1000"/>
      <c r="HZY34" s="1000"/>
      <c r="HZZ34" s="1000"/>
      <c r="IAA34" s="1000"/>
      <c r="IAB34" s="1000"/>
      <c r="IAC34" s="1000"/>
      <c r="IAD34" s="1000"/>
      <c r="IAE34" s="1000"/>
      <c r="IAF34" s="1000"/>
      <c r="IAG34" s="1000"/>
      <c r="IAH34" s="1000"/>
      <c r="IAI34" s="1000"/>
      <c r="IAJ34" s="1000"/>
      <c r="IAK34" s="1000"/>
      <c r="IAL34" s="1000"/>
      <c r="IAM34" s="1000"/>
      <c r="IAN34" s="1000"/>
      <c r="IAO34" s="1000"/>
      <c r="IAP34" s="1000"/>
      <c r="IAQ34" s="1000"/>
      <c r="IAR34" s="1000"/>
      <c r="IAS34" s="1000"/>
      <c r="IAT34" s="1000"/>
      <c r="IAU34" s="1000"/>
      <c r="IAV34" s="1000"/>
      <c r="IAW34" s="1000"/>
      <c r="IAX34" s="1000"/>
      <c r="IAY34" s="1000"/>
      <c r="IAZ34" s="1000"/>
      <c r="IBA34" s="1000"/>
      <c r="IBB34" s="1000"/>
      <c r="IBC34" s="1000"/>
      <c r="IBD34" s="1000"/>
      <c r="IBE34" s="1000"/>
      <c r="IBF34" s="1000"/>
      <c r="IBG34" s="1000"/>
      <c r="IBH34" s="1000"/>
      <c r="IBI34" s="1000"/>
      <c r="IBJ34" s="1000"/>
      <c r="IBK34" s="1000"/>
      <c r="IBL34" s="1000"/>
      <c r="IBM34" s="1000"/>
      <c r="IBN34" s="1000"/>
      <c r="IBO34" s="1000"/>
      <c r="IBP34" s="1000"/>
      <c r="IBQ34" s="1000"/>
      <c r="IBR34" s="1000"/>
      <c r="IBS34" s="1000"/>
      <c r="IBT34" s="1000"/>
      <c r="IBU34" s="1000"/>
      <c r="IBV34" s="1000"/>
      <c r="IBW34" s="1000"/>
      <c r="IBX34" s="1000"/>
      <c r="IBY34" s="1000"/>
      <c r="IBZ34" s="1000"/>
      <c r="ICA34" s="1000"/>
      <c r="ICB34" s="1000"/>
      <c r="ICC34" s="1000"/>
      <c r="ICD34" s="1000"/>
      <c r="ICE34" s="1000"/>
      <c r="ICF34" s="1000"/>
      <c r="ICG34" s="1000"/>
      <c r="ICH34" s="1000"/>
      <c r="ICI34" s="1000"/>
      <c r="ICJ34" s="1000"/>
      <c r="ICK34" s="1000"/>
      <c r="ICL34" s="1000"/>
      <c r="ICM34" s="1000"/>
      <c r="ICN34" s="1000"/>
      <c r="ICO34" s="1000"/>
      <c r="ICP34" s="1000"/>
      <c r="ICQ34" s="1000"/>
      <c r="ICR34" s="1000"/>
      <c r="ICS34" s="1000"/>
      <c r="ICT34" s="1000"/>
      <c r="ICU34" s="1000"/>
      <c r="ICV34" s="1000"/>
      <c r="ICW34" s="1000"/>
      <c r="ICX34" s="1000"/>
      <c r="ICY34" s="1000"/>
      <c r="ICZ34" s="1000"/>
      <c r="IDA34" s="1000"/>
      <c r="IDB34" s="1000"/>
      <c r="IDC34" s="1000"/>
      <c r="IDD34" s="1000"/>
      <c r="IDE34" s="1000"/>
      <c r="IDF34" s="1000"/>
      <c r="IDG34" s="1000"/>
      <c r="IDH34" s="1000"/>
      <c r="IDI34" s="1000"/>
      <c r="IDJ34" s="1000"/>
      <c r="IDK34" s="1000"/>
      <c r="IDL34" s="1000"/>
      <c r="IDM34" s="1000"/>
      <c r="IDN34" s="1000"/>
      <c r="IDO34" s="1000"/>
      <c r="IDP34" s="1000"/>
      <c r="IDQ34" s="1000"/>
      <c r="IDR34" s="1000"/>
      <c r="IDS34" s="1000"/>
      <c r="IDT34" s="1000"/>
      <c r="IDU34" s="1000"/>
      <c r="IDV34" s="1000"/>
      <c r="IDW34" s="1000"/>
      <c r="IDX34" s="1000"/>
      <c r="IDY34" s="1000"/>
      <c r="IDZ34" s="1000"/>
      <c r="IEA34" s="1000"/>
      <c r="IEB34" s="1000"/>
      <c r="IEC34" s="1000"/>
      <c r="IED34" s="1000"/>
      <c r="IEE34" s="1000"/>
      <c r="IEF34" s="1000"/>
      <c r="IEG34" s="1000"/>
      <c r="IEH34" s="1000"/>
      <c r="IEI34" s="1000"/>
      <c r="IEJ34" s="1000"/>
      <c r="IEK34" s="1000"/>
      <c r="IEL34" s="1000"/>
      <c r="IEM34" s="1000"/>
      <c r="IEN34" s="1000"/>
      <c r="IEO34" s="1000"/>
      <c r="IEP34" s="1000"/>
      <c r="IEQ34" s="1000"/>
      <c r="IER34" s="1000"/>
      <c r="IES34" s="1000"/>
      <c r="IET34" s="1000"/>
      <c r="IEU34" s="1000"/>
      <c r="IEV34" s="1000"/>
      <c r="IEW34" s="1000"/>
      <c r="IEX34" s="1000"/>
      <c r="IEY34" s="1000"/>
      <c r="IEZ34" s="1000"/>
      <c r="IFA34" s="1000"/>
      <c r="IFB34" s="1000"/>
      <c r="IFC34" s="1000"/>
      <c r="IFD34" s="1000"/>
      <c r="IFE34" s="1000"/>
      <c r="IFF34" s="1000"/>
      <c r="IFG34" s="1000"/>
      <c r="IFH34" s="1000"/>
      <c r="IFI34" s="1000"/>
      <c r="IFJ34" s="1000"/>
      <c r="IFK34" s="1000"/>
      <c r="IFL34" s="1000"/>
      <c r="IFM34" s="1000"/>
      <c r="IFN34" s="1000"/>
      <c r="IFO34" s="1000"/>
      <c r="IFP34" s="1000"/>
      <c r="IFQ34" s="1000"/>
      <c r="IFR34" s="1000"/>
      <c r="IFS34" s="1000"/>
      <c r="IFT34" s="1000"/>
      <c r="IFU34" s="1000"/>
      <c r="IFV34" s="1000"/>
      <c r="IFW34" s="1000"/>
      <c r="IFX34" s="1000"/>
      <c r="IFY34" s="1000"/>
      <c r="IFZ34" s="1000"/>
      <c r="IGA34" s="1000"/>
      <c r="IGB34" s="1000"/>
      <c r="IGC34" s="1000"/>
      <c r="IGD34" s="1000"/>
      <c r="IGE34" s="1000"/>
      <c r="IGF34" s="1000"/>
      <c r="IGG34" s="1000"/>
      <c r="IGH34" s="1000"/>
      <c r="IGI34" s="1000"/>
      <c r="IGJ34" s="1000"/>
      <c r="IGK34" s="1000"/>
      <c r="IGL34" s="1000"/>
      <c r="IGM34" s="1000"/>
      <c r="IGN34" s="1000"/>
      <c r="IGO34" s="1000"/>
      <c r="IGP34" s="1000"/>
      <c r="IGQ34" s="1000"/>
      <c r="IGR34" s="1000"/>
      <c r="IGS34" s="1000"/>
      <c r="IGT34" s="1000"/>
      <c r="IGU34" s="1000"/>
      <c r="IGV34" s="1000"/>
      <c r="IGW34" s="1000"/>
      <c r="IGX34" s="1000"/>
      <c r="IGY34" s="1000"/>
      <c r="IGZ34" s="1000"/>
      <c r="IHA34" s="1000"/>
      <c r="IHB34" s="1000"/>
      <c r="IHC34" s="1000"/>
      <c r="IHD34" s="1000"/>
      <c r="IHE34" s="1000"/>
      <c r="IHF34" s="1000"/>
      <c r="IHG34" s="1000"/>
      <c r="IHH34" s="1000"/>
      <c r="IHI34" s="1000"/>
      <c r="IHJ34" s="1000"/>
      <c r="IHK34" s="1000"/>
      <c r="IHL34" s="1000"/>
      <c r="IHM34" s="1000"/>
      <c r="IHN34" s="1000"/>
      <c r="IHO34" s="1000"/>
      <c r="IHP34" s="1000"/>
      <c r="IHQ34" s="1000"/>
      <c r="IHR34" s="1000"/>
      <c r="IHS34" s="1000"/>
      <c r="IHT34" s="1000"/>
      <c r="IHU34" s="1000"/>
      <c r="IHV34" s="1000"/>
      <c r="IHW34" s="1000"/>
      <c r="IHX34" s="1000"/>
      <c r="IHY34" s="1000"/>
      <c r="IHZ34" s="1000"/>
      <c r="IIA34" s="1000"/>
      <c r="IIB34" s="1000"/>
      <c r="IIC34" s="1000"/>
      <c r="IID34" s="1000"/>
      <c r="IIE34" s="1000"/>
      <c r="IIF34" s="1000"/>
      <c r="IIG34" s="1000"/>
      <c r="IIH34" s="1000"/>
      <c r="III34" s="1000"/>
      <c r="IIJ34" s="1000"/>
      <c r="IIK34" s="1000"/>
      <c r="IIL34" s="1000"/>
      <c r="IIM34" s="1000"/>
      <c r="IIN34" s="1000"/>
      <c r="IIO34" s="1000"/>
      <c r="IIP34" s="1000"/>
      <c r="IIQ34" s="1000"/>
      <c r="IIR34" s="1000"/>
      <c r="IIS34" s="1000"/>
      <c r="IIT34" s="1000"/>
      <c r="IIU34" s="1000"/>
      <c r="IIV34" s="1000"/>
      <c r="IIW34" s="1000"/>
      <c r="IIX34" s="1000"/>
      <c r="IIY34" s="1000"/>
      <c r="IIZ34" s="1000"/>
      <c r="IJA34" s="1000"/>
      <c r="IJB34" s="1000"/>
      <c r="IJC34" s="1000"/>
      <c r="IJD34" s="1000"/>
      <c r="IJE34" s="1000"/>
      <c r="IJF34" s="1000"/>
      <c r="IJG34" s="1000"/>
      <c r="IJH34" s="1000"/>
      <c r="IJI34" s="1000"/>
      <c r="IJJ34" s="1000"/>
      <c r="IJK34" s="1000"/>
      <c r="IJL34" s="1000"/>
      <c r="IJM34" s="1000"/>
      <c r="IJN34" s="1000"/>
      <c r="IJO34" s="1000"/>
      <c r="IJP34" s="1000"/>
      <c r="IJQ34" s="1000"/>
      <c r="IJR34" s="1000"/>
      <c r="IJS34" s="1000"/>
      <c r="IJT34" s="1000"/>
      <c r="IJU34" s="1000"/>
      <c r="IJV34" s="1000"/>
      <c r="IJW34" s="1000"/>
      <c r="IJX34" s="1000"/>
      <c r="IJY34" s="1000"/>
      <c r="IJZ34" s="1000"/>
      <c r="IKA34" s="1000"/>
      <c r="IKB34" s="1000"/>
      <c r="IKC34" s="1000"/>
      <c r="IKD34" s="1000"/>
      <c r="IKE34" s="1000"/>
      <c r="IKF34" s="1000"/>
      <c r="IKG34" s="1000"/>
      <c r="IKH34" s="1000"/>
      <c r="IKI34" s="1000"/>
      <c r="IKJ34" s="1000"/>
      <c r="IKK34" s="1000"/>
      <c r="IKL34" s="1000"/>
      <c r="IKM34" s="1000"/>
      <c r="IKN34" s="1000"/>
      <c r="IKO34" s="1000"/>
      <c r="IKP34" s="1000"/>
      <c r="IKQ34" s="1000"/>
      <c r="IKR34" s="1000"/>
      <c r="IKS34" s="1000"/>
      <c r="IKT34" s="1000"/>
      <c r="IKU34" s="1000"/>
      <c r="IKV34" s="1000"/>
      <c r="IKW34" s="1000"/>
      <c r="IKX34" s="1000"/>
      <c r="IKY34" s="1000"/>
      <c r="IKZ34" s="1000"/>
      <c r="ILA34" s="1000"/>
      <c r="ILB34" s="1000"/>
      <c r="ILC34" s="1000"/>
      <c r="ILD34" s="1000"/>
      <c r="ILE34" s="1000"/>
      <c r="ILF34" s="1000"/>
      <c r="ILG34" s="1000"/>
      <c r="ILH34" s="1000"/>
      <c r="ILI34" s="1000"/>
      <c r="ILJ34" s="1000"/>
      <c r="ILK34" s="1000"/>
      <c r="ILL34" s="1000"/>
      <c r="ILM34" s="1000"/>
      <c r="ILN34" s="1000"/>
      <c r="ILO34" s="1000"/>
      <c r="ILP34" s="1000"/>
      <c r="ILQ34" s="1000"/>
      <c r="ILR34" s="1000"/>
      <c r="ILS34" s="1000"/>
      <c r="ILT34" s="1000"/>
      <c r="ILU34" s="1000"/>
      <c r="ILV34" s="1000"/>
      <c r="ILW34" s="1000"/>
      <c r="ILX34" s="1000"/>
      <c r="ILY34" s="1000"/>
      <c r="ILZ34" s="1000"/>
      <c r="IMA34" s="1000"/>
      <c r="IMB34" s="1000"/>
      <c r="IMC34" s="1000"/>
      <c r="IMD34" s="1000"/>
      <c r="IME34" s="1000"/>
      <c r="IMF34" s="1000"/>
      <c r="IMG34" s="1000"/>
      <c r="IMH34" s="1000"/>
      <c r="IMI34" s="1000"/>
      <c r="IMJ34" s="1000"/>
      <c r="IMK34" s="1000"/>
      <c r="IML34" s="1000"/>
      <c r="IMM34" s="1000"/>
      <c r="IMN34" s="1000"/>
      <c r="IMO34" s="1000"/>
      <c r="IMP34" s="1000"/>
      <c r="IMQ34" s="1000"/>
      <c r="IMR34" s="1000"/>
      <c r="IMS34" s="1000"/>
      <c r="IMT34" s="1000"/>
      <c r="IMU34" s="1000"/>
      <c r="IMV34" s="1000"/>
      <c r="IMW34" s="1000"/>
      <c r="IMX34" s="1000"/>
      <c r="IMY34" s="1000"/>
      <c r="IMZ34" s="1000"/>
      <c r="INA34" s="1000"/>
      <c r="INB34" s="1000"/>
      <c r="INC34" s="1000"/>
      <c r="IND34" s="1000"/>
      <c r="INE34" s="1000"/>
      <c r="INF34" s="1000"/>
      <c r="ING34" s="1000"/>
      <c r="INH34" s="1000"/>
      <c r="INI34" s="1000"/>
      <c r="INJ34" s="1000"/>
      <c r="INK34" s="1000"/>
      <c r="INL34" s="1000"/>
      <c r="INM34" s="1000"/>
      <c r="INN34" s="1000"/>
      <c r="INO34" s="1000"/>
      <c r="INP34" s="1000"/>
      <c r="INQ34" s="1000"/>
      <c r="INR34" s="1000"/>
      <c r="INS34" s="1000"/>
      <c r="INT34" s="1000"/>
      <c r="INU34" s="1000"/>
      <c r="INV34" s="1000"/>
      <c r="INW34" s="1000"/>
      <c r="INX34" s="1000"/>
      <c r="INY34" s="1000"/>
      <c r="INZ34" s="1000"/>
      <c r="IOA34" s="1000"/>
      <c r="IOB34" s="1000"/>
      <c r="IOC34" s="1000"/>
      <c r="IOD34" s="1000"/>
      <c r="IOE34" s="1000"/>
      <c r="IOF34" s="1000"/>
      <c r="IOG34" s="1000"/>
      <c r="IOH34" s="1000"/>
      <c r="IOI34" s="1000"/>
      <c r="IOJ34" s="1000"/>
      <c r="IOK34" s="1000"/>
      <c r="IOL34" s="1000"/>
      <c r="IOM34" s="1000"/>
      <c r="ION34" s="1000"/>
      <c r="IOO34" s="1000"/>
      <c r="IOP34" s="1000"/>
      <c r="IOQ34" s="1000"/>
      <c r="IOR34" s="1000"/>
      <c r="IOS34" s="1000"/>
      <c r="IOT34" s="1000"/>
      <c r="IOU34" s="1000"/>
      <c r="IOV34" s="1000"/>
      <c r="IOW34" s="1000"/>
      <c r="IOX34" s="1000"/>
      <c r="IOY34" s="1000"/>
      <c r="IOZ34" s="1000"/>
      <c r="IPA34" s="1000"/>
      <c r="IPB34" s="1000"/>
      <c r="IPC34" s="1000"/>
      <c r="IPD34" s="1000"/>
      <c r="IPE34" s="1000"/>
      <c r="IPF34" s="1000"/>
      <c r="IPG34" s="1000"/>
      <c r="IPH34" s="1000"/>
      <c r="IPI34" s="1000"/>
      <c r="IPJ34" s="1000"/>
      <c r="IPK34" s="1000"/>
      <c r="IPL34" s="1000"/>
      <c r="IPM34" s="1000"/>
      <c r="IPN34" s="1000"/>
      <c r="IPO34" s="1000"/>
      <c r="IPP34" s="1000"/>
      <c r="IPQ34" s="1000"/>
      <c r="IPR34" s="1000"/>
      <c r="IPS34" s="1000"/>
      <c r="IPT34" s="1000"/>
      <c r="IPU34" s="1000"/>
      <c r="IPV34" s="1000"/>
      <c r="IPW34" s="1000"/>
      <c r="IPX34" s="1000"/>
      <c r="IPY34" s="1000"/>
      <c r="IPZ34" s="1000"/>
      <c r="IQA34" s="1000"/>
      <c r="IQB34" s="1000"/>
      <c r="IQC34" s="1000"/>
      <c r="IQD34" s="1000"/>
      <c r="IQE34" s="1000"/>
      <c r="IQF34" s="1000"/>
      <c r="IQG34" s="1000"/>
      <c r="IQH34" s="1000"/>
      <c r="IQI34" s="1000"/>
      <c r="IQJ34" s="1000"/>
      <c r="IQK34" s="1000"/>
      <c r="IQL34" s="1000"/>
      <c r="IQM34" s="1000"/>
      <c r="IQN34" s="1000"/>
      <c r="IQO34" s="1000"/>
      <c r="IQP34" s="1000"/>
      <c r="IQQ34" s="1000"/>
      <c r="IQR34" s="1000"/>
      <c r="IQS34" s="1000"/>
      <c r="IQT34" s="1000"/>
      <c r="IQU34" s="1000"/>
      <c r="IQV34" s="1000"/>
      <c r="IQW34" s="1000"/>
      <c r="IQX34" s="1000"/>
      <c r="IQY34" s="1000"/>
      <c r="IQZ34" s="1000"/>
      <c r="IRA34" s="1000"/>
      <c r="IRB34" s="1000"/>
      <c r="IRC34" s="1000"/>
      <c r="IRD34" s="1000"/>
      <c r="IRE34" s="1000"/>
      <c r="IRF34" s="1000"/>
      <c r="IRG34" s="1000"/>
      <c r="IRH34" s="1000"/>
      <c r="IRI34" s="1000"/>
      <c r="IRJ34" s="1000"/>
      <c r="IRK34" s="1000"/>
      <c r="IRL34" s="1000"/>
      <c r="IRM34" s="1000"/>
      <c r="IRN34" s="1000"/>
      <c r="IRO34" s="1000"/>
      <c r="IRP34" s="1000"/>
      <c r="IRQ34" s="1000"/>
      <c r="IRR34" s="1000"/>
      <c r="IRS34" s="1000"/>
      <c r="IRT34" s="1000"/>
      <c r="IRU34" s="1000"/>
      <c r="IRV34" s="1000"/>
      <c r="IRW34" s="1000"/>
      <c r="IRX34" s="1000"/>
      <c r="IRY34" s="1000"/>
      <c r="IRZ34" s="1000"/>
      <c r="ISA34" s="1000"/>
      <c r="ISB34" s="1000"/>
      <c r="ISC34" s="1000"/>
      <c r="ISD34" s="1000"/>
      <c r="ISE34" s="1000"/>
      <c r="ISF34" s="1000"/>
      <c r="ISG34" s="1000"/>
      <c r="ISH34" s="1000"/>
      <c r="ISI34" s="1000"/>
      <c r="ISJ34" s="1000"/>
      <c r="ISK34" s="1000"/>
      <c r="ISL34" s="1000"/>
      <c r="ISM34" s="1000"/>
      <c r="ISN34" s="1000"/>
      <c r="ISO34" s="1000"/>
      <c r="ISP34" s="1000"/>
      <c r="ISQ34" s="1000"/>
      <c r="ISR34" s="1000"/>
      <c r="ISS34" s="1000"/>
      <c r="IST34" s="1000"/>
      <c r="ISU34" s="1000"/>
      <c r="ISV34" s="1000"/>
      <c r="ISW34" s="1000"/>
      <c r="ISX34" s="1000"/>
      <c r="ISY34" s="1000"/>
      <c r="ISZ34" s="1000"/>
      <c r="ITA34" s="1000"/>
      <c r="ITB34" s="1000"/>
      <c r="ITC34" s="1000"/>
      <c r="ITD34" s="1000"/>
      <c r="ITE34" s="1000"/>
      <c r="ITF34" s="1000"/>
      <c r="ITG34" s="1000"/>
      <c r="ITH34" s="1000"/>
      <c r="ITI34" s="1000"/>
      <c r="ITJ34" s="1000"/>
      <c r="ITK34" s="1000"/>
      <c r="ITL34" s="1000"/>
      <c r="ITM34" s="1000"/>
      <c r="ITN34" s="1000"/>
      <c r="ITO34" s="1000"/>
      <c r="ITP34" s="1000"/>
      <c r="ITQ34" s="1000"/>
      <c r="ITR34" s="1000"/>
      <c r="ITS34" s="1000"/>
      <c r="ITT34" s="1000"/>
      <c r="ITU34" s="1000"/>
      <c r="ITV34" s="1000"/>
      <c r="ITW34" s="1000"/>
      <c r="ITX34" s="1000"/>
      <c r="ITY34" s="1000"/>
      <c r="ITZ34" s="1000"/>
      <c r="IUA34" s="1000"/>
      <c r="IUB34" s="1000"/>
      <c r="IUC34" s="1000"/>
      <c r="IUD34" s="1000"/>
      <c r="IUE34" s="1000"/>
      <c r="IUF34" s="1000"/>
      <c r="IUG34" s="1000"/>
      <c r="IUH34" s="1000"/>
      <c r="IUI34" s="1000"/>
      <c r="IUJ34" s="1000"/>
      <c r="IUK34" s="1000"/>
      <c r="IUL34" s="1000"/>
      <c r="IUM34" s="1000"/>
      <c r="IUN34" s="1000"/>
      <c r="IUO34" s="1000"/>
      <c r="IUP34" s="1000"/>
      <c r="IUQ34" s="1000"/>
      <c r="IUR34" s="1000"/>
      <c r="IUS34" s="1000"/>
      <c r="IUT34" s="1000"/>
      <c r="IUU34" s="1000"/>
      <c r="IUV34" s="1000"/>
      <c r="IUW34" s="1000"/>
      <c r="IUX34" s="1000"/>
      <c r="IUY34" s="1000"/>
      <c r="IUZ34" s="1000"/>
      <c r="IVA34" s="1000"/>
      <c r="IVB34" s="1000"/>
      <c r="IVC34" s="1000"/>
      <c r="IVD34" s="1000"/>
      <c r="IVE34" s="1000"/>
      <c r="IVF34" s="1000"/>
      <c r="IVG34" s="1000"/>
      <c r="IVH34" s="1000"/>
      <c r="IVI34" s="1000"/>
      <c r="IVJ34" s="1000"/>
      <c r="IVK34" s="1000"/>
      <c r="IVL34" s="1000"/>
      <c r="IVM34" s="1000"/>
      <c r="IVN34" s="1000"/>
      <c r="IVO34" s="1000"/>
      <c r="IVP34" s="1000"/>
      <c r="IVQ34" s="1000"/>
      <c r="IVR34" s="1000"/>
      <c r="IVS34" s="1000"/>
      <c r="IVT34" s="1000"/>
      <c r="IVU34" s="1000"/>
      <c r="IVV34" s="1000"/>
      <c r="IVW34" s="1000"/>
      <c r="IVX34" s="1000"/>
      <c r="IVY34" s="1000"/>
      <c r="IVZ34" s="1000"/>
      <c r="IWA34" s="1000"/>
      <c r="IWB34" s="1000"/>
      <c r="IWC34" s="1000"/>
      <c r="IWD34" s="1000"/>
      <c r="IWE34" s="1000"/>
      <c r="IWF34" s="1000"/>
      <c r="IWG34" s="1000"/>
      <c r="IWH34" s="1000"/>
      <c r="IWI34" s="1000"/>
      <c r="IWJ34" s="1000"/>
      <c r="IWK34" s="1000"/>
      <c r="IWL34" s="1000"/>
      <c r="IWM34" s="1000"/>
      <c r="IWN34" s="1000"/>
      <c r="IWO34" s="1000"/>
      <c r="IWP34" s="1000"/>
      <c r="IWQ34" s="1000"/>
      <c r="IWR34" s="1000"/>
      <c r="IWS34" s="1000"/>
      <c r="IWT34" s="1000"/>
      <c r="IWU34" s="1000"/>
      <c r="IWV34" s="1000"/>
      <c r="IWW34" s="1000"/>
      <c r="IWX34" s="1000"/>
      <c r="IWY34" s="1000"/>
      <c r="IWZ34" s="1000"/>
      <c r="IXA34" s="1000"/>
      <c r="IXB34" s="1000"/>
      <c r="IXC34" s="1000"/>
      <c r="IXD34" s="1000"/>
      <c r="IXE34" s="1000"/>
      <c r="IXF34" s="1000"/>
      <c r="IXG34" s="1000"/>
      <c r="IXH34" s="1000"/>
      <c r="IXI34" s="1000"/>
      <c r="IXJ34" s="1000"/>
      <c r="IXK34" s="1000"/>
      <c r="IXL34" s="1000"/>
      <c r="IXM34" s="1000"/>
      <c r="IXN34" s="1000"/>
      <c r="IXO34" s="1000"/>
      <c r="IXP34" s="1000"/>
      <c r="IXQ34" s="1000"/>
      <c r="IXR34" s="1000"/>
      <c r="IXS34" s="1000"/>
      <c r="IXT34" s="1000"/>
      <c r="IXU34" s="1000"/>
      <c r="IXV34" s="1000"/>
      <c r="IXW34" s="1000"/>
      <c r="IXX34" s="1000"/>
      <c r="IXY34" s="1000"/>
      <c r="IXZ34" s="1000"/>
      <c r="IYA34" s="1000"/>
      <c r="IYB34" s="1000"/>
      <c r="IYC34" s="1000"/>
      <c r="IYD34" s="1000"/>
      <c r="IYE34" s="1000"/>
      <c r="IYF34" s="1000"/>
      <c r="IYG34" s="1000"/>
      <c r="IYH34" s="1000"/>
      <c r="IYI34" s="1000"/>
      <c r="IYJ34" s="1000"/>
      <c r="IYK34" s="1000"/>
      <c r="IYL34" s="1000"/>
      <c r="IYM34" s="1000"/>
      <c r="IYN34" s="1000"/>
      <c r="IYO34" s="1000"/>
      <c r="IYP34" s="1000"/>
      <c r="IYQ34" s="1000"/>
      <c r="IYR34" s="1000"/>
      <c r="IYS34" s="1000"/>
      <c r="IYT34" s="1000"/>
      <c r="IYU34" s="1000"/>
      <c r="IYV34" s="1000"/>
      <c r="IYW34" s="1000"/>
      <c r="IYX34" s="1000"/>
      <c r="IYY34" s="1000"/>
      <c r="IYZ34" s="1000"/>
      <c r="IZA34" s="1000"/>
      <c r="IZB34" s="1000"/>
      <c r="IZC34" s="1000"/>
      <c r="IZD34" s="1000"/>
      <c r="IZE34" s="1000"/>
      <c r="IZF34" s="1000"/>
      <c r="IZG34" s="1000"/>
      <c r="IZH34" s="1000"/>
      <c r="IZI34" s="1000"/>
      <c r="IZJ34" s="1000"/>
      <c r="IZK34" s="1000"/>
      <c r="IZL34" s="1000"/>
      <c r="IZM34" s="1000"/>
      <c r="IZN34" s="1000"/>
      <c r="IZO34" s="1000"/>
      <c r="IZP34" s="1000"/>
      <c r="IZQ34" s="1000"/>
      <c r="IZR34" s="1000"/>
      <c r="IZS34" s="1000"/>
      <c r="IZT34" s="1000"/>
      <c r="IZU34" s="1000"/>
      <c r="IZV34" s="1000"/>
      <c r="IZW34" s="1000"/>
      <c r="IZX34" s="1000"/>
      <c r="IZY34" s="1000"/>
      <c r="IZZ34" s="1000"/>
      <c r="JAA34" s="1000"/>
      <c r="JAB34" s="1000"/>
      <c r="JAC34" s="1000"/>
      <c r="JAD34" s="1000"/>
      <c r="JAE34" s="1000"/>
      <c r="JAF34" s="1000"/>
      <c r="JAG34" s="1000"/>
      <c r="JAH34" s="1000"/>
      <c r="JAI34" s="1000"/>
      <c r="JAJ34" s="1000"/>
      <c r="JAK34" s="1000"/>
      <c r="JAL34" s="1000"/>
      <c r="JAM34" s="1000"/>
      <c r="JAN34" s="1000"/>
      <c r="JAO34" s="1000"/>
      <c r="JAP34" s="1000"/>
      <c r="JAQ34" s="1000"/>
      <c r="JAR34" s="1000"/>
      <c r="JAS34" s="1000"/>
      <c r="JAT34" s="1000"/>
      <c r="JAU34" s="1000"/>
      <c r="JAV34" s="1000"/>
      <c r="JAW34" s="1000"/>
      <c r="JAX34" s="1000"/>
      <c r="JAY34" s="1000"/>
      <c r="JAZ34" s="1000"/>
      <c r="JBA34" s="1000"/>
      <c r="JBB34" s="1000"/>
      <c r="JBC34" s="1000"/>
      <c r="JBD34" s="1000"/>
      <c r="JBE34" s="1000"/>
      <c r="JBF34" s="1000"/>
      <c r="JBG34" s="1000"/>
      <c r="JBH34" s="1000"/>
      <c r="JBI34" s="1000"/>
      <c r="JBJ34" s="1000"/>
      <c r="JBK34" s="1000"/>
      <c r="JBL34" s="1000"/>
      <c r="JBM34" s="1000"/>
      <c r="JBN34" s="1000"/>
      <c r="JBO34" s="1000"/>
      <c r="JBP34" s="1000"/>
      <c r="JBQ34" s="1000"/>
      <c r="JBR34" s="1000"/>
      <c r="JBS34" s="1000"/>
      <c r="JBT34" s="1000"/>
      <c r="JBU34" s="1000"/>
      <c r="JBV34" s="1000"/>
      <c r="JBW34" s="1000"/>
      <c r="JBX34" s="1000"/>
      <c r="JBY34" s="1000"/>
      <c r="JBZ34" s="1000"/>
      <c r="JCA34" s="1000"/>
      <c r="JCB34" s="1000"/>
      <c r="JCC34" s="1000"/>
      <c r="JCD34" s="1000"/>
      <c r="JCE34" s="1000"/>
      <c r="JCF34" s="1000"/>
      <c r="JCG34" s="1000"/>
      <c r="JCH34" s="1000"/>
      <c r="JCI34" s="1000"/>
      <c r="JCJ34" s="1000"/>
      <c r="JCK34" s="1000"/>
      <c r="JCL34" s="1000"/>
      <c r="JCM34" s="1000"/>
      <c r="JCN34" s="1000"/>
      <c r="JCO34" s="1000"/>
      <c r="JCP34" s="1000"/>
      <c r="JCQ34" s="1000"/>
      <c r="JCR34" s="1000"/>
      <c r="JCS34" s="1000"/>
      <c r="JCT34" s="1000"/>
      <c r="JCU34" s="1000"/>
      <c r="JCV34" s="1000"/>
      <c r="JCW34" s="1000"/>
      <c r="JCX34" s="1000"/>
      <c r="JCY34" s="1000"/>
      <c r="JCZ34" s="1000"/>
      <c r="JDA34" s="1000"/>
      <c r="JDB34" s="1000"/>
      <c r="JDC34" s="1000"/>
      <c r="JDD34" s="1000"/>
      <c r="JDE34" s="1000"/>
      <c r="JDF34" s="1000"/>
      <c r="JDG34" s="1000"/>
      <c r="JDH34" s="1000"/>
      <c r="JDI34" s="1000"/>
      <c r="JDJ34" s="1000"/>
      <c r="JDK34" s="1000"/>
      <c r="JDL34" s="1000"/>
      <c r="JDM34" s="1000"/>
      <c r="JDN34" s="1000"/>
      <c r="JDO34" s="1000"/>
      <c r="JDP34" s="1000"/>
      <c r="JDQ34" s="1000"/>
      <c r="JDR34" s="1000"/>
      <c r="JDS34" s="1000"/>
      <c r="JDT34" s="1000"/>
      <c r="JDU34" s="1000"/>
      <c r="JDV34" s="1000"/>
      <c r="JDW34" s="1000"/>
      <c r="JDX34" s="1000"/>
      <c r="JDY34" s="1000"/>
      <c r="JDZ34" s="1000"/>
      <c r="JEA34" s="1000"/>
      <c r="JEB34" s="1000"/>
      <c r="JEC34" s="1000"/>
      <c r="JED34" s="1000"/>
      <c r="JEE34" s="1000"/>
      <c r="JEF34" s="1000"/>
      <c r="JEG34" s="1000"/>
      <c r="JEH34" s="1000"/>
      <c r="JEI34" s="1000"/>
      <c r="JEJ34" s="1000"/>
      <c r="JEK34" s="1000"/>
      <c r="JEL34" s="1000"/>
      <c r="JEM34" s="1000"/>
      <c r="JEN34" s="1000"/>
      <c r="JEO34" s="1000"/>
      <c r="JEP34" s="1000"/>
      <c r="JEQ34" s="1000"/>
      <c r="JER34" s="1000"/>
      <c r="JES34" s="1000"/>
      <c r="JET34" s="1000"/>
      <c r="JEU34" s="1000"/>
      <c r="JEV34" s="1000"/>
      <c r="JEW34" s="1000"/>
      <c r="JEX34" s="1000"/>
      <c r="JEY34" s="1000"/>
      <c r="JEZ34" s="1000"/>
      <c r="JFA34" s="1000"/>
      <c r="JFB34" s="1000"/>
      <c r="JFC34" s="1000"/>
      <c r="JFD34" s="1000"/>
      <c r="JFE34" s="1000"/>
      <c r="JFF34" s="1000"/>
      <c r="JFG34" s="1000"/>
      <c r="JFH34" s="1000"/>
      <c r="JFI34" s="1000"/>
      <c r="JFJ34" s="1000"/>
      <c r="JFK34" s="1000"/>
      <c r="JFL34" s="1000"/>
      <c r="JFM34" s="1000"/>
      <c r="JFN34" s="1000"/>
      <c r="JFO34" s="1000"/>
      <c r="JFP34" s="1000"/>
      <c r="JFQ34" s="1000"/>
      <c r="JFR34" s="1000"/>
      <c r="JFS34" s="1000"/>
      <c r="JFT34" s="1000"/>
      <c r="JFU34" s="1000"/>
      <c r="JFV34" s="1000"/>
      <c r="JFW34" s="1000"/>
      <c r="JFX34" s="1000"/>
      <c r="JFY34" s="1000"/>
      <c r="JFZ34" s="1000"/>
      <c r="JGA34" s="1000"/>
      <c r="JGB34" s="1000"/>
      <c r="JGC34" s="1000"/>
      <c r="JGD34" s="1000"/>
      <c r="JGE34" s="1000"/>
      <c r="JGF34" s="1000"/>
      <c r="JGG34" s="1000"/>
      <c r="JGH34" s="1000"/>
      <c r="JGI34" s="1000"/>
      <c r="JGJ34" s="1000"/>
      <c r="JGK34" s="1000"/>
      <c r="JGL34" s="1000"/>
      <c r="JGM34" s="1000"/>
      <c r="JGN34" s="1000"/>
      <c r="JGO34" s="1000"/>
      <c r="JGP34" s="1000"/>
      <c r="JGQ34" s="1000"/>
      <c r="JGR34" s="1000"/>
      <c r="JGS34" s="1000"/>
      <c r="JGT34" s="1000"/>
      <c r="JGU34" s="1000"/>
      <c r="JGV34" s="1000"/>
      <c r="JGW34" s="1000"/>
      <c r="JGX34" s="1000"/>
      <c r="JGY34" s="1000"/>
      <c r="JGZ34" s="1000"/>
      <c r="JHA34" s="1000"/>
      <c r="JHB34" s="1000"/>
      <c r="JHC34" s="1000"/>
      <c r="JHD34" s="1000"/>
      <c r="JHE34" s="1000"/>
      <c r="JHF34" s="1000"/>
      <c r="JHG34" s="1000"/>
      <c r="JHH34" s="1000"/>
      <c r="JHI34" s="1000"/>
      <c r="JHJ34" s="1000"/>
      <c r="JHK34" s="1000"/>
      <c r="JHL34" s="1000"/>
      <c r="JHM34" s="1000"/>
      <c r="JHN34" s="1000"/>
      <c r="JHO34" s="1000"/>
      <c r="JHP34" s="1000"/>
      <c r="JHQ34" s="1000"/>
      <c r="JHR34" s="1000"/>
      <c r="JHS34" s="1000"/>
      <c r="JHT34" s="1000"/>
      <c r="JHU34" s="1000"/>
      <c r="JHV34" s="1000"/>
      <c r="JHW34" s="1000"/>
      <c r="JHX34" s="1000"/>
      <c r="JHY34" s="1000"/>
      <c r="JHZ34" s="1000"/>
      <c r="JIA34" s="1000"/>
      <c r="JIB34" s="1000"/>
      <c r="JIC34" s="1000"/>
      <c r="JID34" s="1000"/>
      <c r="JIE34" s="1000"/>
      <c r="JIF34" s="1000"/>
      <c r="JIG34" s="1000"/>
      <c r="JIH34" s="1000"/>
      <c r="JII34" s="1000"/>
      <c r="JIJ34" s="1000"/>
      <c r="JIK34" s="1000"/>
      <c r="JIL34" s="1000"/>
      <c r="JIM34" s="1000"/>
      <c r="JIN34" s="1000"/>
      <c r="JIO34" s="1000"/>
      <c r="JIP34" s="1000"/>
      <c r="JIQ34" s="1000"/>
      <c r="JIR34" s="1000"/>
      <c r="JIS34" s="1000"/>
      <c r="JIT34" s="1000"/>
      <c r="JIU34" s="1000"/>
      <c r="JIV34" s="1000"/>
      <c r="JIW34" s="1000"/>
      <c r="JIX34" s="1000"/>
      <c r="JIY34" s="1000"/>
      <c r="JIZ34" s="1000"/>
      <c r="JJA34" s="1000"/>
      <c r="JJB34" s="1000"/>
      <c r="JJC34" s="1000"/>
      <c r="JJD34" s="1000"/>
      <c r="JJE34" s="1000"/>
      <c r="JJF34" s="1000"/>
      <c r="JJG34" s="1000"/>
      <c r="JJH34" s="1000"/>
      <c r="JJI34" s="1000"/>
      <c r="JJJ34" s="1000"/>
      <c r="JJK34" s="1000"/>
      <c r="JJL34" s="1000"/>
      <c r="JJM34" s="1000"/>
      <c r="JJN34" s="1000"/>
      <c r="JJO34" s="1000"/>
      <c r="JJP34" s="1000"/>
      <c r="JJQ34" s="1000"/>
      <c r="JJR34" s="1000"/>
      <c r="JJS34" s="1000"/>
      <c r="JJT34" s="1000"/>
      <c r="JJU34" s="1000"/>
      <c r="JJV34" s="1000"/>
      <c r="JJW34" s="1000"/>
      <c r="JJX34" s="1000"/>
      <c r="JJY34" s="1000"/>
      <c r="JJZ34" s="1000"/>
      <c r="JKA34" s="1000"/>
      <c r="JKB34" s="1000"/>
      <c r="JKC34" s="1000"/>
      <c r="JKD34" s="1000"/>
      <c r="JKE34" s="1000"/>
      <c r="JKF34" s="1000"/>
      <c r="JKG34" s="1000"/>
      <c r="JKH34" s="1000"/>
      <c r="JKI34" s="1000"/>
      <c r="JKJ34" s="1000"/>
      <c r="JKK34" s="1000"/>
      <c r="JKL34" s="1000"/>
      <c r="JKM34" s="1000"/>
      <c r="JKN34" s="1000"/>
      <c r="JKO34" s="1000"/>
      <c r="JKP34" s="1000"/>
      <c r="JKQ34" s="1000"/>
      <c r="JKR34" s="1000"/>
      <c r="JKS34" s="1000"/>
      <c r="JKT34" s="1000"/>
      <c r="JKU34" s="1000"/>
      <c r="JKV34" s="1000"/>
      <c r="JKW34" s="1000"/>
      <c r="JKX34" s="1000"/>
      <c r="JKY34" s="1000"/>
      <c r="JKZ34" s="1000"/>
      <c r="JLA34" s="1000"/>
      <c r="JLB34" s="1000"/>
      <c r="JLC34" s="1000"/>
      <c r="JLD34" s="1000"/>
      <c r="JLE34" s="1000"/>
      <c r="JLF34" s="1000"/>
      <c r="JLG34" s="1000"/>
      <c r="JLH34" s="1000"/>
      <c r="JLI34" s="1000"/>
      <c r="JLJ34" s="1000"/>
      <c r="JLK34" s="1000"/>
      <c r="JLL34" s="1000"/>
      <c r="JLM34" s="1000"/>
      <c r="JLN34" s="1000"/>
      <c r="JLO34" s="1000"/>
      <c r="JLP34" s="1000"/>
      <c r="JLQ34" s="1000"/>
      <c r="JLR34" s="1000"/>
      <c r="JLS34" s="1000"/>
      <c r="JLT34" s="1000"/>
      <c r="JLU34" s="1000"/>
      <c r="JLV34" s="1000"/>
      <c r="JLW34" s="1000"/>
      <c r="JLX34" s="1000"/>
      <c r="JLY34" s="1000"/>
      <c r="JLZ34" s="1000"/>
      <c r="JMA34" s="1000"/>
      <c r="JMB34" s="1000"/>
      <c r="JMC34" s="1000"/>
      <c r="JMD34" s="1000"/>
      <c r="JME34" s="1000"/>
      <c r="JMF34" s="1000"/>
      <c r="JMG34" s="1000"/>
      <c r="JMH34" s="1000"/>
      <c r="JMI34" s="1000"/>
      <c r="JMJ34" s="1000"/>
      <c r="JMK34" s="1000"/>
      <c r="JML34" s="1000"/>
      <c r="JMM34" s="1000"/>
      <c r="JMN34" s="1000"/>
      <c r="JMO34" s="1000"/>
      <c r="JMP34" s="1000"/>
      <c r="JMQ34" s="1000"/>
      <c r="JMR34" s="1000"/>
      <c r="JMS34" s="1000"/>
      <c r="JMT34" s="1000"/>
      <c r="JMU34" s="1000"/>
      <c r="JMV34" s="1000"/>
      <c r="JMW34" s="1000"/>
      <c r="JMX34" s="1000"/>
      <c r="JMY34" s="1000"/>
      <c r="JMZ34" s="1000"/>
      <c r="JNA34" s="1000"/>
      <c r="JNB34" s="1000"/>
      <c r="JNC34" s="1000"/>
      <c r="JND34" s="1000"/>
      <c r="JNE34" s="1000"/>
      <c r="JNF34" s="1000"/>
      <c r="JNG34" s="1000"/>
      <c r="JNH34" s="1000"/>
      <c r="JNI34" s="1000"/>
      <c r="JNJ34" s="1000"/>
      <c r="JNK34" s="1000"/>
      <c r="JNL34" s="1000"/>
      <c r="JNM34" s="1000"/>
      <c r="JNN34" s="1000"/>
      <c r="JNO34" s="1000"/>
      <c r="JNP34" s="1000"/>
      <c r="JNQ34" s="1000"/>
      <c r="JNR34" s="1000"/>
      <c r="JNS34" s="1000"/>
      <c r="JNT34" s="1000"/>
      <c r="JNU34" s="1000"/>
      <c r="JNV34" s="1000"/>
      <c r="JNW34" s="1000"/>
      <c r="JNX34" s="1000"/>
      <c r="JNY34" s="1000"/>
      <c r="JNZ34" s="1000"/>
      <c r="JOA34" s="1000"/>
      <c r="JOB34" s="1000"/>
      <c r="JOC34" s="1000"/>
      <c r="JOD34" s="1000"/>
      <c r="JOE34" s="1000"/>
      <c r="JOF34" s="1000"/>
      <c r="JOG34" s="1000"/>
      <c r="JOH34" s="1000"/>
      <c r="JOI34" s="1000"/>
      <c r="JOJ34" s="1000"/>
      <c r="JOK34" s="1000"/>
      <c r="JOL34" s="1000"/>
      <c r="JOM34" s="1000"/>
      <c r="JON34" s="1000"/>
      <c r="JOO34" s="1000"/>
      <c r="JOP34" s="1000"/>
      <c r="JOQ34" s="1000"/>
      <c r="JOR34" s="1000"/>
      <c r="JOS34" s="1000"/>
      <c r="JOT34" s="1000"/>
      <c r="JOU34" s="1000"/>
      <c r="JOV34" s="1000"/>
      <c r="JOW34" s="1000"/>
      <c r="JOX34" s="1000"/>
      <c r="JOY34" s="1000"/>
      <c r="JOZ34" s="1000"/>
      <c r="JPA34" s="1000"/>
      <c r="JPB34" s="1000"/>
      <c r="JPC34" s="1000"/>
      <c r="JPD34" s="1000"/>
      <c r="JPE34" s="1000"/>
      <c r="JPF34" s="1000"/>
      <c r="JPG34" s="1000"/>
      <c r="JPH34" s="1000"/>
      <c r="JPI34" s="1000"/>
      <c r="JPJ34" s="1000"/>
      <c r="JPK34" s="1000"/>
      <c r="JPL34" s="1000"/>
      <c r="JPM34" s="1000"/>
      <c r="JPN34" s="1000"/>
      <c r="JPO34" s="1000"/>
      <c r="JPP34" s="1000"/>
      <c r="JPQ34" s="1000"/>
      <c r="JPR34" s="1000"/>
      <c r="JPS34" s="1000"/>
      <c r="JPT34" s="1000"/>
      <c r="JPU34" s="1000"/>
      <c r="JPV34" s="1000"/>
      <c r="JPW34" s="1000"/>
      <c r="JPX34" s="1000"/>
      <c r="JPY34" s="1000"/>
      <c r="JPZ34" s="1000"/>
      <c r="JQA34" s="1000"/>
      <c r="JQB34" s="1000"/>
      <c r="JQC34" s="1000"/>
      <c r="JQD34" s="1000"/>
      <c r="JQE34" s="1000"/>
      <c r="JQF34" s="1000"/>
      <c r="JQG34" s="1000"/>
      <c r="JQH34" s="1000"/>
      <c r="JQI34" s="1000"/>
      <c r="JQJ34" s="1000"/>
      <c r="JQK34" s="1000"/>
      <c r="JQL34" s="1000"/>
      <c r="JQM34" s="1000"/>
      <c r="JQN34" s="1000"/>
      <c r="JQO34" s="1000"/>
      <c r="JQP34" s="1000"/>
      <c r="JQQ34" s="1000"/>
      <c r="JQR34" s="1000"/>
      <c r="JQS34" s="1000"/>
      <c r="JQT34" s="1000"/>
      <c r="JQU34" s="1000"/>
      <c r="JQV34" s="1000"/>
      <c r="JQW34" s="1000"/>
      <c r="JQX34" s="1000"/>
      <c r="JQY34" s="1000"/>
      <c r="JQZ34" s="1000"/>
      <c r="JRA34" s="1000"/>
      <c r="JRB34" s="1000"/>
      <c r="JRC34" s="1000"/>
      <c r="JRD34" s="1000"/>
      <c r="JRE34" s="1000"/>
      <c r="JRF34" s="1000"/>
      <c r="JRG34" s="1000"/>
      <c r="JRH34" s="1000"/>
      <c r="JRI34" s="1000"/>
      <c r="JRJ34" s="1000"/>
      <c r="JRK34" s="1000"/>
      <c r="JRL34" s="1000"/>
      <c r="JRM34" s="1000"/>
      <c r="JRN34" s="1000"/>
      <c r="JRO34" s="1000"/>
      <c r="JRP34" s="1000"/>
      <c r="JRQ34" s="1000"/>
      <c r="JRR34" s="1000"/>
      <c r="JRS34" s="1000"/>
      <c r="JRT34" s="1000"/>
      <c r="JRU34" s="1000"/>
      <c r="JRV34" s="1000"/>
      <c r="JRW34" s="1000"/>
      <c r="JRX34" s="1000"/>
      <c r="JRY34" s="1000"/>
      <c r="JRZ34" s="1000"/>
      <c r="JSA34" s="1000"/>
      <c r="JSB34" s="1000"/>
      <c r="JSC34" s="1000"/>
      <c r="JSD34" s="1000"/>
      <c r="JSE34" s="1000"/>
      <c r="JSF34" s="1000"/>
      <c r="JSG34" s="1000"/>
      <c r="JSH34" s="1000"/>
      <c r="JSI34" s="1000"/>
      <c r="JSJ34" s="1000"/>
      <c r="JSK34" s="1000"/>
      <c r="JSL34" s="1000"/>
      <c r="JSM34" s="1000"/>
      <c r="JSN34" s="1000"/>
      <c r="JSO34" s="1000"/>
      <c r="JSP34" s="1000"/>
      <c r="JSQ34" s="1000"/>
      <c r="JSR34" s="1000"/>
      <c r="JSS34" s="1000"/>
      <c r="JST34" s="1000"/>
      <c r="JSU34" s="1000"/>
      <c r="JSV34" s="1000"/>
      <c r="JSW34" s="1000"/>
      <c r="JSX34" s="1000"/>
      <c r="JSY34" s="1000"/>
      <c r="JSZ34" s="1000"/>
      <c r="JTA34" s="1000"/>
      <c r="JTB34" s="1000"/>
      <c r="JTC34" s="1000"/>
      <c r="JTD34" s="1000"/>
      <c r="JTE34" s="1000"/>
      <c r="JTF34" s="1000"/>
      <c r="JTG34" s="1000"/>
      <c r="JTH34" s="1000"/>
      <c r="JTI34" s="1000"/>
      <c r="JTJ34" s="1000"/>
      <c r="JTK34" s="1000"/>
      <c r="JTL34" s="1000"/>
      <c r="JTM34" s="1000"/>
      <c r="JTN34" s="1000"/>
      <c r="JTO34" s="1000"/>
      <c r="JTP34" s="1000"/>
      <c r="JTQ34" s="1000"/>
      <c r="JTR34" s="1000"/>
      <c r="JTS34" s="1000"/>
      <c r="JTT34" s="1000"/>
      <c r="JTU34" s="1000"/>
      <c r="JTV34" s="1000"/>
      <c r="JTW34" s="1000"/>
      <c r="JTX34" s="1000"/>
      <c r="JTY34" s="1000"/>
      <c r="JTZ34" s="1000"/>
      <c r="JUA34" s="1000"/>
      <c r="JUB34" s="1000"/>
      <c r="JUC34" s="1000"/>
      <c r="JUD34" s="1000"/>
      <c r="JUE34" s="1000"/>
      <c r="JUF34" s="1000"/>
      <c r="JUG34" s="1000"/>
      <c r="JUH34" s="1000"/>
      <c r="JUI34" s="1000"/>
      <c r="JUJ34" s="1000"/>
      <c r="JUK34" s="1000"/>
      <c r="JUL34" s="1000"/>
      <c r="JUM34" s="1000"/>
      <c r="JUN34" s="1000"/>
      <c r="JUO34" s="1000"/>
      <c r="JUP34" s="1000"/>
      <c r="JUQ34" s="1000"/>
      <c r="JUR34" s="1000"/>
      <c r="JUS34" s="1000"/>
      <c r="JUT34" s="1000"/>
      <c r="JUU34" s="1000"/>
      <c r="JUV34" s="1000"/>
      <c r="JUW34" s="1000"/>
      <c r="JUX34" s="1000"/>
      <c r="JUY34" s="1000"/>
      <c r="JUZ34" s="1000"/>
      <c r="JVA34" s="1000"/>
      <c r="JVB34" s="1000"/>
      <c r="JVC34" s="1000"/>
      <c r="JVD34" s="1000"/>
      <c r="JVE34" s="1000"/>
      <c r="JVF34" s="1000"/>
      <c r="JVG34" s="1000"/>
      <c r="JVH34" s="1000"/>
      <c r="JVI34" s="1000"/>
      <c r="JVJ34" s="1000"/>
      <c r="JVK34" s="1000"/>
      <c r="JVL34" s="1000"/>
      <c r="JVM34" s="1000"/>
      <c r="JVN34" s="1000"/>
      <c r="JVO34" s="1000"/>
      <c r="JVP34" s="1000"/>
      <c r="JVQ34" s="1000"/>
      <c r="JVR34" s="1000"/>
      <c r="JVS34" s="1000"/>
      <c r="JVT34" s="1000"/>
      <c r="JVU34" s="1000"/>
      <c r="JVV34" s="1000"/>
      <c r="JVW34" s="1000"/>
      <c r="JVX34" s="1000"/>
      <c r="JVY34" s="1000"/>
      <c r="JVZ34" s="1000"/>
      <c r="JWA34" s="1000"/>
      <c r="JWB34" s="1000"/>
      <c r="JWC34" s="1000"/>
      <c r="JWD34" s="1000"/>
      <c r="JWE34" s="1000"/>
      <c r="JWF34" s="1000"/>
      <c r="JWG34" s="1000"/>
      <c r="JWH34" s="1000"/>
      <c r="JWI34" s="1000"/>
      <c r="JWJ34" s="1000"/>
      <c r="JWK34" s="1000"/>
      <c r="JWL34" s="1000"/>
      <c r="JWM34" s="1000"/>
      <c r="JWN34" s="1000"/>
      <c r="JWO34" s="1000"/>
      <c r="JWP34" s="1000"/>
      <c r="JWQ34" s="1000"/>
      <c r="JWR34" s="1000"/>
      <c r="JWS34" s="1000"/>
      <c r="JWT34" s="1000"/>
      <c r="JWU34" s="1000"/>
      <c r="JWV34" s="1000"/>
      <c r="JWW34" s="1000"/>
      <c r="JWX34" s="1000"/>
      <c r="JWY34" s="1000"/>
      <c r="JWZ34" s="1000"/>
      <c r="JXA34" s="1000"/>
      <c r="JXB34" s="1000"/>
      <c r="JXC34" s="1000"/>
      <c r="JXD34" s="1000"/>
      <c r="JXE34" s="1000"/>
      <c r="JXF34" s="1000"/>
      <c r="JXG34" s="1000"/>
      <c r="JXH34" s="1000"/>
      <c r="JXI34" s="1000"/>
      <c r="JXJ34" s="1000"/>
      <c r="JXK34" s="1000"/>
      <c r="JXL34" s="1000"/>
      <c r="JXM34" s="1000"/>
      <c r="JXN34" s="1000"/>
      <c r="JXO34" s="1000"/>
      <c r="JXP34" s="1000"/>
      <c r="JXQ34" s="1000"/>
      <c r="JXR34" s="1000"/>
      <c r="JXS34" s="1000"/>
      <c r="JXT34" s="1000"/>
      <c r="JXU34" s="1000"/>
      <c r="JXV34" s="1000"/>
      <c r="JXW34" s="1000"/>
      <c r="JXX34" s="1000"/>
      <c r="JXY34" s="1000"/>
      <c r="JXZ34" s="1000"/>
      <c r="JYA34" s="1000"/>
      <c r="JYB34" s="1000"/>
      <c r="JYC34" s="1000"/>
      <c r="JYD34" s="1000"/>
      <c r="JYE34" s="1000"/>
      <c r="JYF34" s="1000"/>
      <c r="JYG34" s="1000"/>
      <c r="JYH34" s="1000"/>
      <c r="JYI34" s="1000"/>
      <c r="JYJ34" s="1000"/>
      <c r="JYK34" s="1000"/>
      <c r="JYL34" s="1000"/>
      <c r="JYM34" s="1000"/>
      <c r="JYN34" s="1000"/>
      <c r="JYO34" s="1000"/>
      <c r="JYP34" s="1000"/>
      <c r="JYQ34" s="1000"/>
      <c r="JYR34" s="1000"/>
      <c r="JYS34" s="1000"/>
      <c r="JYT34" s="1000"/>
      <c r="JYU34" s="1000"/>
      <c r="JYV34" s="1000"/>
      <c r="JYW34" s="1000"/>
      <c r="JYX34" s="1000"/>
      <c r="JYY34" s="1000"/>
      <c r="JYZ34" s="1000"/>
      <c r="JZA34" s="1000"/>
      <c r="JZB34" s="1000"/>
      <c r="JZC34" s="1000"/>
      <c r="JZD34" s="1000"/>
      <c r="JZE34" s="1000"/>
      <c r="JZF34" s="1000"/>
      <c r="JZG34" s="1000"/>
      <c r="JZH34" s="1000"/>
      <c r="JZI34" s="1000"/>
      <c r="JZJ34" s="1000"/>
      <c r="JZK34" s="1000"/>
      <c r="JZL34" s="1000"/>
      <c r="JZM34" s="1000"/>
      <c r="JZN34" s="1000"/>
      <c r="JZO34" s="1000"/>
      <c r="JZP34" s="1000"/>
      <c r="JZQ34" s="1000"/>
      <c r="JZR34" s="1000"/>
      <c r="JZS34" s="1000"/>
      <c r="JZT34" s="1000"/>
      <c r="JZU34" s="1000"/>
      <c r="JZV34" s="1000"/>
      <c r="JZW34" s="1000"/>
      <c r="JZX34" s="1000"/>
      <c r="JZY34" s="1000"/>
      <c r="JZZ34" s="1000"/>
      <c r="KAA34" s="1000"/>
      <c r="KAB34" s="1000"/>
      <c r="KAC34" s="1000"/>
      <c r="KAD34" s="1000"/>
      <c r="KAE34" s="1000"/>
      <c r="KAF34" s="1000"/>
      <c r="KAG34" s="1000"/>
      <c r="KAH34" s="1000"/>
      <c r="KAI34" s="1000"/>
      <c r="KAJ34" s="1000"/>
      <c r="KAK34" s="1000"/>
      <c r="KAL34" s="1000"/>
      <c r="KAM34" s="1000"/>
      <c r="KAN34" s="1000"/>
      <c r="KAO34" s="1000"/>
      <c r="KAP34" s="1000"/>
      <c r="KAQ34" s="1000"/>
      <c r="KAR34" s="1000"/>
      <c r="KAS34" s="1000"/>
      <c r="KAT34" s="1000"/>
      <c r="KAU34" s="1000"/>
      <c r="KAV34" s="1000"/>
      <c r="KAW34" s="1000"/>
      <c r="KAX34" s="1000"/>
      <c r="KAY34" s="1000"/>
      <c r="KAZ34" s="1000"/>
      <c r="KBA34" s="1000"/>
      <c r="KBB34" s="1000"/>
      <c r="KBC34" s="1000"/>
      <c r="KBD34" s="1000"/>
      <c r="KBE34" s="1000"/>
      <c r="KBF34" s="1000"/>
      <c r="KBG34" s="1000"/>
      <c r="KBH34" s="1000"/>
      <c r="KBI34" s="1000"/>
      <c r="KBJ34" s="1000"/>
      <c r="KBK34" s="1000"/>
      <c r="KBL34" s="1000"/>
      <c r="KBM34" s="1000"/>
      <c r="KBN34" s="1000"/>
      <c r="KBO34" s="1000"/>
      <c r="KBP34" s="1000"/>
      <c r="KBQ34" s="1000"/>
      <c r="KBR34" s="1000"/>
      <c r="KBS34" s="1000"/>
      <c r="KBT34" s="1000"/>
      <c r="KBU34" s="1000"/>
      <c r="KBV34" s="1000"/>
      <c r="KBW34" s="1000"/>
      <c r="KBX34" s="1000"/>
      <c r="KBY34" s="1000"/>
      <c r="KBZ34" s="1000"/>
      <c r="KCA34" s="1000"/>
      <c r="KCB34" s="1000"/>
      <c r="KCC34" s="1000"/>
      <c r="KCD34" s="1000"/>
      <c r="KCE34" s="1000"/>
      <c r="KCF34" s="1000"/>
      <c r="KCG34" s="1000"/>
      <c r="KCH34" s="1000"/>
      <c r="KCI34" s="1000"/>
      <c r="KCJ34" s="1000"/>
      <c r="KCK34" s="1000"/>
      <c r="KCL34" s="1000"/>
      <c r="KCM34" s="1000"/>
      <c r="KCN34" s="1000"/>
      <c r="KCO34" s="1000"/>
      <c r="KCP34" s="1000"/>
      <c r="KCQ34" s="1000"/>
      <c r="KCR34" s="1000"/>
      <c r="KCS34" s="1000"/>
      <c r="KCT34" s="1000"/>
      <c r="KCU34" s="1000"/>
      <c r="KCV34" s="1000"/>
      <c r="KCW34" s="1000"/>
      <c r="KCX34" s="1000"/>
      <c r="KCY34" s="1000"/>
      <c r="KCZ34" s="1000"/>
      <c r="KDA34" s="1000"/>
      <c r="KDB34" s="1000"/>
      <c r="KDC34" s="1000"/>
      <c r="KDD34" s="1000"/>
      <c r="KDE34" s="1000"/>
      <c r="KDF34" s="1000"/>
      <c r="KDG34" s="1000"/>
      <c r="KDH34" s="1000"/>
      <c r="KDI34" s="1000"/>
      <c r="KDJ34" s="1000"/>
      <c r="KDK34" s="1000"/>
      <c r="KDL34" s="1000"/>
      <c r="KDM34" s="1000"/>
      <c r="KDN34" s="1000"/>
      <c r="KDO34" s="1000"/>
      <c r="KDP34" s="1000"/>
      <c r="KDQ34" s="1000"/>
      <c r="KDR34" s="1000"/>
      <c r="KDS34" s="1000"/>
      <c r="KDT34" s="1000"/>
      <c r="KDU34" s="1000"/>
      <c r="KDV34" s="1000"/>
      <c r="KDW34" s="1000"/>
      <c r="KDX34" s="1000"/>
      <c r="KDY34" s="1000"/>
      <c r="KDZ34" s="1000"/>
      <c r="KEA34" s="1000"/>
      <c r="KEB34" s="1000"/>
      <c r="KEC34" s="1000"/>
      <c r="KED34" s="1000"/>
      <c r="KEE34" s="1000"/>
      <c r="KEF34" s="1000"/>
      <c r="KEG34" s="1000"/>
      <c r="KEH34" s="1000"/>
      <c r="KEI34" s="1000"/>
      <c r="KEJ34" s="1000"/>
      <c r="KEK34" s="1000"/>
      <c r="KEL34" s="1000"/>
      <c r="KEM34" s="1000"/>
      <c r="KEN34" s="1000"/>
      <c r="KEO34" s="1000"/>
      <c r="KEP34" s="1000"/>
      <c r="KEQ34" s="1000"/>
      <c r="KER34" s="1000"/>
      <c r="KES34" s="1000"/>
      <c r="KET34" s="1000"/>
      <c r="KEU34" s="1000"/>
      <c r="KEV34" s="1000"/>
      <c r="KEW34" s="1000"/>
      <c r="KEX34" s="1000"/>
      <c r="KEY34" s="1000"/>
      <c r="KEZ34" s="1000"/>
      <c r="KFA34" s="1000"/>
      <c r="KFB34" s="1000"/>
      <c r="KFC34" s="1000"/>
      <c r="KFD34" s="1000"/>
      <c r="KFE34" s="1000"/>
      <c r="KFF34" s="1000"/>
      <c r="KFG34" s="1000"/>
      <c r="KFH34" s="1000"/>
      <c r="KFI34" s="1000"/>
      <c r="KFJ34" s="1000"/>
      <c r="KFK34" s="1000"/>
      <c r="KFL34" s="1000"/>
      <c r="KFM34" s="1000"/>
      <c r="KFN34" s="1000"/>
      <c r="KFO34" s="1000"/>
      <c r="KFP34" s="1000"/>
      <c r="KFQ34" s="1000"/>
      <c r="KFR34" s="1000"/>
      <c r="KFS34" s="1000"/>
      <c r="KFT34" s="1000"/>
      <c r="KFU34" s="1000"/>
      <c r="KFV34" s="1000"/>
      <c r="KFW34" s="1000"/>
      <c r="KFX34" s="1000"/>
      <c r="KFY34" s="1000"/>
      <c r="KFZ34" s="1000"/>
      <c r="KGA34" s="1000"/>
      <c r="KGB34" s="1000"/>
      <c r="KGC34" s="1000"/>
      <c r="KGD34" s="1000"/>
      <c r="KGE34" s="1000"/>
      <c r="KGF34" s="1000"/>
      <c r="KGG34" s="1000"/>
      <c r="KGH34" s="1000"/>
      <c r="KGI34" s="1000"/>
      <c r="KGJ34" s="1000"/>
      <c r="KGK34" s="1000"/>
      <c r="KGL34" s="1000"/>
      <c r="KGM34" s="1000"/>
      <c r="KGN34" s="1000"/>
      <c r="KGO34" s="1000"/>
      <c r="KGP34" s="1000"/>
      <c r="KGQ34" s="1000"/>
      <c r="KGR34" s="1000"/>
      <c r="KGS34" s="1000"/>
      <c r="KGT34" s="1000"/>
      <c r="KGU34" s="1000"/>
      <c r="KGV34" s="1000"/>
      <c r="KGW34" s="1000"/>
      <c r="KGX34" s="1000"/>
      <c r="KGY34" s="1000"/>
      <c r="KGZ34" s="1000"/>
      <c r="KHA34" s="1000"/>
      <c r="KHB34" s="1000"/>
      <c r="KHC34" s="1000"/>
      <c r="KHD34" s="1000"/>
      <c r="KHE34" s="1000"/>
      <c r="KHF34" s="1000"/>
      <c r="KHG34" s="1000"/>
      <c r="KHH34" s="1000"/>
      <c r="KHI34" s="1000"/>
      <c r="KHJ34" s="1000"/>
      <c r="KHK34" s="1000"/>
      <c r="KHL34" s="1000"/>
      <c r="KHM34" s="1000"/>
      <c r="KHN34" s="1000"/>
      <c r="KHO34" s="1000"/>
      <c r="KHP34" s="1000"/>
      <c r="KHQ34" s="1000"/>
      <c r="KHR34" s="1000"/>
      <c r="KHS34" s="1000"/>
      <c r="KHT34" s="1000"/>
      <c r="KHU34" s="1000"/>
      <c r="KHV34" s="1000"/>
      <c r="KHW34" s="1000"/>
      <c r="KHX34" s="1000"/>
      <c r="KHY34" s="1000"/>
      <c r="KHZ34" s="1000"/>
      <c r="KIA34" s="1000"/>
      <c r="KIB34" s="1000"/>
      <c r="KIC34" s="1000"/>
      <c r="KID34" s="1000"/>
      <c r="KIE34" s="1000"/>
      <c r="KIF34" s="1000"/>
      <c r="KIG34" s="1000"/>
      <c r="KIH34" s="1000"/>
      <c r="KII34" s="1000"/>
      <c r="KIJ34" s="1000"/>
      <c r="KIK34" s="1000"/>
      <c r="KIL34" s="1000"/>
      <c r="KIM34" s="1000"/>
      <c r="KIN34" s="1000"/>
      <c r="KIO34" s="1000"/>
      <c r="KIP34" s="1000"/>
      <c r="KIQ34" s="1000"/>
      <c r="KIR34" s="1000"/>
      <c r="KIS34" s="1000"/>
      <c r="KIT34" s="1000"/>
      <c r="KIU34" s="1000"/>
      <c r="KIV34" s="1000"/>
      <c r="KIW34" s="1000"/>
      <c r="KIX34" s="1000"/>
      <c r="KIY34" s="1000"/>
      <c r="KIZ34" s="1000"/>
      <c r="KJA34" s="1000"/>
      <c r="KJB34" s="1000"/>
      <c r="KJC34" s="1000"/>
      <c r="KJD34" s="1000"/>
      <c r="KJE34" s="1000"/>
      <c r="KJF34" s="1000"/>
      <c r="KJG34" s="1000"/>
      <c r="KJH34" s="1000"/>
      <c r="KJI34" s="1000"/>
      <c r="KJJ34" s="1000"/>
      <c r="KJK34" s="1000"/>
      <c r="KJL34" s="1000"/>
      <c r="KJM34" s="1000"/>
      <c r="KJN34" s="1000"/>
      <c r="KJO34" s="1000"/>
      <c r="KJP34" s="1000"/>
      <c r="KJQ34" s="1000"/>
      <c r="KJR34" s="1000"/>
      <c r="KJS34" s="1000"/>
      <c r="KJT34" s="1000"/>
      <c r="KJU34" s="1000"/>
      <c r="KJV34" s="1000"/>
      <c r="KJW34" s="1000"/>
      <c r="KJX34" s="1000"/>
      <c r="KJY34" s="1000"/>
      <c r="KJZ34" s="1000"/>
      <c r="KKA34" s="1000"/>
      <c r="KKB34" s="1000"/>
      <c r="KKC34" s="1000"/>
      <c r="KKD34" s="1000"/>
      <c r="KKE34" s="1000"/>
      <c r="KKF34" s="1000"/>
      <c r="KKG34" s="1000"/>
      <c r="KKH34" s="1000"/>
      <c r="KKI34" s="1000"/>
      <c r="KKJ34" s="1000"/>
      <c r="KKK34" s="1000"/>
      <c r="KKL34" s="1000"/>
      <c r="KKM34" s="1000"/>
      <c r="KKN34" s="1000"/>
      <c r="KKO34" s="1000"/>
      <c r="KKP34" s="1000"/>
      <c r="KKQ34" s="1000"/>
      <c r="KKR34" s="1000"/>
      <c r="KKS34" s="1000"/>
      <c r="KKT34" s="1000"/>
      <c r="KKU34" s="1000"/>
      <c r="KKV34" s="1000"/>
      <c r="KKW34" s="1000"/>
      <c r="KKX34" s="1000"/>
      <c r="KKY34" s="1000"/>
      <c r="KKZ34" s="1000"/>
      <c r="KLA34" s="1000"/>
      <c r="KLB34" s="1000"/>
      <c r="KLC34" s="1000"/>
      <c r="KLD34" s="1000"/>
      <c r="KLE34" s="1000"/>
      <c r="KLF34" s="1000"/>
      <c r="KLG34" s="1000"/>
      <c r="KLH34" s="1000"/>
      <c r="KLI34" s="1000"/>
      <c r="KLJ34" s="1000"/>
      <c r="KLK34" s="1000"/>
      <c r="KLL34" s="1000"/>
      <c r="KLM34" s="1000"/>
      <c r="KLN34" s="1000"/>
      <c r="KLO34" s="1000"/>
      <c r="KLP34" s="1000"/>
      <c r="KLQ34" s="1000"/>
      <c r="KLR34" s="1000"/>
      <c r="KLS34" s="1000"/>
      <c r="KLT34" s="1000"/>
      <c r="KLU34" s="1000"/>
      <c r="KLV34" s="1000"/>
      <c r="KLW34" s="1000"/>
      <c r="KLX34" s="1000"/>
      <c r="KLY34" s="1000"/>
      <c r="KLZ34" s="1000"/>
      <c r="KMA34" s="1000"/>
      <c r="KMB34" s="1000"/>
      <c r="KMC34" s="1000"/>
      <c r="KMD34" s="1000"/>
      <c r="KME34" s="1000"/>
      <c r="KMF34" s="1000"/>
      <c r="KMG34" s="1000"/>
      <c r="KMH34" s="1000"/>
      <c r="KMI34" s="1000"/>
      <c r="KMJ34" s="1000"/>
      <c r="KMK34" s="1000"/>
      <c r="KML34" s="1000"/>
      <c r="KMM34" s="1000"/>
      <c r="KMN34" s="1000"/>
      <c r="KMO34" s="1000"/>
      <c r="KMP34" s="1000"/>
      <c r="KMQ34" s="1000"/>
      <c r="KMR34" s="1000"/>
      <c r="KMS34" s="1000"/>
      <c r="KMT34" s="1000"/>
      <c r="KMU34" s="1000"/>
      <c r="KMV34" s="1000"/>
      <c r="KMW34" s="1000"/>
      <c r="KMX34" s="1000"/>
      <c r="KMY34" s="1000"/>
      <c r="KMZ34" s="1000"/>
      <c r="KNA34" s="1000"/>
      <c r="KNB34" s="1000"/>
      <c r="KNC34" s="1000"/>
      <c r="KND34" s="1000"/>
      <c r="KNE34" s="1000"/>
      <c r="KNF34" s="1000"/>
      <c r="KNG34" s="1000"/>
      <c r="KNH34" s="1000"/>
      <c r="KNI34" s="1000"/>
      <c r="KNJ34" s="1000"/>
      <c r="KNK34" s="1000"/>
      <c r="KNL34" s="1000"/>
      <c r="KNM34" s="1000"/>
      <c r="KNN34" s="1000"/>
      <c r="KNO34" s="1000"/>
      <c r="KNP34" s="1000"/>
      <c r="KNQ34" s="1000"/>
      <c r="KNR34" s="1000"/>
      <c r="KNS34" s="1000"/>
      <c r="KNT34" s="1000"/>
      <c r="KNU34" s="1000"/>
      <c r="KNV34" s="1000"/>
      <c r="KNW34" s="1000"/>
      <c r="KNX34" s="1000"/>
      <c r="KNY34" s="1000"/>
      <c r="KNZ34" s="1000"/>
      <c r="KOA34" s="1000"/>
      <c r="KOB34" s="1000"/>
      <c r="KOC34" s="1000"/>
      <c r="KOD34" s="1000"/>
      <c r="KOE34" s="1000"/>
      <c r="KOF34" s="1000"/>
      <c r="KOG34" s="1000"/>
      <c r="KOH34" s="1000"/>
      <c r="KOI34" s="1000"/>
      <c r="KOJ34" s="1000"/>
      <c r="KOK34" s="1000"/>
      <c r="KOL34" s="1000"/>
      <c r="KOM34" s="1000"/>
      <c r="KON34" s="1000"/>
      <c r="KOO34" s="1000"/>
      <c r="KOP34" s="1000"/>
      <c r="KOQ34" s="1000"/>
      <c r="KOR34" s="1000"/>
      <c r="KOS34" s="1000"/>
      <c r="KOT34" s="1000"/>
      <c r="KOU34" s="1000"/>
      <c r="KOV34" s="1000"/>
      <c r="KOW34" s="1000"/>
      <c r="KOX34" s="1000"/>
      <c r="KOY34" s="1000"/>
      <c r="KOZ34" s="1000"/>
      <c r="KPA34" s="1000"/>
      <c r="KPB34" s="1000"/>
      <c r="KPC34" s="1000"/>
      <c r="KPD34" s="1000"/>
      <c r="KPE34" s="1000"/>
      <c r="KPF34" s="1000"/>
      <c r="KPG34" s="1000"/>
      <c r="KPH34" s="1000"/>
      <c r="KPI34" s="1000"/>
      <c r="KPJ34" s="1000"/>
      <c r="KPK34" s="1000"/>
      <c r="KPL34" s="1000"/>
      <c r="KPM34" s="1000"/>
      <c r="KPN34" s="1000"/>
      <c r="KPO34" s="1000"/>
      <c r="KPP34" s="1000"/>
      <c r="KPQ34" s="1000"/>
      <c r="KPR34" s="1000"/>
      <c r="KPS34" s="1000"/>
      <c r="KPT34" s="1000"/>
      <c r="KPU34" s="1000"/>
      <c r="KPV34" s="1000"/>
      <c r="KPW34" s="1000"/>
      <c r="KPX34" s="1000"/>
      <c r="KPY34" s="1000"/>
      <c r="KPZ34" s="1000"/>
      <c r="KQA34" s="1000"/>
      <c r="KQB34" s="1000"/>
      <c r="KQC34" s="1000"/>
      <c r="KQD34" s="1000"/>
      <c r="KQE34" s="1000"/>
      <c r="KQF34" s="1000"/>
      <c r="KQG34" s="1000"/>
      <c r="KQH34" s="1000"/>
      <c r="KQI34" s="1000"/>
      <c r="KQJ34" s="1000"/>
      <c r="KQK34" s="1000"/>
      <c r="KQL34" s="1000"/>
      <c r="KQM34" s="1000"/>
      <c r="KQN34" s="1000"/>
      <c r="KQO34" s="1000"/>
      <c r="KQP34" s="1000"/>
      <c r="KQQ34" s="1000"/>
      <c r="KQR34" s="1000"/>
      <c r="KQS34" s="1000"/>
      <c r="KQT34" s="1000"/>
      <c r="KQU34" s="1000"/>
      <c r="KQV34" s="1000"/>
      <c r="KQW34" s="1000"/>
      <c r="KQX34" s="1000"/>
      <c r="KQY34" s="1000"/>
      <c r="KQZ34" s="1000"/>
      <c r="KRA34" s="1000"/>
      <c r="KRB34" s="1000"/>
      <c r="KRC34" s="1000"/>
      <c r="KRD34" s="1000"/>
      <c r="KRE34" s="1000"/>
      <c r="KRF34" s="1000"/>
      <c r="KRG34" s="1000"/>
      <c r="KRH34" s="1000"/>
      <c r="KRI34" s="1000"/>
      <c r="KRJ34" s="1000"/>
      <c r="KRK34" s="1000"/>
      <c r="KRL34" s="1000"/>
      <c r="KRM34" s="1000"/>
      <c r="KRN34" s="1000"/>
      <c r="KRO34" s="1000"/>
      <c r="KRP34" s="1000"/>
      <c r="KRQ34" s="1000"/>
      <c r="KRR34" s="1000"/>
      <c r="KRS34" s="1000"/>
      <c r="KRT34" s="1000"/>
      <c r="KRU34" s="1000"/>
      <c r="KRV34" s="1000"/>
      <c r="KRW34" s="1000"/>
      <c r="KRX34" s="1000"/>
      <c r="KRY34" s="1000"/>
      <c r="KRZ34" s="1000"/>
      <c r="KSA34" s="1000"/>
      <c r="KSB34" s="1000"/>
      <c r="KSC34" s="1000"/>
      <c r="KSD34" s="1000"/>
      <c r="KSE34" s="1000"/>
      <c r="KSF34" s="1000"/>
      <c r="KSG34" s="1000"/>
      <c r="KSH34" s="1000"/>
      <c r="KSI34" s="1000"/>
      <c r="KSJ34" s="1000"/>
      <c r="KSK34" s="1000"/>
      <c r="KSL34" s="1000"/>
      <c r="KSM34" s="1000"/>
      <c r="KSN34" s="1000"/>
      <c r="KSO34" s="1000"/>
      <c r="KSP34" s="1000"/>
      <c r="KSQ34" s="1000"/>
      <c r="KSR34" s="1000"/>
      <c r="KSS34" s="1000"/>
      <c r="KST34" s="1000"/>
      <c r="KSU34" s="1000"/>
      <c r="KSV34" s="1000"/>
      <c r="KSW34" s="1000"/>
      <c r="KSX34" s="1000"/>
      <c r="KSY34" s="1000"/>
      <c r="KSZ34" s="1000"/>
      <c r="KTA34" s="1000"/>
      <c r="KTB34" s="1000"/>
      <c r="KTC34" s="1000"/>
      <c r="KTD34" s="1000"/>
      <c r="KTE34" s="1000"/>
      <c r="KTF34" s="1000"/>
      <c r="KTG34" s="1000"/>
      <c r="KTH34" s="1000"/>
      <c r="KTI34" s="1000"/>
      <c r="KTJ34" s="1000"/>
      <c r="KTK34" s="1000"/>
      <c r="KTL34" s="1000"/>
      <c r="KTM34" s="1000"/>
      <c r="KTN34" s="1000"/>
      <c r="KTO34" s="1000"/>
      <c r="KTP34" s="1000"/>
      <c r="KTQ34" s="1000"/>
      <c r="KTR34" s="1000"/>
      <c r="KTS34" s="1000"/>
      <c r="KTT34" s="1000"/>
      <c r="KTU34" s="1000"/>
      <c r="KTV34" s="1000"/>
      <c r="KTW34" s="1000"/>
      <c r="KTX34" s="1000"/>
      <c r="KTY34" s="1000"/>
      <c r="KTZ34" s="1000"/>
      <c r="KUA34" s="1000"/>
      <c r="KUB34" s="1000"/>
      <c r="KUC34" s="1000"/>
      <c r="KUD34" s="1000"/>
      <c r="KUE34" s="1000"/>
      <c r="KUF34" s="1000"/>
      <c r="KUG34" s="1000"/>
      <c r="KUH34" s="1000"/>
      <c r="KUI34" s="1000"/>
      <c r="KUJ34" s="1000"/>
      <c r="KUK34" s="1000"/>
      <c r="KUL34" s="1000"/>
      <c r="KUM34" s="1000"/>
      <c r="KUN34" s="1000"/>
      <c r="KUO34" s="1000"/>
      <c r="KUP34" s="1000"/>
      <c r="KUQ34" s="1000"/>
      <c r="KUR34" s="1000"/>
      <c r="KUS34" s="1000"/>
      <c r="KUT34" s="1000"/>
      <c r="KUU34" s="1000"/>
      <c r="KUV34" s="1000"/>
      <c r="KUW34" s="1000"/>
      <c r="KUX34" s="1000"/>
      <c r="KUY34" s="1000"/>
      <c r="KUZ34" s="1000"/>
      <c r="KVA34" s="1000"/>
      <c r="KVB34" s="1000"/>
      <c r="KVC34" s="1000"/>
      <c r="KVD34" s="1000"/>
      <c r="KVE34" s="1000"/>
      <c r="KVF34" s="1000"/>
      <c r="KVG34" s="1000"/>
      <c r="KVH34" s="1000"/>
      <c r="KVI34" s="1000"/>
      <c r="KVJ34" s="1000"/>
      <c r="KVK34" s="1000"/>
      <c r="KVL34" s="1000"/>
      <c r="KVM34" s="1000"/>
      <c r="KVN34" s="1000"/>
      <c r="KVO34" s="1000"/>
      <c r="KVP34" s="1000"/>
      <c r="KVQ34" s="1000"/>
      <c r="KVR34" s="1000"/>
      <c r="KVS34" s="1000"/>
      <c r="KVT34" s="1000"/>
      <c r="KVU34" s="1000"/>
      <c r="KVV34" s="1000"/>
      <c r="KVW34" s="1000"/>
      <c r="KVX34" s="1000"/>
      <c r="KVY34" s="1000"/>
      <c r="KVZ34" s="1000"/>
      <c r="KWA34" s="1000"/>
      <c r="KWB34" s="1000"/>
      <c r="KWC34" s="1000"/>
      <c r="KWD34" s="1000"/>
      <c r="KWE34" s="1000"/>
      <c r="KWF34" s="1000"/>
      <c r="KWG34" s="1000"/>
      <c r="KWH34" s="1000"/>
      <c r="KWI34" s="1000"/>
      <c r="KWJ34" s="1000"/>
      <c r="KWK34" s="1000"/>
      <c r="KWL34" s="1000"/>
      <c r="KWM34" s="1000"/>
      <c r="KWN34" s="1000"/>
      <c r="KWO34" s="1000"/>
      <c r="KWP34" s="1000"/>
      <c r="KWQ34" s="1000"/>
      <c r="KWR34" s="1000"/>
      <c r="KWS34" s="1000"/>
      <c r="KWT34" s="1000"/>
      <c r="KWU34" s="1000"/>
      <c r="KWV34" s="1000"/>
      <c r="KWW34" s="1000"/>
      <c r="KWX34" s="1000"/>
      <c r="KWY34" s="1000"/>
      <c r="KWZ34" s="1000"/>
      <c r="KXA34" s="1000"/>
      <c r="KXB34" s="1000"/>
      <c r="KXC34" s="1000"/>
      <c r="KXD34" s="1000"/>
      <c r="KXE34" s="1000"/>
      <c r="KXF34" s="1000"/>
      <c r="KXG34" s="1000"/>
      <c r="KXH34" s="1000"/>
      <c r="KXI34" s="1000"/>
      <c r="KXJ34" s="1000"/>
      <c r="KXK34" s="1000"/>
      <c r="KXL34" s="1000"/>
      <c r="KXM34" s="1000"/>
      <c r="KXN34" s="1000"/>
      <c r="KXO34" s="1000"/>
      <c r="KXP34" s="1000"/>
      <c r="KXQ34" s="1000"/>
      <c r="KXR34" s="1000"/>
      <c r="KXS34" s="1000"/>
      <c r="KXT34" s="1000"/>
      <c r="KXU34" s="1000"/>
      <c r="KXV34" s="1000"/>
      <c r="KXW34" s="1000"/>
      <c r="KXX34" s="1000"/>
      <c r="KXY34" s="1000"/>
      <c r="KXZ34" s="1000"/>
      <c r="KYA34" s="1000"/>
      <c r="KYB34" s="1000"/>
      <c r="KYC34" s="1000"/>
      <c r="KYD34" s="1000"/>
      <c r="KYE34" s="1000"/>
      <c r="KYF34" s="1000"/>
      <c r="KYG34" s="1000"/>
      <c r="KYH34" s="1000"/>
      <c r="KYI34" s="1000"/>
      <c r="KYJ34" s="1000"/>
      <c r="KYK34" s="1000"/>
      <c r="KYL34" s="1000"/>
      <c r="KYM34" s="1000"/>
      <c r="KYN34" s="1000"/>
      <c r="KYO34" s="1000"/>
      <c r="KYP34" s="1000"/>
      <c r="KYQ34" s="1000"/>
      <c r="KYR34" s="1000"/>
      <c r="KYS34" s="1000"/>
      <c r="KYT34" s="1000"/>
      <c r="KYU34" s="1000"/>
      <c r="KYV34" s="1000"/>
      <c r="KYW34" s="1000"/>
      <c r="KYX34" s="1000"/>
      <c r="KYY34" s="1000"/>
      <c r="KYZ34" s="1000"/>
      <c r="KZA34" s="1000"/>
      <c r="KZB34" s="1000"/>
      <c r="KZC34" s="1000"/>
      <c r="KZD34" s="1000"/>
      <c r="KZE34" s="1000"/>
      <c r="KZF34" s="1000"/>
      <c r="KZG34" s="1000"/>
      <c r="KZH34" s="1000"/>
      <c r="KZI34" s="1000"/>
      <c r="KZJ34" s="1000"/>
      <c r="KZK34" s="1000"/>
      <c r="KZL34" s="1000"/>
      <c r="KZM34" s="1000"/>
      <c r="KZN34" s="1000"/>
      <c r="KZO34" s="1000"/>
      <c r="KZP34" s="1000"/>
      <c r="KZQ34" s="1000"/>
      <c r="KZR34" s="1000"/>
      <c r="KZS34" s="1000"/>
      <c r="KZT34" s="1000"/>
      <c r="KZU34" s="1000"/>
      <c r="KZV34" s="1000"/>
      <c r="KZW34" s="1000"/>
      <c r="KZX34" s="1000"/>
      <c r="KZY34" s="1000"/>
      <c r="KZZ34" s="1000"/>
      <c r="LAA34" s="1000"/>
      <c r="LAB34" s="1000"/>
      <c r="LAC34" s="1000"/>
      <c r="LAD34" s="1000"/>
      <c r="LAE34" s="1000"/>
      <c r="LAF34" s="1000"/>
      <c r="LAG34" s="1000"/>
      <c r="LAH34" s="1000"/>
      <c r="LAI34" s="1000"/>
      <c r="LAJ34" s="1000"/>
      <c r="LAK34" s="1000"/>
      <c r="LAL34" s="1000"/>
      <c r="LAM34" s="1000"/>
      <c r="LAN34" s="1000"/>
      <c r="LAO34" s="1000"/>
      <c r="LAP34" s="1000"/>
      <c r="LAQ34" s="1000"/>
      <c r="LAR34" s="1000"/>
      <c r="LAS34" s="1000"/>
      <c r="LAT34" s="1000"/>
      <c r="LAU34" s="1000"/>
      <c r="LAV34" s="1000"/>
      <c r="LAW34" s="1000"/>
      <c r="LAX34" s="1000"/>
      <c r="LAY34" s="1000"/>
      <c r="LAZ34" s="1000"/>
      <c r="LBA34" s="1000"/>
      <c r="LBB34" s="1000"/>
      <c r="LBC34" s="1000"/>
      <c r="LBD34" s="1000"/>
      <c r="LBE34" s="1000"/>
      <c r="LBF34" s="1000"/>
      <c r="LBG34" s="1000"/>
      <c r="LBH34" s="1000"/>
      <c r="LBI34" s="1000"/>
      <c r="LBJ34" s="1000"/>
      <c r="LBK34" s="1000"/>
      <c r="LBL34" s="1000"/>
      <c r="LBM34" s="1000"/>
      <c r="LBN34" s="1000"/>
      <c r="LBO34" s="1000"/>
      <c r="LBP34" s="1000"/>
      <c r="LBQ34" s="1000"/>
      <c r="LBR34" s="1000"/>
      <c r="LBS34" s="1000"/>
      <c r="LBT34" s="1000"/>
      <c r="LBU34" s="1000"/>
      <c r="LBV34" s="1000"/>
      <c r="LBW34" s="1000"/>
      <c r="LBX34" s="1000"/>
      <c r="LBY34" s="1000"/>
      <c r="LBZ34" s="1000"/>
      <c r="LCA34" s="1000"/>
      <c r="LCB34" s="1000"/>
      <c r="LCC34" s="1000"/>
      <c r="LCD34" s="1000"/>
      <c r="LCE34" s="1000"/>
      <c r="LCF34" s="1000"/>
      <c r="LCG34" s="1000"/>
      <c r="LCH34" s="1000"/>
      <c r="LCI34" s="1000"/>
      <c r="LCJ34" s="1000"/>
      <c r="LCK34" s="1000"/>
      <c r="LCL34" s="1000"/>
      <c r="LCM34" s="1000"/>
      <c r="LCN34" s="1000"/>
      <c r="LCO34" s="1000"/>
      <c r="LCP34" s="1000"/>
      <c r="LCQ34" s="1000"/>
      <c r="LCR34" s="1000"/>
      <c r="LCS34" s="1000"/>
      <c r="LCT34" s="1000"/>
      <c r="LCU34" s="1000"/>
      <c r="LCV34" s="1000"/>
      <c r="LCW34" s="1000"/>
      <c r="LCX34" s="1000"/>
      <c r="LCY34" s="1000"/>
      <c r="LCZ34" s="1000"/>
      <c r="LDA34" s="1000"/>
      <c r="LDB34" s="1000"/>
      <c r="LDC34" s="1000"/>
      <c r="LDD34" s="1000"/>
      <c r="LDE34" s="1000"/>
      <c r="LDF34" s="1000"/>
      <c r="LDG34" s="1000"/>
      <c r="LDH34" s="1000"/>
      <c r="LDI34" s="1000"/>
      <c r="LDJ34" s="1000"/>
      <c r="LDK34" s="1000"/>
      <c r="LDL34" s="1000"/>
      <c r="LDM34" s="1000"/>
      <c r="LDN34" s="1000"/>
      <c r="LDO34" s="1000"/>
      <c r="LDP34" s="1000"/>
      <c r="LDQ34" s="1000"/>
      <c r="LDR34" s="1000"/>
      <c r="LDS34" s="1000"/>
      <c r="LDT34" s="1000"/>
      <c r="LDU34" s="1000"/>
      <c r="LDV34" s="1000"/>
      <c r="LDW34" s="1000"/>
      <c r="LDX34" s="1000"/>
      <c r="LDY34" s="1000"/>
      <c r="LDZ34" s="1000"/>
      <c r="LEA34" s="1000"/>
      <c r="LEB34" s="1000"/>
      <c r="LEC34" s="1000"/>
      <c r="LED34" s="1000"/>
      <c r="LEE34" s="1000"/>
      <c r="LEF34" s="1000"/>
      <c r="LEG34" s="1000"/>
      <c r="LEH34" s="1000"/>
      <c r="LEI34" s="1000"/>
      <c r="LEJ34" s="1000"/>
      <c r="LEK34" s="1000"/>
      <c r="LEL34" s="1000"/>
      <c r="LEM34" s="1000"/>
      <c r="LEN34" s="1000"/>
      <c r="LEO34" s="1000"/>
      <c r="LEP34" s="1000"/>
      <c r="LEQ34" s="1000"/>
      <c r="LER34" s="1000"/>
      <c r="LES34" s="1000"/>
      <c r="LET34" s="1000"/>
      <c r="LEU34" s="1000"/>
      <c r="LEV34" s="1000"/>
      <c r="LEW34" s="1000"/>
      <c r="LEX34" s="1000"/>
      <c r="LEY34" s="1000"/>
      <c r="LEZ34" s="1000"/>
      <c r="LFA34" s="1000"/>
      <c r="LFB34" s="1000"/>
      <c r="LFC34" s="1000"/>
      <c r="LFD34" s="1000"/>
      <c r="LFE34" s="1000"/>
      <c r="LFF34" s="1000"/>
      <c r="LFG34" s="1000"/>
      <c r="LFH34" s="1000"/>
      <c r="LFI34" s="1000"/>
      <c r="LFJ34" s="1000"/>
      <c r="LFK34" s="1000"/>
      <c r="LFL34" s="1000"/>
      <c r="LFM34" s="1000"/>
      <c r="LFN34" s="1000"/>
      <c r="LFO34" s="1000"/>
      <c r="LFP34" s="1000"/>
      <c r="LFQ34" s="1000"/>
      <c r="LFR34" s="1000"/>
      <c r="LFS34" s="1000"/>
      <c r="LFT34" s="1000"/>
      <c r="LFU34" s="1000"/>
      <c r="LFV34" s="1000"/>
      <c r="LFW34" s="1000"/>
      <c r="LFX34" s="1000"/>
      <c r="LFY34" s="1000"/>
      <c r="LFZ34" s="1000"/>
      <c r="LGA34" s="1000"/>
      <c r="LGB34" s="1000"/>
      <c r="LGC34" s="1000"/>
      <c r="LGD34" s="1000"/>
      <c r="LGE34" s="1000"/>
      <c r="LGF34" s="1000"/>
      <c r="LGG34" s="1000"/>
      <c r="LGH34" s="1000"/>
      <c r="LGI34" s="1000"/>
      <c r="LGJ34" s="1000"/>
      <c r="LGK34" s="1000"/>
      <c r="LGL34" s="1000"/>
      <c r="LGM34" s="1000"/>
      <c r="LGN34" s="1000"/>
      <c r="LGO34" s="1000"/>
      <c r="LGP34" s="1000"/>
      <c r="LGQ34" s="1000"/>
      <c r="LGR34" s="1000"/>
      <c r="LGS34" s="1000"/>
      <c r="LGT34" s="1000"/>
      <c r="LGU34" s="1000"/>
      <c r="LGV34" s="1000"/>
      <c r="LGW34" s="1000"/>
      <c r="LGX34" s="1000"/>
      <c r="LGY34" s="1000"/>
      <c r="LGZ34" s="1000"/>
      <c r="LHA34" s="1000"/>
      <c r="LHB34" s="1000"/>
      <c r="LHC34" s="1000"/>
      <c r="LHD34" s="1000"/>
      <c r="LHE34" s="1000"/>
      <c r="LHF34" s="1000"/>
      <c r="LHG34" s="1000"/>
      <c r="LHH34" s="1000"/>
      <c r="LHI34" s="1000"/>
      <c r="LHJ34" s="1000"/>
      <c r="LHK34" s="1000"/>
      <c r="LHL34" s="1000"/>
      <c r="LHM34" s="1000"/>
      <c r="LHN34" s="1000"/>
      <c r="LHO34" s="1000"/>
      <c r="LHP34" s="1000"/>
      <c r="LHQ34" s="1000"/>
      <c r="LHR34" s="1000"/>
      <c r="LHS34" s="1000"/>
      <c r="LHT34" s="1000"/>
      <c r="LHU34" s="1000"/>
      <c r="LHV34" s="1000"/>
      <c r="LHW34" s="1000"/>
      <c r="LHX34" s="1000"/>
      <c r="LHY34" s="1000"/>
      <c r="LHZ34" s="1000"/>
      <c r="LIA34" s="1000"/>
      <c r="LIB34" s="1000"/>
      <c r="LIC34" s="1000"/>
      <c r="LID34" s="1000"/>
      <c r="LIE34" s="1000"/>
      <c r="LIF34" s="1000"/>
      <c r="LIG34" s="1000"/>
      <c r="LIH34" s="1000"/>
      <c r="LII34" s="1000"/>
      <c r="LIJ34" s="1000"/>
      <c r="LIK34" s="1000"/>
      <c r="LIL34" s="1000"/>
      <c r="LIM34" s="1000"/>
      <c r="LIN34" s="1000"/>
      <c r="LIO34" s="1000"/>
      <c r="LIP34" s="1000"/>
      <c r="LIQ34" s="1000"/>
      <c r="LIR34" s="1000"/>
      <c r="LIS34" s="1000"/>
      <c r="LIT34" s="1000"/>
      <c r="LIU34" s="1000"/>
      <c r="LIV34" s="1000"/>
      <c r="LIW34" s="1000"/>
      <c r="LIX34" s="1000"/>
      <c r="LIY34" s="1000"/>
      <c r="LIZ34" s="1000"/>
      <c r="LJA34" s="1000"/>
      <c r="LJB34" s="1000"/>
      <c r="LJC34" s="1000"/>
      <c r="LJD34" s="1000"/>
      <c r="LJE34" s="1000"/>
      <c r="LJF34" s="1000"/>
      <c r="LJG34" s="1000"/>
      <c r="LJH34" s="1000"/>
      <c r="LJI34" s="1000"/>
      <c r="LJJ34" s="1000"/>
      <c r="LJK34" s="1000"/>
      <c r="LJL34" s="1000"/>
      <c r="LJM34" s="1000"/>
      <c r="LJN34" s="1000"/>
      <c r="LJO34" s="1000"/>
      <c r="LJP34" s="1000"/>
      <c r="LJQ34" s="1000"/>
      <c r="LJR34" s="1000"/>
      <c r="LJS34" s="1000"/>
      <c r="LJT34" s="1000"/>
      <c r="LJU34" s="1000"/>
      <c r="LJV34" s="1000"/>
      <c r="LJW34" s="1000"/>
      <c r="LJX34" s="1000"/>
      <c r="LJY34" s="1000"/>
      <c r="LJZ34" s="1000"/>
      <c r="LKA34" s="1000"/>
      <c r="LKB34" s="1000"/>
      <c r="LKC34" s="1000"/>
      <c r="LKD34" s="1000"/>
      <c r="LKE34" s="1000"/>
      <c r="LKF34" s="1000"/>
      <c r="LKG34" s="1000"/>
      <c r="LKH34" s="1000"/>
      <c r="LKI34" s="1000"/>
      <c r="LKJ34" s="1000"/>
      <c r="LKK34" s="1000"/>
      <c r="LKL34" s="1000"/>
      <c r="LKM34" s="1000"/>
      <c r="LKN34" s="1000"/>
      <c r="LKO34" s="1000"/>
      <c r="LKP34" s="1000"/>
      <c r="LKQ34" s="1000"/>
      <c r="LKR34" s="1000"/>
      <c r="LKS34" s="1000"/>
      <c r="LKT34" s="1000"/>
      <c r="LKU34" s="1000"/>
      <c r="LKV34" s="1000"/>
      <c r="LKW34" s="1000"/>
      <c r="LKX34" s="1000"/>
      <c r="LKY34" s="1000"/>
      <c r="LKZ34" s="1000"/>
      <c r="LLA34" s="1000"/>
      <c r="LLB34" s="1000"/>
      <c r="LLC34" s="1000"/>
      <c r="LLD34" s="1000"/>
      <c r="LLE34" s="1000"/>
      <c r="LLF34" s="1000"/>
      <c r="LLG34" s="1000"/>
      <c r="LLH34" s="1000"/>
      <c r="LLI34" s="1000"/>
      <c r="LLJ34" s="1000"/>
      <c r="LLK34" s="1000"/>
      <c r="LLL34" s="1000"/>
      <c r="LLM34" s="1000"/>
      <c r="LLN34" s="1000"/>
      <c r="LLO34" s="1000"/>
      <c r="LLP34" s="1000"/>
      <c r="LLQ34" s="1000"/>
      <c r="LLR34" s="1000"/>
      <c r="LLS34" s="1000"/>
      <c r="LLT34" s="1000"/>
      <c r="LLU34" s="1000"/>
      <c r="LLV34" s="1000"/>
      <c r="LLW34" s="1000"/>
      <c r="LLX34" s="1000"/>
      <c r="LLY34" s="1000"/>
      <c r="LLZ34" s="1000"/>
      <c r="LMA34" s="1000"/>
      <c r="LMB34" s="1000"/>
      <c r="LMC34" s="1000"/>
      <c r="LMD34" s="1000"/>
      <c r="LME34" s="1000"/>
      <c r="LMF34" s="1000"/>
      <c r="LMG34" s="1000"/>
      <c r="LMH34" s="1000"/>
      <c r="LMI34" s="1000"/>
      <c r="LMJ34" s="1000"/>
      <c r="LMK34" s="1000"/>
      <c r="LML34" s="1000"/>
      <c r="LMM34" s="1000"/>
      <c r="LMN34" s="1000"/>
      <c r="LMO34" s="1000"/>
      <c r="LMP34" s="1000"/>
      <c r="LMQ34" s="1000"/>
      <c r="LMR34" s="1000"/>
      <c r="LMS34" s="1000"/>
      <c r="LMT34" s="1000"/>
      <c r="LMU34" s="1000"/>
      <c r="LMV34" s="1000"/>
      <c r="LMW34" s="1000"/>
      <c r="LMX34" s="1000"/>
      <c r="LMY34" s="1000"/>
      <c r="LMZ34" s="1000"/>
      <c r="LNA34" s="1000"/>
      <c r="LNB34" s="1000"/>
      <c r="LNC34" s="1000"/>
      <c r="LND34" s="1000"/>
      <c r="LNE34" s="1000"/>
      <c r="LNF34" s="1000"/>
      <c r="LNG34" s="1000"/>
      <c r="LNH34" s="1000"/>
      <c r="LNI34" s="1000"/>
      <c r="LNJ34" s="1000"/>
      <c r="LNK34" s="1000"/>
      <c r="LNL34" s="1000"/>
      <c r="LNM34" s="1000"/>
      <c r="LNN34" s="1000"/>
      <c r="LNO34" s="1000"/>
      <c r="LNP34" s="1000"/>
      <c r="LNQ34" s="1000"/>
      <c r="LNR34" s="1000"/>
      <c r="LNS34" s="1000"/>
      <c r="LNT34" s="1000"/>
      <c r="LNU34" s="1000"/>
      <c r="LNV34" s="1000"/>
      <c r="LNW34" s="1000"/>
      <c r="LNX34" s="1000"/>
      <c r="LNY34" s="1000"/>
      <c r="LNZ34" s="1000"/>
      <c r="LOA34" s="1000"/>
      <c r="LOB34" s="1000"/>
      <c r="LOC34" s="1000"/>
      <c r="LOD34" s="1000"/>
      <c r="LOE34" s="1000"/>
      <c r="LOF34" s="1000"/>
      <c r="LOG34" s="1000"/>
      <c r="LOH34" s="1000"/>
      <c r="LOI34" s="1000"/>
      <c r="LOJ34" s="1000"/>
      <c r="LOK34" s="1000"/>
      <c r="LOL34" s="1000"/>
      <c r="LOM34" s="1000"/>
      <c r="LON34" s="1000"/>
      <c r="LOO34" s="1000"/>
      <c r="LOP34" s="1000"/>
      <c r="LOQ34" s="1000"/>
      <c r="LOR34" s="1000"/>
      <c r="LOS34" s="1000"/>
      <c r="LOT34" s="1000"/>
      <c r="LOU34" s="1000"/>
      <c r="LOV34" s="1000"/>
      <c r="LOW34" s="1000"/>
      <c r="LOX34" s="1000"/>
      <c r="LOY34" s="1000"/>
      <c r="LOZ34" s="1000"/>
      <c r="LPA34" s="1000"/>
      <c r="LPB34" s="1000"/>
      <c r="LPC34" s="1000"/>
      <c r="LPD34" s="1000"/>
      <c r="LPE34" s="1000"/>
      <c r="LPF34" s="1000"/>
      <c r="LPG34" s="1000"/>
      <c r="LPH34" s="1000"/>
      <c r="LPI34" s="1000"/>
      <c r="LPJ34" s="1000"/>
      <c r="LPK34" s="1000"/>
      <c r="LPL34" s="1000"/>
      <c r="LPM34" s="1000"/>
      <c r="LPN34" s="1000"/>
      <c r="LPO34" s="1000"/>
      <c r="LPP34" s="1000"/>
      <c r="LPQ34" s="1000"/>
      <c r="LPR34" s="1000"/>
      <c r="LPS34" s="1000"/>
      <c r="LPT34" s="1000"/>
      <c r="LPU34" s="1000"/>
      <c r="LPV34" s="1000"/>
      <c r="LPW34" s="1000"/>
      <c r="LPX34" s="1000"/>
      <c r="LPY34" s="1000"/>
      <c r="LPZ34" s="1000"/>
      <c r="LQA34" s="1000"/>
      <c r="LQB34" s="1000"/>
      <c r="LQC34" s="1000"/>
      <c r="LQD34" s="1000"/>
      <c r="LQE34" s="1000"/>
      <c r="LQF34" s="1000"/>
      <c r="LQG34" s="1000"/>
      <c r="LQH34" s="1000"/>
      <c r="LQI34" s="1000"/>
      <c r="LQJ34" s="1000"/>
      <c r="LQK34" s="1000"/>
      <c r="LQL34" s="1000"/>
      <c r="LQM34" s="1000"/>
      <c r="LQN34" s="1000"/>
      <c r="LQO34" s="1000"/>
      <c r="LQP34" s="1000"/>
      <c r="LQQ34" s="1000"/>
      <c r="LQR34" s="1000"/>
      <c r="LQS34" s="1000"/>
      <c r="LQT34" s="1000"/>
      <c r="LQU34" s="1000"/>
      <c r="LQV34" s="1000"/>
      <c r="LQW34" s="1000"/>
      <c r="LQX34" s="1000"/>
      <c r="LQY34" s="1000"/>
      <c r="LQZ34" s="1000"/>
      <c r="LRA34" s="1000"/>
      <c r="LRB34" s="1000"/>
      <c r="LRC34" s="1000"/>
      <c r="LRD34" s="1000"/>
      <c r="LRE34" s="1000"/>
      <c r="LRF34" s="1000"/>
      <c r="LRG34" s="1000"/>
      <c r="LRH34" s="1000"/>
      <c r="LRI34" s="1000"/>
      <c r="LRJ34" s="1000"/>
      <c r="LRK34" s="1000"/>
      <c r="LRL34" s="1000"/>
      <c r="LRM34" s="1000"/>
      <c r="LRN34" s="1000"/>
      <c r="LRO34" s="1000"/>
      <c r="LRP34" s="1000"/>
      <c r="LRQ34" s="1000"/>
      <c r="LRR34" s="1000"/>
      <c r="LRS34" s="1000"/>
      <c r="LRT34" s="1000"/>
      <c r="LRU34" s="1000"/>
      <c r="LRV34" s="1000"/>
      <c r="LRW34" s="1000"/>
      <c r="LRX34" s="1000"/>
      <c r="LRY34" s="1000"/>
      <c r="LRZ34" s="1000"/>
      <c r="LSA34" s="1000"/>
      <c r="LSB34" s="1000"/>
      <c r="LSC34" s="1000"/>
      <c r="LSD34" s="1000"/>
      <c r="LSE34" s="1000"/>
      <c r="LSF34" s="1000"/>
      <c r="LSG34" s="1000"/>
      <c r="LSH34" s="1000"/>
      <c r="LSI34" s="1000"/>
      <c r="LSJ34" s="1000"/>
      <c r="LSK34" s="1000"/>
      <c r="LSL34" s="1000"/>
      <c r="LSM34" s="1000"/>
      <c r="LSN34" s="1000"/>
      <c r="LSO34" s="1000"/>
      <c r="LSP34" s="1000"/>
      <c r="LSQ34" s="1000"/>
      <c r="LSR34" s="1000"/>
      <c r="LSS34" s="1000"/>
      <c r="LST34" s="1000"/>
      <c r="LSU34" s="1000"/>
      <c r="LSV34" s="1000"/>
      <c r="LSW34" s="1000"/>
      <c r="LSX34" s="1000"/>
      <c r="LSY34" s="1000"/>
      <c r="LSZ34" s="1000"/>
      <c r="LTA34" s="1000"/>
      <c r="LTB34" s="1000"/>
      <c r="LTC34" s="1000"/>
      <c r="LTD34" s="1000"/>
      <c r="LTE34" s="1000"/>
      <c r="LTF34" s="1000"/>
      <c r="LTG34" s="1000"/>
      <c r="LTH34" s="1000"/>
      <c r="LTI34" s="1000"/>
      <c r="LTJ34" s="1000"/>
      <c r="LTK34" s="1000"/>
      <c r="LTL34" s="1000"/>
      <c r="LTM34" s="1000"/>
      <c r="LTN34" s="1000"/>
      <c r="LTO34" s="1000"/>
      <c r="LTP34" s="1000"/>
      <c r="LTQ34" s="1000"/>
      <c r="LTR34" s="1000"/>
      <c r="LTS34" s="1000"/>
      <c r="LTT34" s="1000"/>
      <c r="LTU34" s="1000"/>
      <c r="LTV34" s="1000"/>
      <c r="LTW34" s="1000"/>
      <c r="LTX34" s="1000"/>
      <c r="LTY34" s="1000"/>
      <c r="LTZ34" s="1000"/>
      <c r="LUA34" s="1000"/>
      <c r="LUB34" s="1000"/>
      <c r="LUC34" s="1000"/>
      <c r="LUD34" s="1000"/>
      <c r="LUE34" s="1000"/>
      <c r="LUF34" s="1000"/>
      <c r="LUG34" s="1000"/>
      <c r="LUH34" s="1000"/>
      <c r="LUI34" s="1000"/>
      <c r="LUJ34" s="1000"/>
      <c r="LUK34" s="1000"/>
      <c r="LUL34" s="1000"/>
      <c r="LUM34" s="1000"/>
      <c r="LUN34" s="1000"/>
      <c r="LUO34" s="1000"/>
      <c r="LUP34" s="1000"/>
      <c r="LUQ34" s="1000"/>
      <c r="LUR34" s="1000"/>
      <c r="LUS34" s="1000"/>
      <c r="LUT34" s="1000"/>
      <c r="LUU34" s="1000"/>
      <c r="LUV34" s="1000"/>
      <c r="LUW34" s="1000"/>
      <c r="LUX34" s="1000"/>
      <c r="LUY34" s="1000"/>
      <c r="LUZ34" s="1000"/>
      <c r="LVA34" s="1000"/>
      <c r="LVB34" s="1000"/>
      <c r="LVC34" s="1000"/>
      <c r="LVD34" s="1000"/>
      <c r="LVE34" s="1000"/>
      <c r="LVF34" s="1000"/>
      <c r="LVG34" s="1000"/>
      <c r="LVH34" s="1000"/>
      <c r="LVI34" s="1000"/>
      <c r="LVJ34" s="1000"/>
      <c r="LVK34" s="1000"/>
      <c r="LVL34" s="1000"/>
      <c r="LVM34" s="1000"/>
      <c r="LVN34" s="1000"/>
      <c r="LVO34" s="1000"/>
      <c r="LVP34" s="1000"/>
      <c r="LVQ34" s="1000"/>
      <c r="LVR34" s="1000"/>
      <c r="LVS34" s="1000"/>
      <c r="LVT34" s="1000"/>
      <c r="LVU34" s="1000"/>
      <c r="LVV34" s="1000"/>
      <c r="LVW34" s="1000"/>
      <c r="LVX34" s="1000"/>
      <c r="LVY34" s="1000"/>
      <c r="LVZ34" s="1000"/>
      <c r="LWA34" s="1000"/>
      <c r="LWB34" s="1000"/>
      <c r="LWC34" s="1000"/>
      <c r="LWD34" s="1000"/>
      <c r="LWE34" s="1000"/>
      <c r="LWF34" s="1000"/>
      <c r="LWG34" s="1000"/>
      <c r="LWH34" s="1000"/>
      <c r="LWI34" s="1000"/>
      <c r="LWJ34" s="1000"/>
      <c r="LWK34" s="1000"/>
      <c r="LWL34" s="1000"/>
      <c r="LWM34" s="1000"/>
      <c r="LWN34" s="1000"/>
      <c r="LWO34" s="1000"/>
      <c r="LWP34" s="1000"/>
      <c r="LWQ34" s="1000"/>
      <c r="LWR34" s="1000"/>
      <c r="LWS34" s="1000"/>
      <c r="LWT34" s="1000"/>
      <c r="LWU34" s="1000"/>
      <c r="LWV34" s="1000"/>
      <c r="LWW34" s="1000"/>
      <c r="LWX34" s="1000"/>
      <c r="LWY34" s="1000"/>
      <c r="LWZ34" s="1000"/>
      <c r="LXA34" s="1000"/>
      <c r="LXB34" s="1000"/>
      <c r="LXC34" s="1000"/>
      <c r="LXD34" s="1000"/>
      <c r="LXE34" s="1000"/>
      <c r="LXF34" s="1000"/>
      <c r="LXG34" s="1000"/>
      <c r="LXH34" s="1000"/>
      <c r="LXI34" s="1000"/>
      <c r="LXJ34" s="1000"/>
      <c r="LXK34" s="1000"/>
      <c r="LXL34" s="1000"/>
      <c r="LXM34" s="1000"/>
      <c r="LXN34" s="1000"/>
      <c r="LXO34" s="1000"/>
      <c r="LXP34" s="1000"/>
      <c r="LXQ34" s="1000"/>
      <c r="LXR34" s="1000"/>
      <c r="LXS34" s="1000"/>
      <c r="LXT34" s="1000"/>
      <c r="LXU34" s="1000"/>
      <c r="LXV34" s="1000"/>
      <c r="LXW34" s="1000"/>
      <c r="LXX34" s="1000"/>
      <c r="LXY34" s="1000"/>
      <c r="LXZ34" s="1000"/>
      <c r="LYA34" s="1000"/>
      <c r="LYB34" s="1000"/>
      <c r="LYC34" s="1000"/>
      <c r="LYD34" s="1000"/>
      <c r="LYE34" s="1000"/>
      <c r="LYF34" s="1000"/>
      <c r="LYG34" s="1000"/>
      <c r="LYH34" s="1000"/>
      <c r="LYI34" s="1000"/>
      <c r="LYJ34" s="1000"/>
      <c r="LYK34" s="1000"/>
      <c r="LYL34" s="1000"/>
      <c r="LYM34" s="1000"/>
      <c r="LYN34" s="1000"/>
      <c r="LYO34" s="1000"/>
      <c r="LYP34" s="1000"/>
      <c r="LYQ34" s="1000"/>
      <c r="LYR34" s="1000"/>
      <c r="LYS34" s="1000"/>
      <c r="LYT34" s="1000"/>
      <c r="LYU34" s="1000"/>
      <c r="LYV34" s="1000"/>
      <c r="LYW34" s="1000"/>
      <c r="LYX34" s="1000"/>
      <c r="LYY34" s="1000"/>
      <c r="LYZ34" s="1000"/>
      <c r="LZA34" s="1000"/>
      <c r="LZB34" s="1000"/>
      <c r="LZC34" s="1000"/>
      <c r="LZD34" s="1000"/>
      <c r="LZE34" s="1000"/>
      <c r="LZF34" s="1000"/>
      <c r="LZG34" s="1000"/>
      <c r="LZH34" s="1000"/>
      <c r="LZI34" s="1000"/>
      <c r="LZJ34" s="1000"/>
      <c r="LZK34" s="1000"/>
      <c r="LZL34" s="1000"/>
      <c r="LZM34" s="1000"/>
      <c r="LZN34" s="1000"/>
      <c r="LZO34" s="1000"/>
      <c r="LZP34" s="1000"/>
      <c r="LZQ34" s="1000"/>
      <c r="LZR34" s="1000"/>
      <c r="LZS34" s="1000"/>
      <c r="LZT34" s="1000"/>
      <c r="LZU34" s="1000"/>
      <c r="LZV34" s="1000"/>
      <c r="LZW34" s="1000"/>
      <c r="LZX34" s="1000"/>
      <c r="LZY34" s="1000"/>
      <c r="LZZ34" s="1000"/>
      <c r="MAA34" s="1000"/>
      <c r="MAB34" s="1000"/>
      <c r="MAC34" s="1000"/>
      <c r="MAD34" s="1000"/>
      <c r="MAE34" s="1000"/>
      <c r="MAF34" s="1000"/>
      <c r="MAG34" s="1000"/>
      <c r="MAH34" s="1000"/>
      <c r="MAI34" s="1000"/>
      <c r="MAJ34" s="1000"/>
      <c r="MAK34" s="1000"/>
      <c r="MAL34" s="1000"/>
      <c r="MAM34" s="1000"/>
      <c r="MAN34" s="1000"/>
      <c r="MAO34" s="1000"/>
      <c r="MAP34" s="1000"/>
      <c r="MAQ34" s="1000"/>
      <c r="MAR34" s="1000"/>
      <c r="MAS34" s="1000"/>
      <c r="MAT34" s="1000"/>
      <c r="MAU34" s="1000"/>
      <c r="MAV34" s="1000"/>
      <c r="MAW34" s="1000"/>
      <c r="MAX34" s="1000"/>
      <c r="MAY34" s="1000"/>
      <c r="MAZ34" s="1000"/>
      <c r="MBA34" s="1000"/>
      <c r="MBB34" s="1000"/>
      <c r="MBC34" s="1000"/>
      <c r="MBD34" s="1000"/>
      <c r="MBE34" s="1000"/>
      <c r="MBF34" s="1000"/>
      <c r="MBG34" s="1000"/>
      <c r="MBH34" s="1000"/>
      <c r="MBI34" s="1000"/>
      <c r="MBJ34" s="1000"/>
      <c r="MBK34" s="1000"/>
      <c r="MBL34" s="1000"/>
      <c r="MBM34" s="1000"/>
      <c r="MBN34" s="1000"/>
      <c r="MBO34" s="1000"/>
      <c r="MBP34" s="1000"/>
      <c r="MBQ34" s="1000"/>
      <c r="MBR34" s="1000"/>
      <c r="MBS34" s="1000"/>
      <c r="MBT34" s="1000"/>
      <c r="MBU34" s="1000"/>
      <c r="MBV34" s="1000"/>
      <c r="MBW34" s="1000"/>
      <c r="MBX34" s="1000"/>
      <c r="MBY34" s="1000"/>
      <c r="MBZ34" s="1000"/>
      <c r="MCA34" s="1000"/>
      <c r="MCB34" s="1000"/>
      <c r="MCC34" s="1000"/>
      <c r="MCD34" s="1000"/>
      <c r="MCE34" s="1000"/>
      <c r="MCF34" s="1000"/>
      <c r="MCG34" s="1000"/>
      <c r="MCH34" s="1000"/>
      <c r="MCI34" s="1000"/>
      <c r="MCJ34" s="1000"/>
      <c r="MCK34" s="1000"/>
      <c r="MCL34" s="1000"/>
      <c r="MCM34" s="1000"/>
      <c r="MCN34" s="1000"/>
      <c r="MCO34" s="1000"/>
      <c r="MCP34" s="1000"/>
      <c r="MCQ34" s="1000"/>
      <c r="MCR34" s="1000"/>
      <c r="MCS34" s="1000"/>
      <c r="MCT34" s="1000"/>
      <c r="MCU34" s="1000"/>
      <c r="MCV34" s="1000"/>
      <c r="MCW34" s="1000"/>
      <c r="MCX34" s="1000"/>
      <c r="MCY34" s="1000"/>
      <c r="MCZ34" s="1000"/>
      <c r="MDA34" s="1000"/>
      <c r="MDB34" s="1000"/>
      <c r="MDC34" s="1000"/>
      <c r="MDD34" s="1000"/>
      <c r="MDE34" s="1000"/>
      <c r="MDF34" s="1000"/>
      <c r="MDG34" s="1000"/>
      <c r="MDH34" s="1000"/>
      <c r="MDI34" s="1000"/>
      <c r="MDJ34" s="1000"/>
      <c r="MDK34" s="1000"/>
      <c r="MDL34" s="1000"/>
      <c r="MDM34" s="1000"/>
      <c r="MDN34" s="1000"/>
      <c r="MDO34" s="1000"/>
      <c r="MDP34" s="1000"/>
      <c r="MDQ34" s="1000"/>
      <c r="MDR34" s="1000"/>
      <c r="MDS34" s="1000"/>
      <c r="MDT34" s="1000"/>
      <c r="MDU34" s="1000"/>
      <c r="MDV34" s="1000"/>
      <c r="MDW34" s="1000"/>
      <c r="MDX34" s="1000"/>
      <c r="MDY34" s="1000"/>
      <c r="MDZ34" s="1000"/>
      <c r="MEA34" s="1000"/>
      <c r="MEB34" s="1000"/>
      <c r="MEC34" s="1000"/>
      <c r="MED34" s="1000"/>
      <c r="MEE34" s="1000"/>
      <c r="MEF34" s="1000"/>
      <c r="MEG34" s="1000"/>
      <c r="MEH34" s="1000"/>
      <c r="MEI34" s="1000"/>
      <c r="MEJ34" s="1000"/>
      <c r="MEK34" s="1000"/>
      <c r="MEL34" s="1000"/>
      <c r="MEM34" s="1000"/>
      <c r="MEN34" s="1000"/>
      <c r="MEO34" s="1000"/>
      <c r="MEP34" s="1000"/>
      <c r="MEQ34" s="1000"/>
      <c r="MER34" s="1000"/>
      <c r="MES34" s="1000"/>
      <c r="MET34" s="1000"/>
      <c r="MEU34" s="1000"/>
      <c r="MEV34" s="1000"/>
      <c r="MEW34" s="1000"/>
      <c r="MEX34" s="1000"/>
      <c r="MEY34" s="1000"/>
      <c r="MEZ34" s="1000"/>
      <c r="MFA34" s="1000"/>
      <c r="MFB34" s="1000"/>
      <c r="MFC34" s="1000"/>
      <c r="MFD34" s="1000"/>
      <c r="MFE34" s="1000"/>
      <c r="MFF34" s="1000"/>
      <c r="MFG34" s="1000"/>
      <c r="MFH34" s="1000"/>
      <c r="MFI34" s="1000"/>
      <c r="MFJ34" s="1000"/>
      <c r="MFK34" s="1000"/>
      <c r="MFL34" s="1000"/>
      <c r="MFM34" s="1000"/>
      <c r="MFN34" s="1000"/>
      <c r="MFO34" s="1000"/>
      <c r="MFP34" s="1000"/>
      <c r="MFQ34" s="1000"/>
      <c r="MFR34" s="1000"/>
      <c r="MFS34" s="1000"/>
      <c r="MFT34" s="1000"/>
      <c r="MFU34" s="1000"/>
      <c r="MFV34" s="1000"/>
      <c r="MFW34" s="1000"/>
      <c r="MFX34" s="1000"/>
      <c r="MFY34" s="1000"/>
      <c r="MFZ34" s="1000"/>
      <c r="MGA34" s="1000"/>
      <c r="MGB34" s="1000"/>
      <c r="MGC34" s="1000"/>
      <c r="MGD34" s="1000"/>
      <c r="MGE34" s="1000"/>
      <c r="MGF34" s="1000"/>
      <c r="MGG34" s="1000"/>
      <c r="MGH34" s="1000"/>
      <c r="MGI34" s="1000"/>
      <c r="MGJ34" s="1000"/>
      <c r="MGK34" s="1000"/>
      <c r="MGL34" s="1000"/>
      <c r="MGM34" s="1000"/>
      <c r="MGN34" s="1000"/>
      <c r="MGO34" s="1000"/>
      <c r="MGP34" s="1000"/>
      <c r="MGQ34" s="1000"/>
      <c r="MGR34" s="1000"/>
      <c r="MGS34" s="1000"/>
      <c r="MGT34" s="1000"/>
      <c r="MGU34" s="1000"/>
      <c r="MGV34" s="1000"/>
      <c r="MGW34" s="1000"/>
      <c r="MGX34" s="1000"/>
      <c r="MGY34" s="1000"/>
      <c r="MGZ34" s="1000"/>
      <c r="MHA34" s="1000"/>
      <c r="MHB34" s="1000"/>
      <c r="MHC34" s="1000"/>
      <c r="MHD34" s="1000"/>
      <c r="MHE34" s="1000"/>
      <c r="MHF34" s="1000"/>
      <c r="MHG34" s="1000"/>
      <c r="MHH34" s="1000"/>
      <c r="MHI34" s="1000"/>
      <c r="MHJ34" s="1000"/>
      <c r="MHK34" s="1000"/>
      <c r="MHL34" s="1000"/>
      <c r="MHM34" s="1000"/>
      <c r="MHN34" s="1000"/>
      <c r="MHO34" s="1000"/>
      <c r="MHP34" s="1000"/>
      <c r="MHQ34" s="1000"/>
      <c r="MHR34" s="1000"/>
      <c r="MHS34" s="1000"/>
      <c r="MHT34" s="1000"/>
      <c r="MHU34" s="1000"/>
      <c r="MHV34" s="1000"/>
      <c r="MHW34" s="1000"/>
      <c r="MHX34" s="1000"/>
      <c r="MHY34" s="1000"/>
      <c r="MHZ34" s="1000"/>
      <c r="MIA34" s="1000"/>
      <c r="MIB34" s="1000"/>
      <c r="MIC34" s="1000"/>
      <c r="MID34" s="1000"/>
      <c r="MIE34" s="1000"/>
      <c r="MIF34" s="1000"/>
      <c r="MIG34" s="1000"/>
      <c r="MIH34" s="1000"/>
      <c r="MII34" s="1000"/>
      <c r="MIJ34" s="1000"/>
      <c r="MIK34" s="1000"/>
      <c r="MIL34" s="1000"/>
      <c r="MIM34" s="1000"/>
      <c r="MIN34" s="1000"/>
      <c r="MIO34" s="1000"/>
      <c r="MIP34" s="1000"/>
      <c r="MIQ34" s="1000"/>
      <c r="MIR34" s="1000"/>
      <c r="MIS34" s="1000"/>
      <c r="MIT34" s="1000"/>
      <c r="MIU34" s="1000"/>
      <c r="MIV34" s="1000"/>
      <c r="MIW34" s="1000"/>
      <c r="MIX34" s="1000"/>
      <c r="MIY34" s="1000"/>
      <c r="MIZ34" s="1000"/>
      <c r="MJA34" s="1000"/>
      <c r="MJB34" s="1000"/>
      <c r="MJC34" s="1000"/>
      <c r="MJD34" s="1000"/>
      <c r="MJE34" s="1000"/>
      <c r="MJF34" s="1000"/>
      <c r="MJG34" s="1000"/>
      <c r="MJH34" s="1000"/>
      <c r="MJI34" s="1000"/>
      <c r="MJJ34" s="1000"/>
      <c r="MJK34" s="1000"/>
      <c r="MJL34" s="1000"/>
      <c r="MJM34" s="1000"/>
      <c r="MJN34" s="1000"/>
      <c r="MJO34" s="1000"/>
      <c r="MJP34" s="1000"/>
      <c r="MJQ34" s="1000"/>
      <c r="MJR34" s="1000"/>
      <c r="MJS34" s="1000"/>
      <c r="MJT34" s="1000"/>
      <c r="MJU34" s="1000"/>
      <c r="MJV34" s="1000"/>
      <c r="MJW34" s="1000"/>
      <c r="MJX34" s="1000"/>
      <c r="MJY34" s="1000"/>
      <c r="MJZ34" s="1000"/>
      <c r="MKA34" s="1000"/>
      <c r="MKB34" s="1000"/>
      <c r="MKC34" s="1000"/>
      <c r="MKD34" s="1000"/>
      <c r="MKE34" s="1000"/>
      <c r="MKF34" s="1000"/>
      <c r="MKG34" s="1000"/>
      <c r="MKH34" s="1000"/>
      <c r="MKI34" s="1000"/>
      <c r="MKJ34" s="1000"/>
      <c r="MKK34" s="1000"/>
      <c r="MKL34" s="1000"/>
      <c r="MKM34" s="1000"/>
      <c r="MKN34" s="1000"/>
      <c r="MKO34" s="1000"/>
      <c r="MKP34" s="1000"/>
      <c r="MKQ34" s="1000"/>
      <c r="MKR34" s="1000"/>
      <c r="MKS34" s="1000"/>
      <c r="MKT34" s="1000"/>
      <c r="MKU34" s="1000"/>
      <c r="MKV34" s="1000"/>
      <c r="MKW34" s="1000"/>
      <c r="MKX34" s="1000"/>
      <c r="MKY34" s="1000"/>
      <c r="MKZ34" s="1000"/>
      <c r="MLA34" s="1000"/>
      <c r="MLB34" s="1000"/>
      <c r="MLC34" s="1000"/>
      <c r="MLD34" s="1000"/>
      <c r="MLE34" s="1000"/>
      <c r="MLF34" s="1000"/>
      <c r="MLG34" s="1000"/>
      <c r="MLH34" s="1000"/>
      <c r="MLI34" s="1000"/>
      <c r="MLJ34" s="1000"/>
      <c r="MLK34" s="1000"/>
      <c r="MLL34" s="1000"/>
      <c r="MLM34" s="1000"/>
      <c r="MLN34" s="1000"/>
      <c r="MLO34" s="1000"/>
      <c r="MLP34" s="1000"/>
      <c r="MLQ34" s="1000"/>
      <c r="MLR34" s="1000"/>
      <c r="MLS34" s="1000"/>
      <c r="MLT34" s="1000"/>
      <c r="MLU34" s="1000"/>
      <c r="MLV34" s="1000"/>
      <c r="MLW34" s="1000"/>
      <c r="MLX34" s="1000"/>
      <c r="MLY34" s="1000"/>
      <c r="MLZ34" s="1000"/>
      <c r="MMA34" s="1000"/>
      <c r="MMB34" s="1000"/>
      <c r="MMC34" s="1000"/>
      <c r="MMD34" s="1000"/>
      <c r="MME34" s="1000"/>
      <c r="MMF34" s="1000"/>
      <c r="MMG34" s="1000"/>
      <c r="MMH34" s="1000"/>
      <c r="MMI34" s="1000"/>
      <c r="MMJ34" s="1000"/>
      <c r="MMK34" s="1000"/>
      <c r="MML34" s="1000"/>
      <c r="MMM34" s="1000"/>
      <c r="MMN34" s="1000"/>
      <c r="MMO34" s="1000"/>
      <c r="MMP34" s="1000"/>
      <c r="MMQ34" s="1000"/>
      <c r="MMR34" s="1000"/>
      <c r="MMS34" s="1000"/>
      <c r="MMT34" s="1000"/>
      <c r="MMU34" s="1000"/>
      <c r="MMV34" s="1000"/>
      <c r="MMW34" s="1000"/>
      <c r="MMX34" s="1000"/>
      <c r="MMY34" s="1000"/>
      <c r="MMZ34" s="1000"/>
      <c r="MNA34" s="1000"/>
      <c r="MNB34" s="1000"/>
      <c r="MNC34" s="1000"/>
      <c r="MND34" s="1000"/>
      <c r="MNE34" s="1000"/>
      <c r="MNF34" s="1000"/>
      <c r="MNG34" s="1000"/>
      <c r="MNH34" s="1000"/>
      <c r="MNI34" s="1000"/>
      <c r="MNJ34" s="1000"/>
      <c r="MNK34" s="1000"/>
      <c r="MNL34" s="1000"/>
      <c r="MNM34" s="1000"/>
      <c r="MNN34" s="1000"/>
      <c r="MNO34" s="1000"/>
      <c r="MNP34" s="1000"/>
      <c r="MNQ34" s="1000"/>
      <c r="MNR34" s="1000"/>
      <c r="MNS34" s="1000"/>
      <c r="MNT34" s="1000"/>
      <c r="MNU34" s="1000"/>
      <c r="MNV34" s="1000"/>
      <c r="MNW34" s="1000"/>
      <c r="MNX34" s="1000"/>
      <c r="MNY34" s="1000"/>
      <c r="MNZ34" s="1000"/>
      <c r="MOA34" s="1000"/>
      <c r="MOB34" s="1000"/>
      <c r="MOC34" s="1000"/>
      <c r="MOD34" s="1000"/>
      <c r="MOE34" s="1000"/>
      <c r="MOF34" s="1000"/>
      <c r="MOG34" s="1000"/>
      <c r="MOH34" s="1000"/>
      <c r="MOI34" s="1000"/>
      <c r="MOJ34" s="1000"/>
      <c r="MOK34" s="1000"/>
      <c r="MOL34" s="1000"/>
      <c r="MOM34" s="1000"/>
      <c r="MON34" s="1000"/>
      <c r="MOO34" s="1000"/>
      <c r="MOP34" s="1000"/>
      <c r="MOQ34" s="1000"/>
      <c r="MOR34" s="1000"/>
      <c r="MOS34" s="1000"/>
      <c r="MOT34" s="1000"/>
      <c r="MOU34" s="1000"/>
      <c r="MOV34" s="1000"/>
      <c r="MOW34" s="1000"/>
      <c r="MOX34" s="1000"/>
      <c r="MOY34" s="1000"/>
      <c r="MOZ34" s="1000"/>
      <c r="MPA34" s="1000"/>
      <c r="MPB34" s="1000"/>
      <c r="MPC34" s="1000"/>
      <c r="MPD34" s="1000"/>
      <c r="MPE34" s="1000"/>
      <c r="MPF34" s="1000"/>
      <c r="MPG34" s="1000"/>
      <c r="MPH34" s="1000"/>
      <c r="MPI34" s="1000"/>
      <c r="MPJ34" s="1000"/>
      <c r="MPK34" s="1000"/>
      <c r="MPL34" s="1000"/>
      <c r="MPM34" s="1000"/>
      <c r="MPN34" s="1000"/>
      <c r="MPO34" s="1000"/>
      <c r="MPP34" s="1000"/>
      <c r="MPQ34" s="1000"/>
      <c r="MPR34" s="1000"/>
      <c r="MPS34" s="1000"/>
      <c r="MPT34" s="1000"/>
      <c r="MPU34" s="1000"/>
      <c r="MPV34" s="1000"/>
      <c r="MPW34" s="1000"/>
      <c r="MPX34" s="1000"/>
      <c r="MPY34" s="1000"/>
      <c r="MPZ34" s="1000"/>
      <c r="MQA34" s="1000"/>
      <c r="MQB34" s="1000"/>
      <c r="MQC34" s="1000"/>
      <c r="MQD34" s="1000"/>
      <c r="MQE34" s="1000"/>
      <c r="MQF34" s="1000"/>
      <c r="MQG34" s="1000"/>
      <c r="MQH34" s="1000"/>
      <c r="MQI34" s="1000"/>
      <c r="MQJ34" s="1000"/>
      <c r="MQK34" s="1000"/>
      <c r="MQL34" s="1000"/>
      <c r="MQM34" s="1000"/>
      <c r="MQN34" s="1000"/>
      <c r="MQO34" s="1000"/>
      <c r="MQP34" s="1000"/>
      <c r="MQQ34" s="1000"/>
      <c r="MQR34" s="1000"/>
      <c r="MQS34" s="1000"/>
      <c r="MQT34" s="1000"/>
      <c r="MQU34" s="1000"/>
      <c r="MQV34" s="1000"/>
      <c r="MQW34" s="1000"/>
      <c r="MQX34" s="1000"/>
      <c r="MQY34" s="1000"/>
      <c r="MQZ34" s="1000"/>
      <c r="MRA34" s="1000"/>
      <c r="MRB34" s="1000"/>
      <c r="MRC34" s="1000"/>
      <c r="MRD34" s="1000"/>
      <c r="MRE34" s="1000"/>
      <c r="MRF34" s="1000"/>
      <c r="MRG34" s="1000"/>
      <c r="MRH34" s="1000"/>
      <c r="MRI34" s="1000"/>
      <c r="MRJ34" s="1000"/>
      <c r="MRK34" s="1000"/>
      <c r="MRL34" s="1000"/>
      <c r="MRM34" s="1000"/>
      <c r="MRN34" s="1000"/>
      <c r="MRO34" s="1000"/>
      <c r="MRP34" s="1000"/>
      <c r="MRQ34" s="1000"/>
      <c r="MRR34" s="1000"/>
      <c r="MRS34" s="1000"/>
      <c r="MRT34" s="1000"/>
      <c r="MRU34" s="1000"/>
      <c r="MRV34" s="1000"/>
      <c r="MRW34" s="1000"/>
      <c r="MRX34" s="1000"/>
      <c r="MRY34" s="1000"/>
      <c r="MRZ34" s="1000"/>
      <c r="MSA34" s="1000"/>
      <c r="MSB34" s="1000"/>
      <c r="MSC34" s="1000"/>
      <c r="MSD34" s="1000"/>
      <c r="MSE34" s="1000"/>
      <c r="MSF34" s="1000"/>
      <c r="MSG34" s="1000"/>
      <c r="MSH34" s="1000"/>
      <c r="MSI34" s="1000"/>
      <c r="MSJ34" s="1000"/>
      <c r="MSK34" s="1000"/>
      <c r="MSL34" s="1000"/>
      <c r="MSM34" s="1000"/>
      <c r="MSN34" s="1000"/>
      <c r="MSO34" s="1000"/>
      <c r="MSP34" s="1000"/>
      <c r="MSQ34" s="1000"/>
      <c r="MSR34" s="1000"/>
      <c r="MSS34" s="1000"/>
      <c r="MST34" s="1000"/>
      <c r="MSU34" s="1000"/>
      <c r="MSV34" s="1000"/>
      <c r="MSW34" s="1000"/>
      <c r="MSX34" s="1000"/>
      <c r="MSY34" s="1000"/>
      <c r="MSZ34" s="1000"/>
      <c r="MTA34" s="1000"/>
      <c r="MTB34" s="1000"/>
      <c r="MTC34" s="1000"/>
      <c r="MTD34" s="1000"/>
      <c r="MTE34" s="1000"/>
      <c r="MTF34" s="1000"/>
      <c r="MTG34" s="1000"/>
      <c r="MTH34" s="1000"/>
      <c r="MTI34" s="1000"/>
      <c r="MTJ34" s="1000"/>
      <c r="MTK34" s="1000"/>
      <c r="MTL34" s="1000"/>
      <c r="MTM34" s="1000"/>
      <c r="MTN34" s="1000"/>
      <c r="MTO34" s="1000"/>
      <c r="MTP34" s="1000"/>
      <c r="MTQ34" s="1000"/>
      <c r="MTR34" s="1000"/>
      <c r="MTS34" s="1000"/>
      <c r="MTT34" s="1000"/>
      <c r="MTU34" s="1000"/>
      <c r="MTV34" s="1000"/>
      <c r="MTW34" s="1000"/>
      <c r="MTX34" s="1000"/>
      <c r="MTY34" s="1000"/>
      <c r="MTZ34" s="1000"/>
      <c r="MUA34" s="1000"/>
      <c r="MUB34" s="1000"/>
      <c r="MUC34" s="1000"/>
      <c r="MUD34" s="1000"/>
      <c r="MUE34" s="1000"/>
      <c r="MUF34" s="1000"/>
      <c r="MUG34" s="1000"/>
      <c r="MUH34" s="1000"/>
      <c r="MUI34" s="1000"/>
      <c r="MUJ34" s="1000"/>
      <c r="MUK34" s="1000"/>
      <c r="MUL34" s="1000"/>
      <c r="MUM34" s="1000"/>
      <c r="MUN34" s="1000"/>
      <c r="MUO34" s="1000"/>
      <c r="MUP34" s="1000"/>
      <c r="MUQ34" s="1000"/>
      <c r="MUR34" s="1000"/>
      <c r="MUS34" s="1000"/>
      <c r="MUT34" s="1000"/>
      <c r="MUU34" s="1000"/>
      <c r="MUV34" s="1000"/>
      <c r="MUW34" s="1000"/>
      <c r="MUX34" s="1000"/>
      <c r="MUY34" s="1000"/>
      <c r="MUZ34" s="1000"/>
      <c r="MVA34" s="1000"/>
      <c r="MVB34" s="1000"/>
      <c r="MVC34" s="1000"/>
      <c r="MVD34" s="1000"/>
      <c r="MVE34" s="1000"/>
      <c r="MVF34" s="1000"/>
      <c r="MVG34" s="1000"/>
      <c r="MVH34" s="1000"/>
      <c r="MVI34" s="1000"/>
      <c r="MVJ34" s="1000"/>
      <c r="MVK34" s="1000"/>
      <c r="MVL34" s="1000"/>
      <c r="MVM34" s="1000"/>
      <c r="MVN34" s="1000"/>
      <c r="MVO34" s="1000"/>
      <c r="MVP34" s="1000"/>
      <c r="MVQ34" s="1000"/>
      <c r="MVR34" s="1000"/>
      <c r="MVS34" s="1000"/>
      <c r="MVT34" s="1000"/>
      <c r="MVU34" s="1000"/>
      <c r="MVV34" s="1000"/>
      <c r="MVW34" s="1000"/>
      <c r="MVX34" s="1000"/>
      <c r="MVY34" s="1000"/>
      <c r="MVZ34" s="1000"/>
      <c r="MWA34" s="1000"/>
      <c r="MWB34" s="1000"/>
      <c r="MWC34" s="1000"/>
      <c r="MWD34" s="1000"/>
      <c r="MWE34" s="1000"/>
      <c r="MWF34" s="1000"/>
      <c r="MWG34" s="1000"/>
      <c r="MWH34" s="1000"/>
      <c r="MWI34" s="1000"/>
      <c r="MWJ34" s="1000"/>
      <c r="MWK34" s="1000"/>
      <c r="MWL34" s="1000"/>
      <c r="MWM34" s="1000"/>
      <c r="MWN34" s="1000"/>
      <c r="MWO34" s="1000"/>
      <c r="MWP34" s="1000"/>
      <c r="MWQ34" s="1000"/>
      <c r="MWR34" s="1000"/>
      <c r="MWS34" s="1000"/>
      <c r="MWT34" s="1000"/>
      <c r="MWU34" s="1000"/>
      <c r="MWV34" s="1000"/>
      <c r="MWW34" s="1000"/>
      <c r="MWX34" s="1000"/>
      <c r="MWY34" s="1000"/>
      <c r="MWZ34" s="1000"/>
      <c r="MXA34" s="1000"/>
      <c r="MXB34" s="1000"/>
      <c r="MXC34" s="1000"/>
      <c r="MXD34" s="1000"/>
      <c r="MXE34" s="1000"/>
      <c r="MXF34" s="1000"/>
      <c r="MXG34" s="1000"/>
      <c r="MXH34" s="1000"/>
      <c r="MXI34" s="1000"/>
      <c r="MXJ34" s="1000"/>
      <c r="MXK34" s="1000"/>
      <c r="MXL34" s="1000"/>
      <c r="MXM34" s="1000"/>
      <c r="MXN34" s="1000"/>
      <c r="MXO34" s="1000"/>
      <c r="MXP34" s="1000"/>
      <c r="MXQ34" s="1000"/>
      <c r="MXR34" s="1000"/>
      <c r="MXS34" s="1000"/>
      <c r="MXT34" s="1000"/>
      <c r="MXU34" s="1000"/>
      <c r="MXV34" s="1000"/>
      <c r="MXW34" s="1000"/>
      <c r="MXX34" s="1000"/>
      <c r="MXY34" s="1000"/>
      <c r="MXZ34" s="1000"/>
      <c r="MYA34" s="1000"/>
      <c r="MYB34" s="1000"/>
      <c r="MYC34" s="1000"/>
      <c r="MYD34" s="1000"/>
      <c r="MYE34" s="1000"/>
      <c r="MYF34" s="1000"/>
      <c r="MYG34" s="1000"/>
      <c r="MYH34" s="1000"/>
      <c r="MYI34" s="1000"/>
      <c r="MYJ34" s="1000"/>
      <c r="MYK34" s="1000"/>
      <c r="MYL34" s="1000"/>
      <c r="MYM34" s="1000"/>
      <c r="MYN34" s="1000"/>
      <c r="MYO34" s="1000"/>
      <c r="MYP34" s="1000"/>
      <c r="MYQ34" s="1000"/>
      <c r="MYR34" s="1000"/>
      <c r="MYS34" s="1000"/>
      <c r="MYT34" s="1000"/>
      <c r="MYU34" s="1000"/>
      <c r="MYV34" s="1000"/>
      <c r="MYW34" s="1000"/>
      <c r="MYX34" s="1000"/>
      <c r="MYY34" s="1000"/>
      <c r="MYZ34" s="1000"/>
      <c r="MZA34" s="1000"/>
      <c r="MZB34" s="1000"/>
      <c r="MZC34" s="1000"/>
      <c r="MZD34" s="1000"/>
      <c r="MZE34" s="1000"/>
      <c r="MZF34" s="1000"/>
      <c r="MZG34" s="1000"/>
      <c r="MZH34" s="1000"/>
      <c r="MZI34" s="1000"/>
      <c r="MZJ34" s="1000"/>
      <c r="MZK34" s="1000"/>
      <c r="MZL34" s="1000"/>
      <c r="MZM34" s="1000"/>
      <c r="MZN34" s="1000"/>
      <c r="MZO34" s="1000"/>
      <c r="MZP34" s="1000"/>
      <c r="MZQ34" s="1000"/>
      <c r="MZR34" s="1000"/>
      <c r="MZS34" s="1000"/>
      <c r="MZT34" s="1000"/>
      <c r="MZU34" s="1000"/>
      <c r="MZV34" s="1000"/>
      <c r="MZW34" s="1000"/>
      <c r="MZX34" s="1000"/>
      <c r="MZY34" s="1000"/>
      <c r="MZZ34" s="1000"/>
      <c r="NAA34" s="1000"/>
      <c r="NAB34" s="1000"/>
      <c r="NAC34" s="1000"/>
      <c r="NAD34" s="1000"/>
      <c r="NAE34" s="1000"/>
      <c r="NAF34" s="1000"/>
      <c r="NAG34" s="1000"/>
      <c r="NAH34" s="1000"/>
      <c r="NAI34" s="1000"/>
      <c r="NAJ34" s="1000"/>
      <c r="NAK34" s="1000"/>
      <c r="NAL34" s="1000"/>
      <c r="NAM34" s="1000"/>
      <c r="NAN34" s="1000"/>
      <c r="NAO34" s="1000"/>
      <c r="NAP34" s="1000"/>
      <c r="NAQ34" s="1000"/>
      <c r="NAR34" s="1000"/>
      <c r="NAS34" s="1000"/>
      <c r="NAT34" s="1000"/>
      <c r="NAU34" s="1000"/>
      <c r="NAV34" s="1000"/>
      <c r="NAW34" s="1000"/>
      <c r="NAX34" s="1000"/>
      <c r="NAY34" s="1000"/>
      <c r="NAZ34" s="1000"/>
      <c r="NBA34" s="1000"/>
      <c r="NBB34" s="1000"/>
      <c r="NBC34" s="1000"/>
      <c r="NBD34" s="1000"/>
      <c r="NBE34" s="1000"/>
      <c r="NBF34" s="1000"/>
      <c r="NBG34" s="1000"/>
      <c r="NBH34" s="1000"/>
      <c r="NBI34" s="1000"/>
      <c r="NBJ34" s="1000"/>
      <c r="NBK34" s="1000"/>
      <c r="NBL34" s="1000"/>
      <c r="NBM34" s="1000"/>
      <c r="NBN34" s="1000"/>
      <c r="NBO34" s="1000"/>
      <c r="NBP34" s="1000"/>
      <c r="NBQ34" s="1000"/>
      <c r="NBR34" s="1000"/>
      <c r="NBS34" s="1000"/>
      <c r="NBT34" s="1000"/>
      <c r="NBU34" s="1000"/>
      <c r="NBV34" s="1000"/>
      <c r="NBW34" s="1000"/>
      <c r="NBX34" s="1000"/>
      <c r="NBY34" s="1000"/>
      <c r="NBZ34" s="1000"/>
      <c r="NCA34" s="1000"/>
      <c r="NCB34" s="1000"/>
      <c r="NCC34" s="1000"/>
      <c r="NCD34" s="1000"/>
      <c r="NCE34" s="1000"/>
      <c r="NCF34" s="1000"/>
      <c r="NCG34" s="1000"/>
      <c r="NCH34" s="1000"/>
      <c r="NCI34" s="1000"/>
      <c r="NCJ34" s="1000"/>
      <c r="NCK34" s="1000"/>
      <c r="NCL34" s="1000"/>
      <c r="NCM34" s="1000"/>
      <c r="NCN34" s="1000"/>
      <c r="NCO34" s="1000"/>
      <c r="NCP34" s="1000"/>
      <c r="NCQ34" s="1000"/>
      <c r="NCR34" s="1000"/>
      <c r="NCS34" s="1000"/>
      <c r="NCT34" s="1000"/>
      <c r="NCU34" s="1000"/>
      <c r="NCV34" s="1000"/>
      <c r="NCW34" s="1000"/>
      <c r="NCX34" s="1000"/>
      <c r="NCY34" s="1000"/>
      <c r="NCZ34" s="1000"/>
      <c r="NDA34" s="1000"/>
      <c r="NDB34" s="1000"/>
      <c r="NDC34" s="1000"/>
      <c r="NDD34" s="1000"/>
      <c r="NDE34" s="1000"/>
      <c r="NDF34" s="1000"/>
      <c r="NDG34" s="1000"/>
      <c r="NDH34" s="1000"/>
      <c r="NDI34" s="1000"/>
      <c r="NDJ34" s="1000"/>
      <c r="NDK34" s="1000"/>
      <c r="NDL34" s="1000"/>
      <c r="NDM34" s="1000"/>
      <c r="NDN34" s="1000"/>
      <c r="NDO34" s="1000"/>
      <c r="NDP34" s="1000"/>
      <c r="NDQ34" s="1000"/>
      <c r="NDR34" s="1000"/>
      <c r="NDS34" s="1000"/>
      <c r="NDT34" s="1000"/>
      <c r="NDU34" s="1000"/>
      <c r="NDV34" s="1000"/>
      <c r="NDW34" s="1000"/>
      <c r="NDX34" s="1000"/>
      <c r="NDY34" s="1000"/>
      <c r="NDZ34" s="1000"/>
      <c r="NEA34" s="1000"/>
      <c r="NEB34" s="1000"/>
      <c r="NEC34" s="1000"/>
      <c r="NED34" s="1000"/>
      <c r="NEE34" s="1000"/>
      <c r="NEF34" s="1000"/>
      <c r="NEG34" s="1000"/>
      <c r="NEH34" s="1000"/>
      <c r="NEI34" s="1000"/>
      <c r="NEJ34" s="1000"/>
      <c r="NEK34" s="1000"/>
      <c r="NEL34" s="1000"/>
      <c r="NEM34" s="1000"/>
      <c r="NEN34" s="1000"/>
      <c r="NEO34" s="1000"/>
      <c r="NEP34" s="1000"/>
      <c r="NEQ34" s="1000"/>
      <c r="NER34" s="1000"/>
      <c r="NES34" s="1000"/>
      <c r="NET34" s="1000"/>
      <c r="NEU34" s="1000"/>
      <c r="NEV34" s="1000"/>
      <c r="NEW34" s="1000"/>
      <c r="NEX34" s="1000"/>
      <c r="NEY34" s="1000"/>
      <c r="NEZ34" s="1000"/>
      <c r="NFA34" s="1000"/>
      <c r="NFB34" s="1000"/>
      <c r="NFC34" s="1000"/>
      <c r="NFD34" s="1000"/>
      <c r="NFE34" s="1000"/>
      <c r="NFF34" s="1000"/>
      <c r="NFG34" s="1000"/>
      <c r="NFH34" s="1000"/>
      <c r="NFI34" s="1000"/>
      <c r="NFJ34" s="1000"/>
      <c r="NFK34" s="1000"/>
      <c r="NFL34" s="1000"/>
      <c r="NFM34" s="1000"/>
      <c r="NFN34" s="1000"/>
      <c r="NFO34" s="1000"/>
      <c r="NFP34" s="1000"/>
      <c r="NFQ34" s="1000"/>
      <c r="NFR34" s="1000"/>
      <c r="NFS34" s="1000"/>
      <c r="NFT34" s="1000"/>
      <c r="NFU34" s="1000"/>
      <c r="NFV34" s="1000"/>
      <c r="NFW34" s="1000"/>
      <c r="NFX34" s="1000"/>
      <c r="NFY34" s="1000"/>
      <c r="NFZ34" s="1000"/>
      <c r="NGA34" s="1000"/>
      <c r="NGB34" s="1000"/>
      <c r="NGC34" s="1000"/>
      <c r="NGD34" s="1000"/>
      <c r="NGE34" s="1000"/>
      <c r="NGF34" s="1000"/>
      <c r="NGG34" s="1000"/>
      <c r="NGH34" s="1000"/>
      <c r="NGI34" s="1000"/>
      <c r="NGJ34" s="1000"/>
      <c r="NGK34" s="1000"/>
      <c r="NGL34" s="1000"/>
      <c r="NGM34" s="1000"/>
      <c r="NGN34" s="1000"/>
      <c r="NGO34" s="1000"/>
      <c r="NGP34" s="1000"/>
      <c r="NGQ34" s="1000"/>
      <c r="NGR34" s="1000"/>
      <c r="NGS34" s="1000"/>
      <c r="NGT34" s="1000"/>
      <c r="NGU34" s="1000"/>
      <c r="NGV34" s="1000"/>
      <c r="NGW34" s="1000"/>
      <c r="NGX34" s="1000"/>
      <c r="NGY34" s="1000"/>
      <c r="NGZ34" s="1000"/>
      <c r="NHA34" s="1000"/>
      <c r="NHB34" s="1000"/>
      <c r="NHC34" s="1000"/>
      <c r="NHD34" s="1000"/>
      <c r="NHE34" s="1000"/>
      <c r="NHF34" s="1000"/>
      <c r="NHG34" s="1000"/>
      <c r="NHH34" s="1000"/>
      <c r="NHI34" s="1000"/>
      <c r="NHJ34" s="1000"/>
      <c r="NHK34" s="1000"/>
      <c r="NHL34" s="1000"/>
      <c r="NHM34" s="1000"/>
      <c r="NHN34" s="1000"/>
      <c r="NHO34" s="1000"/>
      <c r="NHP34" s="1000"/>
      <c r="NHQ34" s="1000"/>
      <c r="NHR34" s="1000"/>
      <c r="NHS34" s="1000"/>
      <c r="NHT34" s="1000"/>
      <c r="NHU34" s="1000"/>
      <c r="NHV34" s="1000"/>
      <c r="NHW34" s="1000"/>
      <c r="NHX34" s="1000"/>
      <c r="NHY34" s="1000"/>
      <c r="NHZ34" s="1000"/>
      <c r="NIA34" s="1000"/>
      <c r="NIB34" s="1000"/>
      <c r="NIC34" s="1000"/>
      <c r="NID34" s="1000"/>
      <c r="NIE34" s="1000"/>
      <c r="NIF34" s="1000"/>
      <c r="NIG34" s="1000"/>
      <c r="NIH34" s="1000"/>
      <c r="NII34" s="1000"/>
      <c r="NIJ34" s="1000"/>
      <c r="NIK34" s="1000"/>
      <c r="NIL34" s="1000"/>
      <c r="NIM34" s="1000"/>
      <c r="NIN34" s="1000"/>
      <c r="NIO34" s="1000"/>
      <c r="NIP34" s="1000"/>
      <c r="NIQ34" s="1000"/>
      <c r="NIR34" s="1000"/>
      <c r="NIS34" s="1000"/>
      <c r="NIT34" s="1000"/>
      <c r="NIU34" s="1000"/>
      <c r="NIV34" s="1000"/>
      <c r="NIW34" s="1000"/>
      <c r="NIX34" s="1000"/>
      <c r="NIY34" s="1000"/>
      <c r="NIZ34" s="1000"/>
      <c r="NJA34" s="1000"/>
      <c r="NJB34" s="1000"/>
      <c r="NJC34" s="1000"/>
      <c r="NJD34" s="1000"/>
      <c r="NJE34" s="1000"/>
      <c r="NJF34" s="1000"/>
      <c r="NJG34" s="1000"/>
      <c r="NJH34" s="1000"/>
      <c r="NJI34" s="1000"/>
      <c r="NJJ34" s="1000"/>
      <c r="NJK34" s="1000"/>
      <c r="NJL34" s="1000"/>
      <c r="NJM34" s="1000"/>
      <c r="NJN34" s="1000"/>
      <c r="NJO34" s="1000"/>
      <c r="NJP34" s="1000"/>
      <c r="NJQ34" s="1000"/>
      <c r="NJR34" s="1000"/>
      <c r="NJS34" s="1000"/>
      <c r="NJT34" s="1000"/>
      <c r="NJU34" s="1000"/>
      <c r="NJV34" s="1000"/>
      <c r="NJW34" s="1000"/>
      <c r="NJX34" s="1000"/>
      <c r="NJY34" s="1000"/>
      <c r="NJZ34" s="1000"/>
      <c r="NKA34" s="1000"/>
      <c r="NKB34" s="1000"/>
      <c r="NKC34" s="1000"/>
      <c r="NKD34" s="1000"/>
      <c r="NKE34" s="1000"/>
      <c r="NKF34" s="1000"/>
      <c r="NKG34" s="1000"/>
      <c r="NKH34" s="1000"/>
      <c r="NKI34" s="1000"/>
      <c r="NKJ34" s="1000"/>
      <c r="NKK34" s="1000"/>
      <c r="NKL34" s="1000"/>
      <c r="NKM34" s="1000"/>
      <c r="NKN34" s="1000"/>
      <c r="NKO34" s="1000"/>
      <c r="NKP34" s="1000"/>
      <c r="NKQ34" s="1000"/>
      <c r="NKR34" s="1000"/>
      <c r="NKS34" s="1000"/>
      <c r="NKT34" s="1000"/>
      <c r="NKU34" s="1000"/>
      <c r="NKV34" s="1000"/>
      <c r="NKW34" s="1000"/>
      <c r="NKX34" s="1000"/>
      <c r="NKY34" s="1000"/>
      <c r="NKZ34" s="1000"/>
      <c r="NLA34" s="1000"/>
      <c r="NLB34" s="1000"/>
      <c r="NLC34" s="1000"/>
      <c r="NLD34" s="1000"/>
      <c r="NLE34" s="1000"/>
      <c r="NLF34" s="1000"/>
      <c r="NLG34" s="1000"/>
      <c r="NLH34" s="1000"/>
      <c r="NLI34" s="1000"/>
      <c r="NLJ34" s="1000"/>
      <c r="NLK34" s="1000"/>
      <c r="NLL34" s="1000"/>
      <c r="NLM34" s="1000"/>
      <c r="NLN34" s="1000"/>
      <c r="NLO34" s="1000"/>
      <c r="NLP34" s="1000"/>
      <c r="NLQ34" s="1000"/>
      <c r="NLR34" s="1000"/>
      <c r="NLS34" s="1000"/>
      <c r="NLT34" s="1000"/>
      <c r="NLU34" s="1000"/>
      <c r="NLV34" s="1000"/>
      <c r="NLW34" s="1000"/>
      <c r="NLX34" s="1000"/>
      <c r="NLY34" s="1000"/>
      <c r="NLZ34" s="1000"/>
      <c r="NMA34" s="1000"/>
      <c r="NMB34" s="1000"/>
      <c r="NMC34" s="1000"/>
      <c r="NMD34" s="1000"/>
      <c r="NME34" s="1000"/>
      <c r="NMF34" s="1000"/>
      <c r="NMG34" s="1000"/>
      <c r="NMH34" s="1000"/>
      <c r="NMI34" s="1000"/>
      <c r="NMJ34" s="1000"/>
      <c r="NMK34" s="1000"/>
      <c r="NML34" s="1000"/>
      <c r="NMM34" s="1000"/>
      <c r="NMN34" s="1000"/>
      <c r="NMO34" s="1000"/>
      <c r="NMP34" s="1000"/>
      <c r="NMQ34" s="1000"/>
      <c r="NMR34" s="1000"/>
      <c r="NMS34" s="1000"/>
      <c r="NMT34" s="1000"/>
      <c r="NMU34" s="1000"/>
      <c r="NMV34" s="1000"/>
      <c r="NMW34" s="1000"/>
      <c r="NMX34" s="1000"/>
      <c r="NMY34" s="1000"/>
      <c r="NMZ34" s="1000"/>
      <c r="NNA34" s="1000"/>
      <c r="NNB34" s="1000"/>
      <c r="NNC34" s="1000"/>
      <c r="NND34" s="1000"/>
      <c r="NNE34" s="1000"/>
      <c r="NNF34" s="1000"/>
      <c r="NNG34" s="1000"/>
      <c r="NNH34" s="1000"/>
      <c r="NNI34" s="1000"/>
      <c r="NNJ34" s="1000"/>
      <c r="NNK34" s="1000"/>
      <c r="NNL34" s="1000"/>
      <c r="NNM34" s="1000"/>
      <c r="NNN34" s="1000"/>
      <c r="NNO34" s="1000"/>
      <c r="NNP34" s="1000"/>
      <c r="NNQ34" s="1000"/>
      <c r="NNR34" s="1000"/>
      <c r="NNS34" s="1000"/>
      <c r="NNT34" s="1000"/>
      <c r="NNU34" s="1000"/>
      <c r="NNV34" s="1000"/>
      <c r="NNW34" s="1000"/>
      <c r="NNX34" s="1000"/>
      <c r="NNY34" s="1000"/>
      <c r="NNZ34" s="1000"/>
      <c r="NOA34" s="1000"/>
      <c r="NOB34" s="1000"/>
      <c r="NOC34" s="1000"/>
      <c r="NOD34" s="1000"/>
      <c r="NOE34" s="1000"/>
      <c r="NOF34" s="1000"/>
      <c r="NOG34" s="1000"/>
      <c r="NOH34" s="1000"/>
      <c r="NOI34" s="1000"/>
      <c r="NOJ34" s="1000"/>
      <c r="NOK34" s="1000"/>
      <c r="NOL34" s="1000"/>
      <c r="NOM34" s="1000"/>
      <c r="NON34" s="1000"/>
      <c r="NOO34" s="1000"/>
      <c r="NOP34" s="1000"/>
      <c r="NOQ34" s="1000"/>
      <c r="NOR34" s="1000"/>
      <c r="NOS34" s="1000"/>
      <c r="NOT34" s="1000"/>
      <c r="NOU34" s="1000"/>
      <c r="NOV34" s="1000"/>
      <c r="NOW34" s="1000"/>
      <c r="NOX34" s="1000"/>
      <c r="NOY34" s="1000"/>
      <c r="NOZ34" s="1000"/>
      <c r="NPA34" s="1000"/>
      <c r="NPB34" s="1000"/>
      <c r="NPC34" s="1000"/>
      <c r="NPD34" s="1000"/>
      <c r="NPE34" s="1000"/>
      <c r="NPF34" s="1000"/>
      <c r="NPG34" s="1000"/>
      <c r="NPH34" s="1000"/>
      <c r="NPI34" s="1000"/>
      <c r="NPJ34" s="1000"/>
      <c r="NPK34" s="1000"/>
      <c r="NPL34" s="1000"/>
      <c r="NPM34" s="1000"/>
      <c r="NPN34" s="1000"/>
      <c r="NPO34" s="1000"/>
      <c r="NPP34" s="1000"/>
      <c r="NPQ34" s="1000"/>
      <c r="NPR34" s="1000"/>
      <c r="NPS34" s="1000"/>
      <c r="NPT34" s="1000"/>
      <c r="NPU34" s="1000"/>
      <c r="NPV34" s="1000"/>
      <c r="NPW34" s="1000"/>
      <c r="NPX34" s="1000"/>
      <c r="NPY34" s="1000"/>
      <c r="NPZ34" s="1000"/>
      <c r="NQA34" s="1000"/>
      <c r="NQB34" s="1000"/>
      <c r="NQC34" s="1000"/>
      <c r="NQD34" s="1000"/>
      <c r="NQE34" s="1000"/>
      <c r="NQF34" s="1000"/>
      <c r="NQG34" s="1000"/>
      <c r="NQH34" s="1000"/>
      <c r="NQI34" s="1000"/>
      <c r="NQJ34" s="1000"/>
      <c r="NQK34" s="1000"/>
      <c r="NQL34" s="1000"/>
      <c r="NQM34" s="1000"/>
      <c r="NQN34" s="1000"/>
      <c r="NQO34" s="1000"/>
      <c r="NQP34" s="1000"/>
      <c r="NQQ34" s="1000"/>
      <c r="NQR34" s="1000"/>
      <c r="NQS34" s="1000"/>
      <c r="NQT34" s="1000"/>
      <c r="NQU34" s="1000"/>
      <c r="NQV34" s="1000"/>
      <c r="NQW34" s="1000"/>
      <c r="NQX34" s="1000"/>
      <c r="NQY34" s="1000"/>
      <c r="NQZ34" s="1000"/>
      <c r="NRA34" s="1000"/>
      <c r="NRB34" s="1000"/>
      <c r="NRC34" s="1000"/>
      <c r="NRD34" s="1000"/>
      <c r="NRE34" s="1000"/>
      <c r="NRF34" s="1000"/>
      <c r="NRG34" s="1000"/>
      <c r="NRH34" s="1000"/>
      <c r="NRI34" s="1000"/>
      <c r="NRJ34" s="1000"/>
      <c r="NRK34" s="1000"/>
      <c r="NRL34" s="1000"/>
      <c r="NRM34" s="1000"/>
      <c r="NRN34" s="1000"/>
      <c r="NRO34" s="1000"/>
      <c r="NRP34" s="1000"/>
      <c r="NRQ34" s="1000"/>
      <c r="NRR34" s="1000"/>
      <c r="NRS34" s="1000"/>
      <c r="NRT34" s="1000"/>
      <c r="NRU34" s="1000"/>
      <c r="NRV34" s="1000"/>
      <c r="NRW34" s="1000"/>
      <c r="NRX34" s="1000"/>
      <c r="NRY34" s="1000"/>
      <c r="NRZ34" s="1000"/>
      <c r="NSA34" s="1000"/>
      <c r="NSB34" s="1000"/>
      <c r="NSC34" s="1000"/>
      <c r="NSD34" s="1000"/>
      <c r="NSE34" s="1000"/>
      <c r="NSF34" s="1000"/>
      <c r="NSG34" s="1000"/>
      <c r="NSH34" s="1000"/>
      <c r="NSI34" s="1000"/>
      <c r="NSJ34" s="1000"/>
      <c r="NSK34" s="1000"/>
      <c r="NSL34" s="1000"/>
      <c r="NSM34" s="1000"/>
      <c r="NSN34" s="1000"/>
      <c r="NSO34" s="1000"/>
      <c r="NSP34" s="1000"/>
      <c r="NSQ34" s="1000"/>
      <c r="NSR34" s="1000"/>
      <c r="NSS34" s="1000"/>
      <c r="NST34" s="1000"/>
      <c r="NSU34" s="1000"/>
      <c r="NSV34" s="1000"/>
      <c r="NSW34" s="1000"/>
      <c r="NSX34" s="1000"/>
      <c r="NSY34" s="1000"/>
      <c r="NSZ34" s="1000"/>
      <c r="NTA34" s="1000"/>
      <c r="NTB34" s="1000"/>
      <c r="NTC34" s="1000"/>
      <c r="NTD34" s="1000"/>
      <c r="NTE34" s="1000"/>
      <c r="NTF34" s="1000"/>
      <c r="NTG34" s="1000"/>
      <c r="NTH34" s="1000"/>
      <c r="NTI34" s="1000"/>
      <c r="NTJ34" s="1000"/>
      <c r="NTK34" s="1000"/>
      <c r="NTL34" s="1000"/>
      <c r="NTM34" s="1000"/>
      <c r="NTN34" s="1000"/>
      <c r="NTO34" s="1000"/>
      <c r="NTP34" s="1000"/>
      <c r="NTQ34" s="1000"/>
      <c r="NTR34" s="1000"/>
      <c r="NTS34" s="1000"/>
      <c r="NTT34" s="1000"/>
      <c r="NTU34" s="1000"/>
      <c r="NTV34" s="1000"/>
      <c r="NTW34" s="1000"/>
      <c r="NTX34" s="1000"/>
      <c r="NTY34" s="1000"/>
      <c r="NTZ34" s="1000"/>
      <c r="NUA34" s="1000"/>
      <c r="NUB34" s="1000"/>
      <c r="NUC34" s="1000"/>
      <c r="NUD34" s="1000"/>
      <c r="NUE34" s="1000"/>
      <c r="NUF34" s="1000"/>
      <c r="NUG34" s="1000"/>
      <c r="NUH34" s="1000"/>
      <c r="NUI34" s="1000"/>
      <c r="NUJ34" s="1000"/>
      <c r="NUK34" s="1000"/>
      <c r="NUL34" s="1000"/>
      <c r="NUM34" s="1000"/>
      <c r="NUN34" s="1000"/>
      <c r="NUO34" s="1000"/>
      <c r="NUP34" s="1000"/>
      <c r="NUQ34" s="1000"/>
      <c r="NUR34" s="1000"/>
      <c r="NUS34" s="1000"/>
      <c r="NUT34" s="1000"/>
      <c r="NUU34" s="1000"/>
      <c r="NUV34" s="1000"/>
      <c r="NUW34" s="1000"/>
      <c r="NUX34" s="1000"/>
      <c r="NUY34" s="1000"/>
      <c r="NUZ34" s="1000"/>
      <c r="NVA34" s="1000"/>
      <c r="NVB34" s="1000"/>
      <c r="NVC34" s="1000"/>
      <c r="NVD34" s="1000"/>
      <c r="NVE34" s="1000"/>
      <c r="NVF34" s="1000"/>
      <c r="NVG34" s="1000"/>
      <c r="NVH34" s="1000"/>
      <c r="NVI34" s="1000"/>
      <c r="NVJ34" s="1000"/>
      <c r="NVK34" s="1000"/>
      <c r="NVL34" s="1000"/>
      <c r="NVM34" s="1000"/>
      <c r="NVN34" s="1000"/>
      <c r="NVO34" s="1000"/>
      <c r="NVP34" s="1000"/>
      <c r="NVQ34" s="1000"/>
      <c r="NVR34" s="1000"/>
      <c r="NVS34" s="1000"/>
      <c r="NVT34" s="1000"/>
      <c r="NVU34" s="1000"/>
      <c r="NVV34" s="1000"/>
      <c r="NVW34" s="1000"/>
      <c r="NVX34" s="1000"/>
      <c r="NVY34" s="1000"/>
      <c r="NVZ34" s="1000"/>
      <c r="NWA34" s="1000"/>
      <c r="NWB34" s="1000"/>
      <c r="NWC34" s="1000"/>
      <c r="NWD34" s="1000"/>
      <c r="NWE34" s="1000"/>
      <c r="NWF34" s="1000"/>
      <c r="NWG34" s="1000"/>
      <c r="NWH34" s="1000"/>
      <c r="NWI34" s="1000"/>
      <c r="NWJ34" s="1000"/>
      <c r="NWK34" s="1000"/>
      <c r="NWL34" s="1000"/>
      <c r="NWM34" s="1000"/>
      <c r="NWN34" s="1000"/>
      <c r="NWO34" s="1000"/>
      <c r="NWP34" s="1000"/>
      <c r="NWQ34" s="1000"/>
      <c r="NWR34" s="1000"/>
      <c r="NWS34" s="1000"/>
      <c r="NWT34" s="1000"/>
      <c r="NWU34" s="1000"/>
      <c r="NWV34" s="1000"/>
      <c r="NWW34" s="1000"/>
      <c r="NWX34" s="1000"/>
      <c r="NWY34" s="1000"/>
      <c r="NWZ34" s="1000"/>
      <c r="NXA34" s="1000"/>
      <c r="NXB34" s="1000"/>
      <c r="NXC34" s="1000"/>
      <c r="NXD34" s="1000"/>
      <c r="NXE34" s="1000"/>
      <c r="NXF34" s="1000"/>
      <c r="NXG34" s="1000"/>
      <c r="NXH34" s="1000"/>
      <c r="NXI34" s="1000"/>
      <c r="NXJ34" s="1000"/>
      <c r="NXK34" s="1000"/>
      <c r="NXL34" s="1000"/>
      <c r="NXM34" s="1000"/>
      <c r="NXN34" s="1000"/>
      <c r="NXO34" s="1000"/>
      <c r="NXP34" s="1000"/>
      <c r="NXQ34" s="1000"/>
      <c r="NXR34" s="1000"/>
      <c r="NXS34" s="1000"/>
      <c r="NXT34" s="1000"/>
      <c r="NXU34" s="1000"/>
      <c r="NXV34" s="1000"/>
      <c r="NXW34" s="1000"/>
      <c r="NXX34" s="1000"/>
      <c r="NXY34" s="1000"/>
      <c r="NXZ34" s="1000"/>
      <c r="NYA34" s="1000"/>
      <c r="NYB34" s="1000"/>
      <c r="NYC34" s="1000"/>
      <c r="NYD34" s="1000"/>
      <c r="NYE34" s="1000"/>
      <c r="NYF34" s="1000"/>
      <c r="NYG34" s="1000"/>
      <c r="NYH34" s="1000"/>
      <c r="NYI34" s="1000"/>
      <c r="NYJ34" s="1000"/>
      <c r="NYK34" s="1000"/>
      <c r="NYL34" s="1000"/>
      <c r="NYM34" s="1000"/>
      <c r="NYN34" s="1000"/>
      <c r="NYO34" s="1000"/>
      <c r="NYP34" s="1000"/>
      <c r="NYQ34" s="1000"/>
      <c r="NYR34" s="1000"/>
      <c r="NYS34" s="1000"/>
      <c r="NYT34" s="1000"/>
      <c r="NYU34" s="1000"/>
      <c r="NYV34" s="1000"/>
      <c r="NYW34" s="1000"/>
      <c r="NYX34" s="1000"/>
      <c r="NYY34" s="1000"/>
      <c r="NYZ34" s="1000"/>
      <c r="NZA34" s="1000"/>
      <c r="NZB34" s="1000"/>
      <c r="NZC34" s="1000"/>
      <c r="NZD34" s="1000"/>
      <c r="NZE34" s="1000"/>
      <c r="NZF34" s="1000"/>
      <c r="NZG34" s="1000"/>
      <c r="NZH34" s="1000"/>
      <c r="NZI34" s="1000"/>
      <c r="NZJ34" s="1000"/>
      <c r="NZK34" s="1000"/>
      <c r="NZL34" s="1000"/>
      <c r="NZM34" s="1000"/>
      <c r="NZN34" s="1000"/>
      <c r="NZO34" s="1000"/>
      <c r="NZP34" s="1000"/>
      <c r="NZQ34" s="1000"/>
      <c r="NZR34" s="1000"/>
      <c r="NZS34" s="1000"/>
      <c r="NZT34" s="1000"/>
      <c r="NZU34" s="1000"/>
      <c r="NZV34" s="1000"/>
      <c r="NZW34" s="1000"/>
      <c r="NZX34" s="1000"/>
      <c r="NZY34" s="1000"/>
      <c r="NZZ34" s="1000"/>
      <c r="OAA34" s="1000"/>
      <c r="OAB34" s="1000"/>
      <c r="OAC34" s="1000"/>
      <c r="OAD34" s="1000"/>
      <c r="OAE34" s="1000"/>
      <c r="OAF34" s="1000"/>
      <c r="OAG34" s="1000"/>
      <c r="OAH34" s="1000"/>
      <c r="OAI34" s="1000"/>
      <c r="OAJ34" s="1000"/>
      <c r="OAK34" s="1000"/>
      <c r="OAL34" s="1000"/>
      <c r="OAM34" s="1000"/>
      <c r="OAN34" s="1000"/>
      <c r="OAO34" s="1000"/>
      <c r="OAP34" s="1000"/>
      <c r="OAQ34" s="1000"/>
      <c r="OAR34" s="1000"/>
      <c r="OAS34" s="1000"/>
      <c r="OAT34" s="1000"/>
      <c r="OAU34" s="1000"/>
      <c r="OAV34" s="1000"/>
      <c r="OAW34" s="1000"/>
      <c r="OAX34" s="1000"/>
      <c r="OAY34" s="1000"/>
      <c r="OAZ34" s="1000"/>
      <c r="OBA34" s="1000"/>
      <c r="OBB34" s="1000"/>
      <c r="OBC34" s="1000"/>
      <c r="OBD34" s="1000"/>
      <c r="OBE34" s="1000"/>
      <c r="OBF34" s="1000"/>
      <c r="OBG34" s="1000"/>
      <c r="OBH34" s="1000"/>
      <c r="OBI34" s="1000"/>
      <c r="OBJ34" s="1000"/>
      <c r="OBK34" s="1000"/>
      <c r="OBL34" s="1000"/>
      <c r="OBM34" s="1000"/>
      <c r="OBN34" s="1000"/>
      <c r="OBO34" s="1000"/>
      <c r="OBP34" s="1000"/>
      <c r="OBQ34" s="1000"/>
      <c r="OBR34" s="1000"/>
      <c r="OBS34" s="1000"/>
      <c r="OBT34" s="1000"/>
      <c r="OBU34" s="1000"/>
      <c r="OBV34" s="1000"/>
      <c r="OBW34" s="1000"/>
      <c r="OBX34" s="1000"/>
      <c r="OBY34" s="1000"/>
      <c r="OBZ34" s="1000"/>
      <c r="OCA34" s="1000"/>
      <c r="OCB34" s="1000"/>
      <c r="OCC34" s="1000"/>
      <c r="OCD34" s="1000"/>
      <c r="OCE34" s="1000"/>
      <c r="OCF34" s="1000"/>
      <c r="OCG34" s="1000"/>
      <c r="OCH34" s="1000"/>
      <c r="OCI34" s="1000"/>
      <c r="OCJ34" s="1000"/>
      <c r="OCK34" s="1000"/>
      <c r="OCL34" s="1000"/>
      <c r="OCM34" s="1000"/>
      <c r="OCN34" s="1000"/>
      <c r="OCO34" s="1000"/>
      <c r="OCP34" s="1000"/>
      <c r="OCQ34" s="1000"/>
      <c r="OCR34" s="1000"/>
      <c r="OCS34" s="1000"/>
      <c r="OCT34" s="1000"/>
      <c r="OCU34" s="1000"/>
      <c r="OCV34" s="1000"/>
      <c r="OCW34" s="1000"/>
      <c r="OCX34" s="1000"/>
      <c r="OCY34" s="1000"/>
      <c r="OCZ34" s="1000"/>
      <c r="ODA34" s="1000"/>
      <c r="ODB34" s="1000"/>
      <c r="ODC34" s="1000"/>
      <c r="ODD34" s="1000"/>
      <c r="ODE34" s="1000"/>
      <c r="ODF34" s="1000"/>
      <c r="ODG34" s="1000"/>
      <c r="ODH34" s="1000"/>
      <c r="ODI34" s="1000"/>
      <c r="ODJ34" s="1000"/>
      <c r="ODK34" s="1000"/>
      <c r="ODL34" s="1000"/>
      <c r="ODM34" s="1000"/>
      <c r="ODN34" s="1000"/>
      <c r="ODO34" s="1000"/>
      <c r="ODP34" s="1000"/>
      <c r="ODQ34" s="1000"/>
      <c r="ODR34" s="1000"/>
      <c r="ODS34" s="1000"/>
      <c r="ODT34" s="1000"/>
      <c r="ODU34" s="1000"/>
      <c r="ODV34" s="1000"/>
      <c r="ODW34" s="1000"/>
      <c r="ODX34" s="1000"/>
      <c r="ODY34" s="1000"/>
      <c r="ODZ34" s="1000"/>
      <c r="OEA34" s="1000"/>
      <c r="OEB34" s="1000"/>
      <c r="OEC34" s="1000"/>
      <c r="OED34" s="1000"/>
      <c r="OEE34" s="1000"/>
      <c r="OEF34" s="1000"/>
      <c r="OEG34" s="1000"/>
      <c r="OEH34" s="1000"/>
      <c r="OEI34" s="1000"/>
      <c r="OEJ34" s="1000"/>
      <c r="OEK34" s="1000"/>
      <c r="OEL34" s="1000"/>
      <c r="OEM34" s="1000"/>
      <c r="OEN34" s="1000"/>
      <c r="OEO34" s="1000"/>
      <c r="OEP34" s="1000"/>
      <c r="OEQ34" s="1000"/>
      <c r="OER34" s="1000"/>
      <c r="OES34" s="1000"/>
      <c r="OET34" s="1000"/>
      <c r="OEU34" s="1000"/>
      <c r="OEV34" s="1000"/>
      <c r="OEW34" s="1000"/>
      <c r="OEX34" s="1000"/>
      <c r="OEY34" s="1000"/>
      <c r="OEZ34" s="1000"/>
      <c r="OFA34" s="1000"/>
      <c r="OFB34" s="1000"/>
      <c r="OFC34" s="1000"/>
      <c r="OFD34" s="1000"/>
      <c r="OFE34" s="1000"/>
      <c r="OFF34" s="1000"/>
      <c r="OFG34" s="1000"/>
      <c r="OFH34" s="1000"/>
      <c r="OFI34" s="1000"/>
      <c r="OFJ34" s="1000"/>
      <c r="OFK34" s="1000"/>
      <c r="OFL34" s="1000"/>
      <c r="OFM34" s="1000"/>
      <c r="OFN34" s="1000"/>
      <c r="OFO34" s="1000"/>
      <c r="OFP34" s="1000"/>
      <c r="OFQ34" s="1000"/>
      <c r="OFR34" s="1000"/>
      <c r="OFS34" s="1000"/>
      <c r="OFT34" s="1000"/>
      <c r="OFU34" s="1000"/>
      <c r="OFV34" s="1000"/>
      <c r="OFW34" s="1000"/>
      <c r="OFX34" s="1000"/>
      <c r="OFY34" s="1000"/>
      <c r="OFZ34" s="1000"/>
      <c r="OGA34" s="1000"/>
      <c r="OGB34" s="1000"/>
      <c r="OGC34" s="1000"/>
      <c r="OGD34" s="1000"/>
      <c r="OGE34" s="1000"/>
      <c r="OGF34" s="1000"/>
      <c r="OGG34" s="1000"/>
      <c r="OGH34" s="1000"/>
      <c r="OGI34" s="1000"/>
      <c r="OGJ34" s="1000"/>
      <c r="OGK34" s="1000"/>
      <c r="OGL34" s="1000"/>
      <c r="OGM34" s="1000"/>
      <c r="OGN34" s="1000"/>
      <c r="OGO34" s="1000"/>
      <c r="OGP34" s="1000"/>
      <c r="OGQ34" s="1000"/>
      <c r="OGR34" s="1000"/>
      <c r="OGS34" s="1000"/>
      <c r="OGT34" s="1000"/>
      <c r="OGU34" s="1000"/>
      <c r="OGV34" s="1000"/>
      <c r="OGW34" s="1000"/>
      <c r="OGX34" s="1000"/>
      <c r="OGY34" s="1000"/>
      <c r="OGZ34" s="1000"/>
      <c r="OHA34" s="1000"/>
      <c r="OHB34" s="1000"/>
      <c r="OHC34" s="1000"/>
      <c r="OHD34" s="1000"/>
      <c r="OHE34" s="1000"/>
      <c r="OHF34" s="1000"/>
      <c r="OHG34" s="1000"/>
      <c r="OHH34" s="1000"/>
      <c r="OHI34" s="1000"/>
      <c r="OHJ34" s="1000"/>
      <c r="OHK34" s="1000"/>
      <c r="OHL34" s="1000"/>
      <c r="OHM34" s="1000"/>
      <c r="OHN34" s="1000"/>
      <c r="OHO34" s="1000"/>
      <c r="OHP34" s="1000"/>
      <c r="OHQ34" s="1000"/>
      <c r="OHR34" s="1000"/>
      <c r="OHS34" s="1000"/>
      <c r="OHT34" s="1000"/>
      <c r="OHU34" s="1000"/>
      <c r="OHV34" s="1000"/>
      <c r="OHW34" s="1000"/>
      <c r="OHX34" s="1000"/>
      <c r="OHY34" s="1000"/>
      <c r="OHZ34" s="1000"/>
      <c r="OIA34" s="1000"/>
      <c r="OIB34" s="1000"/>
      <c r="OIC34" s="1000"/>
      <c r="OID34" s="1000"/>
      <c r="OIE34" s="1000"/>
      <c r="OIF34" s="1000"/>
      <c r="OIG34" s="1000"/>
      <c r="OIH34" s="1000"/>
      <c r="OII34" s="1000"/>
      <c r="OIJ34" s="1000"/>
      <c r="OIK34" s="1000"/>
      <c r="OIL34" s="1000"/>
      <c r="OIM34" s="1000"/>
      <c r="OIN34" s="1000"/>
      <c r="OIO34" s="1000"/>
      <c r="OIP34" s="1000"/>
      <c r="OIQ34" s="1000"/>
      <c r="OIR34" s="1000"/>
      <c r="OIS34" s="1000"/>
      <c r="OIT34" s="1000"/>
      <c r="OIU34" s="1000"/>
      <c r="OIV34" s="1000"/>
      <c r="OIW34" s="1000"/>
      <c r="OIX34" s="1000"/>
      <c r="OIY34" s="1000"/>
      <c r="OIZ34" s="1000"/>
      <c r="OJA34" s="1000"/>
      <c r="OJB34" s="1000"/>
      <c r="OJC34" s="1000"/>
      <c r="OJD34" s="1000"/>
      <c r="OJE34" s="1000"/>
      <c r="OJF34" s="1000"/>
      <c r="OJG34" s="1000"/>
      <c r="OJH34" s="1000"/>
      <c r="OJI34" s="1000"/>
      <c r="OJJ34" s="1000"/>
      <c r="OJK34" s="1000"/>
      <c r="OJL34" s="1000"/>
      <c r="OJM34" s="1000"/>
      <c r="OJN34" s="1000"/>
      <c r="OJO34" s="1000"/>
      <c r="OJP34" s="1000"/>
      <c r="OJQ34" s="1000"/>
      <c r="OJR34" s="1000"/>
      <c r="OJS34" s="1000"/>
      <c r="OJT34" s="1000"/>
      <c r="OJU34" s="1000"/>
      <c r="OJV34" s="1000"/>
      <c r="OJW34" s="1000"/>
      <c r="OJX34" s="1000"/>
      <c r="OJY34" s="1000"/>
      <c r="OJZ34" s="1000"/>
      <c r="OKA34" s="1000"/>
      <c r="OKB34" s="1000"/>
      <c r="OKC34" s="1000"/>
      <c r="OKD34" s="1000"/>
      <c r="OKE34" s="1000"/>
      <c r="OKF34" s="1000"/>
      <c r="OKG34" s="1000"/>
      <c r="OKH34" s="1000"/>
      <c r="OKI34" s="1000"/>
      <c r="OKJ34" s="1000"/>
      <c r="OKK34" s="1000"/>
      <c r="OKL34" s="1000"/>
      <c r="OKM34" s="1000"/>
      <c r="OKN34" s="1000"/>
      <c r="OKO34" s="1000"/>
      <c r="OKP34" s="1000"/>
      <c r="OKQ34" s="1000"/>
      <c r="OKR34" s="1000"/>
      <c r="OKS34" s="1000"/>
      <c r="OKT34" s="1000"/>
      <c r="OKU34" s="1000"/>
      <c r="OKV34" s="1000"/>
      <c r="OKW34" s="1000"/>
      <c r="OKX34" s="1000"/>
      <c r="OKY34" s="1000"/>
      <c r="OKZ34" s="1000"/>
      <c r="OLA34" s="1000"/>
      <c r="OLB34" s="1000"/>
      <c r="OLC34" s="1000"/>
      <c r="OLD34" s="1000"/>
      <c r="OLE34" s="1000"/>
      <c r="OLF34" s="1000"/>
      <c r="OLG34" s="1000"/>
      <c r="OLH34" s="1000"/>
      <c r="OLI34" s="1000"/>
      <c r="OLJ34" s="1000"/>
      <c r="OLK34" s="1000"/>
      <c r="OLL34" s="1000"/>
      <c r="OLM34" s="1000"/>
      <c r="OLN34" s="1000"/>
      <c r="OLO34" s="1000"/>
      <c r="OLP34" s="1000"/>
      <c r="OLQ34" s="1000"/>
      <c r="OLR34" s="1000"/>
      <c r="OLS34" s="1000"/>
      <c r="OLT34" s="1000"/>
      <c r="OLU34" s="1000"/>
      <c r="OLV34" s="1000"/>
      <c r="OLW34" s="1000"/>
      <c r="OLX34" s="1000"/>
      <c r="OLY34" s="1000"/>
      <c r="OLZ34" s="1000"/>
      <c r="OMA34" s="1000"/>
      <c r="OMB34" s="1000"/>
      <c r="OMC34" s="1000"/>
      <c r="OMD34" s="1000"/>
      <c r="OME34" s="1000"/>
      <c r="OMF34" s="1000"/>
      <c r="OMG34" s="1000"/>
      <c r="OMH34" s="1000"/>
      <c r="OMI34" s="1000"/>
      <c r="OMJ34" s="1000"/>
      <c r="OMK34" s="1000"/>
      <c r="OML34" s="1000"/>
      <c r="OMM34" s="1000"/>
      <c r="OMN34" s="1000"/>
      <c r="OMO34" s="1000"/>
      <c r="OMP34" s="1000"/>
      <c r="OMQ34" s="1000"/>
      <c r="OMR34" s="1000"/>
      <c r="OMS34" s="1000"/>
      <c r="OMT34" s="1000"/>
      <c r="OMU34" s="1000"/>
      <c r="OMV34" s="1000"/>
      <c r="OMW34" s="1000"/>
      <c r="OMX34" s="1000"/>
      <c r="OMY34" s="1000"/>
      <c r="OMZ34" s="1000"/>
      <c r="ONA34" s="1000"/>
      <c r="ONB34" s="1000"/>
      <c r="ONC34" s="1000"/>
      <c r="OND34" s="1000"/>
      <c r="ONE34" s="1000"/>
      <c r="ONF34" s="1000"/>
      <c r="ONG34" s="1000"/>
      <c r="ONH34" s="1000"/>
      <c r="ONI34" s="1000"/>
      <c r="ONJ34" s="1000"/>
      <c r="ONK34" s="1000"/>
      <c r="ONL34" s="1000"/>
      <c r="ONM34" s="1000"/>
      <c r="ONN34" s="1000"/>
      <c r="ONO34" s="1000"/>
      <c r="ONP34" s="1000"/>
      <c r="ONQ34" s="1000"/>
      <c r="ONR34" s="1000"/>
      <c r="ONS34" s="1000"/>
      <c r="ONT34" s="1000"/>
      <c r="ONU34" s="1000"/>
      <c r="ONV34" s="1000"/>
      <c r="ONW34" s="1000"/>
      <c r="ONX34" s="1000"/>
      <c r="ONY34" s="1000"/>
      <c r="ONZ34" s="1000"/>
      <c r="OOA34" s="1000"/>
      <c r="OOB34" s="1000"/>
      <c r="OOC34" s="1000"/>
      <c r="OOD34" s="1000"/>
      <c r="OOE34" s="1000"/>
      <c r="OOF34" s="1000"/>
      <c r="OOG34" s="1000"/>
      <c r="OOH34" s="1000"/>
      <c r="OOI34" s="1000"/>
      <c r="OOJ34" s="1000"/>
      <c r="OOK34" s="1000"/>
      <c r="OOL34" s="1000"/>
      <c r="OOM34" s="1000"/>
      <c r="OON34" s="1000"/>
      <c r="OOO34" s="1000"/>
      <c r="OOP34" s="1000"/>
      <c r="OOQ34" s="1000"/>
      <c r="OOR34" s="1000"/>
      <c r="OOS34" s="1000"/>
      <c r="OOT34" s="1000"/>
      <c r="OOU34" s="1000"/>
      <c r="OOV34" s="1000"/>
      <c r="OOW34" s="1000"/>
      <c r="OOX34" s="1000"/>
      <c r="OOY34" s="1000"/>
      <c r="OOZ34" s="1000"/>
      <c r="OPA34" s="1000"/>
      <c r="OPB34" s="1000"/>
      <c r="OPC34" s="1000"/>
      <c r="OPD34" s="1000"/>
      <c r="OPE34" s="1000"/>
      <c r="OPF34" s="1000"/>
      <c r="OPG34" s="1000"/>
      <c r="OPH34" s="1000"/>
      <c r="OPI34" s="1000"/>
      <c r="OPJ34" s="1000"/>
      <c r="OPK34" s="1000"/>
      <c r="OPL34" s="1000"/>
      <c r="OPM34" s="1000"/>
      <c r="OPN34" s="1000"/>
      <c r="OPO34" s="1000"/>
      <c r="OPP34" s="1000"/>
      <c r="OPQ34" s="1000"/>
      <c r="OPR34" s="1000"/>
      <c r="OPS34" s="1000"/>
      <c r="OPT34" s="1000"/>
      <c r="OPU34" s="1000"/>
      <c r="OPV34" s="1000"/>
      <c r="OPW34" s="1000"/>
      <c r="OPX34" s="1000"/>
      <c r="OPY34" s="1000"/>
      <c r="OPZ34" s="1000"/>
      <c r="OQA34" s="1000"/>
      <c r="OQB34" s="1000"/>
      <c r="OQC34" s="1000"/>
      <c r="OQD34" s="1000"/>
      <c r="OQE34" s="1000"/>
      <c r="OQF34" s="1000"/>
      <c r="OQG34" s="1000"/>
      <c r="OQH34" s="1000"/>
      <c r="OQI34" s="1000"/>
      <c r="OQJ34" s="1000"/>
      <c r="OQK34" s="1000"/>
      <c r="OQL34" s="1000"/>
      <c r="OQM34" s="1000"/>
      <c r="OQN34" s="1000"/>
      <c r="OQO34" s="1000"/>
      <c r="OQP34" s="1000"/>
      <c r="OQQ34" s="1000"/>
      <c r="OQR34" s="1000"/>
      <c r="OQS34" s="1000"/>
      <c r="OQT34" s="1000"/>
      <c r="OQU34" s="1000"/>
      <c r="OQV34" s="1000"/>
      <c r="OQW34" s="1000"/>
      <c r="OQX34" s="1000"/>
      <c r="OQY34" s="1000"/>
      <c r="OQZ34" s="1000"/>
      <c r="ORA34" s="1000"/>
      <c r="ORB34" s="1000"/>
      <c r="ORC34" s="1000"/>
      <c r="ORD34" s="1000"/>
      <c r="ORE34" s="1000"/>
      <c r="ORF34" s="1000"/>
      <c r="ORG34" s="1000"/>
      <c r="ORH34" s="1000"/>
      <c r="ORI34" s="1000"/>
      <c r="ORJ34" s="1000"/>
      <c r="ORK34" s="1000"/>
      <c r="ORL34" s="1000"/>
      <c r="ORM34" s="1000"/>
      <c r="ORN34" s="1000"/>
      <c r="ORO34" s="1000"/>
      <c r="ORP34" s="1000"/>
      <c r="ORQ34" s="1000"/>
      <c r="ORR34" s="1000"/>
      <c r="ORS34" s="1000"/>
      <c r="ORT34" s="1000"/>
      <c r="ORU34" s="1000"/>
      <c r="ORV34" s="1000"/>
      <c r="ORW34" s="1000"/>
      <c r="ORX34" s="1000"/>
      <c r="ORY34" s="1000"/>
      <c r="ORZ34" s="1000"/>
      <c r="OSA34" s="1000"/>
      <c r="OSB34" s="1000"/>
      <c r="OSC34" s="1000"/>
      <c r="OSD34" s="1000"/>
      <c r="OSE34" s="1000"/>
      <c r="OSF34" s="1000"/>
      <c r="OSG34" s="1000"/>
      <c r="OSH34" s="1000"/>
      <c r="OSI34" s="1000"/>
      <c r="OSJ34" s="1000"/>
      <c r="OSK34" s="1000"/>
      <c r="OSL34" s="1000"/>
      <c r="OSM34" s="1000"/>
      <c r="OSN34" s="1000"/>
      <c r="OSO34" s="1000"/>
      <c r="OSP34" s="1000"/>
      <c r="OSQ34" s="1000"/>
      <c r="OSR34" s="1000"/>
      <c r="OSS34" s="1000"/>
      <c r="OST34" s="1000"/>
      <c r="OSU34" s="1000"/>
      <c r="OSV34" s="1000"/>
      <c r="OSW34" s="1000"/>
      <c r="OSX34" s="1000"/>
      <c r="OSY34" s="1000"/>
      <c r="OSZ34" s="1000"/>
      <c r="OTA34" s="1000"/>
      <c r="OTB34" s="1000"/>
      <c r="OTC34" s="1000"/>
      <c r="OTD34" s="1000"/>
      <c r="OTE34" s="1000"/>
      <c r="OTF34" s="1000"/>
      <c r="OTG34" s="1000"/>
      <c r="OTH34" s="1000"/>
      <c r="OTI34" s="1000"/>
      <c r="OTJ34" s="1000"/>
      <c r="OTK34" s="1000"/>
      <c r="OTL34" s="1000"/>
      <c r="OTM34" s="1000"/>
      <c r="OTN34" s="1000"/>
      <c r="OTO34" s="1000"/>
      <c r="OTP34" s="1000"/>
      <c r="OTQ34" s="1000"/>
      <c r="OTR34" s="1000"/>
      <c r="OTS34" s="1000"/>
      <c r="OTT34" s="1000"/>
      <c r="OTU34" s="1000"/>
      <c r="OTV34" s="1000"/>
      <c r="OTW34" s="1000"/>
      <c r="OTX34" s="1000"/>
      <c r="OTY34" s="1000"/>
      <c r="OTZ34" s="1000"/>
      <c r="OUA34" s="1000"/>
      <c r="OUB34" s="1000"/>
      <c r="OUC34" s="1000"/>
      <c r="OUD34" s="1000"/>
      <c r="OUE34" s="1000"/>
      <c r="OUF34" s="1000"/>
      <c r="OUG34" s="1000"/>
      <c r="OUH34" s="1000"/>
      <c r="OUI34" s="1000"/>
      <c r="OUJ34" s="1000"/>
      <c r="OUK34" s="1000"/>
      <c r="OUL34" s="1000"/>
      <c r="OUM34" s="1000"/>
      <c r="OUN34" s="1000"/>
      <c r="OUO34" s="1000"/>
      <c r="OUP34" s="1000"/>
      <c r="OUQ34" s="1000"/>
      <c r="OUR34" s="1000"/>
      <c r="OUS34" s="1000"/>
      <c r="OUT34" s="1000"/>
      <c r="OUU34" s="1000"/>
      <c r="OUV34" s="1000"/>
      <c r="OUW34" s="1000"/>
      <c r="OUX34" s="1000"/>
      <c r="OUY34" s="1000"/>
      <c r="OUZ34" s="1000"/>
      <c r="OVA34" s="1000"/>
      <c r="OVB34" s="1000"/>
      <c r="OVC34" s="1000"/>
      <c r="OVD34" s="1000"/>
      <c r="OVE34" s="1000"/>
      <c r="OVF34" s="1000"/>
      <c r="OVG34" s="1000"/>
      <c r="OVH34" s="1000"/>
      <c r="OVI34" s="1000"/>
      <c r="OVJ34" s="1000"/>
      <c r="OVK34" s="1000"/>
      <c r="OVL34" s="1000"/>
      <c r="OVM34" s="1000"/>
      <c r="OVN34" s="1000"/>
      <c r="OVO34" s="1000"/>
      <c r="OVP34" s="1000"/>
      <c r="OVQ34" s="1000"/>
      <c r="OVR34" s="1000"/>
      <c r="OVS34" s="1000"/>
      <c r="OVT34" s="1000"/>
      <c r="OVU34" s="1000"/>
      <c r="OVV34" s="1000"/>
      <c r="OVW34" s="1000"/>
      <c r="OVX34" s="1000"/>
      <c r="OVY34" s="1000"/>
      <c r="OVZ34" s="1000"/>
      <c r="OWA34" s="1000"/>
      <c r="OWB34" s="1000"/>
      <c r="OWC34" s="1000"/>
      <c r="OWD34" s="1000"/>
      <c r="OWE34" s="1000"/>
      <c r="OWF34" s="1000"/>
      <c r="OWG34" s="1000"/>
      <c r="OWH34" s="1000"/>
      <c r="OWI34" s="1000"/>
      <c r="OWJ34" s="1000"/>
      <c r="OWK34" s="1000"/>
      <c r="OWL34" s="1000"/>
      <c r="OWM34" s="1000"/>
      <c r="OWN34" s="1000"/>
      <c r="OWO34" s="1000"/>
      <c r="OWP34" s="1000"/>
      <c r="OWQ34" s="1000"/>
      <c r="OWR34" s="1000"/>
      <c r="OWS34" s="1000"/>
      <c r="OWT34" s="1000"/>
      <c r="OWU34" s="1000"/>
      <c r="OWV34" s="1000"/>
      <c r="OWW34" s="1000"/>
      <c r="OWX34" s="1000"/>
      <c r="OWY34" s="1000"/>
      <c r="OWZ34" s="1000"/>
      <c r="OXA34" s="1000"/>
      <c r="OXB34" s="1000"/>
      <c r="OXC34" s="1000"/>
      <c r="OXD34" s="1000"/>
      <c r="OXE34" s="1000"/>
      <c r="OXF34" s="1000"/>
      <c r="OXG34" s="1000"/>
      <c r="OXH34" s="1000"/>
      <c r="OXI34" s="1000"/>
      <c r="OXJ34" s="1000"/>
      <c r="OXK34" s="1000"/>
      <c r="OXL34" s="1000"/>
      <c r="OXM34" s="1000"/>
      <c r="OXN34" s="1000"/>
      <c r="OXO34" s="1000"/>
      <c r="OXP34" s="1000"/>
      <c r="OXQ34" s="1000"/>
      <c r="OXR34" s="1000"/>
      <c r="OXS34" s="1000"/>
      <c r="OXT34" s="1000"/>
      <c r="OXU34" s="1000"/>
      <c r="OXV34" s="1000"/>
      <c r="OXW34" s="1000"/>
      <c r="OXX34" s="1000"/>
      <c r="OXY34" s="1000"/>
      <c r="OXZ34" s="1000"/>
      <c r="OYA34" s="1000"/>
      <c r="OYB34" s="1000"/>
      <c r="OYC34" s="1000"/>
      <c r="OYD34" s="1000"/>
      <c r="OYE34" s="1000"/>
      <c r="OYF34" s="1000"/>
      <c r="OYG34" s="1000"/>
      <c r="OYH34" s="1000"/>
      <c r="OYI34" s="1000"/>
      <c r="OYJ34" s="1000"/>
      <c r="OYK34" s="1000"/>
      <c r="OYL34" s="1000"/>
      <c r="OYM34" s="1000"/>
      <c r="OYN34" s="1000"/>
      <c r="OYO34" s="1000"/>
      <c r="OYP34" s="1000"/>
      <c r="OYQ34" s="1000"/>
      <c r="OYR34" s="1000"/>
      <c r="OYS34" s="1000"/>
      <c r="OYT34" s="1000"/>
      <c r="OYU34" s="1000"/>
      <c r="OYV34" s="1000"/>
      <c r="OYW34" s="1000"/>
      <c r="OYX34" s="1000"/>
      <c r="OYY34" s="1000"/>
      <c r="OYZ34" s="1000"/>
      <c r="OZA34" s="1000"/>
      <c r="OZB34" s="1000"/>
      <c r="OZC34" s="1000"/>
      <c r="OZD34" s="1000"/>
      <c r="OZE34" s="1000"/>
      <c r="OZF34" s="1000"/>
      <c r="OZG34" s="1000"/>
      <c r="OZH34" s="1000"/>
      <c r="OZI34" s="1000"/>
      <c r="OZJ34" s="1000"/>
      <c r="OZK34" s="1000"/>
      <c r="OZL34" s="1000"/>
      <c r="OZM34" s="1000"/>
      <c r="OZN34" s="1000"/>
      <c r="OZO34" s="1000"/>
      <c r="OZP34" s="1000"/>
      <c r="OZQ34" s="1000"/>
      <c r="OZR34" s="1000"/>
      <c r="OZS34" s="1000"/>
      <c r="OZT34" s="1000"/>
      <c r="OZU34" s="1000"/>
      <c r="OZV34" s="1000"/>
      <c r="OZW34" s="1000"/>
      <c r="OZX34" s="1000"/>
      <c r="OZY34" s="1000"/>
      <c r="OZZ34" s="1000"/>
      <c r="PAA34" s="1000"/>
      <c r="PAB34" s="1000"/>
      <c r="PAC34" s="1000"/>
      <c r="PAD34" s="1000"/>
      <c r="PAE34" s="1000"/>
      <c r="PAF34" s="1000"/>
      <c r="PAG34" s="1000"/>
      <c r="PAH34" s="1000"/>
      <c r="PAI34" s="1000"/>
      <c r="PAJ34" s="1000"/>
      <c r="PAK34" s="1000"/>
      <c r="PAL34" s="1000"/>
      <c r="PAM34" s="1000"/>
      <c r="PAN34" s="1000"/>
      <c r="PAO34" s="1000"/>
      <c r="PAP34" s="1000"/>
      <c r="PAQ34" s="1000"/>
      <c r="PAR34" s="1000"/>
      <c r="PAS34" s="1000"/>
      <c r="PAT34" s="1000"/>
      <c r="PAU34" s="1000"/>
      <c r="PAV34" s="1000"/>
      <c r="PAW34" s="1000"/>
      <c r="PAX34" s="1000"/>
      <c r="PAY34" s="1000"/>
      <c r="PAZ34" s="1000"/>
      <c r="PBA34" s="1000"/>
      <c r="PBB34" s="1000"/>
      <c r="PBC34" s="1000"/>
      <c r="PBD34" s="1000"/>
      <c r="PBE34" s="1000"/>
      <c r="PBF34" s="1000"/>
      <c r="PBG34" s="1000"/>
      <c r="PBH34" s="1000"/>
      <c r="PBI34" s="1000"/>
      <c r="PBJ34" s="1000"/>
      <c r="PBK34" s="1000"/>
      <c r="PBL34" s="1000"/>
      <c r="PBM34" s="1000"/>
      <c r="PBN34" s="1000"/>
      <c r="PBO34" s="1000"/>
      <c r="PBP34" s="1000"/>
      <c r="PBQ34" s="1000"/>
      <c r="PBR34" s="1000"/>
      <c r="PBS34" s="1000"/>
      <c r="PBT34" s="1000"/>
      <c r="PBU34" s="1000"/>
      <c r="PBV34" s="1000"/>
      <c r="PBW34" s="1000"/>
      <c r="PBX34" s="1000"/>
      <c r="PBY34" s="1000"/>
      <c r="PBZ34" s="1000"/>
      <c r="PCA34" s="1000"/>
      <c r="PCB34" s="1000"/>
      <c r="PCC34" s="1000"/>
      <c r="PCD34" s="1000"/>
      <c r="PCE34" s="1000"/>
      <c r="PCF34" s="1000"/>
      <c r="PCG34" s="1000"/>
      <c r="PCH34" s="1000"/>
      <c r="PCI34" s="1000"/>
      <c r="PCJ34" s="1000"/>
      <c r="PCK34" s="1000"/>
      <c r="PCL34" s="1000"/>
      <c r="PCM34" s="1000"/>
      <c r="PCN34" s="1000"/>
      <c r="PCO34" s="1000"/>
      <c r="PCP34" s="1000"/>
      <c r="PCQ34" s="1000"/>
      <c r="PCR34" s="1000"/>
      <c r="PCS34" s="1000"/>
      <c r="PCT34" s="1000"/>
      <c r="PCU34" s="1000"/>
      <c r="PCV34" s="1000"/>
      <c r="PCW34" s="1000"/>
      <c r="PCX34" s="1000"/>
      <c r="PCY34" s="1000"/>
      <c r="PCZ34" s="1000"/>
      <c r="PDA34" s="1000"/>
      <c r="PDB34" s="1000"/>
      <c r="PDC34" s="1000"/>
      <c r="PDD34" s="1000"/>
      <c r="PDE34" s="1000"/>
      <c r="PDF34" s="1000"/>
      <c r="PDG34" s="1000"/>
      <c r="PDH34" s="1000"/>
      <c r="PDI34" s="1000"/>
      <c r="PDJ34" s="1000"/>
      <c r="PDK34" s="1000"/>
      <c r="PDL34" s="1000"/>
      <c r="PDM34" s="1000"/>
      <c r="PDN34" s="1000"/>
      <c r="PDO34" s="1000"/>
      <c r="PDP34" s="1000"/>
      <c r="PDQ34" s="1000"/>
      <c r="PDR34" s="1000"/>
      <c r="PDS34" s="1000"/>
      <c r="PDT34" s="1000"/>
      <c r="PDU34" s="1000"/>
      <c r="PDV34" s="1000"/>
      <c r="PDW34" s="1000"/>
      <c r="PDX34" s="1000"/>
      <c r="PDY34" s="1000"/>
      <c r="PDZ34" s="1000"/>
      <c r="PEA34" s="1000"/>
      <c r="PEB34" s="1000"/>
      <c r="PEC34" s="1000"/>
      <c r="PED34" s="1000"/>
      <c r="PEE34" s="1000"/>
      <c r="PEF34" s="1000"/>
      <c r="PEG34" s="1000"/>
      <c r="PEH34" s="1000"/>
      <c r="PEI34" s="1000"/>
      <c r="PEJ34" s="1000"/>
      <c r="PEK34" s="1000"/>
      <c r="PEL34" s="1000"/>
      <c r="PEM34" s="1000"/>
      <c r="PEN34" s="1000"/>
      <c r="PEO34" s="1000"/>
      <c r="PEP34" s="1000"/>
      <c r="PEQ34" s="1000"/>
      <c r="PER34" s="1000"/>
      <c r="PES34" s="1000"/>
      <c r="PET34" s="1000"/>
      <c r="PEU34" s="1000"/>
      <c r="PEV34" s="1000"/>
      <c r="PEW34" s="1000"/>
      <c r="PEX34" s="1000"/>
      <c r="PEY34" s="1000"/>
      <c r="PEZ34" s="1000"/>
      <c r="PFA34" s="1000"/>
      <c r="PFB34" s="1000"/>
      <c r="PFC34" s="1000"/>
      <c r="PFD34" s="1000"/>
      <c r="PFE34" s="1000"/>
      <c r="PFF34" s="1000"/>
      <c r="PFG34" s="1000"/>
      <c r="PFH34" s="1000"/>
      <c r="PFI34" s="1000"/>
      <c r="PFJ34" s="1000"/>
      <c r="PFK34" s="1000"/>
      <c r="PFL34" s="1000"/>
      <c r="PFM34" s="1000"/>
      <c r="PFN34" s="1000"/>
      <c r="PFO34" s="1000"/>
      <c r="PFP34" s="1000"/>
      <c r="PFQ34" s="1000"/>
      <c r="PFR34" s="1000"/>
      <c r="PFS34" s="1000"/>
      <c r="PFT34" s="1000"/>
      <c r="PFU34" s="1000"/>
      <c r="PFV34" s="1000"/>
      <c r="PFW34" s="1000"/>
      <c r="PFX34" s="1000"/>
      <c r="PFY34" s="1000"/>
      <c r="PFZ34" s="1000"/>
      <c r="PGA34" s="1000"/>
      <c r="PGB34" s="1000"/>
      <c r="PGC34" s="1000"/>
      <c r="PGD34" s="1000"/>
      <c r="PGE34" s="1000"/>
      <c r="PGF34" s="1000"/>
      <c r="PGG34" s="1000"/>
      <c r="PGH34" s="1000"/>
      <c r="PGI34" s="1000"/>
      <c r="PGJ34" s="1000"/>
      <c r="PGK34" s="1000"/>
      <c r="PGL34" s="1000"/>
      <c r="PGM34" s="1000"/>
      <c r="PGN34" s="1000"/>
      <c r="PGO34" s="1000"/>
      <c r="PGP34" s="1000"/>
      <c r="PGQ34" s="1000"/>
      <c r="PGR34" s="1000"/>
      <c r="PGS34" s="1000"/>
      <c r="PGT34" s="1000"/>
      <c r="PGU34" s="1000"/>
      <c r="PGV34" s="1000"/>
      <c r="PGW34" s="1000"/>
      <c r="PGX34" s="1000"/>
      <c r="PGY34" s="1000"/>
      <c r="PGZ34" s="1000"/>
      <c r="PHA34" s="1000"/>
      <c r="PHB34" s="1000"/>
      <c r="PHC34" s="1000"/>
      <c r="PHD34" s="1000"/>
      <c r="PHE34" s="1000"/>
      <c r="PHF34" s="1000"/>
      <c r="PHG34" s="1000"/>
      <c r="PHH34" s="1000"/>
      <c r="PHI34" s="1000"/>
      <c r="PHJ34" s="1000"/>
      <c r="PHK34" s="1000"/>
      <c r="PHL34" s="1000"/>
      <c r="PHM34" s="1000"/>
      <c r="PHN34" s="1000"/>
      <c r="PHO34" s="1000"/>
      <c r="PHP34" s="1000"/>
      <c r="PHQ34" s="1000"/>
      <c r="PHR34" s="1000"/>
      <c r="PHS34" s="1000"/>
      <c r="PHT34" s="1000"/>
      <c r="PHU34" s="1000"/>
      <c r="PHV34" s="1000"/>
      <c r="PHW34" s="1000"/>
      <c r="PHX34" s="1000"/>
      <c r="PHY34" s="1000"/>
      <c r="PHZ34" s="1000"/>
      <c r="PIA34" s="1000"/>
      <c r="PIB34" s="1000"/>
      <c r="PIC34" s="1000"/>
      <c r="PID34" s="1000"/>
      <c r="PIE34" s="1000"/>
      <c r="PIF34" s="1000"/>
      <c r="PIG34" s="1000"/>
      <c r="PIH34" s="1000"/>
      <c r="PII34" s="1000"/>
      <c r="PIJ34" s="1000"/>
      <c r="PIK34" s="1000"/>
      <c r="PIL34" s="1000"/>
      <c r="PIM34" s="1000"/>
      <c r="PIN34" s="1000"/>
      <c r="PIO34" s="1000"/>
      <c r="PIP34" s="1000"/>
      <c r="PIQ34" s="1000"/>
      <c r="PIR34" s="1000"/>
      <c r="PIS34" s="1000"/>
      <c r="PIT34" s="1000"/>
      <c r="PIU34" s="1000"/>
      <c r="PIV34" s="1000"/>
      <c r="PIW34" s="1000"/>
      <c r="PIX34" s="1000"/>
      <c r="PIY34" s="1000"/>
      <c r="PIZ34" s="1000"/>
      <c r="PJA34" s="1000"/>
      <c r="PJB34" s="1000"/>
      <c r="PJC34" s="1000"/>
      <c r="PJD34" s="1000"/>
      <c r="PJE34" s="1000"/>
      <c r="PJF34" s="1000"/>
      <c r="PJG34" s="1000"/>
      <c r="PJH34" s="1000"/>
      <c r="PJI34" s="1000"/>
      <c r="PJJ34" s="1000"/>
      <c r="PJK34" s="1000"/>
      <c r="PJL34" s="1000"/>
      <c r="PJM34" s="1000"/>
      <c r="PJN34" s="1000"/>
      <c r="PJO34" s="1000"/>
      <c r="PJP34" s="1000"/>
      <c r="PJQ34" s="1000"/>
      <c r="PJR34" s="1000"/>
      <c r="PJS34" s="1000"/>
      <c r="PJT34" s="1000"/>
      <c r="PJU34" s="1000"/>
      <c r="PJV34" s="1000"/>
      <c r="PJW34" s="1000"/>
      <c r="PJX34" s="1000"/>
      <c r="PJY34" s="1000"/>
      <c r="PJZ34" s="1000"/>
      <c r="PKA34" s="1000"/>
      <c r="PKB34" s="1000"/>
      <c r="PKC34" s="1000"/>
      <c r="PKD34" s="1000"/>
      <c r="PKE34" s="1000"/>
      <c r="PKF34" s="1000"/>
      <c r="PKG34" s="1000"/>
      <c r="PKH34" s="1000"/>
      <c r="PKI34" s="1000"/>
      <c r="PKJ34" s="1000"/>
      <c r="PKK34" s="1000"/>
      <c r="PKL34" s="1000"/>
      <c r="PKM34" s="1000"/>
      <c r="PKN34" s="1000"/>
      <c r="PKO34" s="1000"/>
      <c r="PKP34" s="1000"/>
      <c r="PKQ34" s="1000"/>
      <c r="PKR34" s="1000"/>
      <c r="PKS34" s="1000"/>
      <c r="PKT34" s="1000"/>
      <c r="PKU34" s="1000"/>
      <c r="PKV34" s="1000"/>
      <c r="PKW34" s="1000"/>
      <c r="PKX34" s="1000"/>
      <c r="PKY34" s="1000"/>
      <c r="PKZ34" s="1000"/>
      <c r="PLA34" s="1000"/>
      <c r="PLB34" s="1000"/>
      <c r="PLC34" s="1000"/>
      <c r="PLD34" s="1000"/>
      <c r="PLE34" s="1000"/>
      <c r="PLF34" s="1000"/>
      <c r="PLG34" s="1000"/>
      <c r="PLH34" s="1000"/>
      <c r="PLI34" s="1000"/>
      <c r="PLJ34" s="1000"/>
      <c r="PLK34" s="1000"/>
      <c r="PLL34" s="1000"/>
      <c r="PLM34" s="1000"/>
      <c r="PLN34" s="1000"/>
      <c r="PLO34" s="1000"/>
      <c r="PLP34" s="1000"/>
      <c r="PLQ34" s="1000"/>
      <c r="PLR34" s="1000"/>
      <c r="PLS34" s="1000"/>
      <c r="PLT34" s="1000"/>
      <c r="PLU34" s="1000"/>
      <c r="PLV34" s="1000"/>
      <c r="PLW34" s="1000"/>
      <c r="PLX34" s="1000"/>
      <c r="PLY34" s="1000"/>
      <c r="PLZ34" s="1000"/>
      <c r="PMA34" s="1000"/>
      <c r="PMB34" s="1000"/>
      <c r="PMC34" s="1000"/>
      <c r="PMD34" s="1000"/>
      <c r="PME34" s="1000"/>
      <c r="PMF34" s="1000"/>
      <c r="PMG34" s="1000"/>
      <c r="PMH34" s="1000"/>
      <c r="PMI34" s="1000"/>
      <c r="PMJ34" s="1000"/>
      <c r="PMK34" s="1000"/>
      <c r="PML34" s="1000"/>
      <c r="PMM34" s="1000"/>
      <c r="PMN34" s="1000"/>
      <c r="PMO34" s="1000"/>
      <c r="PMP34" s="1000"/>
      <c r="PMQ34" s="1000"/>
      <c r="PMR34" s="1000"/>
      <c r="PMS34" s="1000"/>
      <c r="PMT34" s="1000"/>
      <c r="PMU34" s="1000"/>
      <c r="PMV34" s="1000"/>
      <c r="PMW34" s="1000"/>
      <c r="PMX34" s="1000"/>
      <c r="PMY34" s="1000"/>
      <c r="PMZ34" s="1000"/>
      <c r="PNA34" s="1000"/>
      <c r="PNB34" s="1000"/>
      <c r="PNC34" s="1000"/>
      <c r="PND34" s="1000"/>
      <c r="PNE34" s="1000"/>
      <c r="PNF34" s="1000"/>
      <c r="PNG34" s="1000"/>
      <c r="PNH34" s="1000"/>
      <c r="PNI34" s="1000"/>
      <c r="PNJ34" s="1000"/>
      <c r="PNK34" s="1000"/>
      <c r="PNL34" s="1000"/>
      <c r="PNM34" s="1000"/>
      <c r="PNN34" s="1000"/>
      <c r="PNO34" s="1000"/>
      <c r="PNP34" s="1000"/>
      <c r="PNQ34" s="1000"/>
      <c r="PNR34" s="1000"/>
      <c r="PNS34" s="1000"/>
      <c r="PNT34" s="1000"/>
      <c r="PNU34" s="1000"/>
      <c r="PNV34" s="1000"/>
      <c r="PNW34" s="1000"/>
      <c r="PNX34" s="1000"/>
      <c r="PNY34" s="1000"/>
      <c r="PNZ34" s="1000"/>
      <c r="POA34" s="1000"/>
      <c r="POB34" s="1000"/>
      <c r="POC34" s="1000"/>
      <c r="POD34" s="1000"/>
      <c r="POE34" s="1000"/>
      <c r="POF34" s="1000"/>
      <c r="POG34" s="1000"/>
      <c r="POH34" s="1000"/>
      <c r="POI34" s="1000"/>
      <c r="POJ34" s="1000"/>
      <c r="POK34" s="1000"/>
      <c r="POL34" s="1000"/>
      <c r="POM34" s="1000"/>
      <c r="PON34" s="1000"/>
      <c r="POO34" s="1000"/>
      <c r="POP34" s="1000"/>
      <c r="POQ34" s="1000"/>
      <c r="POR34" s="1000"/>
      <c r="POS34" s="1000"/>
      <c r="POT34" s="1000"/>
      <c r="POU34" s="1000"/>
      <c r="POV34" s="1000"/>
      <c r="POW34" s="1000"/>
      <c r="POX34" s="1000"/>
      <c r="POY34" s="1000"/>
      <c r="POZ34" s="1000"/>
      <c r="PPA34" s="1000"/>
      <c r="PPB34" s="1000"/>
      <c r="PPC34" s="1000"/>
      <c r="PPD34" s="1000"/>
      <c r="PPE34" s="1000"/>
      <c r="PPF34" s="1000"/>
      <c r="PPG34" s="1000"/>
      <c r="PPH34" s="1000"/>
      <c r="PPI34" s="1000"/>
      <c r="PPJ34" s="1000"/>
      <c r="PPK34" s="1000"/>
      <c r="PPL34" s="1000"/>
      <c r="PPM34" s="1000"/>
      <c r="PPN34" s="1000"/>
      <c r="PPO34" s="1000"/>
      <c r="PPP34" s="1000"/>
      <c r="PPQ34" s="1000"/>
      <c r="PPR34" s="1000"/>
      <c r="PPS34" s="1000"/>
      <c r="PPT34" s="1000"/>
      <c r="PPU34" s="1000"/>
      <c r="PPV34" s="1000"/>
      <c r="PPW34" s="1000"/>
      <c r="PPX34" s="1000"/>
      <c r="PPY34" s="1000"/>
      <c r="PPZ34" s="1000"/>
      <c r="PQA34" s="1000"/>
      <c r="PQB34" s="1000"/>
      <c r="PQC34" s="1000"/>
      <c r="PQD34" s="1000"/>
      <c r="PQE34" s="1000"/>
      <c r="PQF34" s="1000"/>
      <c r="PQG34" s="1000"/>
      <c r="PQH34" s="1000"/>
      <c r="PQI34" s="1000"/>
      <c r="PQJ34" s="1000"/>
      <c r="PQK34" s="1000"/>
      <c r="PQL34" s="1000"/>
      <c r="PQM34" s="1000"/>
      <c r="PQN34" s="1000"/>
      <c r="PQO34" s="1000"/>
      <c r="PQP34" s="1000"/>
      <c r="PQQ34" s="1000"/>
      <c r="PQR34" s="1000"/>
      <c r="PQS34" s="1000"/>
      <c r="PQT34" s="1000"/>
      <c r="PQU34" s="1000"/>
      <c r="PQV34" s="1000"/>
      <c r="PQW34" s="1000"/>
      <c r="PQX34" s="1000"/>
      <c r="PQY34" s="1000"/>
      <c r="PQZ34" s="1000"/>
      <c r="PRA34" s="1000"/>
      <c r="PRB34" s="1000"/>
      <c r="PRC34" s="1000"/>
      <c r="PRD34" s="1000"/>
      <c r="PRE34" s="1000"/>
      <c r="PRF34" s="1000"/>
      <c r="PRG34" s="1000"/>
      <c r="PRH34" s="1000"/>
      <c r="PRI34" s="1000"/>
      <c r="PRJ34" s="1000"/>
      <c r="PRK34" s="1000"/>
      <c r="PRL34" s="1000"/>
      <c r="PRM34" s="1000"/>
      <c r="PRN34" s="1000"/>
      <c r="PRO34" s="1000"/>
      <c r="PRP34" s="1000"/>
      <c r="PRQ34" s="1000"/>
      <c r="PRR34" s="1000"/>
      <c r="PRS34" s="1000"/>
      <c r="PRT34" s="1000"/>
      <c r="PRU34" s="1000"/>
      <c r="PRV34" s="1000"/>
      <c r="PRW34" s="1000"/>
      <c r="PRX34" s="1000"/>
      <c r="PRY34" s="1000"/>
      <c r="PRZ34" s="1000"/>
      <c r="PSA34" s="1000"/>
      <c r="PSB34" s="1000"/>
      <c r="PSC34" s="1000"/>
      <c r="PSD34" s="1000"/>
      <c r="PSE34" s="1000"/>
      <c r="PSF34" s="1000"/>
      <c r="PSG34" s="1000"/>
      <c r="PSH34" s="1000"/>
      <c r="PSI34" s="1000"/>
      <c r="PSJ34" s="1000"/>
      <c r="PSK34" s="1000"/>
      <c r="PSL34" s="1000"/>
      <c r="PSM34" s="1000"/>
      <c r="PSN34" s="1000"/>
      <c r="PSO34" s="1000"/>
      <c r="PSP34" s="1000"/>
      <c r="PSQ34" s="1000"/>
      <c r="PSR34" s="1000"/>
      <c r="PSS34" s="1000"/>
      <c r="PST34" s="1000"/>
      <c r="PSU34" s="1000"/>
      <c r="PSV34" s="1000"/>
      <c r="PSW34" s="1000"/>
      <c r="PSX34" s="1000"/>
      <c r="PSY34" s="1000"/>
      <c r="PSZ34" s="1000"/>
      <c r="PTA34" s="1000"/>
      <c r="PTB34" s="1000"/>
      <c r="PTC34" s="1000"/>
      <c r="PTD34" s="1000"/>
      <c r="PTE34" s="1000"/>
      <c r="PTF34" s="1000"/>
      <c r="PTG34" s="1000"/>
      <c r="PTH34" s="1000"/>
      <c r="PTI34" s="1000"/>
      <c r="PTJ34" s="1000"/>
      <c r="PTK34" s="1000"/>
      <c r="PTL34" s="1000"/>
      <c r="PTM34" s="1000"/>
      <c r="PTN34" s="1000"/>
      <c r="PTO34" s="1000"/>
      <c r="PTP34" s="1000"/>
      <c r="PTQ34" s="1000"/>
      <c r="PTR34" s="1000"/>
      <c r="PTS34" s="1000"/>
      <c r="PTT34" s="1000"/>
      <c r="PTU34" s="1000"/>
      <c r="PTV34" s="1000"/>
      <c r="PTW34" s="1000"/>
      <c r="PTX34" s="1000"/>
      <c r="PTY34" s="1000"/>
      <c r="PTZ34" s="1000"/>
      <c r="PUA34" s="1000"/>
      <c r="PUB34" s="1000"/>
      <c r="PUC34" s="1000"/>
      <c r="PUD34" s="1000"/>
      <c r="PUE34" s="1000"/>
      <c r="PUF34" s="1000"/>
      <c r="PUG34" s="1000"/>
      <c r="PUH34" s="1000"/>
      <c r="PUI34" s="1000"/>
      <c r="PUJ34" s="1000"/>
      <c r="PUK34" s="1000"/>
      <c r="PUL34" s="1000"/>
      <c r="PUM34" s="1000"/>
      <c r="PUN34" s="1000"/>
      <c r="PUO34" s="1000"/>
      <c r="PUP34" s="1000"/>
      <c r="PUQ34" s="1000"/>
      <c r="PUR34" s="1000"/>
      <c r="PUS34" s="1000"/>
      <c r="PUT34" s="1000"/>
      <c r="PUU34" s="1000"/>
      <c r="PUV34" s="1000"/>
      <c r="PUW34" s="1000"/>
      <c r="PUX34" s="1000"/>
      <c r="PUY34" s="1000"/>
      <c r="PUZ34" s="1000"/>
      <c r="PVA34" s="1000"/>
      <c r="PVB34" s="1000"/>
      <c r="PVC34" s="1000"/>
      <c r="PVD34" s="1000"/>
      <c r="PVE34" s="1000"/>
      <c r="PVF34" s="1000"/>
      <c r="PVG34" s="1000"/>
      <c r="PVH34" s="1000"/>
      <c r="PVI34" s="1000"/>
      <c r="PVJ34" s="1000"/>
      <c r="PVK34" s="1000"/>
      <c r="PVL34" s="1000"/>
      <c r="PVM34" s="1000"/>
      <c r="PVN34" s="1000"/>
      <c r="PVO34" s="1000"/>
      <c r="PVP34" s="1000"/>
      <c r="PVQ34" s="1000"/>
      <c r="PVR34" s="1000"/>
      <c r="PVS34" s="1000"/>
      <c r="PVT34" s="1000"/>
      <c r="PVU34" s="1000"/>
      <c r="PVV34" s="1000"/>
      <c r="PVW34" s="1000"/>
      <c r="PVX34" s="1000"/>
      <c r="PVY34" s="1000"/>
      <c r="PVZ34" s="1000"/>
      <c r="PWA34" s="1000"/>
      <c r="PWB34" s="1000"/>
      <c r="PWC34" s="1000"/>
      <c r="PWD34" s="1000"/>
      <c r="PWE34" s="1000"/>
      <c r="PWF34" s="1000"/>
      <c r="PWG34" s="1000"/>
      <c r="PWH34" s="1000"/>
      <c r="PWI34" s="1000"/>
      <c r="PWJ34" s="1000"/>
      <c r="PWK34" s="1000"/>
      <c r="PWL34" s="1000"/>
      <c r="PWM34" s="1000"/>
      <c r="PWN34" s="1000"/>
      <c r="PWO34" s="1000"/>
      <c r="PWP34" s="1000"/>
      <c r="PWQ34" s="1000"/>
      <c r="PWR34" s="1000"/>
      <c r="PWS34" s="1000"/>
      <c r="PWT34" s="1000"/>
      <c r="PWU34" s="1000"/>
      <c r="PWV34" s="1000"/>
      <c r="PWW34" s="1000"/>
      <c r="PWX34" s="1000"/>
      <c r="PWY34" s="1000"/>
      <c r="PWZ34" s="1000"/>
      <c r="PXA34" s="1000"/>
      <c r="PXB34" s="1000"/>
      <c r="PXC34" s="1000"/>
      <c r="PXD34" s="1000"/>
      <c r="PXE34" s="1000"/>
      <c r="PXF34" s="1000"/>
      <c r="PXG34" s="1000"/>
      <c r="PXH34" s="1000"/>
      <c r="PXI34" s="1000"/>
      <c r="PXJ34" s="1000"/>
      <c r="PXK34" s="1000"/>
      <c r="PXL34" s="1000"/>
      <c r="PXM34" s="1000"/>
      <c r="PXN34" s="1000"/>
      <c r="PXO34" s="1000"/>
      <c r="PXP34" s="1000"/>
      <c r="PXQ34" s="1000"/>
      <c r="PXR34" s="1000"/>
      <c r="PXS34" s="1000"/>
      <c r="PXT34" s="1000"/>
      <c r="PXU34" s="1000"/>
      <c r="PXV34" s="1000"/>
      <c r="PXW34" s="1000"/>
      <c r="PXX34" s="1000"/>
      <c r="PXY34" s="1000"/>
      <c r="PXZ34" s="1000"/>
      <c r="PYA34" s="1000"/>
      <c r="PYB34" s="1000"/>
      <c r="PYC34" s="1000"/>
      <c r="PYD34" s="1000"/>
      <c r="PYE34" s="1000"/>
      <c r="PYF34" s="1000"/>
      <c r="PYG34" s="1000"/>
      <c r="PYH34" s="1000"/>
      <c r="PYI34" s="1000"/>
      <c r="PYJ34" s="1000"/>
      <c r="PYK34" s="1000"/>
      <c r="PYL34" s="1000"/>
      <c r="PYM34" s="1000"/>
      <c r="PYN34" s="1000"/>
      <c r="PYO34" s="1000"/>
      <c r="PYP34" s="1000"/>
      <c r="PYQ34" s="1000"/>
      <c r="PYR34" s="1000"/>
      <c r="PYS34" s="1000"/>
      <c r="PYT34" s="1000"/>
      <c r="PYU34" s="1000"/>
      <c r="PYV34" s="1000"/>
      <c r="PYW34" s="1000"/>
      <c r="PYX34" s="1000"/>
      <c r="PYY34" s="1000"/>
      <c r="PYZ34" s="1000"/>
      <c r="PZA34" s="1000"/>
      <c r="PZB34" s="1000"/>
      <c r="PZC34" s="1000"/>
      <c r="PZD34" s="1000"/>
      <c r="PZE34" s="1000"/>
      <c r="PZF34" s="1000"/>
      <c r="PZG34" s="1000"/>
      <c r="PZH34" s="1000"/>
      <c r="PZI34" s="1000"/>
      <c r="PZJ34" s="1000"/>
      <c r="PZK34" s="1000"/>
      <c r="PZL34" s="1000"/>
      <c r="PZM34" s="1000"/>
      <c r="PZN34" s="1000"/>
      <c r="PZO34" s="1000"/>
      <c r="PZP34" s="1000"/>
      <c r="PZQ34" s="1000"/>
      <c r="PZR34" s="1000"/>
      <c r="PZS34" s="1000"/>
      <c r="PZT34" s="1000"/>
      <c r="PZU34" s="1000"/>
      <c r="PZV34" s="1000"/>
      <c r="PZW34" s="1000"/>
      <c r="PZX34" s="1000"/>
      <c r="PZY34" s="1000"/>
      <c r="PZZ34" s="1000"/>
      <c r="QAA34" s="1000"/>
      <c r="QAB34" s="1000"/>
      <c r="QAC34" s="1000"/>
      <c r="QAD34" s="1000"/>
      <c r="QAE34" s="1000"/>
      <c r="QAF34" s="1000"/>
      <c r="QAG34" s="1000"/>
      <c r="QAH34" s="1000"/>
      <c r="QAI34" s="1000"/>
      <c r="QAJ34" s="1000"/>
      <c r="QAK34" s="1000"/>
      <c r="QAL34" s="1000"/>
      <c r="QAM34" s="1000"/>
      <c r="QAN34" s="1000"/>
      <c r="QAO34" s="1000"/>
      <c r="QAP34" s="1000"/>
      <c r="QAQ34" s="1000"/>
      <c r="QAR34" s="1000"/>
      <c r="QAS34" s="1000"/>
      <c r="QAT34" s="1000"/>
      <c r="QAU34" s="1000"/>
      <c r="QAV34" s="1000"/>
      <c r="QAW34" s="1000"/>
      <c r="QAX34" s="1000"/>
      <c r="QAY34" s="1000"/>
      <c r="QAZ34" s="1000"/>
      <c r="QBA34" s="1000"/>
      <c r="QBB34" s="1000"/>
      <c r="QBC34" s="1000"/>
      <c r="QBD34" s="1000"/>
      <c r="QBE34" s="1000"/>
      <c r="QBF34" s="1000"/>
      <c r="QBG34" s="1000"/>
      <c r="QBH34" s="1000"/>
      <c r="QBI34" s="1000"/>
      <c r="QBJ34" s="1000"/>
      <c r="QBK34" s="1000"/>
      <c r="QBL34" s="1000"/>
      <c r="QBM34" s="1000"/>
      <c r="QBN34" s="1000"/>
      <c r="QBO34" s="1000"/>
      <c r="QBP34" s="1000"/>
      <c r="QBQ34" s="1000"/>
      <c r="QBR34" s="1000"/>
      <c r="QBS34" s="1000"/>
      <c r="QBT34" s="1000"/>
      <c r="QBU34" s="1000"/>
      <c r="QBV34" s="1000"/>
      <c r="QBW34" s="1000"/>
      <c r="QBX34" s="1000"/>
      <c r="QBY34" s="1000"/>
      <c r="QBZ34" s="1000"/>
      <c r="QCA34" s="1000"/>
      <c r="QCB34" s="1000"/>
      <c r="QCC34" s="1000"/>
      <c r="QCD34" s="1000"/>
      <c r="QCE34" s="1000"/>
      <c r="QCF34" s="1000"/>
      <c r="QCG34" s="1000"/>
      <c r="QCH34" s="1000"/>
      <c r="QCI34" s="1000"/>
      <c r="QCJ34" s="1000"/>
      <c r="QCK34" s="1000"/>
      <c r="QCL34" s="1000"/>
      <c r="QCM34" s="1000"/>
      <c r="QCN34" s="1000"/>
      <c r="QCO34" s="1000"/>
      <c r="QCP34" s="1000"/>
      <c r="QCQ34" s="1000"/>
      <c r="QCR34" s="1000"/>
      <c r="QCS34" s="1000"/>
      <c r="QCT34" s="1000"/>
      <c r="QCU34" s="1000"/>
      <c r="QCV34" s="1000"/>
      <c r="QCW34" s="1000"/>
      <c r="QCX34" s="1000"/>
      <c r="QCY34" s="1000"/>
      <c r="QCZ34" s="1000"/>
      <c r="QDA34" s="1000"/>
      <c r="QDB34" s="1000"/>
      <c r="QDC34" s="1000"/>
      <c r="QDD34" s="1000"/>
      <c r="QDE34" s="1000"/>
      <c r="QDF34" s="1000"/>
      <c r="QDG34" s="1000"/>
      <c r="QDH34" s="1000"/>
      <c r="QDI34" s="1000"/>
      <c r="QDJ34" s="1000"/>
      <c r="QDK34" s="1000"/>
      <c r="QDL34" s="1000"/>
      <c r="QDM34" s="1000"/>
      <c r="QDN34" s="1000"/>
      <c r="QDO34" s="1000"/>
      <c r="QDP34" s="1000"/>
      <c r="QDQ34" s="1000"/>
      <c r="QDR34" s="1000"/>
      <c r="QDS34" s="1000"/>
      <c r="QDT34" s="1000"/>
      <c r="QDU34" s="1000"/>
      <c r="QDV34" s="1000"/>
      <c r="QDW34" s="1000"/>
      <c r="QDX34" s="1000"/>
      <c r="QDY34" s="1000"/>
      <c r="QDZ34" s="1000"/>
      <c r="QEA34" s="1000"/>
      <c r="QEB34" s="1000"/>
      <c r="QEC34" s="1000"/>
      <c r="QED34" s="1000"/>
      <c r="QEE34" s="1000"/>
      <c r="QEF34" s="1000"/>
      <c r="QEG34" s="1000"/>
      <c r="QEH34" s="1000"/>
      <c r="QEI34" s="1000"/>
      <c r="QEJ34" s="1000"/>
      <c r="QEK34" s="1000"/>
      <c r="QEL34" s="1000"/>
      <c r="QEM34" s="1000"/>
      <c r="QEN34" s="1000"/>
      <c r="QEO34" s="1000"/>
      <c r="QEP34" s="1000"/>
      <c r="QEQ34" s="1000"/>
      <c r="QER34" s="1000"/>
      <c r="QES34" s="1000"/>
      <c r="QET34" s="1000"/>
      <c r="QEU34" s="1000"/>
      <c r="QEV34" s="1000"/>
      <c r="QEW34" s="1000"/>
      <c r="QEX34" s="1000"/>
      <c r="QEY34" s="1000"/>
      <c r="QEZ34" s="1000"/>
      <c r="QFA34" s="1000"/>
      <c r="QFB34" s="1000"/>
      <c r="QFC34" s="1000"/>
      <c r="QFD34" s="1000"/>
      <c r="QFE34" s="1000"/>
      <c r="QFF34" s="1000"/>
      <c r="QFG34" s="1000"/>
      <c r="QFH34" s="1000"/>
      <c r="QFI34" s="1000"/>
      <c r="QFJ34" s="1000"/>
      <c r="QFK34" s="1000"/>
      <c r="QFL34" s="1000"/>
      <c r="QFM34" s="1000"/>
      <c r="QFN34" s="1000"/>
      <c r="QFO34" s="1000"/>
      <c r="QFP34" s="1000"/>
      <c r="QFQ34" s="1000"/>
      <c r="QFR34" s="1000"/>
      <c r="QFS34" s="1000"/>
      <c r="QFT34" s="1000"/>
      <c r="QFU34" s="1000"/>
      <c r="QFV34" s="1000"/>
      <c r="QFW34" s="1000"/>
      <c r="QFX34" s="1000"/>
      <c r="QFY34" s="1000"/>
      <c r="QFZ34" s="1000"/>
      <c r="QGA34" s="1000"/>
      <c r="QGB34" s="1000"/>
      <c r="QGC34" s="1000"/>
      <c r="QGD34" s="1000"/>
      <c r="QGE34" s="1000"/>
      <c r="QGF34" s="1000"/>
      <c r="QGG34" s="1000"/>
      <c r="QGH34" s="1000"/>
      <c r="QGI34" s="1000"/>
      <c r="QGJ34" s="1000"/>
      <c r="QGK34" s="1000"/>
      <c r="QGL34" s="1000"/>
      <c r="QGM34" s="1000"/>
      <c r="QGN34" s="1000"/>
      <c r="QGO34" s="1000"/>
      <c r="QGP34" s="1000"/>
      <c r="QGQ34" s="1000"/>
      <c r="QGR34" s="1000"/>
      <c r="QGS34" s="1000"/>
      <c r="QGT34" s="1000"/>
      <c r="QGU34" s="1000"/>
      <c r="QGV34" s="1000"/>
      <c r="QGW34" s="1000"/>
      <c r="QGX34" s="1000"/>
      <c r="QGY34" s="1000"/>
      <c r="QGZ34" s="1000"/>
      <c r="QHA34" s="1000"/>
      <c r="QHB34" s="1000"/>
      <c r="QHC34" s="1000"/>
      <c r="QHD34" s="1000"/>
      <c r="QHE34" s="1000"/>
      <c r="QHF34" s="1000"/>
      <c r="QHG34" s="1000"/>
      <c r="QHH34" s="1000"/>
      <c r="QHI34" s="1000"/>
      <c r="QHJ34" s="1000"/>
      <c r="QHK34" s="1000"/>
      <c r="QHL34" s="1000"/>
      <c r="QHM34" s="1000"/>
      <c r="QHN34" s="1000"/>
      <c r="QHO34" s="1000"/>
      <c r="QHP34" s="1000"/>
      <c r="QHQ34" s="1000"/>
      <c r="QHR34" s="1000"/>
      <c r="QHS34" s="1000"/>
      <c r="QHT34" s="1000"/>
      <c r="QHU34" s="1000"/>
      <c r="QHV34" s="1000"/>
      <c r="QHW34" s="1000"/>
      <c r="QHX34" s="1000"/>
      <c r="QHY34" s="1000"/>
      <c r="QHZ34" s="1000"/>
      <c r="QIA34" s="1000"/>
      <c r="QIB34" s="1000"/>
      <c r="QIC34" s="1000"/>
      <c r="QID34" s="1000"/>
      <c r="QIE34" s="1000"/>
      <c r="QIF34" s="1000"/>
      <c r="QIG34" s="1000"/>
      <c r="QIH34" s="1000"/>
      <c r="QII34" s="1000"/>
      <c r="QIJ34" s="1000"/>
      <c r="QIK34" s="1000"/>
      <c r="QIL34" s="1000"/>
      <c r="QIM34" s="1000"/>
      <c r="QIN34" s="1000"/>
      <c r="QIO34" s="1000"/>
      <c r="QIP34" s="1000"/>
      <c r="QIQ34" s="1000"/>
      <c r="QIR34" s="1000"/>
      <c r="QIS34" s="1000"/>
      <c r="QIT34" s="1000"/>
      <c r="QIU34" s="1000"/>
      <c r="QIV34" s="1000"/>
      <c r="QIW34" s="1000"/>
      <c r="QIX34" s="1000"/>
      <c r="QIY34" s="1000"/>
      <c r="QIZ34" s="1000"/>
      <c r="QJA34" s="1000"/>
      <c r="QJB34" s="1000"/>
      <c r="QJC34" s="1000"/>
      <c r="QJD34" s="1000"/>
      <c r="QJE34" s="1000"/>
      <c r="QJF34" s="1000"/>
      <c r="QJG34" s="1000"/>
      <c r="QJH34" s="1000"/>
      <c r="QJI34" s="1000"/>
      <c r="QJJ34" s="1000"/>
      <c r="QJK34" s="1000"/>
      <c r="QJL34" s="1000"/>
      <c r="QJM34" s="1000"/>
      <c r="QJN34" s="1000"/>
      <c r="QJO34" s="1000"/>
      <c r="QJP34" s="1000"/>
      <c r="QJQ34" s="1000"/>
      <c r="QJR34" s="1000"/>
      <c r="QJS34" s="1000"/>
      <c r="QJT34" s="1000"/>
      <c r="QJU34" s="1000"/>
      <c r="QJV34" s="1000"/>
      <c r="QJW34" s="1000"/>
      <c r="QJX34" s="1000"/>
      <c r="QJY34" s="1000"/>
      <c r="QJZ34" s="1000"/>
      <c r="QKA34" s="1000"/>
      <c r="QKB34" s="1000"/>
      <c r="QKC34" s="1000"/>
      <c r="QKD34" s="1000"/>
      <c r="QKE34" s="1000"/>
      <c r="QKF34" s="1000"/>
      <c r="QKG34" s="1000"/>
      <c r="QKH34" s="1000"/>
      <c r="QKI34" s="1000"/>
      <c r="QKJ34" s="1000"/>
      <c r="QKK34" s="1000"/>
      <c r="QKL34" s="1000"/>
      <c r="QKM34" s="1000"/>
      <c r="QKN34" s="1000"/>
      <c r="QKO34" s="1000"/>
      <c r="QKP34" s="1000"/>
      <c r="QKQ34" s="1000"/>
      <c r="QKR34" s="1000"/>
      <c r="QKS34" s="1000"/>
      <c r="QKT34" s="1000"/>
      <c r="QKU34" s="1000"/>
      <c r="QKV34" s="1000"/>
      <c r="QKW34" s="1000"/>
      <c r="QKX34" s="1000"/>
      <c r="QKY34" s="1000"/>
      <c r="QKZ34" s="1000"/>
      <c r="QLA34" s="1000"/>
      <c r="QLB34" s="1000"/>
      <c r="QLC34" s="1000"/>
      <c r="QLD34" s="1000"/>
      <c r="QLE34" s="1000"/>
      <c r="QLF34" s="1000"/>
      <c r="QLG34" s="1000"/>
      <c r="QLH34" s="1000"/>
      <c r="QLI34" s="1000"/>
      <c r="QLJ34" s="1000"/>
      <c r="QLK34" s="1000"/>
      <c r="QLL34" s="1000"/>
      <c r="QLM34" s="1000"/>
      <c r="QLN34" s="1000"/>
      <c r="QLO34" s="1000"/>
      <c r="QLP34" s="1000"/>
      <c r="QLQ34" s="1000"/>
      <c r="QLR34" s="1000"/>
      <c r="QLS34" s="1000"/>
      <c r="QLT34" s="1000"/>
      <c r="QLU34" s="1000"/>
      <c r="QLV34" s="1000"/>
      <c r="QLW34" s="1000"/>
      <c r="QLX34" s="1000"/>
      <c r="QLY34" s="1000"/>
      <c r="QLZ34" s="1000"/>
      <c r="QMA34" s="1000"/>
      <c r="QMB34" s="1000"/>
      <c r="QMC34" s="1000"/>
      <c r="QMD34" s="1000"/>
      <c r="QME34" s="1000"/>
      <c r="QMF34" s="1000"/>
      <c r="QMG34" s="1000"/>
      <c r="QMH34" s="1000"/>
      <c r="QMI34" s="1000"/>
      <c r="QMJ34" s="1000"/>
      <c r="QMK34" s="1000"/>
      <c r="QML34" s="1000"/>
      <c r="QMM34" s="1000"/>
      <c r="QMN34" s="1000"/>
      <c r="QMO34" s="1000"/>
      <c r="QMP34" s="1000"/>
      <c r="QMQ34" s="1000"/>
      <c r="QMR34" s="1000"/>
      <c r="QMS34" s="1000"/>
      <c r="QMT34" s="1000"/>
      <c r="QMU34" s="1000"/>
      <c r="QMV34" s="1000"/>
      <c r="QMW34" s="1000"/>
      <c r="QMX34" s="1000"/>
      <c r="QMY34" s="1000"/>
      <c r="QMZ34" s="1000"/>
      <c r="QNA34" s="1000"/>
      <c r="QNB34" s="1000"/>
      <c r="QNC34" s="1000"/>
      <c r="QND34" s="1000"/>
      <c r="QNE34" s="1000"/>
      <c r="QNF34" s="1000"/>
      <c r="QNG34" s="1000"/>
      <c r="QNH34" s="1000"/>
      <c r="QNI34" s="1000"/>
      <c r="QNJ34" s="1000"/>
      <c r="QNK34" s="1000"/>
      <c r="QNL34" s="1000"/>
      <c r="QNM34" s="1000"/>
      <c r="QNN34" s="1000"/>
      <c r="QNO34" s="1000"/>
      <c r="QNP34" s="1000"/>
      <c r="QNQ34" s="1000"/>
      <c r="QNR34" s="1000"/>
      <c r="QNS34" s="1000"/>
      <c r="QNT34" s="1000"/>
      <c r="QNU34" s="1000"/>
      <c r="QNV34" s="1000"/>
      <c r="QNW34" s="1000"/>
      <c r="QNX34" s="1000"/>
      <c r="QNY34" s="1000"/>
      <c r="QNZ34" s="1000"/>
      <c r="QOA34" s="1000"/>
      <c r="QOB34" s="1000"/>
      <c r="QOC34" s="1000"/>
      <c r="QOD34" s="1000"/>
      <c r="QOE34" s="1000"/>
      <c r="QOF34" s="1000"/>
      <c r="QOG34" s="1000"/>
      <c r="QOH34" s="1000"/>
      <c r="QOI34" s="1000"/>
      <c r="QOJ34" s="1000"/>
      <c r="QOK34" s="1000"/>
      <c r="QOL34" s="1000"/>
      <c r="QOM34" s="1000"/>
      <c r="QON34" s="1000"/>
      <c r="QOO34" s="1000"/>
      <c r="QOP34" s="1000"/>
      <c r="QOQ34" s="1000"/>
      <c r="QOR34" s="1000"/>
      <c r="QOS34" s="1000"/>
      <c r="QOT34" s="1000"/>
      <c r="QOU34" s="1000"/>
      <c r="QOV34" s="1000"/>
      <c r="QOW34" s="1000"/>
      <c r="QOX34" s="1000"/>
      <c r="QOY34" s="1000"/>
      <c r="QOZ34" s="1000"/>
      <c r="QPA34" s="1000"/>
      <c r="QPB34" s="1000"/>
      <c r="QPC34" s="1000"/>
      <c r="QPD34" s="1000"/>
      <c r="QPE34" s="1000"/>
      <c r="QPF34" s="1000"/>
      <c r="QPG34" s="1000"/>
      <c r="QPH34" s="1000"/>
      <c r="QPI34" s="1000"/>
      <c r="QPJ34" s="1000"/>
      <c r="QPK34" s="1000"/>
      <c r="QPL34" s="1000"/>
      <c r="QPM34" s="1000"/>
      <c r="QPN34" s="1000"/>
      <c r="QPO34" s="1000"/>
      <c r="QPP34" s="1000"/>
      <c r="QPQ34" s="1000"/>
      <c r="QPR34" s="1000"/>
      <c r="QPS34" s="1000"/>
      <c r="QPT34" s="1000"/>
      <c r="QPU34" s="1000"/>
      <c r="QPV34" s="1000"/>
      <c r="QPW34" s="1000"/>
      <c r="QPX34" s="1000"/>
      <c r="QPY34" s="1000"/>
      <c r="QPZ34" s="1000"/>
      <c r="QQA34" s="1000"/>
      <c r="QQB34" s="1000"/>
      <c r="QQC34" s="1000"/>
      <c r="QQD34" s="1000"/>
      <c r="QQE34" s="1000"/>
      <c r="QQF34" s="1000"/>
      <c r="QQG34" s="1000"/>
      <c r="QQH34" s="1000"/>
      <c r="QQI34" s="1000"/>
      <c r="QQJ34" s="1000"/>
      <c r="QQK34" s="1000"/>
      <c r="QQL34" s="1000"/>
      <c r="QQM34" s="1000"/>
      <c r="QQN34" s="1000"/>
      <c r="QQO34" s="1000"/>
      <c r="QQP34" s="1000"/>
      <c r="QQQ34" s="1000"/>
      <c r="QQR34" s="1000"/>
      <c r="QQS34" s="1000"/>
      <c r="QQT34" s="1000"/>
      <c r="QQU34" s="1000"/>
      <c r="QQV34" s="1000"/>
      <c r="QQW34" s="1000"/>
      <c r="QQX34" s="1000"/>
      <c r="QQY34" s="1000"/>
      <c r="QQZ34" s="1000"/>
      <c r="QRA34" s="1000"/>
      <c r="QRB34" s="1000"/>
      <c r="QRC34" s="1000"/>
      <c r="QRD34" s="1000"/>
      <c r="QRE34" s="1000"/>
      <c r="QRF34" s="1000"/>
      <c r="QRG34" s="1000"/>
      <c r="QRH34" s="1000"/>
      <c r="QRI34" s="1000"/>
      <c r="QRJ34" s="1000"/>
      <c r="QRK34" s="1000"/>
      <c r="QRL34" s="1000"/>
      <c r="QRM34" s="1000"/>
      <c r="QRN34" s="1000"/>
      <c r="QRO34" s="1000"/>
      <c r="QRP34" s="1000"/>
      <c r="QRQ34" s="1000"/>
      <c r="QRR34" s="1000"/>
      <c r="QRS34" s="1000"/>
      <c r="QRT34" s="1000"/>
      <c r="QRU34" s="1000"/>
      <c r="QRV34" s="1000"/>
      <c r="QRW34" s="1000"/>
      <c r="QRX34" s="1000"/>
      <c r="QRY34" s="1000"/>
      <c r="QRZ34" s="1000"/>
      <c r="QSA34" s="1000"/>
      <c r="QSB34" s="1000"/>
      <c r="QSC34" s="1000"/>
      <c r="QSD34" s="1000"/>
      <c r="QSE34" s="1000"/>
      <c r="QSF34" s="1000"/>
      <c r="QSG34" s="1000"/>
      <c r="QSH34" s="1000"/>
      <c r="QSI34" s="1000"/>
      <c r="QSJ34" s="1000"/>
      <c r="QSK34" s="1000"/>
      <c r="QSL34" s="1000"/>
      <c r="QSM34" s="1000"/>
      <c r="QSN34" s="1000"/>
      <c r="QSO34" s="1000"/>
      <c r="QSP34" s="1000"/>
      <c r="QSQ34" s="1000"/>
      <c r="QSR34" s="1000"/>
      <c r="QSS34" s="1000"/>
      <c r="QST34" s="1000"/>
      <c r="QSU34" s="1000"/>
      <c r="QSV34" s="1000"/>
      <c r="QSW34" s="1000"/>
      <c r="QSX34" s="1000"/>
      <c r="QSY34" s="1000"/>
      <c r="QSZ34" s="1000"/>
      <c r="QTA34" s="1000"/>
      <c r="QTB34" s="1000"/>
      <c r="QTC34" s="1000"/>
      <c r="QTD34" s="1000"/>
      <c r="QTE34" s="1000"/>
      <c r="QTF34" s="1000"/>
      <c r="QTG34" s="1000"/>
      <c r="QTH34" s="1000"/>
      <c r="QTI34" s="1000"/>
      <c r="QTJ34" s="1000"/>
      <c r="QTK34" s="1000"/>
      <c r="QTL34" s="1000"/>
      <c r="QTM34" s="1000"/>
      <c r="QTN34" s="1000"/>
      <c r="QTO34" s="1000"/>
      <c r="QTP34" s="1000"/>
      <c r="QTQ34" s="1000"/>
      <c r="QTR34" s="1000"/>
      <c r="QTS34" s="1000"/>
      <c r="QTT34" s="1000"/>
      <c r="QTU34" s="1000"/>
      <c r="QTV34" s="1000"/>
      <c r="QTW34" s="1000"/>
      <c r="QTX34" s="1000"/>
      <c r="QTY34" s="1000"/>
      <c r="QTZ34" s="1000"/>
      <c r="QUA34" s="1000"/>
      <c r="QUB34" s="1000"/>
      <c r="QUC34" s="1000"/>
      <c r="QUD34" s="1000"/>
      <c r="QUE34" s="1000"/>
      <c r="QUF34" s="1000"/>
      <c r="QUG34" s="1000"/>
      <c r="QUH34" s="1000"/>
      <c r="QUI34" s="1000"/>
      <c r="QUJ34" s="1000"/>
      <c r="QUK34" s="1000"/>
      <c r="QUL34" s="1000"/>
      <c r="QUM34" s="1000"/>
      <c r="QUN34" s="1000"/>
      <c r="QUO34" s="1000"/>
      <c r="QUP34" s="1000"/>
      <c r="QUQ34" s="1000"/>
      <c r="QUR34" s="1000"/>
      <c r="QUS34" s="1000"/>
      <c r="QUT34" s="1000"/>
      <c r="QUU34" s="1000"/>
      <c r="QUV34" s="1000"/>
      <c r="QUW34" s="1000"/>
      <c r="QUX34" s="1000"/>
      <c r="QUY34" s="1000"/>
      <c r="QUZ34" s="1000"/>
      <c r="QVA34" s="1000"/>
      <c r="QVB34" s="1000"/>
      <c r="QVC34" s="1000"/>
      <c r="QVD34" s="1000"/>
      <c r="QVE34" s="1000"/>
      <c r="QVF34" s="1000"/>
      <c r="QVG34" s="1000"/>
      <c r="QVH34" s="1000"/>
      <c r="QVI34" s="1000"/>
      <c r="QVJ34" s="1000"/>
      <c r="QVK34" s="1000"/>
      <c r="QVL34" s="1000"/>
      <c r="QVM34" s="1000"/>
      <c r="QVN34" s="1000"/>
      <c r="QVO34" s="1000"/>
      <c r="QVP34" s="1000"/>
      <c r="QVQ34" s="1000"/>
      <c r="QVR34" s="1000"/>
      <c r="QVS34" s="1000"/>
      <c r="QVT34" s="1000"/>
      <c r="QVU34" s="1000"/>
      <c r="QVV34" s="1000"/>
      <c r="QVW34" s="1000"/>
      <c r="QVX34" s="1000"/>
      <c r="QVY34" s="1000"/>
      <c r="QVZ34" s="1000"/>
      <c r="QWA34" s="1000"/>
      <c r="QWB34" s="1000"/>
      <c r="QWC34" s="1000"/>
      <c r="QWD34" s="1000"/>
      <c r="QWE34" s="1000"/>
      <c r="QWF34" s="1000"/>
      <c r="QWG34" s="1000"/>
      <c r="QWH34" s="1000"/>
      <c r="QWI34" s="1000"/>
      <c r="QWJ34" s="1000"/>
      <c r="QWK34" s="1000"/>
      <c r="QWL34" s="1000"/>
      <c r="QWM34" s="1000"/>
      <c r="QWN34" s="1000"/>
      <c r="QWO34" s="1000"/>
      <c r="QWP34" s="1000"/>
      <c r="QWQ34" s="1000"/>
      <c r="QWR34" s="1000"/>
      <c r="QWS34" s="1000"/>
      <c r="QWT34" s="1000"/>
      <c r="QWU34" s="1000"/>
      <c r="QWV34" s="1000"/>
      <c r="QWW34" s="1000"/>
      <c r="QWX34" s="1000"/>
      <c r="QWY34" s="1000"/>
      <c r="QWZ34" s="1000"/>
      <c r="QXA34" s="1000"/>
      <c r="QXB34" s="1000"/>
      <c r="QXC34" s="1000"/>
      <c r="QXD34" s="1000"/>
      <c r="QXE34" s="1000"/>
      <c r="QXF34" s="1000"/>
      <c r="QXG34" s="1000"/>
      <c r="QXH34" s="1000"/>
      <c r="QXI34" s="1000"/>
      <c r="QXJ34" s="1000"/>
      <c r="QXK34" s="1000"/>
      <c r="QXL34" s="1000"/>
      <c r="QXM34" s="1000"/>
      <c r="QXN34" s="1000"/>
      <c r="QXO34" s="1000"/>
      <c r="QXP34" s="1000"/>
      <c r="QXQ34" s="1000"/>
      <c r="QXR34" s="1000"/>
      <c r="QXS34" s="1000"/>
      <c r="QXT34" s="1000"/>
      <c r="QXU34" s="1000"/>
      <c r="QXV34" s="1000"/>
      <c r="QXW34" s="1000"/>
      <c r="QXX34" s="1000"/>
      <c r="QXY34" s="1000"/>
      <c r="QXZ34" s="1000"/>
      <c r="QYA34" s="1000"/>
      <c r="QYB34" s="1000"/>
      <c r="QYC34" s="1000"/>
      <c r="QYD34" s="1000"/>
      <c r="QYE34" s="1000"/>
      <c r="QYF34" s="1000"/>
      <c r="QYG34" s="1000"/>
      <c r="QYH34" s="1000"/>
      <c r="QYI34" s="1000"/>
      <c r="QYJ34" s="1000"/>
      <c r="QYK34" s="1000"/>
      <c r="QYL34" s="1000"/>
      <c r="QYM34" s="1000"/>
      <c r="QYN34" s="1000"/>
      <c r="QYO34" s="1000"/>
      <c r="QYP34" s="1000"/>
      <c r="QYQ34" s="1000"/>
      <c r="QYR34" s="1000"/>
      <c r="QYS34" s="1000"/>
      <c r="QYT34" s="1000"/>
      <c r="QYU34" s="1000"/>
      <c r="QYV34" s="1000"/>
      <c r="QYW34" s="1000"/>
      <c r="QYX34" s="1000"/>
      <c r="QYY34" s="1000"/>
      <c r="QYZ34" s="1000"/>
      <c r="QZA34" s="1000"/>
      <c r="QZB34" s="1000"/>
      <c r="QZC34" s="1000"/>
      <c r="QZD34" s="1000"/>
      <c r="QZE34" s="1000"/>
      <c r="QZF34" s="1000"/>
      <c r="QZG34" s="1000"/>
      <c r="QZH34" s="1000"/>
      <c r="QZI34" s="1000"/>
      <c r="QZJ34" s="1000"/>
      <c r="QZK34" s="1000"/>
      <c r="QZL34" s="1000"/>
      <c r="QZM34" s="1000"/>
      <c r="QZN34" s="1000"/>
      <c r="QZO34" s="1000"/>
      <c r="QZP34" s="1000"/>
      <c r="QZQ34" s="1000"/>
      <c r="QZR34" s="1000"/>
      <c r="QZS34" s="1000"/>
      <c r="QZT34" s="1000"/>
      <c r="QZU34" s="1000"/>
      <c r="QZV34" s="1000"/>
      <c r="QZW34" s="1000"/>
      <c r="QZX34" s="1000"/>
      <c r="QZY34" s="1000"/>
      <c r="QZZ34" s="1000"/>
      <c r="RAA34" s="1000"/>
      <c r="RAB34" s="1000"/>
      <c r="RAC34" s="1000"/>
      <c r="RAD34" s="1000"/>
      <c r="RAE34" s="1000"/>
      <c r="RAF34" s="1000"/>
      <c r="RAG34" s="1000"/>
      <c r="RAH34" s="1000"/>
      <c r="RAI34" s="1000"/>
      <c r="RAJ34" s="1000"/>
      <c r="RAK34" s="1000"/>
      <c r="RAL34" s="1000"/>
      <c r="RAM34" s="1000"/>
      <c r="RAN34" s="1000"/>
      <c r="RAO34" s="1000"/>
      <c r="RAP34" s="1000"/>
      <c r="RAQ34" s="1000"/>
      <c r="RAR34" s="1000"/>
      <c r="RAS34" s="1000"/>
      <c r="RAT34" s="1000"/>
      <c r="RAU34" s="1000"/>
      <c r="RAV34" s="1000"/>
      <c r="RAW34" s="1000"/>
      <c r="RAX34" s="1000"/>
      <c r="RAY34" s="1000"/>
      <c r="RAZ34" s="1000"/>
      <c r="RBA34" s="1000"/>
      <c r="RBB34" s="1000"/>
      <c r="RBC34" s="1000"/>
      <c r="RBD34" s="1000"/>
      <c r="RBE34" s="1000"/>
      <c r="RBF34" s="1000"/>
      <c r="RBG34" s="1000"/>
      <c r="RBH34" s="1000"/>
      <c r="RBI34" s="1000"/>
      <c r="RBJ34" s="1000"/>
      <c r="RBK34" s="1000"/>
      <c r="RBL34" s="1000"/>
      <c r="RBM34" s="1000"/>
      <c r="RBN34" s="1000"/>
      <c r="RBO34" s="1000"/>
      <c r="RBP34" s="1000"/>
      <c r="RBQ34" s="1000"/>
      <c r="RBR34" s="1000"/>
      <c r="RBS34" s="1000"/>
      <c r="RBT34" s="1000"/>
      <c r="RBU34" s="1000"/>
      <c r="RBV34" s="1000"/>
      <c r="RBW34" s="1000"/>
      <c r="RBX34" s="1000"/>
      <c r="RBY34" s="1000"/>
      <c r="RBZ34" s="1000"/>
      <c r="RCA34" s="1000"/>
      <c r="RCB34" s="1000"/>
      <c r="RCC34" s="1000"/>
      <c r="RCD34" s="1000"/>
      <c r="RCE34" s="1000"/>
      <c r="RCF34" s="1000"/>
      <c r="RCG34" s="1000"/>
      <c r="RCH34" s="1000"/>
      <c r="RCI34" s="1000"/>
      <c r="RCJ34" s="1000"/>
      <c r="RCK34" s="1000"/>
      <c r="RCL34" s="1000"/>
      <c r="RCM34" s="1000"/>
      <c r="RCN34" s="1000"/>
      <c r="RCO34" s="1000"/>
      <c r="RCP34" s="1000"/>
      <c r="RCQ34" s="1000"/>
      <c r="RCR34" s="1000"/>
      <c r="RCS34" s="1000"/>
      <c r="RCT34" s="1000"/>
      <c r="RCU34" s="1000"/>
      <c r="RCV34" s="1000"/>
      <c r="RCW34" s="1000"/>
      <c r="RCX34" s="1000"/>
      <c r="RCY34" s="1000"/>
      <c r="RCZ34" s="1000"/>
      <c r="RDA34" s="1000"/>
      <c r="RDB34" s="1000"/>
      <c r="RDC34" s="1000"/>
      <c r="RDD34" s="1000"/>
      <c r="RDE34" s="1000"/>
      <c r="RDF34" s="1000"/>
      <c r="RDG34" s="1000"/>
      <c r="RDH34" s="1000"/>
      <c r="RDI34" s="1000"/>
      <c r="RDJ34" s="1000"/>
      <c r="RDK34" s="1000"/>
      <c r="RDL34" s="1000"/>
      <c r="RDM34" s="1000"/>
      <c r="RDN34" s="1000"/>
      <c r="RDO34" s="1000"/>
      <c r="RDP34" s="1000"/>
      <c r="RDQ34" s="1000"/>
      <c r="RDR34" s="1000"/>
      <c r="RDS34" s="1000"/>
      <c r="RDT34" s="1000"/>
      <c r="RDU34" s="1000"/>
      <c r="RDV34" s="1000"/>
      <c r="RDW34" s="1000"/>
      <c r="RDX34" s="1000"/>
      <c r="RDY34" s="1000"/>
      <c r="RDZ34" s="1000"/>
      <c r="REA34" s="1000"/>
      <c r="REB34" s="1000"/>
      <c r="REC34" s="1000"/>
      <c r="RED34" s="1000"/>
      <c r="REE34" s="1000"/>
      <c r="REF34" s="1000"/>
      <c r="REG34" s="1000"/>
      <c r="REH34" s="1000"/>
      <c r="REI34" s="1000"/>
      <c r="REJ34" s="1000"/>
      <c r="REK34" s="1000"/>
      <c r="REL34" s="1000"/>
      <c r="REM34" s="1000"/>
      <c r="REN34" s="1000"/>
      <c r="REO34" s="1000"/>
      <c r="REP34" s="1000"/>
      <c r="REQ34" s="1000"/>
      <c r="RER34" s="1000"/>
      <c r="RES34" s="1000"/>
      <c r="RET34" s="1000"/>
      <c r="REU34" s="1000"/>
      <c r="REV34" s="1000"/>
      <c r="REW34" s="1000"/>
      <c r="REX34" s="1000"/>
      <c r="REY34" s="1000"/>
      <c r="REZ34" s="1000"/>
      <c r="RFA34" s="1000"/>
      <c r="RFB34" s="1000"/>
      <c r="RFC34" s="1000"/>
      <c r="RFD34" s="1000"/>
      <c r="RFE34" s="1000"/>
      <c r="RFF34" s="1000"/>
      <c r="RFG34" s="1000"/>
      <c r="RFH34" s="1000"/>
      <c r="RFI34" s="1000"/>
      <c r="RFJ34" s="1000"/>
      <c r="RFK34" s="1000"/>
      <c r="RFL34" s="1000"/>
      <c r="RFM34" s="1000"/>
      <c r="RFN34" s="1000"/>
      <c r="RFO34" s="1000"/>
      <c r="RFP34" s="1000"/>
      <c r="RFQ34" s="1000"/>
      <c r="RFR34" s="1000"/>
      <c r="RFS34" s="1000"/>
      <c r="RFT34" s="1000"/>
      <c r="RFU34" s="1000"/>
      <c r="RFV34" s="1000"/>
      <c r="RFW34" s="1000"/>
      <c r="RFX34" s="1000"/>
      <c r="RFY34" s="1000"/>
      <c r="RFZ34" s="1000"/>
      <c r="RGA34" s="1000"/>
      <c r="RGB34" s="1000"/>
      <c r="RGC34" s="1000"/>
      <c r="RGD34" s="1000"/>
      <c r="RGE34" s="1000"/>
      <c r="RGF34" s="1000"/>
      <c r="RGG34" s="1000"/>
      <c r="RGH34" s="1000"/>
      <c r="RGI34" s="1000"/>
      <c r="RGJ34" s="1000"/>
      <c r="RGK34" s="1000"/>
      <c r="RGL34" s="1000"/>
      <c r="RGM34" s="1000"/>
      <c r="RGN34" s="1000"/>
      <c r="RGO34" s="1000"/>
      <c r="RGP34" s="1000"/>
      <c r="RGQ34" s="1000"/>
      <c r="RGR34" s="1000"/>
      <c r="RGS34" s="1000"/>
      <c r="RGT34" s="1000"/>
      <c r="RGU34" s="1000"/>
      <c r="RGV34" s="1000"/>
      <c r="RGW34" s="1000"/>
      <c r="RGX34" s="1000"/>
      <c r="RGY34" s="1000"/>
      <c r="RGZ34" s="1000"/>
      <c r="RHA34" s="1000"/>
      <c r="RHB34" s="1000"/>
      <c r="RHC34" s="1000"/>
      <c r="RHD34" s="1000"/>
      <c r="RHE34" s="1000"/>
      <c r="RHF34" s="1000"/>
      <c r="RHG34" s="1000"/>
      <c r="RHH34" s="1000"/>
      <c r="RHI34" s="1000"/>
      <c r="RHJ34" s="1000"/>
      <c r="RHK34" s="1000"/>
      <c r="RHL34" s="1000"/>
      <c r="RHM34" s="1000"/>
      <c r="RHN34" s="1000"/>
      <c r="RHO34" s="1000"/>
      <c r="RHP34" s="1000"/>
      <c r="RHQ34" s="1000"/>
      <c r="RHR34" s="1000"/>
      <c r="RHS34" s="1000"/>
      <c r="RHT34" s="1000"/>
      <c r="RHU34" s="1000"/>
      <c r="RHV34" s="1000"/>
      <c r="RHW34" s="1000"/>
      <c r="RHX34" s="1000"/>
      <c r="RHY34" s="1000"/>
      <c r="RHZ34" s="1000"/>
      <c r="RIA34" s="1000"/>
      <c r="RIB34" s="1000"/>
      <c r="RIC34" s="1000"/>
      <c r="RID34" s="1000"/>
      <c r="RIE34" s="1000"/>
      <c r="RIF34" s="1000"/>
      <c r="RIG34" s="1000"/>
      <c r="RIH34" s="1000"/>
      <c r="RII34" s="1000"/>
      <c r="RIJ34" s="1000"/>
      <c r="RIK34" s="1000"/>
      <c r="RIL34" s="1000"/>
      <c r="RIM34" s="1000"/>
      <c r="RIN34" s="1000"/>
      <c r="RIO34" s="1000"/>
      <c r="RIP34" s="1000"/>
      <c r="RIQ34" s="1000"/>
      <c r="RIR34" s="1000"/>
      <c r="RIS34" s="1000"/>
      <c r="RIT34" s="1000"/>
      <c r="RIU34" s="1000"/>
      <c r="RIV34" s="1000"/>
      <c r="RIW34" s="1000"/>
      <c r="RIX34" s="1000"/>
      <c r="RIY34" s="1000"/>
      <c r="RIZ34" s="1000"/>
      <c r="RJA34" s="1000"/>
      <c r="RJB34" s="1000"/>
      <c r="RJC34" s="1000"/>
      <c r="RJD34" s="1000"/>
      <c r="RJE34" s="1000"/>
      <c r="RJF34" s="1000"/>
      <c r="RJG34" s="1000"/>
      <c r="RJH34" s="1000"/>
      <c r="RJI34" s="1000"/>
      <c r="RJJ34" s="1000"/>
      <c r="RJK34" s="1000"/>
      <c r="RJL34" s="1000"/>
      <c r="RJM34" s="1000"/>
      <c r="RJN34" s="1000"/>
      <c r="RJO34" s="1000"/>
      <c r="RJP34" s="1000"/>
      <c r="RJQ34" s="1000"/>
      <c r="RJR34" s="1000"/>
      <c r="RJS34" s="1000"/>
      <c r="RJT34" s="1000"/>
      <c r="RJU34" s="1000"/>
      <c r="RJV34" s="1000"/>
      <c r="RJW34" s="1000"/>
      <c r="RJX34" s="1000"/>
      <c r="RJY34" s="1000"/>
      <c r="RJZ34" s="1000"/>
      <c r="RKA34" s="1000"/>
      <c r="RKB34" s="1000"/>
      <c r="RKC34" s="1000"/>
      <c r="RKD34" s="1000"/>
      <c r="RKE34" s="1000"/>
      <c r="RKF34" s="1000"/>
      <c r="RKG34" s="1000"/>
      <c r="RKH34" s="1000"/>
      <c r="RKI34" s="1000"/>
      <c r="RKJ34" s="1000"/>
      <c r="RKK34" s="1000"/>
      <c r="RKL34" s="1000"/>
      <c r="RKM34" s="1000"/>
      <c r="RKN34" s="1000"/>
      <c r="RKO34" s="1000"/>
      <c r="RKP34" s="1000"/>
      <c r="RKQ34" s="1000"/>
      <c r="RKR34" s="1000"/>
      <c r="RKS34" s="1000"/>
      <c r="RKT34" s="1000"/>
      <c r="RKU34" s="1000"/>
      <c r="RKV34" s="1000"/>
      <c r="RKW34" s="1000"/>
      <c r="RKX34" s="1000"/>
      <c r="RKY34" s="1000"/>
      <c r="RKZ34" s="1000"/>
      <c r="RLA34" s="1000"/>
      <c r="RLB34" s="1000"/>
      <c r="RLC34" s="1000"/>
      <c r="RLD34" s="1000"/>
      <c r="RLE34" s="1000"/>
      <c r="RLF34" s="1000"/>
      <c r="RLG34" s="1000"/>
      <c r="RLH34" s="1000"/>
      <c r="RLI34" s="1000"/>
      <c r="RLJ34" s="1000"/>
      <c r="RLK34" s="1000"/>
      <c r="RLL34" s="1000"/>
      <c r="RLM34" s="1000"/>
      <c r="RLN34" s="1000"/>
      <c r="RLO34" s="1000"/>
      <c r="RLP34" s="1000"/>
      <c r="RLQ34" s="1000"/>
      <c r="RLR34" s="1000"/>
      <c r="RLS34" s="1000"/>
      <c r="RLT34" s="1000"/>
      <c r="RLU34" s="1000"/>
      <c r="RLV34" s="1000"/>
      <c r="RLW34" s="1000"/>
      <c r="RLX34" s="1000"/>
      <c r="RLY34" s="1000"/>
      <c r="RLZ34" s="1000"/>
      <c r="RMA34" s="1000"/>
      <c r="RMB34" s="1000"/>
      <c r="RMC34" s="1000"/>
      <c r="RMD34" s="1000"/>
      <c r="RME34" s="1000"/>
      <c r="RMF34" s="1000"/>
      <c r="RMG34" s="1000"/>
      <c r="RMH34" s="1000"/>
      <c r="RMI34" s="1000"/>
      <c r="RMJ34" s="1000"/>
      <c r="RMK34" s="1000"/>
      <c r="RML34" s="1000"/>
      <c r="RMM34" s="1000"/>
      <c r="RMN34" s="1000"/>
      <c r="RMO34" s="1000"/>
      <c r="RMP34" s="1000"/>
      <c r="RMQ34" s="1000"/>
      <c r="RMR34" s="1000"/>
      <c r="RMS34" s="1000"/>
      <c r="RMT34" s="1000"/>
      <c r="RMU34" s="1000"/>
      <c r="RMV34" s="1000"/>
      <c r="RMW34" s="1000"/>
      <c r="RMX34" s="1000"/>
      <c r="RMY34" s="1000"/>
      <c r="RMZ34" s="1000"/>
      <c r="RNA34" s="1000"/>
      <c r="RNB34" s="1000"/>
      <c r="RNC34" s="1000"/>
      <c r="RND34" s="1000"/>
      <c r="RNE34" s="1000"/>
      <c r="RNF34" s="1000"/>
      <c r="RNG34" s="1000"/>
      <c r="RNH34" s="1000"/>
      <c r="RNI34" s="1000"/>
      <c r="RNJ34" s="1000"/>
      <c r="RNK34" s="1000"/>
      <c r="RNL34" s="1000"/>
      <c r="RNM34" s="1000"/>
      <c r="RNN34" s="1000"/>
      <c r="RNO34" s="1000"/>
      <c r="RNP34" s="1000"/>
      <c r="RNQ34" s="1000"/>
      <c r="RNR34" s="1000"/>
      <c r="RNS34" s="1000"/>
      <c r="RNT34" s="1000"/>
      <c r="RNU34" s="1000"/>
      <c r="RNV34" s="1000"/>
      <c r="RNW34" s="1000"/>
      <c r="RNX34" s="1000"/>
      <c r="RNY34" s="1000"/>
      <c r="RNZ34" s="1000"/>
      <c r="ROA34" s="1000"/>
      <c r="ROB34" s="1000"/>
      <c r="ROC34" s="1000"/>
      <c r="ROD34" s="1000"/>
      <c r="ROE34" s="1000"/>
      <c r="ROF34" s="1000"/>
      <c r="ROG34" s="1000"/>
      <c r="ROH34" s="1000"/>
      <c r="ROI34" s="1000"/>
      <c r="ROJ34" s="1000"/>
      <c r="ROK34" s="1000"/>
      <c r="ROL34" s="1000"/>
      <c r="ROM34" s="1000"/>
      <c r="RON34" s="1000"/>
      <c r="ROO34" s="1000"/>
      <c r="ROP34" s="1000"/>
      <c r="ROQ34" s="1000"/>
      <c r="ROR34" s="1000"/>
      <c r="ROS34" s="1000"/>
      <c r="ROT34" s="1000"/>
      <c r="ROU34" s="1000"/>
      <c r="ROV34" s="1000"/>
      <c r="ROW34" s="1000"/>
      <c r="ROX34" s="1000"/>
      <c r="ROY34" s="1000"/>
      <c r="ROZ34" s="1000"/>
      <c r="RPA34" s="1000"/>
      <c r="RPB34" s="1000"/>
      <c r="RPC34" s="1000"/>
      <c r="RPD34" s="1000"/>
      <c r="RPE34" s="1000"/>
      <c r="RPF34" s="1000"/>
      <c r="RPG34" s="1000"/>
      <c r="RPH34" s="1000"/>
      <c r="RPI34" s="1000"/>
      <c r="RPJ34" s="1000"/>
      <c r="RPK34" s="1000"/>
      <c r="RPL34" s="1000"/>
      <c r="RPM34" s="1000"/>
      <c r="RPN34" s="1000"/>
      <c r="RPO34" s="1000"/>
      <c r="RPP34" s="1000"/>
      <c r="RPQ34" s="1000"/>
      <c r="RPR34" s="1000"/>
      <c r="RPS34" s="1000"/>
      <c r="RPT34" s="1000"/>
      <c r="RPU34" s="1000"/>
      <c r="RPV34" s="1000"/>
      <c r="RPW34" s="1000"/>
      <c r="RPX34" s="1000"/>
      <c r="RPY34" s="1000"/>
      <c r="RPZ34" s="1000"/>
      <c r="RQA34" s="1000"/>
      <c r="RQB34" s="1000"/>
      <c r="RQC34" s="1000"/>
      <c r="RQD34" s="1000"/>
      <c r="RQE34" s="1000"/>
      <c r="RQF34" s="1000"/>
      <c r="RQG34" s="1000"/>
      <c r="RQH34" s="1000"/>
      <c r="RQI34" s="1000"/>
      <c r="RQJ34" s="1000"/>
      <c r="RQK34" s="1000"/>
      <c r="RQL34" s="1000"/>
      <c r="RQM34" s="1000"/>
      <c r="RQN34" s="1000"/>
      <c r="RQO34" s="1000"/>
      <c r="RQP34" s="1000"/>
      <c r="RQQ34" s="1000"/>
      <c r="RQR34" s="1000"/>
      <c r="RQS34" s="1000"/>
      <c r="RQT34" s="1000"/>
      <c r="RQU34" s="1000"/>
      <c r="RQV34" s="1000"/>
      <c r="RQW34" s="1000"/>
      <c r="RQX34" s="1000"/>
      <c r="RQY34" s="1000"/>
      <c r="RQZ34" s="1000"/>
      <c r="RRA34" s="1000"/>
      <c r="RRB34" s="1000"/>
      <c r="RRC34" s="1000"/>
      <c r="RRD34" s="1000"/>
      <c r="RRE34" s="1000"/>
      <c r="RRF34" s="1000"/>
      <c r="RRG34" s="1000"/>
      <c r="RRH34" s="1000"/>
      <c r="RRI34" s="1000"/>
      <c r="RRJ34" s="1000"/>
      <c r="RRK34" s="1000"/>
      <c r="RRL34" s="1000"/>
      <c r="RRM34" s="1000"/>
      <c r="RRN34" s="1000"/>
      <c r="RRO34" s="1000"/>
      <c r="RRP34" s="1000"/>
      <c r="RRQ34" s="1000"/>
      <c r="RRR34" s="1000"/>
      <c r="RRS34" s="1000"/>
      <c r="RRT34" s="1000"/>
      <c r="RRU34" s="1000"/>
      <c r="RRV34" s="1000"/>
      <c r="RRW34" s="1000"/>
      <c r="RRX34" s="1000"/>
      <c r="RRY34" s="1000"/>
      <c r="RRZ34" s="1000"/>
      <c r="RSA34" s="1000"/>
      <c r="RSB34" s="1000"/>
      <c r="RSC34" s="1000"/>
      <c r="RSD34" s="1000"/>
      <c r="RSE34" s="1000"/>
      <c r="RSF34" s="1000"/>
      <c r="RSG34" s="1000"/>
      <c r="RSH34" s="1000"/>
      <c r="RSI34" s="1000"/>
      <c r="RSJ34" s="1000"/>
      <c r="RSK34" s="1000"/>
      <c r="RSL34" s="1000"/>
      <c r="RSM34" s="1000"/>
      <c r="RSN34" s="1000"/>
      <c r="RSO34" s="1000"/>
      <c r="RSP34" s="1000"/>
      <c r="RSQ34" s="1000"/>
      <c r="RSR34" s="1000"/>
      <c r="RSS34" s="1000"/>
      <c r="RST34" s="1000"/>
      <c r="RSU34" s="1000"/>
      <c r="RSV34" s="1000"/>
      <c r="RSW34" s="1000"/>
      <c r="RSX34" s="1000"/>
      <c r="RSY34" s="1000"/>
      <c r="RSZ34" s="1000"/>
      <c r="RTA34" s="1000"/>
      <c r="RTB34" s="1000"/>
      <c r="RTC34" s="1000"/>
      <c r="RTD34" s="1000"/>
      <c r="RTE34" s="1000"/>
      <c r="RTF34" s="1000"/>
      <c r="RTG34" s="1000"/>
      <c r="RTH34" s="1000"/>
      <c r="RTI34" s="1000"/>
      <c r="RTJ34" s="1000"/>
      <c r="RTK34" s="1000"/>
      <c r="RTL34" s="1000"/>
      <c r="RTM34" s="1000"/>
      <c r="RTN34" s="1000"/>
      <c r="RTO34" s="1000"/>
      <c r="RTP34" s="1000"/>
      <c r="RTQ34" s="1000"/>
      <c r="RTR34" s="1000"/>
      <c r="RTS34" s="1000"/>
      <c r="RTT34" s="1000"/>
      <c r="RTU34" s="1000"/>
      <c r="RTV34" s="1000"/>
      <c r="RTW34" s="1000"/>
      <c r="RTX34" s="1000"/>
      <c r="RTY34" s="1000"/>
      <c r="RTZ34" s="1000"/>
      <c r="RUA34" s="1000"/>
      <c r="RUB34" s="1000"/>
      <c r="RUC34" s="1000"/>
      <c r="RUD34" s="1000"/>
      <c r="RUE34" s="1000"/>
      <c r="RUF34" s="1000"/>
      <c r="RUG34" s="1000"/>
      <c r="RUH34" s="1000"/>
      <c r="RUI34" s="1000"/>
      <c r="RUJ34" s="1000"/>
      <c r="RUK34" s="1000"/>
      <c r="RUL34" s="1000"/>
      <c r="RUM34" s="1000"/>
      <c r="RUN34" s="1000"/>
      <c r="RUO34" s="1000"/>
      <c r="RUP34" s="1000"/>
      <c r="RUQ34" s="1000"/>
      <c r="RUR34" s="1000"/>
      <c r="RUS34" s="1000"/>
      <c r="RUT34" s="1000"/>
      <c r="RUU34" s="1000"/>
      <c r="RUV34" s="1000"/>
      <c r="RUW34" s="1000"/>
      <c r="RUX34" s="1000"/>
      <c r="RUY34" s="1000"/>
      <c r="RUZ34" s="1000"/>
      <c r="RVA34" s="1000"/>
      <c r="RVB34" s="1000"/>
      <c r="RVC34" s="1000"/>
      <c r="RVD34" s="1000"/>
      <c r="RVE34" s="1000"/>
      <c r="RVF34" s="1000"/>
      <c r="RVG34" s="1000"/>
      <c r="RVH34" s="1000"/>
      <c r="RVI34" s="1000"/>
      <c r="RVJ34" s="1000"/>
      <c r="RVK34" s="1000"/>
      <c r="RVL34" s="1000"/>
      <c r="RVM34" s="1000"/>
      <c r="RVN34" s="1000"/>
      <c r="RVO34" s="1000"/>
      <c r="RVP34" s="1000"/>
      <c r="RVQ34" s="1000"/>
      <c r="RVR34" s="1000"/>
      <c r="RVS34" s="1000"/>
      <c r="RVT34" s="1000"/>
      <c r="RVU34" s="1000"/>
      <c r="RVV34" s="1000"/>
      <c r="RVW34" s="1000"/>
      <c r="RVX34" s="1000"/>
      <c r="RVY34" s="1000"/>
      <c r="RVZ34" s="1000"/>
      <c r="RWA34" s="1000"/>
      <c r="RWB34" s="1000"/>
      <c r="RWC34" s="1000"/>
      <c r="RWD34" s="1000"/>
      <c r="RWE34" s="1000"/>
      <c r="RWF34" s="1000"/>
      <c r="RWG34" s="1000"/>
      <c r="RWH34" s="1000"/>
      <c r="RWI34" s="1000"/>
      <c r="RWJ34" s="1000"/>
      <c r="RWK34" s="1000"/>
      <c r="RWL34" s="1000"/>
      <c r="RWM34" s="1000"/>
      <c r="RWN34" s="1000"/>
      <c r="RWO34" s="1000"/>
      <c r="RWP34" s="1000"/>
      <c r="RWQ34" s="1000"/>
      <c r="RWR34" s="1000"/>
      <c r="RWS34" s="1000"/>
      <c r="RWT34" s="1000"/>
      <c r="RWU34" s="1000"/>
      <c r="RWV34" s="1000"/>
      <c r="RWW34" s="1000"/>
      <c r="RWX34" s="1000"/>
      <c r="RWY34" s="1000"/>
      <c r="RWZ34" s="1000"/>
      <c r="RXA34" s="1000"/>
      <c r="RXB34" s="1000"/>
      <c r="RXC34" s="1000"/>
      <c r="RXD34" s="1000"/>
      <c r="RXE34" s="1000"/>
      <c r="RXF34" s="1000"/>
      <c r="RXG34" s="1000"/>
      <c r="RXH34" s="1000"/>
      <c r="RXI34" s="1000"/>
      <c r="RXJ34" s="1000"/>
      <c r="RXK34" s="1000"/>
      <c r="RXL34" s="1000"/>
      <c r="RXM34" s="1000"/>
      <c r="RXN34" s="1000"/>
      <c r="RXO34" s="1000"/>
      <c r="RXP34" s="1000"/>
      <c r="RXQ34" s="1000"/>
      <c r="RXR34" s="1000"/>
      <c r="RXS34" s="1000"/>
      <c r="RXT34" s="1000"/>
      <c r="RXU34" s="1000"/>
      <c r="RXV34" s="1000"/>
      <c r="RXW34" s="1000"/>
      <c r="RXX34" s="1000"/>
      <c r="RXY34" s="1000"/>
      <c r="RXZ34" s="1000"/>
      <c r="RYA34" s="1000"/>
      <c r="RYB34" s="1000"/>
      <c r="RYC34" s="1000"/>
      <c r="RYD34" s="1000"/>
      <c r="RYE34" s="1000"/>
      <c r="RYF34" s="1000"/>
      <c r="RYG34" s="1000"/>
      <c r="RYH34" s="1000"/>
      <c r="RYI34" s="1000"/>
      <c r="RYJ34" s="1000"/>
      <c r="RYK34" s="1000"/>
      <c r="RYL34" s="1000"/>
      <c r="RYM34" s="1000"/>
      <c r="RYN34" s="1000"/>
      <c r="RYO34" s="1000"/>
      <c r="RYP34" s="1000"/>
      <c r="RYQ34" s="1000"/>
      <c r="RYR34" s="1000"/>
      <c r="RYS34" s="1000"/>
      <c r="RYT34" s="1000"/>
      <c r="RYU34" s="1000"/>
      <c r="RYV34" s="1000"/>
      <c r="RYW34" s="1000"/>
      <c r="RYX34" s="1000"/>
      <c r="RYY34" s="1000"/>
      <c r="RYZ34" s="1000"/>
      <c r="RZA34" s="1000"/>
      <c r="RZB34" s="1000"/>
      <c r="RZC34" s="1000"/>
      <c r="RZD34" s="1000"/>
      <c r="RZE34" s="1000"/>
      <c r="RZF34" s="1000"/>
      <c r="RZG34" s="1000"/>
      <c r="RZH34" s="1000"/>
      <c r="RZI34" s="1000"/>
      <c r="RZJ34" s="1000"/>
      <c r="RZK34" s="1000"/>
      <c r="RZL34" s="1000"/>
      <c r="RZM34" s="1000"/>
      <c r="RZN34" s="1000"/>
      <c r="RZO34" s="1000"/>
      <c r="RZP34" s="1000"/>
      <c r="RZQ34" s="1000"/>
      <c r="RZR34" s="1000"/>
      <c r="RZS34" s="1000"/>
      <c r="RZT34" s="1000"/>
      <c r="RZU34" s="1000"/>
      <c r="RZV34" s="1000"/>
      <c r="RZW34" s="1000"/>
      <c r="RZX34" s="1000"/>
      <c r="RZY34" s="1000"/>
      <c r="RZZ34" s="1000"/>
      <c r="SAA34" s="1000"/>
      <c r="SAB34" s="1000"/>
      <c r="SAC34" s="1000"/>
      <c r="SAD34" s="1000"/>
      <c r="SAE34" s="1000"/>
      <c r="SAF34" s="1000"/>
      <c r="SAG34" s="1000"/>
      <c r="SAH34" s="1000"/>
      <c r="SAI34" s="1000"/>
      <c r="SAJ34" s="1000"/>
      <c r="SAK34" s="1000"/>
      <c r="SAL34" s="1000"/>
      <c r="SAM34" s="1000"/>
      <c r="SAN34" s="1000"/>
      <c r="SAO34" s="1000"/>
      <c r="SAP34" s="1000"/>
      <c r="SAQ34" s="1000"/>
      <c r="SAR34" s="1000"/>
      <c r="SAS34" s="1000"/>
      <c r="SAT34" s="1000"/>
      <c r="SAU34" s="1000"/>
      <c r="SAV34" s="1000"/>
      <c r="SAW34" s="1000"/>
      <c r="SAX34" s="1000"/>
      <c r="SAY34" s="1000"/>
      <c r="SAZ34" s="1000"/>
      <c r="SBA34" s="1000"/>
      <c r="SBB34" s="1000"/>
      <c r="SBC34" s="1000"/>
      <c r="SBD34" s="1000"/>
      <c r="SBE34" s="1000"/>
      <c r="SBF34" s="1000"/>
      <c r="SBG34" s="1000"/>
      <c r="SBH34" s="1000"/>
      <c r="SBI34" s="1000"/>
      <c r="SBJ34" s="1000"/>
      <c r="SBK34" s="1000"/>
      <c r="SBL34" s="1000"/>
      <c r="SBM34" s="1000"/>
      <c r="SBN34" s="1000"/>
      <c r="SBO34" s="1000"/>
      <c r="SBP34" s="1000"/>
      <c r="SBQ34" s="1000"/>
      <c r="SBR34" s="1000"/>
      <c r="SBS34" s="1000"/>
      <c r="SBT34" s="1000"/>
      <c r="SBU34" s="1000"/>
      <c r="SBV34" s="1000"/>
      <c r="SBW34" s="1000"/>
      <c r="SBX34" s="1000"/>
      <c r="SBY34" s="1000"/>
      <c r="SBZ34" s="1000"/>
      <c r="SCA34" s="1000"/>
      <c r="SCB34" s="1000"/>
      <c r="SCC34" s="1000"/>
      <c r="SCD34" s="1000"/>
      <c r="SCE34" s="1000"/>
      <c r="SCF34" s="1000"/>
      <c r="SCG34" s="1000"/>
      <c r="SCH34" s="1000"/>
      <c r="SCI34" s="1000"/>
      <c r="SCJ34" s="1000"/>
      <c r="SCK34" s="1000"/>
      <c r="SCL34" s="1000"/>
      <c r="SCM34" s="1000"/>
      <c r="SCN34" s="1000"/>
      <c r="SCO34" s="1000"/>
      <c r="SCP34" s="1000"/>
      <c r="SCQ34" s="1000"/>
      <c r="SCR34" s="1000"/>
      <c r="SCS34" s="1000"/>
      <c r="SCT34" s="1000"/>
      <c r="SCU34" s="1000"/>
      <c r="SCV34" s="1000"/>
      <c r="SCW34" s="1000"/>
      <c r="SCX34" s="1000"/>
      <c r="SCY34" s="1000"/>
      <c r="SCZ34" s="1000"/>
      <c r="SDA34" s="1000"/>
      <c r="SDB34" s="1000"/>
      <c r="SDC34" s="1000"/>
      <c r="SDD34" s="1000"/>
      <c r="SDE34" s="1000"/>
      <c r="SDF34" s="1000"/>
      <c r="SDG34" s="1000"/>
      <c r="SDH34" s="1000"/>
      <c r="SDI34" s="1000"/>
      <c r="SDJ34" s="1000"/>
      <c r="SDK34" s="1000"/>
      <c r="SDL34" s="1000"/>
      <c r="SDM34" s="1000"/>
      <c r="SDN34" s="1000"/>
      <c r="SDO34" s="1000"/>
      <c r="SDP34" s="1000"/>
      <c r="SDQ34" s="1000"/>
      <c r="SDR34" s="1000"/>
      <c r="SDS34" s="1000"/>
      <c r="SDT34" s="1000"/>
      <c r="SDU34" s="1000"/>
      <c r="SDV34" s="1000"/>
      <c r="SDW34" s="1000"/>
      <c r="SDX34" s="1000"/>
      <c r="SDY34" s="1000"/>
      <c r="SDZ34" s="1000"/>
      <c r="SEA34" s="1000"/>
      <c r="SEB34" s="1000"/>
      <c r="SEC34" s="1000"/>
      <c r="SED34" s="1000"/>
      <c r="SEE34" s="1000"/>
      <c r="SEF34" s="1000"/>
      <c r="SEG34" s="1000"/>
      <c r="SEH34" s="1000"/>
      <c r="SEI34" s="1000"/>
      <c r="SEJ34" s="1000"/>
      <c r="SEK34" s="1000"/>
      <c r="SEL34" s="1000"/>
      <c r="SEM34" s="1000"/>
      <c r="SEN34" s="1000"/>
      <c r="SEO34" s="1000"/>
      <c r="SEP34" s="1000"/>
      <c r="SEQ34" s="1000"/>
      <c r="SER34" s="1000"/>
      <c r="SES34" s="1000"/>
      <c r="SET34" s="1000"/>
      <c r="SEU34" s="1000"/>
      <c r="SEV34" s="1000"/>
      <c r="SEW34" s="1000"/>
      <c r="SEX34" s="1000"/>
      <c r="SEY34" s="1000"/>
      <c r="SEZ34" s="1000"/>
      <c r="SFA34" s="1000"/>
      <c r="SFB34" s="1000"/>
      <c r="SFC34" s="1000"/>
      <c r="SFD34" s="1000"/>
      <c r="SFE34" s="1000"/>
      <c r="SFF34" s="1000"/>
      <c r="SFG34" s="1000"/>
      <c r="SFH34" s="1000"/>
      <c r="SFI34" s="1000"/>
      <c r="SFJ34" s="1000"/>
      <c r="SFK34" s="1000"/>
      <c r="SFL34" s="1000"/>
      <c r="SFM34" s="1000"/>
      <c r="SFN34" s="1000"/>
      <c r="SFO34" s="1000"/>
      <c r="SFP34" s="1000"/>
      <c r="SFQ34" s="1000"/>
      <c r="SFR34" s="1000"/>
      <c r="SFS34" s="1000"/>
      <c r="SFT34" s="1000"/>
      <c r="SFU34" s="1000"/>
      <c r="SFV34" s="1000"/>
      <c r="SFW34" s="1000"/>
      <c r="SFX34" s="1000"/>
      <c r="SFY34" s="1000"/>
      <c r="SFZ34" s="1000"/>
      <c r="SGA34" s="1000"/>
      <c r="SGB34" s="1000"/>
      <c r="SGC34" s="1000"/>
      <c r="SGD34" s="1000"/>
      <c r="SGE34" s="1000"/>
      <c r="SGF34" s="1000"/>
      <c r="SGG34" s="1000"/>
      <c r="SGH34" s="1000"/>
      <c r="SGI34" s="1000"/>
      <c r="SGJ34" s="1000"/>
      <c r="SGK34" s="1000"/>
      <c r="SGL34" s="1000"/>
      <c r="SGM34" s="1000"/>
      <c r="SGN34" s="1000"/>
      <c r="SGO34" s="1000"/>
      <c r="SGP34" s="1000"/>
      <c r="SGQ34" s="1000"/>
      <c r="SGR34" s="1000"/>
      <c r="SGS34" s="1000"/>
      <c r="SGT34" s="1000"/>
      <c r="SGU34" s="1000"/>
      <c r="SGV34" s="1000"/>
      <c r="SGW34" s="1000"/>
      <c r="SGX34" s="1000"/>
      <c r="SGY34" s="1000"/>
      <c r="SGZ34" s="1000"/>
      <c r="SHA34" s="1000"/>
      <c r="SHB34" s="1000"/>
      <c r="SHC34" s="1000"/>
      <c r="SHD34" s="1000"/>
      <c r="SHE34" s="1000"/>
      <c r="SHF34" s="1000"/>
      <c r="SHG34" s="1000"/>
      <c r="SHH34" s="1000"/>
      <c r="SHI34" s="1000"/>
      <c r="SHJ34" s="1000"/>
      <c r="SHK34" s="1000"/>
      <c r="SHL34" s="1000"/>
      <c r="SHM34" s="1000"/>
      <c r="SHN34" s="1000"/>
      <c r="SHO34" s="1000"/>
      <c r="SHP34" s="1000"/>
      <c r="SHQ34" s="1000"/>
      <c r="SHR34" s="1000"/>
      <c r="SHS34" s="1000"/>
      <c r="SHT34" s="1000"/>
      <c r="SHU34" s="1000"/>
      <c r="SHV34" s="1000"/>
      <c r="SHW34" s="1000"/>
      <c r="SHX34" s="1000"/>
      <c r="SHY34" s="1000"/>
      <c r="SHZ34" s="1000"/>
      <c r="SIA34" s="1000"/>
      <c r="SIB34" s="1000"/>
      <c r="SIC34" s="1000"/>
      <c r="SID34" s="1000"/>
      <c r="SIE34" s="1000"/>
      <c r="SIF34" s="1000"/>
      <c r="SIG34" s="1000"/>
      <c r="SIH34" s="1000"/>
      <c r="SII34" s="1000"/>
      <c r="SIJ34" s="1000"/>
      <c r="SIK34" s="1000"/>
      <c r="SIL34" s="1000"/>
      <c r="SIM34" s="1000"/>
      <c r="SIN34" s="1000"/>
      <c r="SIO34" s="1000"/>
      <c r="SIP34" s="1000"/>
      <c r="SIQ34" s="1000"/>
      <c r="SIR34" s="1000"/>
      <c r="SIS34" s="1000"/>
      <c r="SIT34" s="1000"/>
      <c r="SIU34" s="1000"/>
      <c r="SIV34" s="1000"/>
      <c r="SIW34" s="1000"/>
      <c r="SIX34" s="1000"/>
      <c r="SIY34" s="1000"/>
      <c r="SIZ34" s="1000"/>
      <c r="SJA34" s="1000"/>
      <c r="SJB34" s="1000"/>
      <c r="SJC34" s="1000"/>
      <c r="SJD34" s="1000"/>
      <c r="SJE34" s="1000"/>
      <c r="SJF34" s="1000"/>
      <c r="SJG34" s="1000"/>
      <c r="SJH34" s="1000"/>
      <c r="SJI34" s="1000"/>
      <c r="SJJ34" s="1000"/>
      <c r="SJK34" s="1000"/>
      <c r="SJL34" s="1000"/>
      <c r="SJM34" s="1000"/>
      <c r="SJN34" s="1000"/>
      <c r="SJO34" s="1000"/>
      <c r="SJP34" s="1000"/>
      <c r="SJQ34" s="1000"/>
      <c r="SJR34" s="1000"/>
      <c r="SJS34" s="1000"/>
      <c r="SJT34" s="1000"/>
      <c r="SJU34" s="1000"/>
      <c r="SJV34" s="1000"/>
      <c r="SJW34" s="1000"/>
      <c r="SJX34" s="1000"/>
      <c r="SJY34" s="1000"/>
      <c r="SJZ34" s="1000"/>
      <c r="SKA34" s="1000"/>
      <c r="SKB34" s="1000"/>
      <c r="SKC34" s="1000"/>
      <c r="SKD34" s="1000"/>
      <c r="SKE34" s="1000"/>
      <c r="SKF34" s="1000"/>
      <c r="SKG34" s="1000"/>
      <c r="SKH34" s="1000"/>
      <c r="SKI34" s="1000"/>
      <c r="SKJ34" s="1000"/>
      <c r="SKK34" s="1000"/>
      <c r="SKL34" s="1000"/>
      <c r="SKM34" s="1000"/>
      <c r="SKN34" s="1000"/>
      <c r="SKO34" s="1000"/>
      <c r="SKP34" s="1000"/>
      <c r="SKQ34" s="1000"/>
      <c r="SKR34" s="1000"/>
      <c r="SKS34" s="1000"/>
      <c r="SKT34" s="1000"/>
      <c r="SKU34" s="1000"/>
      <c r="SKV34" s="1000"/>
      <c r="SKW34" s="1000"/>
      <c r="SKX34" s="1000"/>
      <c r="SKY34" s="1000"/>
      <c r="SKZ34" s="1000"/>
      <c r="SLA34" s="1000"/>
      <c r="SLB34" s="1000"/>
      <c r="SLC34" s="1000"/>
      <c r="SLD34" s="1000"/>
      <c r="SLE34" s="1000"/>
      <c r="SLF34" s="1000"/>
      <c r="SLG34" s="1000"/>
      <c r="SLH34" s="1000"/>
      <c r="SLI34" s="1000"/>
      <c r="SLJ34" s="1000"/>
      <c r="SLK34" s="1000"/>
      <c r="SLL34" s="1000"/>
      <c r="SLM34" s="1000"/>
      <c r="SLN34" s="1000"/>
      <c r="SLO34" s="1000"/>
      <c r="SLP34" s="1000"/>
      <c r="SLQ34" s="1000"/>
      <c r="SLR34" s="1000"/>
      <c r="SLS34" s="1000"/>
      <c r="SLT34" s="1000"/>
      <c r="SLU34" s="1000"/>
      <c r="SLV34" s="1000"/>
      <c r="SLW34" s="1000"/>
      <c r="SLX34" s="1000"/>
      <c r="SLY34" s="1000"/>
      <c r="SLZ34" s="1000"/>
      <c r="SMA34" s="1000"/>
      <c r="SMB34" s="1000"/>
      <c r="SMC34" s="1000"/>
      <c r="SMD34" s="1000"/>
      <c r="SME34" s="1000"/>
      <c r="SMF34" s="1000"/>
      <c r="SMG34" s="1000"/>
      <c r="SMH34" s="1000"/>
      <c r="SMI34" s="1000"/>
      <c r="SMJ34" s="1000"/>
      <c r="SMK34" s="1000"/>
      <c r="SML34" s="1000"/>
      <c r="SMM34" s="1000"/>
      <c r="SMN34" s="1000"/>
      <c r="SMO34" s="1000"/>
      <c r="SMP34" s="1000"/>
      <c r="SMQ34" s="1000"/>
      <c r="SMR34" s="1000"/>
      <c r="SMS34" s="1000"/>
      <c r="SMT34" s="1000"/>
      <c r="SMU34" s="1000"/>
      <c r="SMV34" s="1000"/>
      <c r="SMW34" s="1000"/>
      <c r="SMX34" s="1000"/>
      <c r="SMY34" s="1000"/>
      <c r="SMZ34" s="1000"/>
      <c r="SNA34" s="1000"/>
      <c r="SNB34" s="1000"/>
      <c r="SNC34" s="1000"/>
      <c r="SND34" s="1000"/>
      <c r="SNE34" s="1000"/>
      <c r="SNF34" s="1000"/>
      <c r="SNG34" s="1000"/>
      <c r="SNH34" s="1000"/>
      <c r="SNI34" s="1000"/>
      <c r="SNJ34" s="1000"/>
      <c r="SNK34" s="1000"/>
      <c r="SNL34" s="1000"/>
      <c r="SNM34" s="1000"/>
      <c r="SNN34" s="1000"/>
      <c r="SNO34" s="1000"/>
      <c r="SNP34" s="1000"/>
      <c r="SNQ34" s="1000"/>
      <c r="SNR34" s="1000"/>
      <c r="SNS34" s="1000"/>
      <c r="SNT34" s="1000"/>
      <c r="SNU34" s="1000"/>
      <c r="SNV34" s="1000"/>
      <c r="SNW34" s="1000"/>
      <c r="SNX34" s="1000"/>
      <c r="SNY34" s="1000"/>
      <c r="SNZ34" s="1000"/>
      <c r="SOA34" s="1000"/>
      <c r="SOB34" s="1000"/>
      <c r="SOC34" s="1000"/>
      <c r="SOD34" s="1000"/>
      <c r="SOE34" s="1000"/>
      <c r="SOF34" s="1000"/>
      <c r="SOG34" s="1000"/>
      <c r="SOH34" s="1000"/>
      <c r="SOI34" s="1000"/>
      <c r="SOJ34" s="1000"/>
      <c r="SOK34" s="1000"/>
      <c r="SOL34" s="1000"/>
      <c r="SOM34" s="1000"/>
      <c r="SON34" s="1000"/>
      <c r="SOO34" s="1000"/>
      <c r="SOP34" s="1000"/>
      <c r="SOQ34" s="1000"/>
      <c r="SOR34" s="1000"/>
      <c r="SOS34" s="1000"/>
      <c r="SOT34" s="1000"/>
      <c r="SOU34" s="1000"/>
      <c r="SOV34" s="1000"/>
      <c r="SOW34" s="1000"/>
      <c r="SOX34" s="1000"/>
      <c r="SOY34" s="1000"/>
      <c r="SOZ34" s="1000"/>
      <c r="SPA34" s="1000"/>
      <c r="SPB34" s="1000"/>
      <c r="SPC34" s="1000"/>
      <c r="SPD34" s="1000"/>
      <c r="SPE34" s="1000"/>
      <c r="SPF34" s="1000"/>
      <c r="SPG34" s="1000"/>
      <c r="SPH34" s="1000"/>
      <c r="SPI34" s="1000"/>
      <c r="SPJ34" s="1000"/>
      <c r="SPK34" s="1000"/>
      <c r="SPL34" s="1000"/>
      <c r="SPM34" s="1000"/>
      <c r="SPN34" s="1000"/>
      <c r="SPO34" s="1000"/>
      <c r="SPP34" s="1000"/>
      <c r="SPQ34" s="1000"/>
      <c r="SPR34" s="1000"/>
      <c r="SPS34" s="1000"/>
      <c r="SPT34" s="1000"/>
      <c r="SPU34" s="1000"/>
      <c r="SPV34" s="1000"/>
      <c r="SPW34" s="1000"/>
      <c r="SPX34" s="1000"/>
      <c r="SPY34" s="1000"/>
      <c r="SPZ34" s="1000"/>
      <c r="SQA34" s="1000"/>
      <c r="SQB34" s="1000"/>
      <c r="SQC34" s="1000"/>
      <c r="SQD34" s="1000"/>
      <c r="SQE34" s="1000"/>
      <c r="SQF34" s="1000"/>
      <c r="SQG34" s="1000"/>
      <c r="SQH34" s="1000"/>
      <c r="SQI34" s="1000"/>
      <c r="SQJ34" s="1000"/>
      <c r="SQK34" s="1000"/>
      <c r="SQL34" s="1000"/>
      <c r="SQM34" s="1000"/>
      <c r="SQN34" s="1000"/>
      <c r="SQO34" s="1000"/>
      <c r="SQP34" s="1000"/>
      <c r="SQQ34" s="1000"/>
      <c r="SQR34" s="1000"/>
      <c r="SQS34" s="1000"/>
      <c r="SQT34" s="1000"/>
      <c r="SQU34" s="1000"/>
      <c r="SQV34" s="1000"/>
      <c r="SQW34" s="1000"/>
      <c r="SQX34" s="1000"/>
      <c r="SQY34" s="1000"/>
      <c r="SQZ34" s="1000"/>
      <c r="SRA34" s="1000"/>
      <c r="SRB34" s="1000"/>
      <c r="SRC34" s="1000"/>
      <c r="SRD34" s="1000"/>
      <c r="SRE34" s="1000"/>
      <c r="SRF34" s="1000"/>
      <c r="SRG34" s="1000"/>
      <c r="SRH34" s="1000"/>
      <c r="SRI34" s="1000"/>
      <c r="SRJ34" s="1000"/>
      <c r="SRK34" s="1000"/>
      <c r="SRL34" s="1000"/>
      <c r="SRM34" s="1000"/>
      <c r="SRN34" s="1000"/>
      <c r="SRO34" s="1000"/>
      <c r="SRP34" s="1000"/>
      <c r="SRQ34" s="1000"/>
      <c r="SRR34" s="1000"/>
      <c r="SRS34" s="1000"/>
      <c r="SRT34" s="1000"/>
      <c r="SRU34" s="1000"/>
      <c r="SRV34" s="1000"/>
      <c r="SRW34" s="1000"/>
      <c r="SRX34" s="1000"/>
      <c r="SRY34" s="1000"/>
      <c r="SRZ34" s="1000"/>
      <c r="SSA34" s="1000"/>
      <c r="SSB34" s="1000"/>
      <c r="SSC34" s="1000"/>
      <c r="SSD34" s="1000"/>
      <c r="SSE34" s="1000"/>
      <c r="SSF34" s="1000"/>
      <c r="SSG34" s="1000"/>
      <c r="SSH34" s="1000"/>
      <c r="SSI34" s="1000"/>
      <c r="SSJ34" s="1000"/>
      <c r="SSK34" s="1000"/>
      <c r="SSL34" s="1000"/>
      <c r="SSM34" s="1000"/>
      <c r="SSN34" s="1000"/>
      <c r="SSO34" s="1000"/>
      <c r="SSP34" s="1000"/>
      <c r="SSQ34" s="1000"/>
      <c r="SSR34" s="1000"/>
      <c r="SSS34" s="1000"/>
      <c r="SST34" s="1000"/>
      <c r="SSU34" s="1000"/>
      <c r="SSV34" s="1000"/>
      <c r="SSW34" s="1000"/>
      <c r="SSX34" s="1000"/>
      <c r="SSY34" s="1000"/>
      <c r="SSZ34" s="1000"/>
      <c r="STA34" s="1000"/>
      <c r="STB34" s="1000"/>
      <c r="STC34" s="1000"/>
      <c r="STD34" s="1000"/>
      <c r="STE34" s="1000"/>
      <c r="STF34" s="1000"/>
      <c r="STG34" s="1000"/>
      <c r="STH34" s="1000"/>
      <c r="STI34" s="1000"/>
      <c r="STJ34" s="1000"/>
      <c r="STK34" s="1000"/>
      <c r="STL34" s="1000"/>
      <c r="STM34" s="1000"/>
      <c r="STN34" s="1000"/>
      <c r="STO34" s="1000"/>
      <c r="STP34" s="1000"/>
      <c r="STQ34" s="1000"/>
      <c r="STR34" s="1000"/>
      <c r="STS34" s="1000"/>
      <c r="STT34" s="1000"/>
      <c r="STU34" s="1000"/>
      <c r="STV34" s="1000"/>
      <c r="STW34" s="1000"/>
      <c r="STX34" s="1000"/>
      <c r="STY34" s="1000"/>
      <c r="STZ34" s="1000"/>
      <c r="SUA34" s="1000"/>
      <c r="SUB34" s="1000"/>
      <c r="SUC34" s="1000"/>
      <c r="SUD34" s="1000"/>
      <c r="SUE34" s="1000"/>
      <c r="SUF34" s="1000"/>
      <c r="SUG34" s="1000"/>
      <c r="SUH34" s="1000"/>
      <c r="SUI34" s="1000"/>
      <c r="SUJ34" s="1000"/>
      <c r="SUK34" s="1000"/>
      <c r="SUL34" s="1000"/>
      <c r="SUM34" s="1000"/>
      <c r="SUN34" s="1000"/>
      <c r="SUO34" s="1000"/>
      <c r="SUP34" s="1000"/>
      <c r="SUQ34" s="1000"/>
      <c r="SUR34" s="1000"/>
      <c r="SUS34" s="1000"/>
      <c r="SUT34" s="1000"/>
      <c r="SUU34" s="1000"/>
      <c r="SUV34" s="1000"/>
      <c r="SUW34" s="1000"/>
      <c r="SUX34" s="1000"/>
      <c r="SUY34" s="1000"/>
      <c r="SUZ34" s="1000"/>
      <c r="SVA34" s="1000"/>
      <c r="SVB34" s="1000"/>
      <c r="SVC34" s="1000"/>
      <c r="SVD34" s="1000"/>
      <c r="SVE34" s="1000"/>
      <c r="SVF34" s="1000"/>
      <c r="SVG34" s="1000"/>
      <c r="SVH34" s="1000"/>
      <c r="SVI34" s="1000"/>
      <c r="SVJ34" s="1000"/>
      <c r="SVK34" s="1000"/>
      <c r="SVL34" s="1000"/>
      <c r="SVM34" s="1000"/>
      <c r="SVN34" s="1000"/>
      <c r="SVO34" s="1000"/>
      <c r="SVP34" s="1000"/>
      <c r="SVQ34" s="1000"/>
      <c r="SVR34" s="1000"/>
      <c r="SVS34" s="1000"/>
      <c r="SVT34" s="1000"/>
      <c r="SVU34" s="1000"/>
      <c r="SVV34" s="1000"/>
      <c r="SVW34" s="1000"/>
      <c r="SVX34" s="1000"/>
      <c r="SVY34" s="1000"/>
      <c r="SVZ34" s="1000"/>
      <c r="SWA34" s="1000"/>
      <c r="SWB34" s="1000"/>
      <c r="SWC34" s="1000"/>
      <c r="SWD34" s="1000"/>
      <c r="SWE34" s="1000"/>
      <c r="SWF34" s="1000"/>
      <c r="SWG34" s="1000"/>
      <c r="SWH34" s="1000"/>
      <c r="SWI34" s="1000"/>
      <c r="SWJ34" s="1000"/>
      <c r="SWK34" s="1000"/>
      <c r="SWL34" s="1000"/>
      <c r="SWM34" s="1000"/>
      <c r="SWN34" s="1000"/>
      <c r="SWO34" s="1000"/>
      <c r="SWP34" s="1000"/>
      <c r="SWQ34" s="1000"/>
      <c r="SWR34" s="1000"/>
      <c r="SWS34" s="1000"/>
      <c r="SWT34" s="1000"/>
      <c r="SWU34" s="1000"/>
      <c r="SWV34" s="1000"/>
      <c r="SWW34" s="1000"/>
      <c r="SWX34" s="1000"/>
      <c r="SWY34" s="1000"/>
      <c r="SWZ34" s="1000"/>
      <c r="SXA34" s="1000"/>
      <c r="SXB34" s="1000"/>
      <c r="SXC34" s="1000"/>
      <c r="SXD34" s="1000"/>
      <c r="SXE34" s="1000"/>
      <c r="SXF34" s="1000"/>
      <c r="SXG34" s="1000"/>
      <c r="SXH34" s="1000"/>
      <c r="SXI34" s="1000"/>
      <c r="SXJ34" s="1000"/>
      <c r="SXK34" s="1000"/>
      <c r="SXL34" s="1000"/>
      <c r="SXM34" s="1000"/>
      <c r="SXN34" s="1000"/>
      <c r="SXO34" s="1000"/>
      <c r="SXP34" s="1000"/>
      <c r="SXQ34" s="1000"/>
      <c r="SXR34" s="1000"/>
      <c r="SXS34" s="1000"/>
      <c r="SXT34" s="1000"/>
      <c r="SXU34" s="1000"/>
      <c r="SXV34" s="1000"/>
      <c r="SXW34" s="1000"/>
      <c r="SXX34" s="1000"/>
      <c r="SXY34" s="1000"/>
      <c r="SXZ34" s="1000"/>
      <c r="SYA34" s="1000"/>
      <c r="SYB34" s="1000"/>
      <c r="SYC34" s="1000"/>
      <c r="SYD34" s="1000"/>
      <c r="SYE34" s="1000"/>
      <c r="SYF34" s="1000"/>
      <c r="SYG34" s="1000"/>
      <c r="SYH34" s="1000"/>
      <c r="SYI34" s="1000"/>
      <c r="SYJ34" s="1000"/>
      <c r="SYK34" s="1000"/>
      <c r="SYL34" s="1000"/>
      <c r="SYM34" s="1000"/>
      <c r="SYN34" s="1000"/>
      <c r="SYO34" s="1000"/>
      <c r="SYP34" s="1000"/>
      <c r="SYQ34" s="1000"/>
      <c r="SYR34" s="1000"/>
      <c r="SYS34" s="1000"/>
      <c r="SYT34" s="1000"/>
      <c r="SYU34" s="1000"/>
      <c r="SYV34" s="1000"/>
      <c r="SYW34" s="1000"/>
      <c r="SYX34" s="1000"/>
      <c r="SYY34" s="1000"/>
      <c r="SYZ34" s="1000"/>
      <c r="SZA34" s="1000"/>
      <c r="SZB34" s="1000"/>
      <c r="SZC34" s="1000"/>
      <c r="SZD34" s="1000"/>
      <c r="SZE34" s="1000"/>
      <c r="SZF34" s="1000"/>
      <c r="SZG34" s="1000"/>
      <c r="SZH34" s="1000"/>
      <c r="SZI34" s="1000"/>
      <c r="SZJ34" s="1000"/>
      <c r="SZK34" s="1000"/>
      <c r="SZL34" s="1000"/>
      <c r="SZM34" s="1000"/>
      <c r="SZN34" s="1000"/>
      <c r="SZO34" s="1000"/>
      <c r="SZP34" s="1000"/>
      <c r="SZQ34" s="1000"/>
      <c r="SZR34" s="1000"/>
      <c r="SZS34" s="1000"/>
      <c r="SZT34" s="1000"/>
      <c r="SZU34" s="1000"/>
      <c r="SZV34" s="1000"/>
      <c r="SZW34" s="1000"/>
      <c r="SZX34" s="1000"/>
      <c r="SZY34" s="1000"/>
      <c r="SZZ34" s="1000"/>
      <c r="TAA34" s="1000"/>
      <c r="TAB34" s="1000"/>
      <c r="TAC34" s="1000"/>
      <c r="TAD34" s="1000"/>
      <c r="TAE34" s="1000"/>
      <c r="TAF34" s="1000"/>
      <c r="TAG34" s="1000"/>
      <c r="TAH34" s="1000"/>
      <c r="TAI34" s="1000"/>
      <c r="TAJ34" s="1000"/>
      <c r="TAK34" s="1000"/>
      <c r="TAL34" s="1000"/>
      <c r="TAM34" s="1000"/>
      <c r="TAN34" s="1000"/>
      <c r="TAO34" s="1000"/>
      <c r="TAP34" s="1000"/>
      <c r="TAQ34" s="1000"/>
      <c r="TAR34" s="1000"/>
      <c r="TAS34" s="1000"/>
      <c r="TAT34" s="1000"/>
      <c r="TAU34" s="1000"/>
      <c r="TAV34" s="1000"/>
      <c r="TAW34" s="1000"/>
      <c r="TAX34" s="1000"/>
      <c r="TAY34" s="1000"/>
      <c r="TAZ34" s="1000"/>
      <c r="TBA34" s="1000"/>
      <c r="TBB34" s="1000"/>
      <c r="TBC34" s="1000"/>
      <c r="TBD34" s="1000"/>
      <c r="TBE34" s="1000"/>
      <c r="TBF34" s="1000"/>
      <c r="TBG34" s="1000"/>
      <c r="TBH34" s="1000"/>
      <c r="TBI34" s="1000"/>
      <c r="TBJ34" s="1000"/>
      <c r="TBK34" s="1000"/>
      <c r="TBL34" s="1000"/>
      <c r="TBM34" s="1000"/>
      <c r="TBN34" s="1000"/>
      <c r="TBO34" s="1000"/>
      <c r="TBP34" s="1000"/>
      <c r="TBQ34" s="1000"/>
      <c r="TBR34" s="1000"/>
      <c r="TBS34" s="1000"/>
      <c r="TBT34" s="1000"/>
      <c r="TBU34" s="1000"/>
      <c r="TBV34" s="1000"/>
      <c r="TBW34" s="1000"/>
      <c r="TBX34" s="1000"/>
      <c r="TBY34" s="1000"/>
      <c r="TBZ34" s="1000"/>
      <c r="TCA34" s="1000"/>
      <c r="TCB34" s="1000"/>
      <c r="TCC34" s="1000"/>
      <c r="TCD34" s="1000"/>
      <c r="TCE34" s="1000"/>
      <c r="TCF34" s="1000"/>
      <c r="TCG34" s="1000"/>
      <c r="TCH34" s="1000"/>
      <c r="TCI34" s="1000"/>
      <c r="TCJ34" s="1000"/>
      <c r="TCK34" s="1000"/>
      <c r="TCL34" s="1000"/>
      <c r="TCM34" s="1000"/>
      <c r="TCN34" s="1000"/>
      <c r="TCO34" s="1000"/>
      <c r="TCP34" s="1000"/>
      <c r="TCQ34" s="1000"/>
      <c r="TCR34" s="1000"/>
      <c r="TCS34" s="1000"/>
      <c r="TCT34" s="1000"/>
      <c r="TCU34" s="1000"/>
      <c r="TCV34" s="1000"/>
      <c r="TCW34" s="1000"/>
      <c r="TCX34" s="1000"/>
      <c r="TCY34" s="1000"/>
      <c r="TCZ34" s="1000"/>
      <c r="TDA34" s="1000"/>
      <c r="TDB34" s="1000"/>
      <c r="TDC34" s="1000"/>
      <c r="TDD34" s="1000"/>
      <c r="TDE34" s="1000"/>
      <c r="TDF34" s="1000"/>
      <c r="TDG34" s="1000"/>
      <c r="TDH34" s="1000"/>
      <c r="TDI34" s="1000"/>
      <c r="TDJ34" s="1000"/>
      <c r="TDK34" s="1000"/>
      <c r="TDL34" s="1000"/>
      <c r="TDM34" s="1000"/>
      <c r="TDN34" s="1000"/>
      <c r="TDO34" s="1000"/>
      <c r="TDP34" s="1000"/>
      <c r="TDQ34" s="1000"/>
      <c r="TDR34" s="1000"/>
      <c r="TDS34" s="1000"/>
      <c r="TDT34" s="1000"/>
      <c r="TDU34" s="1000"/>
      <c r="TDV34" s="1000"/>
      <c r="TDW34" s="1000"/>
      <c r="TDX34" s="1000"/>
      <c r="TDY34" s="1000"/>
      <c r="TDZ34" s="1000"/>
      <c r="TEA34" s="1000"/>
      <c r="TEB34" s="1000"/>
      <c r="TEC34" s="1000"/>
      <c r="TED34" s="1000"/>
      <c r="TEE34" s="1000"/>
      <c r="TEF34" s="1000"/>
      <c r="TEG34" s="1000"/>
      <c r="TEH34" s="1000"/>
      <c r="TEI34" s="1000"/>
      <c r="TEJ34" s="1000"/>
      <c r="TEK34" s="1000"/>
      <c r="TEL34" s="1000"/>
      <c r="TEM34" s="1000"/>
      <c r="TEN34" s="1000"/>
      <c r="TEO34" s="1000"/>
      <c r="TEP34" s="1000"/>
      <c r="TEQ34" s="1000"/>
      <c r="TER34" s="1000"/>
      <c r="TES34" s="1000"/>
      <c r="TET34" s="1000"/>
      <c r="TEU34" s="1000"/>
      <c r="TEV34" s="1000"/>
      <c r="TEW34" s="1000"/>
      <c r="TEX34" s="1000"/>
      <c r="TEY34" s="1000"/>
      <c r="TEZ34" s="1000"/>
      <c r="TFA34" s="1000"/>
      <c r="TFB34" s="1000"/>
      <c r="TFC34" s="1000"/>
      <c r="TFD34" s="1000"/>
      <c r="TFE34" s="1000"/>
      <c r="TFF34" s="1000"/>
      <c r="TFG34" s="1000"/>
      <c r="TFH34" s="1000"/>
      <c r="TFI34" s="1000"/>
      <c r="TFJ34" s="1000"/>
      <c r="TFK34" s="1000"/>
      <c r="TFL34" s="1000"/>
      <c r="TFM34" s="1000"/>
      <c r="TFN34" s="1000"/>
      <c r="TFO34" s="1000"/>
      <c r="TFP34" s="1000"/>
      <c r="TFQ34" s="1000"/>
      <c r="TFR34" s="1000"/>
      <c r="TFS34" s="1000"/>
      <c r="TFT34" s="1000"/>
      <c r="TFU34" s="1000"/>
      <c r="TFV34" s="1000"/>
      <c r="TFW34" s="1000"/>
      <c r="TFX34" s="1000"/>
      <c r="TFY34" s="1000"/>
      <c r="TFZ34" s="1000"/>
      <c r="TGA34" s="1000"/>
      <c r="TGB34" s="1000"/>
      <c r="TGC34" s="1000"/>
      <c r="TGD34" s="1000"/>
      <c r="TGE34" s="1000"/>
      <c r="TGF34" s="1000"/>
      <c r="TGG34" s="1000"/>
      <c r="TGH34" s="1000"/>
      <c r="TGI34" s="1000"/>
      <c r="TGJ34" s="1000"/>
      <c r="TGK34" s="1000"/>
      <c r="TGL34" s="1000"/>
      <c r="TGM34" s="1000"/>
      <c r="TGN34" s="1000"/>
      <c r="TGO34" s="1000"/>
      <c r="TGP34" s="1000"/>
      <c r="TGQ34" s="1000"/>
      <c r="TGR34" s="1000"/>
      <c r="TGS34" s="1000"/>
      <c r="TGT34" s="1000"/>
      <c r="TGU34" s="1000"/>
      <c r="TGV34" s="1000"/>
      <c r="TGW34" s="1000"/>
      <c r="TGX34" s="1000"/>
      <c r="TGY34" s="1000"/>
      <c r="TGZ34" s="1000"/>
      <c r="THA34" s="1000"/>
      <c r="THB34" s="1000"/>
      <c r="THC34" s="1000"/>
      <c r="THD34" s="1000"/>
      <c r="THE34" s="1000"/>
      <c r="THF34" s="1000"/>
      <c r="THG34" s="1000"/>
      <c r="THH34" s="1000"/>
      <c r="THI34" s="1000"/>
      <c r="THJ34" s="1000"/>
      <c r="THK34" s="1000"/>
      <c r="THL34" s="1000"/>
      <c r="THM34" s="1000"/>
      <c r="THN34" s="1000"/>
      <c r="THO34" s="1000"/>
      <c r="THP34" s="1000"/>
      <c r="THQ34" s="1000"/>
      <c r="THR34" s="1000"/>
      <c r="THS34" s="1000"/>
      <c r="THT34" s="1000"/>
      <c r="THU34" s="1000"/>
      <c r="THV34" s="1000"/>
      <c r="THW34" s="1000"/>
      <c r="THX34" s="1000"/>
      <c r="THY34" s="1000"/>
      <c r="THZ34" s="1000"/>
      <c r="TIA34" s="1000"/>
      <c r="TIB34" s="1000"/>
      <c r="TIC34" s="1000"/>
      <c r="TID34" s="1000"/>
      <c r="TIE34" s="1000"/>
      <c r="TIF34" s="1000"/>
      <c r="TIG34" s="1000"/>
      <c r="TIH34" s="1000"/>
      <c r="TII34" s="1000"/>
      <c r="TIJ34" s="1000"/>
      <c r="TIK34" s="1000"/>
      <c r="TIL34" s="1000"/>
      <c r="TIM34" s="1000"/>
      <c r="TIN34" s="1000"/>
      <c r="TIO34" s="1000"/>
      <c r="TIP34" s="1000"/>
      <c r="TIQ34" s="1000"/>
      <c r="TIR34" s="1000"/>
      <c r="TIS34" s="1000"/>
      <c r="TIT34" s="1000"/>
      <c r="TIU34" s="1000"/>
      <c r="TIV34" s="1000"/>
      <c r="TIW34" s="1000"/>
      <c r="TIX34" s="1000"/>
      <c r="TIY34" s="1000"/>
      <c r="TIZ34" s="1000"/>
      <c r="TJA34" s="1000"/>
      <c r="TJB34" s="1000"/>
      <c r="TJC34" s="1000"/>
      <c r="TJD34" s="1000"/>
      <c r="TJE34" s="1000"/>
      <c r="TJF34" s="1000"/>
      <c r="TJG34" s="1000"/>
      <c r="TJH34" s="1000"/>
      <c r="TJI34" s="1000"/>
      <c r="TJJ34" s="1000"/>
      <c r="TJK34" s="1000"/>
      <c r="TJL34" s="1000"/>
      <c r="TJM34" s="1000"/>
      <c r="TJN34" s="1000"/>
      <c r="TJO34" s="1000"/>
      <c r="TJP34" s="1000"/>
      <c r="TJQ34" s="1000"/>
      <c r="TJR34" s="1000"/>
      <c r="TJS34" s="1000"/>
      <c r="TJT34" s="1000"/>
      <c r="TJU34" s="1000"/>
      <c r="TJV34" s="1000"/>
      <c r="TJW34" s="1000"/>
      <c r="TJX34" s="1000"/>
      <c r="TJY34" s="1000"/>
      <c r="TJZ34" s="1000"/>
      <c r="TKA34" s="1000"/>
      <c r="TKB34" s="1000"/>
      <c r="TKC34" s="1000"/>
      <c r="TKD34" s="1000"/>
      <c r="TKE34" s="1000"/>
      <c r="TKF34" s="1000"/>
      <c r="TKG34" s="1000"/>
      <c r="TKH34" s="1000"/>
      <c r="TKI34" s="1000"/>
      <c r="TKJ34" s="1000"/>
      <c r="TKK34" s="1000"/>
      <c r="TKL34" s="1000"/>
      <c r="TKM34" s="1000"/>
      <c r="TKN34" s="1000"/>
      <c r="TKO34" s="1000"/>
      <c r="TKP34" s="1000"/>
      <c r="TKQ34" s="1000"/>
      <c r="TKR34" s="1000"/>
      <c r="TKS34" s="1000"/>
      <c r="TKT34" s="1000"/>
      <c r="TKU34" s="1000"/>
      <c r="TKV34" s="1000"/>
      <c r="TKW34" s="1000"/>
      <c r="TKX34" s="1000"/>
      <c r="TKY34" s="1000"/>
      <c r="TKZ34" s="1000"/>
      <c r="TLA34" s="1000"/>
      <c r="TLB34" s="1000"/>
      <c r="TLC34" s="1000"/>
      <c r="TLD34" s="1000"/>
      <c r="TLE34" s="1000"/>
      <c r="TLF34" s="1000"/>
      <c r="TLG34" s="1000"/>
      <c r="TLH34" s="1000"/>
      <c r="TLI34" s="1000"/>
      <c r="TLJ34" s="1000"/>
      <c r="TLK34" s="1000"/>
      <c r="TLL34" s="1000"/>
      <c r="TLM34" s="1000"/>
      <c r="TLN34" s="1000"/>
      <c r="TLO34" s="1000"/>
      <c r="TLP34" s="1000"/>
      <c r="TLQ34" s="1000"/>
      <c r="TLR34" s="1000"/>
      <c r="TLS34" s="1000"/>
      <c r="TLT34" s="1000"/>
      <c r="TLU34" s="1000"/>
      <c r="TLV34" s="1000"/>
      <c r="TLW34" s="1000"/>
      <c r="TLX34" s="1000"/>
      <c r="TLY34" s="1000"/>
      <c r="TLZ34" s="1000"/>
      <c r="TMA34" s="1000"/>
      <c r="TMB34" s="1000"/>
      <c r="TMC34" s="1000"/>
      <c r="TMD34" s="1000"/>
      <c r="TME34" s="1000"/>
      <c r="TMF34" s="1000"/>
      <c r="TMG34" s="1000"/>
      <c r="TMH34" s="1000"/>
      <c r="TMI34" s="1000"/>
      <c r="TMJ34" s="1000"/>
      <c r="TMK34" s="1000"/>
      <c r="TML34" s="1000"/>
      <c r="TMM34" s="1000"/>
      <c r="TMN34" s="1000"/>
      <c r="TMO34" s="1000"/>
      <c r="TMP34" s="1000"/>
      <c r="TMQ34" s="1000"/>
      <c r="TMR34" s="1000"/>
      <c r="TMS34" s="1000"/>
      <c r="TMT34" s="1000"/>
      <c r="TMU34" s="1000"/>
      <c r="TMV34" s="1000"/>
      <c r="TMW34" s="1000"/>
      <c r="TMX34" s="1000"/>
      <c r="TMY34" s="1000"/>
      <c r="TMZ34" s="1000"/>
      <c r="TNA34" s="1000"/>
      <c r="TNB34" s="1000"/>
      <c r="TNC34" s="1000"/>
      <c r="TND34" s="1000"/>
      <c r="TNE34" s="1000"/>
      <c r="TNF34" s="1000"/>
      <c r="TNG34" s="1000"/>
      <c r="TNH34" s="1000"/>
      <c r="TNI34" s="1000"/>
      <c r="TNJ34" s="1000"/>
      <c r="TNK34" s="1000"/>
      <c r="TNL34" s="1000"/>
      <c r="TNM34" s="1000"/>
      <c r="TNN34" s="1000"/>
      <c r="TNO34" s="1000"/>
      <c r="TNP34" s="1000"/>
      <c r="TNQ34" s="1000"/>
      <c r="TNR34" s="1000"/>
      <c r="TNS34" s="1000"/>
      <c r="TNT34" s="1000"/>
      <c r="TNU34" s="1000"/>
      <c r="TNV34" s="1000"/>
      <c r="TNW34" s="1000"/>
      <c r="TNX34" s="1000"/>
      <c r="TNY34" s="1000"/>
      <c r="TNZ34" s="1000"/>
      <c r="TOA34" s="1000"/>
      <c r="TOB34" s="1000"/>
      <c r="TOC34" s="1000"/>
      <c r="TOD34" s="1000"/>
      <c r="TOE34" s="1000"/>
      <c r="TOF34" s="1000"/>
      <c r="TOG34" s="1000"/>
      <c r="TOH34" s="1000"/>
      <c r="TOI34" s="1000"/>
      <c r="TOJ34" s="1000"/>
      <c r="TOK34" s="1000"/>
      <c r="TOL34" s="1000"/>
      <c r="TOM34" s="1000"/>
      <c r="TON34" s="1000"/>
      <c r="TOO34" s="1000"/>
      <c r="TOP34" s="1000"/>
      <c r="TOQ34" s="1000"/>
      <c r="TOR34" s="1000"/>
      <c r="TOS34" s="1000"/>
      <c r="TOT34" s="1000"/>
      <c r="TOU34" s="1000"/>
      <c r="TOV34" s="1000"/>
      <c r="TOW34" s="1000"/>
      <c r="TOX34" s="1000"/>
      <c r="TOY34" s="1000"/>
      <c r="TOZ34" s="1000"/>
      <c r="TPA34" s="1000"/>
      <c r="TPB34" s="1000"/>
      <c r="TPC34" s="1000"/>
      <c r="TPD34" s="1000"/>
      <c r="TPE34" s="1000"/>
      <c r="TPF34" s="1000"/>
      <c r="TPG34" s="1000"/>
      <c r="TPH34" s="1000"/>
      <c r="TPI34" s="1000"/>
      <c r="TPJ34" s="1000"/>
      <c r="TPK34" s="1000"/>
      <c r="TPL34" s="1000"/>
      <c r="TPM34" s="1000"/>
      <c r="TPN34" s="1000"/>
      <c r="TPO34" s="1000"/>
      <c r="TPP34" s="1000"/>
      <c r="TPQ34" s="1000"/>
      <c r="TPR34" s="1000"/>
      <c r="TPS34" s="1000"/>
      <c r="TPT34" s="1000"/>
      <c r="TPU34" s="1000"/>
      <c r="TPV34" s="1000"/>
      <c r="TPW34" s="1000"/>
      <c r="TPX34" s="1000"/>
      <c r="TPY34" s="1000"/>
      <c r="TPZ34" s="1000"/>
      <c r="TQA34" s="1000"/>
      <c r="TQB34" s="1000"/>
      <c r="TQC34" s="1000"/>
      <c r="TQD34" s="1000"/>
      <c r="TQE34" s="1000"/>
      <c r="TQF34" s="1000"/>
      <c r="TQG34" s="1000"/>
      <c r="TQH34" s="1000"/>
      <c r="TQI34" s="1000"/>
      <c r="TQJ34" s="1000"/>
      <c r="TQK34" s="1000"/>
      <c r="TQL34" s="1000"/>
      <c r="TQM34" s="1000"/>
      <c r="TQN34" s="1000"/>
      <c r="TQO34" s="1000"/>
      <c r="TQP34" s="1000"/>
      <c r="TQQ34" s="1000"/>
      <c r="TQR34" s="1000"/>
      <c r="TQS34" s="1000"/>
      <c r="TQT34" s="1000"/>
      <c r="TQU34" s="1000"/>
      <c r="TQV34" s="1000"/>
      <c r="TQW34" s="1000"/>
      <c r="TQX34" s="1000"/>
      <c r="TQY34" s="1000"/>
      <c r="TQZ34" s="1000"/>
      <c r="TRA34" s="1000"/>
      <c r="TRB34" s="1000"/>
      <c r="TRC34" s="1000"/>
      <c r="TRD34" s="1000"/>
      <c r="TRE34" s="1000"/>
      <c r="TRF34" s="1000"/>
      <c r="TRG34" s="1000"/>
      <c r="TRH34" s="1000"/>
      <c r="TRI34" s="1000"/>
      <c r="TRJ34" s="1000"/>
      <c r="TRK34" s="1000"/>
      <c r="TRL34" s="1000"/>
      <c r="TRM34" s="1000"/>
      <c r="TRN34" s="1000"/>
      <c r="TRO34" s="1000"/>
      <c r="TRP34" s="1000"/>
      <c r="TRQ34" s="1000"/>
      <c r="TRR34" s="1000"/>
      <c r="TRS34" s="1000"/>
      <c r="TRT34" s="1000"/>
      <c r="TRU34" s="1000"/>
      <c r="TRV34" s="1000"/>
      <c r="TRW34" s="1000"/>
      <c r="TRX34" s="1000"/>
      <c r="TRY34" s="1000"/>
      <c r="TRZ34" s="1000"/>
      <c r="TSA34" s="1000"/>
      <c r="TSB34" s="1000"/>
      <c r="TSC34" s="1000"/>
      <c r="TSD34" s="1000"/>
      <c r="TSE34" s="1000"/>
      <c r="TSF34" s="1000"/>
      <c r="TSG34" s="1000"/>
      <c r="TSH34" s="1000"/>
      <c r="TSI34" s="1000"/>
      <c r="TSJ34" s="1000"/>
      <c r="TSK34" s="1000"/>
      <c r="TSL34" s="1000"/>
      <c r="TSM34" s="1000"/>
      <c r="TSN34" s="1000"/>
      <c r="TSO34" s="1000"/>
      <c r="TSP34" s="1000"/>
      <c r="TSQ34" s="1000"/>
      <c r="TSR34" s="1000"/>
      <c r="TSS34" s="1000"/>
      <c r="TST34" s="1000"/>
      <c r="TSU34" s="1000"/>
      <c r="TSV34" s="1000"/>
      <c r="TSW34" s="1000"/>
      <c r="TSX34" s="1000"/>
      <c r="TSY34" s="1000"/>
      <c r="TSZ34" s="1000"/>
      <c r="TTA34" s="1000"/>
      <c r="TTB34" s="1000"/>
      <c r="TTC34" s="1000"/>
      <c r="TTD34" s="1000"/>
      <c r="TTE34" s="1000"/>
      <c r="TTF34" s="1000"/>
      <c r="TTG34" s="1000"/>
      <c r="TTH34" s="1000"/>
      <c r="TTI34" s="1000"/>
      <c r="TTJ34" s="1000"/>
      <c r="TTK34" s="1000"/>
      <c r="TTL34" s="1000"/>
      <c r="TTM34" s="1000"/>
      <c r="TTN34" s="1000"/>
      <c r="TTO34" s="1000"/>
      <c r="TTP34" s="1000"/>
      <c r="TTQ34" s="1000"/>
      <c r="TTR34" s="1000"/>
      <c r="TTS34" s="1000"/>
      <c r="TTT34" s="1000"/>
      <c r="TTU34" s="1000"/>
      <c r="TTV34" s="1000"/>
      <c r="TTW34" s="1000"/>
      <c r="TTX34" s="1000"/>
      <c r="TTY34" s="1000"/>
      <c r="TTZ34" s="1000"/>
      <c r="TUA34" s="1000"/>
      <c r="TUB34" s="1000"/>
      <c r="TUC34" s="1000"/>
      <c r="TUD34" s="1000"/>
      <c r="TUE34" s="1000"/>
      <c r="TUF34" s="1000"/>
      <c r="TUG34" s="1000"/>
      <c r="TUH34" s="1000"/>
      <c r="TUI34" s="1000"/>
      <c r="TUJ34" s="1000"/>
      <c r="TUK34" s="1000"/>
      <c r="TUL34" s="1000"/>
      <c r="TUM34" s="1000"/>
      <c r="TUN34" s="1000"/>
      <c r="TUO34" s="1000"/>
      <c r="TUP34" s="1000"/>
      <c r="TUQ34" s="1000"/>
      <c r="TUR34" s="1000"/>
      <c r="TUS34" s="1000"/>
      <c r="TUT34" s="1000"/>
      <c r="TUU34" s="1000"/>
      <c r="TUV34" s="1000"/>
      <c r="TUW34" s="1000"/>
      <c r="TUX34" s="1000"/>
      <c r="TUY34" s="1000"/>
      <c r="TUZ34" s="1000"/>
      <c r="TVA34" s="1000"/>
      <c r="TVB34" s="1000"/>
      <c r="TVC34" s="1000"/>
      <c r="TVD34" s="1000"/>
      <c r="TVE34" s="1000"/>
      <c r="TVF34" s="1000"/>
      <c r="TVG34" s="1000"/>
      <c r="TVH34" s="1000"/>
      <c r="TVI34" s="1000"/>
      <c r="TVJ34" s="1000"/>
      <c r="TVK34" s="1000"/>
      <c r="TVL34" s="1000"/>
      <c r="TVM34" s="1000"/>
      <c r="TVN34" s="1000"/>
      <c r="TVO34" s="1000"/>
      <c r="TVP34" s="1000"/>
      <c r="TVQ34" s="1000"/>
      <c r="TVR34" s="1000"/>
      <c r="TVS34" s="1000"/>
      <c r="TVT34" s="1000"/>
      <c r="TVU34" s="1000"/>
      <c r="TVV34" s="1000"/>
      <c r="TVW34" s="1000"/>
      <c r="TVX34" s="1000"/>
      <c r="TVY34" s="1000"/>
      <c r="TVZ34" s="1000"/>
      <c r="TWA34" s="1000"/>
      <c r="TWB34" s="1000"/>
      <c r="TWC34" s="1000"/>
      <c r="TWD34" s="1000"/>
      <c r="TWE34" s="1000"/>
      <c r="TWF34" s="1000"/>
      <c r="TWG34" s="1000"/>
      <c r="TWH34" s="1000"/>
      <c r="TWI34" s="1000"/>
      <c r="TWJ34" s="1000"/>
      <c r="TWK34" s="1000"/>
      <c r="TWL34" s="1000"/>
      <c r="TWM34" s="1000"/>
      <c r="TWN34" s="1000"/>
      <c r="TWO34" s="1000"/>
      <c r="TWP34" s="1000"/>
      <c r="TWQ34" s="1000"/>
      <c r="TWR34" s="1000"/>
      <c r="TWS34" s="1000"/>
      <c r="TWT34" s="1000"/>
      <c r="TWU34" s="1000"/>
      <c r="TWV34" s="1000"/>
      <c r="TWW34" s="1000"/>
      <c r="TWX34" s="1000"/>
      <c r="TWY34" s="1000"/>
      <c r="TWZ34" s="1000"/>
      <c r="TXA34" s="1000"/>
      <c r="TXB34" s="1000"/>
      <c r="TXC34" s="1000"/>
      <c r="TXD34" s="1000"/>
      <c r="TXE34" s="1000"/>
      <c r="TXF34" s="1000"/>
      <c r="TXG34" s="1000"/>
      <c r="TXH34" s="1000"/>
      <c r="TXI34" s="1000"/>
      <c r="TXJ34" s="1000"/>
      <c r="TXK34" s="1000"/>
      <c r="TXL34" s="1000"/>
      <c r="TXM34" s="1000"/>
      <c r="TXN34" s="1000"/>
      <c r="TXO34" s="1000"/>
      <c r="TXP34" s="1000"/>
      <c r="TXQ34" s="1000"/>
      <c r="TXR34" s="1000"/>
      <c r="TXS34" s="1000"/>
      <c r="TXT34" s="1000"/>
      <c r="TXU34" s="1000"/>
      <c r="TXV34" s="1000"/>
      <c r="TXW34" s="1000"/>
      <c r="TXX34" s="1000"/>
      <c r="TXY34" s="1000"/>
      <c r="TXZ34" s="1000"/>
      <c r="TYA34" s="1000"/>
      <c r="TYB34" s="1000"/>
      <c r="TYC34" s="1000"/>
      <c r="TYD34" s="1000"/>
      <c r="TYE34" s="1000"/>
      <c r="TYF34" s="1000"/>
      <c r="TYG34" s="1000"/>
      <c r="TYH34" s="1000"/>
      <c r="TYI34" s="1000"/>
      <c r="TYJ34" s="1000"/>
      <c r="TYK34" s="1000"/>
      <c r="TYL34" s="1000"/>
      <c r="TYM34" s="1000"/>
      <c r="TYN34" s="1000"/>
      <c r="TYO34" s="1000"/>
      <c r="TYP34" s="1000"/>
      <c r="TYQ34" s="1000"/>
      <c r="TYR34" s="1000"/>
      <c r="TYS34" s="1000"/>
      <c r="TYT34" s="1000"/>
      <c r="TYU34" s="1000"/>
      <c r="TYV34" s="1000"/>
      <c r="TYW34" s="1000"/>
      <c r="TYX34" s="1000"/>
      <c r="TYY34" s="1000"/>
      <c r="TYZ34" s="1000"/>
      <c r="TZA34" s="1000"/>
      <c r="TZB34" s="1000"/>
      <c r="TZC34" s="1000"/>
      <c r="TZD34" s="1000"/>
      <c r="TZE34" s="1000"/>
      <c r="TZF34" s="1000"/>
      <c r="TZG34" s="1000"/>
      <c r="TZH34" s="1000"/>
      <c r="TZI34" s="1000"/>
      <c r="TZJ34" s="1000"/>
      <c r="TZK34" s="1000"/>
      <c r="TZL34" s="1000"/>
      <c r="TZM34" s="1000"/>
      <c r="TZN34" s="1000"/>
      <c r="TZO34" s="1000"/>
      <c r="TZP34" s="1000"/>
      <c r="TZQ34" s="1000"/>
      <c r="TZR34" s="1000"/>
      <c r="TZS34" s="1000"/>
      <c r="TZT34" s="1000"/>
      <c r="TZU34" s="1000"/>
      <c r="TZV34" s="1000"/>
      <c r="TZW34" s="1000"/>
      <c r="TZX34" s="1000"/>
      <c r="TZY34" s="1000"/>
      <c r="TZZ34" s="1000"/>
      <c r="UAA34" s="1000"/>
      <c r="UAB34" s="1000"/>
      <c r="UAC34" s="1000"/>
      <c r="UAD34" s="1000"/>
      <c r="UAE34" s="1000"/>
      <c r="UAF34" s="1000"/>
      <c r="UAG34" s="1000"/>
      <c r="UAH34" s="1000"/>
      <c r="UAI34" s="1000"/>
      <c r="UAJ34" s="1000"/>
      <c r="UAK34" s="1000"/>
      <c r="UAL34" s="1000"/>
      <c r="UAM34" s="1000"/>
      <c r="UAN34" s="1000"/>
      <c r="UAO34" s="1000"/>
      <c r="UAP34" s="1000"/>
      <c r="UAQ34" s="1000"/>
      <c r="UAR34" s="1000"/>
      <c r="UAS34" s="1000"/>
      <c r="UAT34" s="1000"/>
      <c r="UAU34" s="1000"/>
      <c r="UAV34" s="1000"/>
      <c r="UAW34" s="1000"/>
      <c r="UAX34" s="1000"/>
      <c r="UAY34" s="1000"/>
      <c r="UAZ34" s="1000"/>
      <c r="UBA34" s="1000"/>
      <c r="UBB34" s="1000"/>
      <c r="UBC34" s="1000"/>
      <c r="UBD34" s="1000"/>
      <c r="UBE34" s="1000"/>
      <c r="UBF34" s="1000"/>
      <c r="UBG34" s="1000"/>
      <c r="UBH34" s="1000"/>
      <c r="UBI34" s="1000"/>
      <c r="UBJ34" s="1000"/>
      <c r="UBK34" s="1000"/>
      <c r="UBL34" s="1000"/>
      <c r="UBM34" s="1000"/>
      <c r="UBN34" s="1000"/>
      <c r="UBO34" s="1000"/>
      <c r="UBP34" s="1000"/>
      <c r="UBQ34" s="1000"/>
      <c r="UBR34" s="1000"/>
      <c r="UBS34" s="1000"/>
      <c r="UBT34" s="1000"/>
      <c r="UBU34" s="1000"/>
      <c r="UBV34" s="1000"/>
      <c r="UBW34" s="1000"/>
      <c r="UBX34" s="1000"/>
      <c r="UBY34" s="1000"/>
      <c r="UBZ34" s="1000"/>
      <c r="UCA34" s="1000"/>
      <c r="UCB34" s="1000"/>
      <c r="UCC34" s="1000"/>
      <c r="UCD34" s="1000"/>
      <c r="UCE34" s="1000"/>
      <c r="UCF34" s="1000"/>
      <c r="UCG34" s="1000"/>
      <c r="UCH34" s="1000"/>
      <c r="UCI34" s="1000"/>
      <c r="UCJ34" s="1000"/>
      <c r="UCK34" s="1000"/>
      <c r="UCL34" s="1000"/>
      <c r="UCM34" s="1000"/>
      <c r="UCN34" s="1000"/>
      <c r="UCO34" s="1000"/>
      <c r="UCP34" s="1000"/>
      <c r="UCQ34" s="1000"/>
      <c r="UCR34" s="1000"/>
      <c r="UCS34" s="1000"/>
      <c r="UCT34" s="1000"/>
      <c r="UCU34" s="1000"/>
      <c r="UCV34" s="1000"/>
      <c r="UCW34" s="1000"/>
      <c r="UCX34" s="1000"/>
      <c r="UCY34" s="1000"/>
      <c r="UCZ34" s="1000"/>
      <c r="UDA34" s="1000"/>
      <c r="UDB34" s="1000"/>
      <c r="UDC34" s="1000"/>
      <c r="UDD34" s="1000"/>
      <c r="UDE34" s="1000"/>
      <c r="UDF34" s="1000"/>
      <c r="UDG34" s="1000"/>
      <c r="UDH34" s="1000"/>
      <c r="UDI34" s="1000"/>
      <c r="UDJ34" s="1000"/>
      <c r="UDK34" s="1000"/>
      <c r="UDL34" s="1000"/>
      <c r="UDM34" s="1000"/>
      <c r="UDN34" s="1000"/>
      <c r="UDO34" s="1000"/>
      <c r="UDP34" s="1000"/>
      <c r="UDQ34" s="1000"/>
      <c r="UDR34" s="1000"/>
      <c r="UDS34" s="1000"/>
      <c r="UDT34" s="1000"/>
      <c r="UDU34" s="1000"/>
      <c r="UDV34" s="1000"/>
      <c r="UDW34" s="1000"/>
      <c r="UDX34" s="1000"/>
      <c r="UDY34" s="1000"/>
      <c r="UDZ34" s="1000"/>
      <c r="UEA34" s="1000"/>
      <c r="UEB34" s="1000"/>
      <c r="UEC34" s="1000"/>
      <c r="UED34" s="1000"/>
      <c r="UEE34" s="1000"/>
      <c r="UEF34" s="1000"/>
      <c r="UEG34" s="1000"/>
      <c r="UEH34" s="1000"/>
      <c r="UEI34" s="1000"/>
      <c r="UEJ34" s="1000"/>
      <c r="UEK34" s="1000"/>
      <c r="UEL34" s="1000"/>
      <c r="UEM34" s="1000"/>
      <c r="UEN34" s="1000"/>
      <c r="UEO34" s="1000"/>
      <c r="UEP34" s="1000"/>
      <c r="UEQ34" s="1000"/>
      <c r="UER34" s="1000"/>
      <c r="UES34" s="1000"/>
      <c r="UET34" s="1000"/>
      <c r="UEU34" s="1000"/>
      <c r="UEV34" s="1000"/>
      <c r="UEW34" s="1000"/>
      <c r="UEX34" s="1000"/>
      <c r="UEY34" s="1000"/>
      <c r="UEZ34" s="1000"/>
      <c r="UFA34" s="1000"/>
      <c r="UFB34" s="1000"/>
      <c r="UFC34" s="1000"/>
      <c r="UFD34" s="1000"/>
      <c r="UFE34" s="1000"/>
      <c r="UFF34" s="1000"/>
      <c r="UFG34" s="1000"/>
      <c r="UFH34" s="1000"/>
      <c r="UFI34" s="1000"/>
      <c r="UFJ34" s="1000"/>
      <c r="UFK34" s="1000"/>
      <c r="UFL34" s="1000"/>
      <c r="UFM34" s="1000"/>
      <c r="UFN34" s="1000"/>
      <c r="UFO34" s="1000"/>
      <c r="UFP34" s="1000"/>
      <c r="UFQ34" s="1000"/>
      <c r="UFR34" s="1000"/>
      <c r="UFS34" s="1000"/>
      <c r="UFT34" s="1000"/>
      <c r="UFU34" s="1000"/>
      <c r="UFV34" s="1000"/>
      <c r="UFW34" s="1000"/>
      <c r="UFX34" s="1000"/>
      <c r="UFY34" s="1000"/>
      <c r="UFZ34" s="1000"/>
      <c r="UGA34" s="1000"/>
      <c r="UGB34" s="1000"/>
      <c r="UGC34" s="1000"/>
      <c r="UGD34" s="1000"/>
      <c r="UGE34" s="1000"/>
      <c r="UGF34" s="1000"/>
      <c r="UGG34" s="1000"/>
      <c r="UGH34" s="1000"/>
      <c r="UGI34" s="1000"/>
      <c r="UGJ34" s="1000"/>
      <c r="UGK34" s="1000"/>
      <c r="UGL34" s="1000"/>
      <c r="UGM34" s="1000"/>
      <c r="UGN34" s="1000"/>
      <c r="UGO34" s="1000"/>
      <c r="UGP34" s="1000"/>
      <c r="UGQ34" s="1000"/>
      <c r="UGR34" s="1000"/>
      <c r="UGS34" s="1000"/>
      <c r="UGT34" s="1000"/>
      <c r="UGU34" s="1000"/>
      <c r="UGV34" s="1000"/>
      <c r="UGW34" s="1000"/>
      <c r="UGX34" s="1000"/>
      <c r="UGY34" s="1000"/>
      <c r="UGZ34" s="1000"/>
      <c r="UHA34" s="1000"/>
      <c r="UHB34" s="1000"/>
      <c r="UHC34" s="1000"/>
      <c r="UHD34" s="1000"/>
      <c r="UHE34" s="1000"/>
      <c r="UHF34" s="1000"/>
      <c r="UHG34" s="1000"/>
      <c r="UHH34" s="1000"/>
      <c r="UHI34" s="1000"/>
      <c r="UHJ34" s="1000"/>
      <c r="UHK34" s="1000"/>
      <c r="UHL34" s="1000"/>
      <c r="UHM34" s="1000"/>
      <c r="UHN34" s="1000"/>
      <c r="UHO34" s="1000"/>
      <c r="UHP34" s="1000"/>
      <c r="UHQ34" s="1000"/>
      <c r="UHR34" s="1000"/>
      <c r="UHS34" s="1000"/>
      <c r="UHT34" s="1000"/>
      <c r="UHU34" s="1000"/>
      <c r="UHV34" s="1000"/>
      <c r="UHW34" s="1000"/>
      <c r="UHX34" s="1000"/>
      <c r="UHY34" s="1000"/>
      <c r="UHZ34" s="1000"/>
      <c r="UIA34" s="1000"/>
      <c r="UIB34" s="1000"/>
      <c r="UIC34" s="1000"/>
      <c r="UID34" s="1000"/>
      <c r="UIE34" s="1000"/>
      <c r="UIF34" s="1000"/>
      <c r="UIG34" s="1000"/>
      <c r="UIH34" s="1000"/>
      <c r="UII34" s="1000"/>
      <c r="UIJ34" s="1000"/>
      <c r="UIK34" s="1000"/>
      <c r="UIL34" s="1000"/>
      <c r="UIM34" s="1000"/>
      <c r="UIN34" s="1000"/>
      <c r="UIO34" s="1000"/>
      <c r="UIP34" s="1000"/>
      <c r="UIQ34" s="1000"/>
      <c r="UIR34" s="1000"/>
      <c r="UIS34" s="1000"/>
      <c r="UIT34" s="1000"/>
      <c r="UIU34" s="1000"/>
      <c r="UIV34" s="1000"/>
      <c r="UIW34" s="1000"/>
      <c r="UIX34" s="1000"/>
      <c r="UIY34" s="1000"/>
      <c r="UIZ34" s="1000"/>
      <c r="UJA34" s="1000"/>
      <c r="UJB34" s="1000"/>
      <c r="UJC34" s="1000"/>
      <c r="UJD34" s="1000"/>
      <c r="UJE34" s="1000"/>
      <c r="UJF34" s="1000"/>
      <c r="UJG34" s="1000"/>
      <c r="UJH34" s="1000"/>
      <c r="UJI34" s="1000"/>
      <c r="UJJ34" s="1000"/>
      <c r="UJK34" s="1000"/>
      <c r="UJL34" s="1000"/>
      <c r="UJM34" s="1000"/>
      <c r="UJN34" s="1000"/>
      <c r="UJO34" s="1000"/>
      <c r="UJP34" s="1000"/>
      <c r="UJQ34" s="1000"/>
      <c r="UJR34" s="1000"/>
      <c r="UJS34" s="1000"/>
      <c r="UJT34" s="1000"/>
      <c r="UJU34" s="1000"/>
      <c r="UJV34" s="1000"/>
      <c r="UJW34" s="1000"/>
      <c r="UJX34" s="1000"/>
      <c r="UJY34" s="1000"/>
      <c r="UJZ34" s="1000"/>
      <c r="UKA34" s="1000"/>
      <c r="UKB34" s="1000"/>
      <c r="UKC34" s="1000"/>
      <c r="UKD34" s="1000"/>
      <c r="UKE34" s="1000"/>
      <c r="UKF34" s="1000"/>
      <c r="UKG34" s="1000"/>
      <c r="UKH34" s="1000"/>
      <c r="UKI34" s="1000"/>
      <c r="UKJ34" s="1000"/>
      <c r="UKK34" s="1000"/>
      <c r="UKL34" s="1000"/>
      <c r="UKM34" s="1000"/>
      <c r="UKN34" s="1000"/>
      <c r="UKO34" s="1000"/>
      <c r="UKP34" s="1000"/>
      <c r="UKQ34" s="1000"/>
      <c r="UKR34" s="1000"/>
      <c r="UKS34" s="1000"/>
      <c r="UKT34" s="1000"/>
      <c r="UKU34" s="1000"/>
      <c r="UKV34" s="1000"/>
      <c r="UKW34" s="1000"/>
      <c r="UKX34" s="1000"/>
      <c r="UKY34" s="1000"/>
      <c r="UKZ34" s="1000"/>
      <c r="ULA34" s="1000"/>
      <c r="ULB34" s="1000"/>
      <c r="ULC34" s="1000"/>
      <c r="ULD34" s="1000"/>
      <c r="ULE34" s="1000"/>
      <c r="ULF34" s="1000"/>
      <c r="ULG34" s="1000"/>
      <c r="ULH34" s="1000"/>
      <c r="ULI34" s="1000"/>
      <c r="ULJ34" s="1000"/>
      <c r="ULK34" s="1000"/>
      <c r="ULL34" s="1000"/>
      <c r="ULM34" s="1000"/>
      <c r="ULN34" s="1000"/>
      <c r="ULO34" s="1000"/>
      <c r="ULP34" s="1000"/>
      <c r="ULQ34" s="1000"/>
      <c r="ULR34" s="1000"/>
      <c r="ULS34" s="1000"/>
      <c r="ULT34" s="1000"/>
      <c r="ULU34" s="1000"/>
      <c r="ULV34" s="1000"/>
      <c r="ULW34" s="1000"/>
      <c r="ULX34" s="1000"/>
      <c r="ULY34" s="1000"/>
      <c r="ULZ34" s="1000"/>
      <c r="UMA34" s="1000"/>
      <c r="UMB34" s="1000"/>
      <c r="UMC34" s="1000"/>
      <c r="UMD34" s="1000"/>
      <c r="UME34" s="1000"/>
      <c r="UMF34" s="1000"/>
      <c r="UMG34" s="1000"/>
      <c r="UMH34" s="1000"/>
      <c r="UMI34" s="1000"/>
      <c r="UMJ34" s="1000"/>
      <c r="UMK34" s="1000"/>
      <c r="UML34" s="1000"/>
      <c r="UMM34" s="1000"/>
      <c r="UMN34" s="1000"/>
      <c r="UMO34" s="1000"/>
      <c r="UMP34" s="1000"/>
      <c r="UMQ34" s="1000"/>
      <c r="UMR34" s="1000"/>
      <c r="UMS34" s="1000"/>
      <c r="UMT34" s="1000"/>
      <c r="UMU34" s="1000"/>
      <c r="UMV34" s="1000"/>
      <c r="UMW34" s="1000"/>
      <c r="UMX34" s="1000"/>
      <c r="UMY34" s="1000"/>
      <c r="UMZ34" s="1000"/>
      <c r="UNA34" s="1000"/>
      <c r="UNB34" s="1000"/>
      <c r="UNC34" s="1000"/>
      <c r="UND34" s="1000"/>
      <c r="UNE34" s="1000"/>
      <c r="UNF34" s="1000"/>
      <c r="UNG34" s="1000"/>
      <c r="UNH34" s="1000"/>
      <c r="UNI34" s="1000"/>
      <c r="UNJ34" s="1000"/>
      <c r="UNK34" s="1000"/>
      <c r="UNL34" s="1000"/>
      <c r="UNM34" s="1000"/>
      <c r="UNN34" s="1000"/>
      <c r="UNO34" s="1000"/>
      <c r="UNP34" s="1000"/>
      <c r="UNQ34" s="1000"/>
      <c r="UNR34" s="1000"/>
      <c r="UNS34" s="1000"/>
      <c r="UNT34" s="1000"/>
      <c r="UNU34" s="1000"/>
      <c r="UNV34" s="1000"/>
      <c r="UNW34" s="1000"/>
      <c r="UNX34" s="1000"/>
      <c r="UNY34" s="1000"/>
      <c r="UNZ34" s="1000"/>
      <c r="UOA34" s="1000"/>
      <c r="UOB34" s="1000"/>
      <c r="UOC34" s="1000"/>
      <c r="UOD34" s="1000"/>
      <c r="UOE34" s="1000"/>
      <c r="UOF34" s="1000"/>
      <c r="UOG34" s="1000"/>
      <c r="UOH34" s="1000"/>
      <c r="UOI34" s="1000"/>
      <c r="UOJ34" s="1000"/>
      <c r="UOK34" s="1000"/>
      <c r="UOL34" s="1000"/>
      <c r="UOM34" s="1000"/>
      <c r="UON34" s="1000"/>
      <c r="UOO34" s="1000"/>
      <c r="UOP34" s="1000"/>
      <c r="UOQ34" s="1000"/>
      <c r="UOR34" s="1000"/>
      <c r="UOS34" s="1000"/>
      <c r="UOT34" s="1000"/>
      <c r="UOU34" s="1000"/>
      <c r="UOV34" s="1000"/>
      <c r="UOW34" s="1000"/>
      <c r="UOX34" s="1000"/>
      <c r="UOY34" s="1000"/>
      <c r="UOZ34" s="1000"/>
      <c r="UPA34" s="1000"/>
      <c r="UPB34" s="1000"/>
      <c r="UPC34" s="1000"/>
      <c r="UPD34" s="1000"/>
      <c r="UPE34" s="1000"/>
      <c r="UPF34" s="1000"/>
      <c r="UPG34" s="1000"/>
      <c r="UPH34" s="1000"/>
      <c r="UPI34" s="1000"/>
      <c r="UPJ34" s="1000"/>
      <c r="UPK34" s="1000"/>
      <c r="UPL34" s="1000"/>
      <c r="UPM34" s="1000"/>
      <c r="UPN34" s="1000"/>
      <c r="UPO34" s="1000"/>
      <c r="UPP34" s="1000"/>
      <c r="UPQ34" s="1000"/>
      <c r="UPR34" s="1000"/>
      <c r="UPS34" s="1000"/>
      <c r="UPT34" s="1000"/>
      <c r="UPU34" s="1000"/>
      <c r="UPV34" s="1000"/>
      <c r="UPW34" s="1000"/>
      <c r="UPX34" s="1000"/>
      <c r="UPY34" s="1000"/>
      <c r="UPZ34" s="1000"/>
      <c r="UQA34" s="1000"/>
      <c r="UQB34" s="1000"/>
      <c r="UQC34" s="1000"/>
      <c r="UQD34" s="1000"/>
      <c r="UQE34" s="1000"/>
      <c r="UQF34" s="1000"/>
      <c r="UQG34" s="1000"/>
      <c r="UQH34" s="1000"/>
      <c r="UQI34" s="1000"/>
      <c r="UQJ34" s="1000"/>
      <c r="UQK34" s="1000"/>
      <c r="UQL34" s="1000"/>
      <c r="UQM34" s="1000"/>
      <c r="UQN34" s="1000"/>
      <c r="UQO34" s="1000"/>
      <c r="UQP34" s="1000"/>
      <c r="UQQ34" s="1000"/>
      <c r="UQR34" s="1000"/>
      <c r="UQS34" s="1000"/>
      <c r="UQT34" s="1000"/>
      <c r="UQU34" s="1000"/>
      <c r="UQV34" s="1000"/>
      <c r="UQW34" s="1000"/>
      <c r="UQX34" s="1000"/>
      <c r="UQY34" s="1000"/>
      <c r="UQZ34" s="1000"/>
      <c r="URA34" s="1000"/>
      <c r="URB34" s="1000"/>
      <c r="URC34" s="1000"/>
      <c r="URD34" s="1000"/>
      <c r="URE34" s="1000"/>
      <c r="URF34" s="1000"/>
      <c r="URG34" s="1000"/>
      <c r="URH34" s="1000"/>
      <c r="URI34" s="1000"/>
      <c r="URJ34" s="1000"/>
      <c r="URK34" s="1000"/>
      <c r="URL34" s="1000"/>
      <c r="URM34" s="1000"/>
      <c r="URN34" s="1000"/>
      <c r="URO34" s="1000"/>
      <c r="URP34" s="1000"/>
      <c r="URQ34" s="1000"/>
      <c r="URR34" s="1000"/>
      <c r="URS34" s="1000"/>
      <c r="URT34" s="1000"/>
      <c r="URU34" s="1000"/>
      <c r="URV34" s="1000"/>
      <c r="URW34" s="1000"/>
      <c r="URX34" s="1000"/>
      <c r="URY34" s="1000"/>
      <c r="URZ34" s="1000"/>
      <c r="USA34" s="1000"/>
      <c r="USB34" s="1000"/>
      <c r="USC34" s="1000"/>
      <c r="USD34" s="1000"/>
      <c r="USE34" s="1000"/>
      <c r="USF34" s="1000"/>
      <c r="USG34" s="1000"/>
      <c r="USH34" s="1000"/>
      <c r="USI34" s="1000"/>
      <c r="USJ34" s="1000"/>
      <c r="USK34" s="1000"/>
      <c r="USL34" s="1000"/>
      <c r="USM34" s="1000"/>
      <c r="USN34" s="1000"/>
      <c r="USO34" s="1000"/>
      <c r="USP34" s="1000"/>
      <c r="USQ34" s="1000"/>
      <c r="USR34" s="1000"/>
      <c r="USS34" s="1000"/>
      <c r="UST34" s="1000"/>
      <c r="USU34" s="1000"/>
      <c r="USV34" s="1000"/>
      <c r="USW34" s="1000"/>
      <c r="USX34" s="1000"/>
      <c r="USY34" s="1000"/>
      <c r="USZ34" s="1000"/>
      <c r="UTA34" s="1000"/>
      <c r="UTB34" s="1000"/>
      <c r="UTC34" s="1000"/>
      <c r="UTD34" s="1000"/>
      <c r="UTE34" s="1000"/>
      <c r="UTF34" s="1000"/>
      <c r="UTG34" s="1000"/>
      <c r="UTH34" s="1000"/>
      <c r="UTI34" s="1000"/>
      <c r="UTJ34" s="1000"/>
      <c r="UTK34" s="1000"/>
      <c r="UTL34" s="1000"/>
      <c r="UTM34" s="1000"/>
      <c r="UTN34" s="1000"/>
      <c r="UTO34" s="1000"/>
      <c r="UTP34" s="1000"/>
      <c r="UTQ34" s="1000"/>
      <c r="UTR34" s="1000"/>
      <c r="UTS34" s="1000"/>
      <c r="UTT34" s="1000"/>
      <c r="UTU34" s="1000"/>
      <c r="UTV34" s="1000"/>
      <c r="UTW34" s="1000"/>
      <c r="UTX34" s="1000"/>
      <c r="UTY34" s="1000"/>
      <c r="UTZ34" s="1000"/>
      <c r="UUA34" s="1000"/>
      <c r="UUB34" s="1000"/>
      <c r="UUC34" s="1000"/>
      <c r="UUD34" s="1000"/>
      <c r="UUE34" s="1000"/>
      <c r="UUF34" s="1000"/>
      <c r="UUG34" s="1000"/>
      <c r="UUH34" s="1000"/>
      <c r="UUI34" s="1000"/>
      <c r="UUJ34" s="1000"/>
      <c r="UUK34" s="1000"/>
      <c r="UUL34" s="1000"/>
      <c r="UUM34" s="1000"/>
      <c r="UUN34" s="1000"/>
      <c r="UUO34" s="1000"/>
      <c r="UUP34" s="1000"/>
      <c r="UUQ34" s="1000"/>
      <c r="UUR34" s="1000"/>
      <c r="UUS34" s="1000"/>
      <c r="UUT34" s="1000"/>
      <c r="UUU34" s="1000"/>
      <c r="UUV34" s="1000"/>
      <c r="UUW34" s="1000"/>
      <c r="UUX34" s="1000"/>
      <c r="UUY34" s="1000"/>
      <c r="UUZ34" s="1000"/>
      <c r="UVA34" s="1000"/>
      <c r="UVB34" s="1000"/>
      <c r="UVC34" s="1000"/>
      <c r="UVD34" s="1000"/>
      <c r="UVE34" s="1000"/>
      <c r="UVF34" s="1000"/>
      <c r="UVG34" s="1000"/>
      <c r="UVH34" s="1000"/>
      <c r="UVI34" s="1000"/>
      <c r="UVJ34" s="1000"/>
      <c r="UVK34" s="1000"/>
      <c r="UVL34" s="1000"/>
      <c r="UVM34" s="1000"/>
      <c r="UVN34" s="1000"/>
      <c r="UVO34" s="1000"/>
      <c r="UVP34" s="1000"/>
      <c r="UVQ34" s="1000"/>
      <c r="UVR34" s="1000"/>
      <c r="UVS34" s="1000"/>
      <c r="UVT34" s="1000"/>
      <c r="UVU34" s="1000"/>
      <c r="UVV34" s="1000"/>
      <c r="UVW34" s="1000"/>
      <c r="UVX34" s="1000"/>
      <c r="UVY34" s="1000"/>
      <c r="UVZ34" s="1000"/>
      <c r="UWA34" s="1000"/>
      <c r="UWB34" s="1000"/>
      <c r="UWC34" s="1000"/>
      <c r="UWD34" s="1000"/>
      <c r="UWE34" s="1000"/>
      <c r="UWF34" s="1000"/>
      <c r="UWG34" s="1000"/>
      <c r="UWH34" s="1000"/>
      <c r="UWI34" s="1000"/>
      <c r="UWJ34" s="1000"/>
      <c r="UWK34" s="1000"/>
      <c r="UWL34" s="1000"/>
      <c r="UWM34" s="1000"/>
      <c r="UWN34" s="1000"/>
      <c r="UWO34" s="1000"/>
      <c r="UWP34" s="1000"/>
      <c r="UWQ34" s="1000"/>
      <c r="UWR34" s="1000"/>
      <c r="UWS34" s="1000"/>
      <c r="UWT34" s="1000"/>
      <c r="UWU34" s="1000"/>
      <c r="UWV34" s="1000"/>
      <c r="UWW34" s="1000"/>
      <c r="UWX34" s="1000"/>
      <c r="UWY34" s="1000"/>
      <c r="UWZ34" s="1000"/>
      <c r="UXA34" s="1000"/>
      <c r="UXB34" s="1000"/>
      <c r="UXC34" s="1000"/>
      <c r="UXD34" s="1000"/>
      <c r="UXE34" s="1000"/>
      <c r="UXF34" s="1000"/>
      <c r="UXG34" s="1000"/>
      <c r="UXH34" s="1000"/>
      <c r="UXI34" s="1000"/>
      <c r="UXJ34" s="1000"/>
      <c r="UXK34" s="1000"/>
      <c r="UXL34" s="1000"/>
      <c r="UXM34" s="1000"/>
      <c r="UXN34" s="1000"/>
      <c r="UXO34" s="1000"/>
      <c r="UXP34" s="1000"/>
      <c r="UXQ34" s="1000"/>
      <c r="UXR34" s="1000"/>
      <c r="UXS34" s="1000"/>
      <c r="UXT34" s="1000"/>
      <c r="UXU34" s="1000"/>
      <c r="UXV34" s="1000"/>
      <c r="UXW34" s="1000"/>
      <c r="UXX34" s="1000"/>
      <c r="UXY34" s="1000"/>
      <c r="UXZ34" s="1000"/>
      <c r="UYA34" s="1000"/>
      <c r="UYB34" s="1000"/>
      <c r="UYC34" s="1000"/>
      <c r="UYD34" s="1000"/>
      <c r="UYE34" s="1000"/>
      <c r="UYF34" s="1000"/>
      <c r="UYG34" s="1000"/>
      <c r="UYH34" s="1000"/>
      <c r="UYI34" s="1000"/>
      <c r="UYJ34" s="1000"/>
      <c r="UYK34" s="1000"/>
      <c r="UYL34" s="1000"/>
      <c r="UYM34" s="1000"/>
      <c r="UYN34" s="1000"/>
      <c r="UYO34" s="1000"/>
      <c r="UYP34" s="1000"/>
      <c r="UYQ34" s="1000"/>
      <c r="UYR34" s="1000"/>
      <c r="UYS34" s="1000"/>
      <c r="UYT34" s="1000"/>
      <c r="UYU34" s="1000"/>
      <c r="UYV34" s="1000"/>
      <c r="UYW34" s="1000"/>
      <c r="UYX34" s="1000"/>
      <c r="UYY34" s="1000"/>
      <c r="UYZ34" s="1000"/>
      <c r="UZA34" s="1000"/>
      <c r="UZB34" s="1000"/>
      <c r="UZC34" s="1000"/>
      <c r="UZD34" s="1000"/>
      <c r="UZE34" s="1000"/>
      <c r="UZF34" s="1000"/>
      <c r="UZG34" s="1000"/>
      <c r="UZH34" s="1000"/>
      <c r="UZI34" s="1000"/>
      <c r="UZJ34" s="1000"/>
      <c r="UZK34" s="1000"/>
      <c r="UZL34" s="1000"/>
      <c r="UZM34" s="1000"/>
      <c r="UZN34" s="1000"/>
      <c r="UZO34" s="1000"/>
      <c r="UZP34" s="1000"/>
      <c r="UZQ34" s="1000"/>
      <c r="UZR34" s="1000"/>
      <c r="UZS34" s="1000"/>
      <c r="UZT34" s="1000"/>
      <c r="UZU34" s="1000"/>
      <c r="UZV34" s="1000"/>
      <c r="UZW34" s="1000"/>
      <c r="UZX34" s="1000"/>
      <c r="UZY34" s="1000"/>
      <c r="UZZ34" s="1000"/>
      <c r="VAA34" s="1000"/>
      <c r="VAB34" s="1000"/>
      <c r="VAC34" s="1000"/>
      <c r="VAD34" s="1000"/>
      <c r="VAE34" s="1000"/>
      <c r="VAF34" s="1000"/>
      <c r="VAG34" s="1000"/>
      <c r="VAH34" s="1000"/>
      <c r="VAI34" s="1000"/>
      <c r="VAJ34" s="1000"/>
      <c r="VAK34" s="1000"/>
      <c r="VAL34" s="1000"/>
      <c r="VAM34" s="1000"/>
      <c r="VAN34" s="1000"/>
      <c r="VAO34" s="1000"/>
      <c r="VAP34" s="1000"/>
      <c r="VAQ34" s="1000"/>
      <c r="VAR34" s="1000"/>
      <c r="VAS34" s="1000"/>
      <c r="VAT34" s="1000"/>
      <c r="VAU34" s="1000"/>
      <c r="VAV34" s="1000"/>
      <c r="VAW34" s="1000"/>
      <c r="VAX34" s="1000"/>
      <c r="VAY34" s="1000"/>
      <c r="VAZ34" s="1000"/>
      <c r="VBA34" s="1000"/>
      <c r="VBB34" s="1000"/>
      <c r="VBC34" s="1000"/>
      <c r="VBD34" s="1000"/>
      <c r="VBE34" s="1000"/>
      <c r="VBF34" s="1000"/>
      <c r="VBG34" s="1000"/>
      <c r="VBH34" s="1000"/>
      <c r="VBI34" s="1000"/>
      <c r="VBJ34" s="1000"/>
      <c r="VBK34" s="1000"/>
      <c r="VBL34" s="1000"/>
      <c r="VBM34" s="1000"/>
      <c r="VBN34" s="1000"/>
      <c r="VBO34" s="1000"/>
      <c r="VBP34" s="1000"/>
      <c r="VBQ34" s="1000"/>
      <c r="VBR34" s="1000"/>
      <c r="VBS34" s="1000"/>
      <c r="VBT34" s="1000"/>
      <c r="VBU34" s="1000"/>
      <c r="VBV34" s="1000"/>
      <c r="VBW34" s="1000"/>
      <c r="VBX34" s="1000"/>
      <c r="VBY34" s="1000"/>
      <c r="VBZ34" s="1000"/>
      <c r="VCA34" s="1000"/>
      <c r="VCB34" s="1000"/>
      <c r="VCC34" s="1000"/>
      <c r="VCD34" s="1000"/>
      <c r="VCE34" s="1000"/>
      <c r="VCF34" s="1000"/>
      <c r="VCG34" s="1000"/>
      <c r="VCH34" s="1000"/>
      <c r="VCI34" s="1000"/>
      <c r="VCJ34" s="1000"/>
      <c r="VCK34" s="1000"/>
      <c r="VCL34" s="1000"/>
      <c r="VCM34" s="1000"/>
      <c r="VCN34" s="1000"/>
      <c r="VCO34" s="1000"/>
      <c r="VCP34" s="1000"/>
      <c r="VCQ34" s="1000"/>
      <c r="VCR34" s="1000"/>
      <c r="VCS34" s="1000"/>
      <c r="VCT34" s="1000"/>
      <c r="VCU34" s="1000"/>
      <c r="VCV34" s="1000"/>
      <c r="VCW34" s="1000"/>
      <c r="VCX34" s="1000"/>
      <c r="VCY34" s="1000"/>
      <c r="VCZ34" s="1000"/>
      <c r="VDA34" s="1000"/>
      <c r="VDB34" s="1000"/>
      <c r="VDC34" s="1000"/>
      <c r="VDD34" s="1000"/>
      <c r="VDE34" s="1000"/>
      <c r="VDF34" s="1000"/>
      <c r="VDG34" s="1000"/>
      <c r="VDH34" s="1000"/>
      <c r="VDI34" s="1000"/>
      <c r="VDJ34" s="1000"/>
      <c r="VDK34" s="1000"/>
      <c r="VDL34" s="1000"/>
      <c r="VDM34" s="1000"/>
      <c r="VDN34" s="1000"/>
      <c r="VDO34" s="1000"/>
      <c r="VDP34" s="1000"/>
      <c r="VDQ34" s="1000"/>
      <c r="VDR34" s="1000"/>
      <c r="VDS34" s="1000"/>
      <c r="VDT34" s="1000"/>
      <c r="VDU34" s="1000"/>
      <c r="VDV34" s="1000"/>
      <c r="VDW34" s="1000"/>
      <c r="VDX34" s="1000"/>
      <c r="VDY34" s="1000"/>
      <c r="VDZ34" s="1000"/>
      <c r="VEA34" s="1000"/>
      <c r="VEB34" s="1000"/>
      <c r="VEC34" s="1000"/>
      <c r="VED34" s="1000"/>
      <c r="VEE34" s="1000"/>
      <c r="VEF34" s="1000"/>
      <c r="VEG34" s="1000"/>
      <c r="VEH34" s="1000"/>
      <c r="VEI34" s="1000"/>
      <c r="VEJ34" s="1000"/>
      <c r="VEK34" s="1000"/>
      <c r="VEL34" s="1000"/>
      <c r="VEM34" s="1000"/>
      <c r="VEN34" s="1000"/>
      <c r="VEO34" s="1000"/>
      <c r="VEP34" s="1000"/>
      <c r="VEQ34" s="1000"/>
      <c r="VER34" s="1000"/>
      <c r="VES34" s="1000"/>
      <c r="VET34" s="1000"/>
      <c r="VEU34" s="1000"/>
      <c r="VEV34" s="1000"/>
      <c r="VEW34" s="1000"/>
      <c r="VEX34" s="1000"/>
      <c r="VEY34" s="1000"/>
      <c r="VEZ34" s="1000"/>
      <c r="VFA34" s="1000"/>
      <c r="VFB34" s="1000"/>
      <c r="VFC34" s="1000"/>
      <c r="VFD34" s="1000"/>
      <c r="VFE34" s="1000"/>
      <c r="VFF34" s="1000"/>
      <c r="VFG34" s="1000"/>
      <c r="VFH34" s="1000"/>
      <c r="VFI34" s="1000"/>
      <c r="VFJ34" s="1000"/>
      <c r="VFK34" s="1000"/>
      <c r="VFL34" s="1000"/>
      <c r="VFM34" s="1000"/>
      <c r="VFN34" s="1000"/>
      <c r="VFO34" s="1000"/>
      <c r="VFP34" s="1000"/>
      <c r="VFQ34" s="1000"/>
      <c r="VFR34" s="1000"/>
      <c r="VFS34" s="1000"/>
      <c r="VFT34" s="1000"/>
      <c r="VFU34" s="1000"/>
      <c r="VFV34" s="1000"/>
      <c r="VFW34" s="1000"/>
      <c r="VFX34" s="1000"/>
      <c r="VFY34" s="1000"/>
      <c r="VFZ34" s="1000"/>
      <c r="VGA34" s="1000"/>
      <c r="VGB34" s="1000"/>
      <c r="VGC34" s="1000"/>
      <c r="VGD34" s="1000"/>
      <c r="VGE34" s="1000"/>
      <c r="VGF34" s="1000"/>
      <c r="VGG34" s="1000"/>
      <c r="VGH34" s="1000"/>
      <c r="VGI34" s="1000"/>
      <c r="VGJ34" s="1000"/>
      <c r="VGK34" s="1000"/>
      <c r="VGL34" s="1000"/>
      <c r="VGM34" s="1000"/>
      <c r="VGN34" s="1000"/>
      <c r="VGO34" s="1000"/>
      <c r="VGP34" s="1000"/>
      <c r="VGQ34" s="1000"/>
      <c r="VGR34" s="1000"/>
      <c r="VGS34" s="1000"/>
      <c r="VGT34" s="1000"/>
      <c r="VGU34" s="1000"/>
      <c r="VGV34" s="1000"/>
      <c r="VGW34" s="1000"/>
      <c r="VGX34" s="1000"/>
      <c r="VGY34" s="1000"/>
      <c r="VGZ34" s="1000"/>
      <c r="VHA34" s="1000"/>
      <c r="VHB34" s="1000"/>
      <c r="VHC34" s="1000"/>
      <c r="VHD34" s="1000"/>
      <c r="VHE34" s="1000"/>
      <c r="VHF34" s="1000"/>
      <c r="VHG34" s="1000"/>
      <c r="VHH34" s="1000"/>
      <c r="VHI34" s="1000"/>
      <c r="VHJ34" s="1000"/>
      <c r="VHK34" s="1000"/>
      <c r="VHL34" s="1000"/>
      <c r="VHM34" s="1000"/>
      <c r="VHN34" s="1000"/>
      <c r="VHO34" s="1000"/>
      <c r="VHP34" s="1000"/>
      <c r="VHQ34" s="1000"/>
      <c r="VHR34" s="1000"/>
      <c r="VHS34" s="1000"/>
      <c r="VHT34" s="1000"/>
      <c r="VHU34" s="1000"/>
      <c r="VHV34" s="1000"/>
      <c r="VHW34" s="1000"/>
      <c r="VHX34" s="1000"/>
      <c r="VHY34" s="1000"/>
      <c r="VHZ34" s="1000"/>
      <c r="VIA34" s="1000"/>
      <c r="VIB34" s="1000"/>
      <c r="VIC34" s="1000"/>
      <c r="VID34" s="1000"/>
      <c r="VIE34" s="1000"/>
      <c r="VIF34" s="1000"/>
      <c r="VIG34" s="1000"/>
      <c r="VIH34" s="1000"/>
      <c r="VII34" s="1000"/>
      <c r="VIJ34" s="1000"/>
      <c r="VIK34" s="1000"/>
      <c r="VIL34" s="1000"/>
      <c r="VIM34" s="1000"/>
      <c r="VIN34" s="1000"/>
      <c r="VIO34" s="1000"/>
      <c r="VIP34" s="1000"/>
      <c r="VIQ34" s="1000"/>
      <c r="VIR34" s="1000"/>
      <c r="VIS34" s="1000"/>
      <c r="VIT34" s="1000"/>
      <c r="VIU34" s="1000"/>
      <c r="VIV34" s="1000"/>
      <c r="VIW34" s="1000"/>
      <c r="VIX34" s="1000"/>
      <c r="VIY34" s="1000"/>
      <c r="VIZ34" s="1000"/>
      <c r="VJA34" s="1000"/>
      <c r="VJB34" s="1000"/>
      <c r="VJC34" s="1000"/>
      <c r="VJD34" s="1000"/>
      <c r="VJE34" s="1000"/>
      <c r="VJF34" s="1000"/>
      <c r="VJG34" s="1000"/>
      <c r="VJH34" s="1000"/>
      <c r="VJI34" s="1000"/>
      <c r="VJJ34" s="1000"/>
      <c r="VJK34" s="1000"/>
      <c r="VJL34" s="1000"/>
      <c r="VJM34" s="1000"/>
      <c r="VJN34" s="1000"/>
      <c r="VJO34" s="1000"/>
      <c r="VJP34" s="1000"/>
      <c r="VJQ34" s="1000"/>
      <c r="VJR34" s="1000"/>
      <c r="VJS34" s="1000"/>
      <c r="VJT34" s="1000"/>
      <c r="VJU34" s="1000"/>
      <c r="VJV34" s="1000"/>
      <c r="VJW34" s="1000"/>
      <c r="VJX34" s="1000"/>
      <c r="VJY34" s="1000"/>
      <c r="VJZ34" s="1000"/>
      <c r="VKA34" s="1000"/>
      <c r="VKB34" s="1000"/>
      <c r="VKC34" s="1000"/>
      <c r="VKD34" s="1000"/>
      <c r="VKE34" s="1000"/>
      <c r="VKF34" s="1000"/>
      <c r="VKG34" s="1000"/>
      <c r="VKH34" s="1000"/>
      <c r="VKI34" s="1000"/>
      <c r="VKJ34" s="1000"/>
      <c r="VKK34" s="1000"/>
      <c r="VKL34" s="1000"/>
      <c r="VKM34" s="1000"/>
      <c r="VKN34" s="1000"/>
      <c r="VKO34" s="1000"/>
      <c r="VKP34" s="1000"/>
      <c r="VKQ34" s="1000"/>
      <c r="VKR34" s="1000"/>
      <c r="VKS34" s="1000"/>
      <c r="VKT34" s="1000"/>
      <c r="VKU34" s="1000"/>
      <c r="VKV34" s="1000"/>
      <c r="VKW34" s="1000"/>
      <c r="VKX34" s="1000"/>
      <c r="VKY34" s="1000"/>
      <c r="VKZ34" s="1000"/>
      <c r="VLA34" s="1000"/>
      <c r="VLB34" s="1000"/>
      <c r="VLC34" s="1000"/>
      <c r="VLD34" s="1000"/>
      <c r="VLE34" s="1000"/>
      <c r="VLF34" s="1000"/>
      <c r="VLG34" s="1000"/>
      <c r="VLH34" s="1000"/>
      <c r="VLI34" s="1000"/>
      <c r="VLJ34" s="1000"/>
      <c r="VLK34" s="1000"/>
      <c r="VLL34" s="1000"/>
      <c r="VLM34" s="1000"/>
      <c r="VLN34" s="1000"/>
      <c r="VLO34" s="1000"/>
      <c r="VLP34" s="1000"/>
      <c r="VLQ34" s="1000"/>
      <c r="VLR34" s="1000"/>
      <c r="VLS34" s="1000"/>
      <c r="VLT34" s="1000"/>
      <c r="VLU34" s="1000"/>
      <c r="VLV34" s="1000"/>
      <c r="VLW34" s="1000"/>
      <c r="VLX34" s="1000"/>
      <c r="VLY34" s="1000"/>
      <c r="VLZ34" s="1000"/>
      <c r="VMA34" s="1000"/>
      <c r="VMB34" s="1000"/>
      <c r="VMC34" s="1000"/>
      <c r="VMD34" s="1000"/>
      <c r="VME34" s="1000"/>
      <c r="VMF34" s="1000"/>
      <c r="VMG34" s="1000"/>
      <c r="VMH34" s="1000"/>
      <c r="VMI34" s="1000"/>
      <c r="VMJ34" s="1000"/>
      <c r="VMK34" s="1000"/>
      <c r="VML34" s="1000"/>
      <c r="VMM34" s="1000"/>
      <c r="VMN34" s="1000"/>
      <c r="VMO34" s="1000"/>
      <c r="VMP34" s="1000"/>
      <c r="VMQ34" s="1000"/>
      <c r="VMR34" s="1000"/>
      <c r="VMS34" s="1000"/>
      <c r="VMT34" s="1000"/>
      <c r="VMU34" s="1000"/>
      <c r="VMV34" s="1000"/>
      <c r="VMW34" s="1000"/>
      <c r="VMX34" s="1000"/>
      <c r="VMY34" s="1000"/>
      <c r="VMZ34" s="1000"/>
      <c r="VNA34" s="1000"/>
      <c r="VNB34" s="1000"/>
      <c r="VNC34" s="1000"/>
      <c r="VND34" s="1000"/>
      <c r="VNE34" s="1000"/>
      <c r="VNF34" s="1000"/>
      <c r="VNG34" s="1000"/>
      <c r="VNH34" s="1000"/>
      <c r="VNI34" s="1000"/>
      <c r="VNJ34" s="1000"/>
      <c r="VNK34" s="1000"/>
      <c r="VNL34" s="1000"/>
      <c r="VNM34" s="1000"/>
      <c r="VNN34" s="1000"/>
      <c r="VNO34" s="1000"/>
      <c r="VNP34" s="1000"/>
      <c r="VNQ34" s="1000"/>
      <c r="VNR34" s="1000"/>
      <c r="VNS34" s="1000"/>
      <c r="VNT34" s="1000"/>
      <c r="VNU34" s="1000"/>
      <c r="VNV34" s="1000"/>
      <c r="VNW34" s="1000"/>
      <c r="VNX34" s="1000"/>
      <c r="VNY34" s="1000"/>
      <c r="VNZ34" s="1000"/>
      <c r="VOA34" s="1000"/>
      <c r="VOB34" s="1000"/>
      <c r="VOC34" s="1000"/>
      <c r="VOD34" s="1000"/>
      <c r="VOE34" s="1000"/>
      <c r="VOF34" s="1000"/>
      <c r="VOG34" s="1000"/>
      <c r="VOH34" s="1000"/>
      <c r="VOI34" s="1000"/>
      <c r="VOJ34" s="1000"/>
      <c r="VOK34" s="1000"/>
      <c r="VOL34" s="1000"/>
      <c r="VOM34" s="1000"/>
      <c r="VON34" s="1000"/>
      <c r="VOO34" s="1000"/>
      <c r="VOP34" s="1000"/>
      <c r="VOQ34" s="1000"/>
      <c r="VOR34" s="1000"/>
      <c r="VOS34" s="1000"/>
      <c r="VOT34" s="1000"/>
      <c r="VOU34" s="1000"/>
      <c r="VOV34" s="1000"/>
      <c r="VOW34" s="1000"/>
      <c r="VOX34" s="1000"/>
      <c r="VOY34" s="1000"/>
      <c r="VOZ34" s="1000"/>
      <c r="VPA34" s="1000"/>
      <c r="VPB34" s="1000"/>
      <c r="VPC34" s="1000"/>
      <c r="VPD34" s="1000"/>
      <c r="VPE34" s="1000"/>
      <c r="VPF34" s="1000"/>
      <c r="VPG34" s="1000"/>
      <c r="VPH34" s="1000"/>
      <c r="VPI34" s="1000"/>
      <c r="VPJ34" s="1000"/>
      <c r="VPK34" s="1000"/>
      <c r="VPL34" s="1000"/>
      <c r="VPM34" s="1000"/>
      <c r="VPN34" s="1000"/>
      <c r="VPO34" s="1000"/>
      <c r="VPP34" s="1000"/>
      <c r="VPQ34" s="1000"/>
      <c r="VPR34" s="1000"/>
      <c r="VPS34" s="1000"/>
      <c r="VPT34" s="1000"/>
      <c r="VPU34" s="1000"/>
      <c r="VPV34" s="1000"/>
      <c r="VPW34" s="1000"/>
      <c r="VPX34" s="1000"/>
      <c r="VPY34" s="1000"/>
      <c r="VPZ34" s="1000"/>
      <c r="VQA34" s="1000"/>
      <c r="VQB34" s="1000"/>
      <c r="VQC34" s="1000"/>
      <c r="VQD34" s="1000"/>
      <c r="VQE34" s="1000"/>
      <c r="VQF34" s="1000"/>
      <c r="VQG34" s="1000"/>
      <c r="VQH34" s="1000"/>
      <c r="VQI34" s="1000"/>
      <c r="VQJ34" s="1000"/>
      <c r="VQK34" s="1000"/>
      <c r="VQL34" s="1000"/>
      <c r="VQM34" s="1000"/>
      <c r="VQN34" s="1000"/>
      <c r="VQO34" s="1000"/>
      <c r="VQP34" s="1000"/>
      <c r="VQQ34" s="1000"/>
      <c r="VQR34" s="1000"/>
      <c r="VQS34" s="1000"/>
      <c r="VQT34" s="1000"/>
      <c r="VQU34" s="1000"/>
      <c r="VQV34" s="1000"/>
      <c r="VQW34" s="1000"/>
      <c r="VQX34" s="1000"/>
      <c r="VQY34" s="1000"/>
      <c r="VQZ34" s="1000"/>
      <c r="VRA34" s="1000"/>
      <c r="VRB34" s="1000"/>
      <c r="VRC34" s="1000"/>
      <c r="VRD34" s="1000"/>
      <c r="VRE34" s="1000"/>
      <c r="VRF34" s="1000"/>
      <c r="VRG34" s="1000"/>
      <c r="VRH34" s="1000"/>
      <c r="VRI34" s="1000"/>
      <c r="VRJ34" s="1000"/>
      <c r="VRK34" s="1000"/>
      <c r="VRL34" s="1000"/>
      <c r="VRM34" s="1000"/>
      <c r="VRN34" s="1000"/>
      <c r="VRO34" s="1000"/>
      <c r="VRP34" s="1000"/>
      <c r="VRQ34" s="1000"/>
      <c r="VRR34" s="1000"/>
      <c r="VRS34" s="1000"/>
      <c r="VRT34" s="1000"/>
      <c r="VRU34" s="1000"/>
      <c r="VRV34" s="1000"/>
      <c r="VRW34" s="1000"/>
      <c r="VRX34" s="1000"/>
      <c r="VRY34" s="1000"/>
      <c r="VRZ34" s="1000"/>
      <c r="VSA34" s="1000"/>
      <c r="VSB34" s="1000"/>
      <c r="VSC34" s="1000"/>
      <c r="VSD34" s="1000"/>
      <c r="VSE34" s="1000"/>
      <c r="VSF34" s="1000"/>
      <c r="VSG34" s="1000"/>
      <c r="VSH34" s="1000"/>
      <c r="VSI34" s="1000"/>
      <c r="VSJ34" s="1000"/>
      <c r="VSK34" s="1000"/>
      <c r="VSL34" s="1000"/>
      <c r="VSM34" s="1000"/>
      <c r="VSN34" s="1000"/>
      <c r="VSO34" s="1000"/>
      <c r="VSP34" s="1000"/>
      <c r="VSQ34" s="1000"/>
      <c r="VSR34" s="1000"/>
      <c r="VSS34" s="1000"/>
      <c r="VST34" s="1000"/>
      <c r="VSU34" s="1000"/>
      <c r="VSV34" s="1000"/>
      <c r="VSW34" s="1000"/>
      <c r="VSX34" s="1000"/>
      <c r="VSY34" s="1000"/>
      <c r="VSZ34" s="1000"/>
      <c r="VTA34" s="1000"/>
      <c r="VTB34" s="1000"/>
      <c r="VTC34" s="1000"/>
      <c r="VTD34" s="1000"/>
      <c r="VTE34" s="1000"/>
      <c r="VTF34" s="1000"/>
      <c r="VTG34" s="1000"/>
      <c r="VTH34" s="1000"/>
      <c r="VTI34" s="1000"/>
      <c r="VTJ34" s="1000"/>
      <c r="VTK34" s="1000"/>
      <c r="VTL34" s="1000"/>
      <c r="VTM34" s="1000"/>
      <c r="VTN34" s="1000"/>
      <c r="VTO34" s="1000"/>
      <c r="VTP34" s="1000"/>
      <c r="VTQ34" s="1000"/>
      <c r="VTR34" s="1000"/>
      <c r="VTS34" s="1000"/>
      <c r="VTT34" s="1000"/>
      <c r="VTU34" s="1000"/>
      <c r="VTV34" s="1000"/>
      <c r="VTW34" s="1000"/>
      <c r="VTX34" s="1000"/>
      <c r="VTY34" s="1000"/>
      <c r="VTZ34" s="1000"/>
      <c r="VUA34" s="1000"/>
      <c r="VUB34" s="1000"/>
      <c r="VUC34" s="1000"/>
      <c r="VUD34" s="1000"/>
      <c r="VUE34" s="1000"/>
      <c r="VUF34" s="1000"/>
      <c r="VUG34" s="1000"/>
      <c r="VUH34" s="1000"/>
      <c r="VUI34" s="1000"/>
      <c r="VUJ34" s="1000"/>
      <c r="VUK34" s="1000"/>
      <c r="VUL34" s="1000"/>
      <c r="VUM34" s="1000"/>
      <c r="VUN34" s="1000"/>
      <c r="VUO34" s="1000"/>
      <c r="VUP34" s="1000"/>
      <c r="VUQ34" s="1000"/>
      <c r="VUR34" s="1000"/>
      <c r="VUS34" s="1000"/>
      <c r="VUT34" s="1000"/>
      <c r="VUU34" s="1000"/>
      <c r="VUV34" s="1000"/>
      <c r="VUW34" s="1000"/>
      <c r="VUX34" s="1000"/>
      <c r="VUY34" s="1000"/>
      <c r="VUZ34" s="1000"/>
      <c r="VVA34" s="1000"/>
      <c r="VVB34" s="1000"/>
      <c r="VVC34" s="1000"/>
      <c r="VVD34" s="1000"/>
      <c r="VVE34" s="1000"/>
      <c r="VVF34" s="1000"/>
      <c r="VVG34" s="1000"/>
      <c r="VVH34" s="1000"/>
      <c r="VVI34" s="1000"/>
      <c r="VVJ34" s="1000"/>
      <c r="VVK34" s="1000"/>
      <c r="VVL34" s="1000"/>
      <c r="VVM34" s="1000"/>
      <c r="VVN34" s="1000"/>
      <c r="VVO34" s="1000"/>
      <c r="VVP34" s="1000"/>
      <c r="VVQ34" s="1000"/>
      <c r="VVR34" s="1000"/>
      <c r="VVS34" s="1000"/>
      <c r="VVT34" s="1000"/>
      <c r="VVU34" s="1000"/>
      <c r="VVV34" s="1000"/>
      <c r="VVW34" s="1000"/>
      <c r="VVX34" s="1000"/>
      <c r="VVY34" s="1000"/>
      <c r="VVZ34" s="1000"/>
      <c r="VWA34" s="1000"/>
      <c r="VWB34" s="1000"/>
      <c r="VWC34" s="1000"/>
      <c r="VWD34" s="1000"/>
      <c r="VWE34" s="1000"/>
      <c r="VWF34" s="1000"/>
      <c r="VWG34" s="1000"/>
      <c r="VWH34" s="1000"/>
      <c r="VWI34" s="1000"/>
      <c r="VWJ34" s="1000"/>
      <c r="VWK34" s="1000"/>
      <c r="VWL34" s="1000"/>
      <c r="VWM34" s="1000"/>
      <c r="VWN34" s="1000"/>
      <c r="VWO34" s="1000"/>
      <c r="VWP34" s="1000"/>
      <c r="VWQ34" s="1000"/>
      <c r="VWR34" s="1000"/>
      <c r="VWS34" s="1000"/>
      <c r="VWT34" s="1000"/>
      <c r="VWU34" s="1000"/>
      <c r="VWV34" s="1000"/>
      <c r="VWW34" s="1000"/>
      <c r="VWX34" s="1000"/>
      <c r="VWY34" s="1000"/>
      <c r="VWZ34" s="1000"/>
      <c r="VXA34" s="1000"/>
      <c r="VXB34" s="1000"/>
      <c r="VXC34" s="1000"/>
      <c r="VXD34" s="1000"/>
      <c r="VXE34" s="1000"/>
      <c r="VXF34" s="1000"/>
      <c r="VXG34" s="1000"/>
      <c r="VXH34" s="1000"/>
      <c r="VXI34" s="1000"/>
      <c r="VXJ34" s="1000"/>
      <c r="VXK34" s="1000"/>
      <c r="VXL34" s="1000"/>
      <c r="VXM34" s="1000"/>
      <c r="VXN34" s="1000"/>
      <c r="VXO34" s="1000"/>
      <c r="VXP34" s="1000"/>
      <c r="VXQ34" s="1000"/>
      <c r="VXR34" s="1000"/>
      <c r="VXS34" s="1000"/>
      <c r="VXT34" s="1000"/>
      <c r="VXU34" s="1000"/>
      <c r="VXV34" s="1000"/>
      <c r="VXW34" s="1000"/>
      <c r="VXX34" s="1000"/>
      <c r="VXY34" s="1000"/>
      <c r="VXZ34" s="1000"/>
      <c r="VYA34" s="1000"/>
      <c r="VYB34" s="1000"/>
      <c r="VYC34" s="1000"/>
      <c r="VYD34" s="1000"/>
      <c r="VYE34" s="1000"/>
      <c r="VYF34" s="1000"/>
      <c r="VYG34" s="1000"/>
      <c r="VYH34" s="1000"/>
      <c r="VYI34" s="1000"/>
      <c r="VYJ34" s="1000"/>
      <c r="VYK34" s="1000"/>
      <c r="VYL34" s="1000"/>
      <c r="VYM34" s="1000"/>
      <c r="VYN34" s="1000"/>
      <c r="VYO34" s="1000"/>
      <c r="VYP34" s="1000"/>
      <c r="VYQ34" s="1000"/>
      <c r="VYR34" s="1000"/>
      <c r="VYS34" s="1000"/>
      <c r="VYT34" s="1000"/>
      <c r="VYU34" s="1000"/>
      <c r="VYV34" s="1000"/>
      <c r="VYW34" s="1000"/>
      <c r="VYX34" s="1000"/>
      <c r="VYY34" s="1000"/>
      <c r="VYZ34" s="1000"/>
      <c r="VZA34" s="1000"/>
      <c r="VZB34" s="1000"/>
      <c r="VZC34" s="1000"/>
      <c r="VZD34" s="1000"/>
      <c r="VZE34" s="1000"/>
      <c r="VZF34" s="1000"/>
      <c r="VZG34" s="1000"/>
      <c r="VZH34" s="1000"/>
      <c r="VZI34" s="1000"/>
      <c r="VZJ34" s="1000"/>
      <c r="VZK34" s="1000"/>
      <c r="VZL34" s="1000"/>
      <c r="VZM34" s="1000"/>
      <c r="VZN34" s="1000"/>
      <c r="VZO34" s="1000"/>
      <c r="VZP34" s="1000"/>
      <c r="VZQ34" s="1000"/>
      <c r="VZR34" s="1000"/>
      <c r="VZS34" s="1000"/>
      <c r="VZT34" s="1000"/>
      <c r="VZU34" s="1000"/>
      <c r="VZV34" s="1000"/>
      <c r="VZW34" s="1000"/>
      <c r="VZX34" s="1000"/>
      <c r="VZY34" s="1000"/>
      <c r="VZZ34" s="1000"/>
      <c r="WAA34" s="1000"/>
      <c r="WAB34" s="1000"/>
      <c r="WAC34" s="1000"/>
      <c r="WAD34" s="1000"/>
      <c r="WAE34" s="1000"/>
      <c r="WAF34" s="1000"/>
      <c r="WAG34" s="1000"/>
      <c r="WAH34" s="1000"/>
      <c r="WAI34" s="1000"/>
      <c r="WAJ34" s="1000"/>
      <c r="WAK34" s="1000"/>
      <c r="WAL34" s="1000"/>
      <c r="WAM34" s="1000"/>
      <c r="WAN34" s="1000"/>
      <c r="WAO34" s="1000"/>
      <c r="WAP34" s="1000"/>
      <c r="WAQ34" s="1000"/>
      <c r="WAR34" s="1000"/>
      <c r="WAS34" s="1000"/>
      <c r="WAT34" s="1000"/>
      <c r="WAU34" s="1000"/>
      <c r="WAV34" s="1000"/>
      <c r="WAW34" s="1000"/>
      <c r="WAX34" s="1000"/>
      <c r="WAY34" s="1000"/>
      <c r="WAZ34" s="1000"/>
      <c r="WBA34" s="1000"/>
      <c r="WBB34" s="1000"/>
      <c r="WBC34" s="1000"/>
      <c r="WBD34" s="1000"/>
      <c r="WBE34" s="1000"/>
      <c r="WBF34" s="1000"/>
      <c r="WBG34" s="1000"/>
      <c r="WBH34" s="1000"/>
      <c r="WBI34" s="1000"/>
      <c r="WBJ34" s="1000"/>
      <c r="WBK34" s="1000"/>
      <c r="WBL34" s="1000"/>
      <c r="WBM34" s="1000"/>
      <c r="WBN34" s="1000"/>
      <c r="WBO34" s="1000"/>
      <c r="WBP34" s="1000"/>
      <c r="WBQ34" s="1000"/>
      <c r="WBR34" s="1000"/>
      <c r="WBS34" s="1000"/>
      <c r="WBT34" s="1000"/>
      <c r="WBU34" s="1000"/>
      <c r="WBV34" s="1000"/>
      <c r="WBW34" s="1000"/>
      <c r="WBX34" s="1000"/>
      <c r="WBY34" s="1000"/>
      <c r="WBZ34" s="1000"/>
      <c r="WCA34" s="1000"/>
      <c r="WCB34" s="1000"/>
      <c r="WCC34" s="1000"/>
      <c r="WCD34" s="1000"/>
      <c r="WCE34" s="1000"/>
      <c r="WCF34" s="1000"/>
      <c r="WCG34" s="1000"/>
      <c r="WCH34" s="1000"/>
      <c r="WCI34" s="1000"/>
      <c r="WCJ34" s="1000"/>
      <c r="WCK34" s="1000"/>
      <c r="WCL34" s="1000"/>
      <c r="WCM34" s="1000"/>
      <c r="WCN34" s="1000"/>
      <c r="WCO34" s="1000"/>
      <c r="WCP34" s="1000"/>
      <c r="WCQ34" s="1000"/>
      <c r="WCR34" s="1000"/>
      <c r="WCS34" s="1000"/>
      <c r="WCT34" s="1000"/>
      <c r="WCU34" s="1000"/>
      <c r="WCV34" s="1000"/>
      <c r="WCW34" s="1000"/>
      <c r="WCX34" s="1000"/>
      <c r="WCY34" s="1000"/>
      <c r="WCZ34" s="1000"/>
      <c r="WDA34" s="1000"/>
      <c r="WDB34" s="1000"/>
      <c r="WDC34" s="1000"/>
      <c r="WDD34" s="1000"/>
      <c r="WDE34" s="1000"/>
      <c r="WDF34" s="1000"/>
      <c r="WDG34" s="1000"/>
      <c r="WDH34" s="1000"/>
      <c r="WDI34" s="1000"/>
      <c r="WDJ34" s="1000"/>
      <c r="WDK34" s="1000"/>
      <c r="WDL34" s="1000"/>
      <c r="WDM34" s="1000"/>
      <c r="WDN34" s="1000"/>
      <c r="WDO34" s="1000"/>
      <c r="WDP34" s="1000"/>
      <c r="WDQ34" s="1000"/>
      <c r="WDR34" s="1000"/>
      <c r="WDS34" s="1000"/>
      <c r="WDT34" s="1000"/>
      <c r="WDU34" s="1000"/>
      <c r="WDV34" s="1000"/>
      <c r="WDW34" s="1000"/>
      <c r="WDX34" s="1000"/>
      <c r="WDY34" s="1000"/>
      <c r="WDZ34" s="1000"/>
      <c r="WEA34" s="1000"/>
      <c r="WEB34" s="1000"/>
      <c r="WEC34" s="1000"/>
      <c r="WED34" s="1000"/>
      <c r="WEE34" s="1000"/>
      <c r="WEF34" s="1000"/>
      <c r="WEG34" s="1000"/>
      <c r="WEH34" s="1000"/>
      <c r="WEI34" s="1000"/>
      <c r="WEJ34" s="1000"/>
      <c r="WEK34" s="1000"/>
      <c r="WEL34" s="1000"/>
      <c r="WEM34" s="1000"/>
      <c r="WEN34" s="1000"/>
      <c r="WEO34" s="1000"/>
      <c r="WEP34" s="1000"/>
      <c r="WEQ34" s="1000"/>
      <c r="WER34" s="1000"/>
      <c r="WES34" s="1000"/>
      <c r="WET34" s="1000"/>
      <c r="WEU34" s="1000"/>
      <c r="WEV34" s="1000"/>
      <c r="WEW34" s="1000"/>
      <c r="WEX34" s="1000"/>
      <c r="WEY34" s="1000"/>
      <c r="WEZ34" s="1000"/>
      <c r="WFA34" s="1000"/>
      <c r="WFB34" s="1000"/>
      <c r="WFC34" s="1000"/>
      <c r="WFD34" s="1000"/>
      <c r="WFE34" s="1000"/>
      <c r="WFF34" s="1000"/>
      <c r="WFG34" s="1000"/>
      <c r="WFH34" s="1000"/>
      <c r="WFI34" s="1000"/>
      <c r="WFJ34" s="1000"/>
      <c r="WFK34" s="1000"/>
      <c r="WFL34" s="1000"/>
      <c r="WFM34" s="1000"/>
      <c r="WFN34" s="1000"/>
      <c r="WFO34" s="1000"/>
      <c r="WFP34" s="1000"/>
      <c r="WFQ34" s="1000"/>
      <c r="WFR34" s="1000"/>
      <c r="WFS34" s="1000"/>
      <c r="WFT34" s="1000"/>
      <c r="WFU34" s="1000"/>
      <c r="WFV34" s="1000"/>
      <c r="WFW34" s="1000"/>
      <c r="WFX34" s="1000"/>
      <c r="WFY34" s="1000"/>
      <c r="WFZ34" s="1000"/>
      <c r="WGA34" s="1000"/>
      <c r="WGB34" s="1000"/>
      <c r="WGC34" s="1000"/>
      <c r="WGD34" s="1000"/>
      <c r="WGE34" s="1000"/>
      <c r="WGF34" s="1000"/>
      <c r="WGG34" s="1000"/>
      <c r="WGH34" s="1000"/>
      <c r="WGI34" s="1000"/>
      <c r="WGJ34" s="1000"/>
      <c r="WGK34" s="1000"/>
      <c r="WGL34" s="1000"/>
      <c r="WGM34" s="1000"/>
      <c r="WGN34" s="1000"/>
      <c r="WGO34" s="1000"/>
      <c r="WGP34" s="1000"/>
      <c r="WGQ34" s="1000"/>
      <c r="WGR34" s="1000"/>
      <c r="WGS34" s="1000"/>
      <c r="WGT34" s="1000"/>
      <c r="WGU34" s="1000"/>
      <c r="WGV34" s="1000"/>
      <c r="WGW34" s="1000"/>
      <c r="WGX34" s="1000"/>
      <c r="WGY34" s="1000"/>
      <c r="WGZ34" s="1000"/>
      <c r="WHA34" s="1000"/>
      <c r="WHB34" s="1000"/>
      <c r="WHC34" s="1000"/>
      <c r="WHD34" s="1000"/>
      <c r="WHE34" s="1000"/>
      <c r="WHF34" s="1000"/>
      <c r="WHG34" s="1000"/>
      <c r="WHH34" s="1000"/>
      <c r="WHI34" s="1000"/>
      <c r="WHJ34" s="1000"/>
      <c r="WHK34" s="1000"/>
      <c r="WHL34" s="1000"/>
      <c r="WHM34" s="1000"/>
      <c r="WHN34" s="1000"/>
      <c r="WHO34" s="1000"/>
      <c r="WHP34" s="1000"/>
      <c r="WHQ34" s="1000"/>
      <c r="WHR34" s="1000"/>
      <c r="WHS34" s="1000"/>
      <c r="WHT34" s="1000"/>
      <c r="WHU34" s="1000"/>
      <c r="WHV34" s="1000"/>
      <c r="WHW34" s="1000"/>
      <c r="WHX34" s="1000"/>
      <c r="WHY34" s="1000"/>
      <c r="WHZ34" s="1000"/>
      <c r="WIA34" s="1000"/>
      <c r="WIB34" s="1000"/>
      <c r="WIC34" s="1000"/>
      <c r="WID34" s="1000"/>
      <c r="WIE34" s="1000"/>
      <c r="WIF34" s="1000"/>
      <c r="WIG34" s="1000"/>
      <c r="WIH34" s="1000"/>
      <c r="WII34" s="1000"/>
      <c r="WIJ34" s="1000"/>
      <c r="WIK34" s="1000"/>
      <c r="WIL34" s="1000"/>
      <c r="WIM34" s="1000"/>
      <c r="WIN34" s="1000"/>
      <c r="WIO34" s="1000"/>
      <c r="WIP34" s="1000"/>
      <c r="WIQ34" s="1000"/>
      <c r="WIR34" s="1000"/>
      <c r="WIS34" s="1000"/>
      <c r="WIT34" s="1000"/>
      <c r="WIU34" s="1000"/>
      <c r="WIV34" s="1000"/>
      <c r="WIW34" s="1000"/>
      <c r="WIX34" s="1000"/>
      <c r="WIY34" s="1000"/>
      <c r="WIZ34" s="1000"/>
      <c r="WJA34" s="1000"/>
      <c r="WJB34" s="1000"/>
      <c r="WJC34" s="1000"/>
      <c r="WJD34" s="1000"/>
      <c r="WJE34" s="1000"/>
      <c r="WJF34" s="1000"/>
      <c r="WJG34" s="1000"/>
      <c r="WJH34" s="1000"/>
      <c r="WJI34" s="1000"/>
      <c r="WJJ34" s="1000"/>
      <c r="WJK34" s="1000"/>
      <c r="WJL34" s="1000"/>
      <c r="WJM34" s="1000"/>
      <c r="WJN34" s="1000"/>
      <c r="WJO34" s="1000"/>
      <c r="WJP34" s="1000"/>
      <c r="WJQ34" s="1000"/>
      <c r="WJR34" s="1000"/>
      <c r="WJS34" s="1000"/>
      <c r="WJT34" s="1000"/>
      <c r="WJU34" s="1000"/>
      <c r="WJV34" s="1000"/>
      <c r="WJW34" s="1000"/>
      <c r="WJX34" s="1000"/>
      <c r="WJY34" s="1000"/>
      <c r="WJZ34" s="1000"/>
      <c r="WKA34" s="1000"/>
      <c r="WKB34" s="1000"/>
      <c r="WKC34" s="1000"/>
      <c r="WKD34" s="1000"/>
      <c r="WKE34" s="1000"/>
      <c r="WKF34" s="1000"/>
      <c r="WKG34" s="1000"/>
      <c r="WKH34" s="1000"/>
      <c r="WKI34" s="1000"/>
      <c r="WKJ34" s="1000"/>
      <c r="WKK34" s="1000"/>
      <c r="WKL34" s="1000"/>
      <c r="WKM34" s="1000"/>
      <c r="WKN34" s="1000"/>
      <c r="WKO34" s="1000"/>
      <c r="WKP34" s="1000"/>
      <c r="WKQ34" s="1000"/>
      <c r="WKR34" s="1000"/>
      <c r="WKS34" s="1000"/>
      <c r="WKT34" s="1000"/>
      <c r="WKU34" s="1000"/>
      <c r="WKV34" s="1000"/>
      <c r="WKW34" s="1000"/>
      <c r="WKX34" s="1000"/>
      <c r="WKY34" s="1000"/>
      <c r="WKZ34" s="1000"/>
      <c r="WLA34" s="1000"/>
      <c r="WLB34" s="1000"/>
      <c r="WLC34" s="1000"/>
      <c r="WLD34" s="1000"/>
      <c r="WLE34" s="1000"/>
      <c r="WLF34" s="1000"/>
      <c r="WLG34" s="1000"/>
      <c r="WLH34" s="1000"/>
      <c r="WLI34" s="1000"/>
      <c r="WLJ34" s="1000"/>
      <c r="WLK34" s="1000"/>
      <c r="WLL34" s="1000"/>
      <c r="WLM34" s="1000"/>
      <c r="WLN34" s="1000"/>
      <c r="WLO34" s="1000"/>
      <c r="WLP34" s="1000"/>
      <c r="WLQ34" s="1000"/>
      <c r="WLR34" s="1000"/>
      <c r="WLS34" s="1000"/>
      <c r="WLT34" s="1000"/>
      <c r="WLU34" s="1000"/>
      <c r="WLV34" s="1000"/>
      <c r="WLW34" s="1000"/>
      <c r="WLX34" s="1000"/>
      <c r="WLY34" s="1000"/>
      <c r="WLZ34" s="1000"/>
      <c r="WMA34" s="1000"/>
      <c r="WMB34" s="1000"/>
      <c r="WMC34" s="1000"/>
      <c r="WMD34" s="1000"/>
      <c r="WME34" s="1000"/>
      <c r="WMF34" s="1000"/>
      <c r="WMG34" s="1000"/>
      <c r="WMH34" s="1000"/>
      <c r="WMI34" s="1000"/>
      <c r="WMJ34" s="1000"/>
      <c r="WMK34" s="1000"/>
      <c r="WML34" s="1000"/>
      <c r="WMM34" s="1000"/>
      <c r="WMN34" s="1000"/>
      <c r="WMO34" s="1000"/>
      <c r="WMP34" s="1000"/>
      <c r="WMQ34" s="1000"/>
      <c r="WMR34" s="1000"/>
      <c r="WMS34" s="1000"/>
      <c r="WMT34" s="1000"/>
      <c r="WMU34" s="1000"/>
      <c r="WMV34" s="1000"/>
      <c r="WMW34" s="1000"/>
      <c r="WMX34" s="1000"/>
      <c r="WMY34" s="1000"/>
      <c r="WMZ34" s="1000"/>
      <c r="WNA34" s="1000"/>
      <c r="WNB34" s="1000"/>
      <c r="WNC34" s="1000"/>
      <c r="WND34" s="1000"/>
      <c r="WNE34" s="1000"/>
      <c r="WNF34" s="1000"/>
      <c r="WNG34" s="1000"/>
      <c r="WNH34" s="1000"/>
      <c r="WNI34" s="1000"/>
      <c r="WNJ34" s="1000"/>
      <c r="WNK34" s="1000"/>
      <c r="WNL34" s="1000"/>
      <c r="WNM34" s="1000"/>
      <c r="WNN34" s="1000"/>
      <c r="WNO34" s="1000"/>
      <c r="WNP34" s="1000"/>
      <c r="WNQ34" s="1000"/>
      <c r="WNR34" s="1000"/>
      <c r="WNS34" s="1000"/>
      <c r="WNT34" s="1000"/>
      <c r="WNU34" s="1000"/>
      <c r="WNV34" s="1000"/>
      <c r="WNW34" s="1000"/>
      <c r="WNX34" s="1000"/>
      <c r="WNY34" s="1000"/>
      <c r="WNZ34" s="1000"/>
      <c r="WOA34" s="1000"/>
      <c r="WOB34" s="1000"/>
      <c r="WOC34" s="1000"/>
      <c r="WOD34" s="1000"/>
      <c r="WOE34" s="1000"/>
      <c r="WOF34" s="1000"/>
      <c r="WOG34" s="1000"/>
      <c r="WOH34" s="1000"/>
      <c r="WOI34" s="1000"/>
      <c r="WOJ34" s="1000"/>
      <c r="WOK34" s="1000"/>
      <c r="WOL34" s="1000"/>
      <c r="WOM34" s="1000"/>
      <c r="WON34" s="1000"/>
      <c r="WOO34" s="1000"/>
      <c r="WOP34" s="1000"/>
      <c r="WOQ34" s="1000"/>
      <c r="WOR34" s="1000"/>
      <c r="WOS34" s="1000"/>
      <c r="WOT34" s="1000"/>
      <c r="WOU34" s="1000"/>
      <c r="WOV34" s="1000"/>
      <c r="WOW34" s="1000"/>
      <c r="WOX34" s="1000"/>
      <c r="WOY34" s="1000"/>
      <c r="WOZ34" s="1000"/>
      <c r="WPA34" s="1000"/>
      <c r="WPB34" s="1000"/>
      <c r="WPC34" s="1000"/>
      <c r="WPD34" s="1000"/>
      <c r="WPE34" s="1000"/>
      <c r="WPF34" s="1000"/>
      <c r="WPG34" s="1000"/>
      <c r="WPH34" s="1000"/>
      <c r="WPI34" s="1000"/>
      <c r="WPJ34" s="1000"/>
      <c r="WPK34" s="1000"/>
      <c r="WPL34" s="1000"/>
      <c r="WPM34" s="1000"/>
      <c r="WPN34" s="1000"/>
      <c r="WPO34" s="1000"/>
      <c r="WPP34" s="1000"/>
      <c r="WPQ34" s="1000"/>
      <c r="WPR34" s="1000"/>
      <c r="WPS34" s="1000"/>
      <c r="WPT34" s="1000"/>
      <c r="WPU34" s="1000"/>
      <c r="WPV34" s="1000"/>
      <c r="WPW34" s="1000"/>
      <c r="WPX34" s="1000"/>
      <c r="WPY34" s="1000"/>
      <c r="WPZ34" s="1000"/>
      <c r="WQA34" s="1000"/>
      <c r="WQB34" s="1000"/>
      <c r="WQC34" s="1000"/>
      <c r="WQD34" s="1000"/>
      <c r="WQE34" s="1000"/>
      <c r="WQF34" s="1000"/>
      <c r="WQG34" s="1000"/>
      <c r="WQH34" s="1000"/>
      <c r="WQI34" s="1000"/>
      <c r="WQJ34" s="1000"/>
      <c r="WQK34" s="1000"/>
      <c r="WQL34" s="1000"/>
      <c r="WQM34" s="1000"/>
      <c r="WQN34" s="1000"/>
      <c r="WQO34" s="1000"/>
      <c r="WQP34" s="1000"/>
      <c r="WQQ34" s="1000"/>
      <c r="WQR34" s="1000"/>
      <c r="WQS34" s="1000"/>
      <c r="WQT34" s="1000"/>
      <c r="WQU34" s="1000"/>
      <c r="WQV34" s="1000"/>
      <c r="WQW34" s="1000"/>
      <c r="WQX34" s="1000"/>
      <c r="WQY34" s="1000"/>
      <c r="WQZ34" s="1000"/>
      <c r="WRA34" s="1000"/>
      <c r="WRB34" s="1000"/>
      <c r="WRC34" s="1000"/>
      <c r="WRD34" s="1000"/>
      <c r="WRE34" s="1000"/>
      <c r="WRF34" s="1000"/>
      <c r="WRG34" s="1000"/>
      <c r="WRH34" s="1000"/>
      <c r="WRI34" s="1000"/>
      <c r="WRJ34" s="1000"/>
      <c r="WRK34" s="1000"/>
      <c r="WRL34" s="1000"/>
      <c r="WRM34" s="1000"/>
      <c r="WRN34" s="1000"/>
      <c r="WRO34" s="1000"/>
      <c r="WRP34" s="1000"/>
      <c r="WRQ34" s="1000"/>
      <c r="WRR34" s="1000"/>
      <c r="WRS34" s="1000"/>
      <c r="WRT34" s="1000"/>
      <c r="WRU34" s="1000"/>
      <c r="WRV34" s="1000"/>
      <c r="WRW34" s="1000"/>
      <c r="WRX34" s="1000"/>
      <c r="WRY34" s="1000"/>
      <c r="WRZ34" s="1000"/>
      <c r="WSA34" s="1000"/>
      <c r="WSB34" s="1000"/>
      <c r="WSC34" s="1000"/>
      <c r="WSD34" s="1000"/>
      <c r="WSE34" s="1000"/>
      <c r="WSF34" s="1000"/>
      <c r="WSG34" s="1000"/>
      <c r="WSH34" s="1000"/>
      <c r="WSI34" s="1000"/>
      <c r="WSJ34" s="1000"/>
      <c r="WSK34" s="1000"/>
      <c r="WSL34" s="1000"/>
      <c r="WSM34" s="1000"/>
      <c r="WSN34" s="1000"/>
      <c r="WSO34" s="1000"/>
      <c r="WSP34" s="1000"/>
      <c r="WSQ34" s="1000"/>
      <c r="WSR34" s="1000"/>
      <c r="WSS34" s="1000"/>
      <c r="WST34" s="1000"/>
      <c r="WSU34" s="1000"/>
      <c r="WSV34" s="1000"/>
      <c r="WSW34" s="1000"/>
      <c r="WSX34" s="1000"/>
      <c r="WSY34" s="1000"/>
      <c r="WSZ34" s="1000"/>
      <c r="WTA34" s="1000"/>
      <c r="WTB34" s="1000"/>
      <c r="WTC34" s="1000"/>
      <c r="WTD34" s="1000"/>
      <c r="WTE34" s="1000"/>
      <c r="WTF34" s="1000"/>
      <c r="WTG34" s="1000"/>
      <c r="WTH34" s="1000"/>
      <c r="WTI34" s="1000"/>
      <c r="WTJ34" s="1000"/>
      <c r="WTK34" s="1000"/>
      <c r="WTL34" s="1000"/>
      <c r="WTM34" s="1000"/>
      <c r="WTN34" s="1000"/>
      <c r="WTO34" s="1000"/>
      <c r="WTP34" s="1000"/>
      <c r="WTQ34" s="1000"/>
      <c r="WTR34" s="1000"/>
      <c r="WTS34" s="1000"/>
      <c r="WTT34" s="1000"/>
      <c r="WTU34" s="1000"/>
      <c r="WTV34" s="1000"/>
      <c r="WTW34" s="1000"/>
      <c r="WTX34" s="1000"/>
      <c r="WTY34" s="1000"/>
      <c r="WTZ34" s="1000"/>
      <c r="WUA34" s="1000"/>
      <c r="WUB34" s="1000"/>
      <c r="WUC34" s="1000"/>
      <c r="WUD34" s="1000"/>
      <c r="WUE34" s="1000"/>
      <c r="WUF34" s="1000"/>
      <c r="WUG34" s="1000"/>
      <c r="WUH34" s="1000"/>
      <c r="WUI34" s="1000"/>
      <c r="WUJ34" s="1000"/>
      <c r="WUK34" s="1000"/>
      <c r="WUL34" s="1000"/>
      <c r="WUM34" s="1000"/>
      <c r="WUN34" s="1000"/>
      <c r="WUO34" s="1000"/>
      <c r="WUP34" s="1000"/>
      <c r="WUQ34" s="1000"/>
      <c r="WUR34" s="1000"/>
      <c r="WUS34" s="1000"/>
      <c r="WUT34" s="1000"/>
      <c r="WUU34" s="1000"/>
      <c r="WUV34" s="1000"/>
      <c r="WUW34" s="1000"/>
      <c r="WUX34" s="1000"/>
      <c r="WUY34" s="1000"/>
      <c r="WUZ34" s="1000"/>
      <c r="WVA34" s="1000"/>
      <c r="WVB34" s="1000"/>
      <c r="WVC34" s="1000"/>
      <c r="WVD34" s="1000"/>
      <c r="WVE34" s="1000"/>
      <c r="WVF34" s="1000"/>
      <c r="WVG34" s="1000"/>
      <c r="WVH34" s="1000"/>
      <c r="WVI34" s="1000"/>
      <c r="WVJ34" s="1000"/>
      <c r="WVK34" s="1000"/>
      <c r="WVL34" s="1000"/>
      <c r="WVM34" s="1000"/>
      <c r="WVN34" s="1000"/>
      <c r="WVO34" s="1000"/>
      <c r="WVP34" s="1000"/>
      <c r="WVQ34" s="1000"/>
      <c r="WVR34" s="1000"/>
      <c r="WVS34" s="1000"/>
      <c r="WVT34" s="1000"/>
      <c r="WVU34" s="1000"/>
      <c r="WVV34" s="1000"/>
      <c r="WVW34" s="1000"/>
      <c r="WVX34" s="1000"/>
      <c r="WVY34" s="1000"/>
      <c r="WVZ34" s="1000"/>
      <c r="WWA34" s="1000"/>
      <c r="WWB34" s="1000"/>
      <c r="WWC34" s="1000"/>
      <c r="WWD34" s="1000"/>
      <c r="WWE34" s="1000"/>
      <c r="WWF34" s="1000"/>
      <c r="WWG34" s="1000"/>
      <c r="WWH34" s="1000"/>
      <c r="WWI34" s="1000"/>
      <c r="WWJ34" s="1000"/>
      <c r="WWK34" s="1000"/>
      <c r="WWL34" s="1000"/>
      <c r="WWM34" s="1000"/>
      <c r="WWN34" s="1000"/>
      <c r="WWO34" s="1000"/>
      <c r="WWP34" s="1000"/>
      <c r="WWQ34" s="1000"/>
      <c r="WWR34" s="1000"/>
      <c r="WWS34" s="1000"/>
      <c r="WWT34" s="1000"/>
      <c r="WWU34" s="1000"/>
      <c r="WWV34" s="1000"/>
      <c r="WWW34" s="1000"/>
      <c r="WWX34" s="1000"/>
      <c r="WWY34" s="1000"/>
      <c r="WWZ34" s="1000"/>
      <c r="WXA34" s="1000"/>
      <c r="WXB34" s="1000"/>
      <c r="WXC34" s="1000"/>
      <c r="WXD34" s="1000"/>
      <c r="WXE34" s="1000"/>
      <c r="WXF34" s="1000"/>
      <c r="WXG34" s="1000"/>
      <c r="WXH34" s="1000"/>
      <c r="WXI34" s="1000"/>
      <c r="WXJ34" s="1000"/>
      <c r="WXK34" s="1000"/>
      <c r="WXL34" s="1000"/>
      <c r="WXM34" s="1000"/>
      <c r="WXN34" s="1000"/>
      <c r="WXO34" s="1000"/>
      <c r="WXP34" s="1000"/>
      <c r="WXQ34" s="1000"/>
      <c r="WXR34" s="1000"/>
      <c r="WXS34" s="1000"/>
      <c r="WXT34" s="1000"/>
      <c r="WXU34" s="1000"/>
      <c r="WXV34" s="1000"/>
      <c r="WXW34" s="1000"/>
      <c r="WXX34" s="1000"/>
      <c r="WXY34" s="1000"/>
      <c r="WXZ34" s="1000"/>
      <c r="WYA34" s="1000"/>
      <c r="WYB34" s="1000"/>
      <c r="WYC34" s="1000"/>
      <c r="WYD34" s="1000"/>
      <c r="WYE34" s="1000"/>
      <c r="WYF34" s="1000"/>
      <c r="WYG34" s="1000"/>
      <c r="WYH34" s="1000"/>
      <c r="WYI34" s="1000"/>
      <c r="WYJ34" s="1000"/>
      <c r="WYK34" s="1000"/>
      <c r="WYL34" s="1000"/>
      <c r="WYM34" s="1000"/>
      <c r="WYN34" s="1000"/>
      <c r="WYO34" s="1000"/>
      <c r="WYP34" s="1000"/>
      <c r="WYQ34" s="1000"/>
      <c r="WYR34" s="1000"/>
      <c r="WYS34" s="1000"/>
      <c r="WYT34" s="1000"/>
      <c r="WYU34" s="1000"/>
      <c r="WYV34" s="1000"/>
      <c r="WYW34" s="1000"/>
      <c r="WYX34" s="1000"/>
      <c r="WYY34" s="1000"/>
      <c r="WYZ34" s="1000"/>
      <c r="WZA34" s="1000"/>
      <c r="WZB34" s="1000"/>
      <c r="WZC34" s="1000"/>
      <c r="WZD34" s="1000"/>
      <c r="WZE34" s="1000"/>
      <c r="WZF34" s="1000"/>
      <c r="WZG34" s="1000"/>
      <c r="WZH34" s="1000"/>
      <c r="WZI34" s="1000"/>
      <c r="WZJ34" s="1000"/>
      <c r="WZK34" s="1000"/>
      <c r="WZL34" s="1000"/>
      <c r="WZM34" s="1000"/>
      <c r="WZN34" s="1000"/>
      <c r="WZO34" s="1000"/>
      <c r="WZP34" s="1000"/>
      <c r="WZQ34" s="1000"/>
      <c r="WZR34" s="1000"/>
      <c r="WZS34" s="1000"/>
      <c r="WZT34" s="1000"/>
      <c r="WZU34" s="1000"/>
      <c r="WZV34" s="1000"/>
      <c r="WZW34" s="1000"/>
      <c r="WZX34" s="1000"/>
      <c r="WZY34" s="1000"/>
      <c r="WZZ34" s="1000"/>
      <c r="XAA34" s="1000"/>
      <c r="XAB34" s="1000"/>
      <c r="XAC34" s="1000"/>
      <c r="XAD34" s="1000"/>
      <c r="XAE34" s="1000"/>
      <c r="XAF34" s="1000"/>
      <c r="XAG34" s="1000"/>
      <c r="XAH34" s="1000"/>
      <c r="XAI34" s="1000"/>
      <c r="XAJ34" s="1000"/>
      <c r="XAK34" s="1000"/>
      <c r="XAL34" s="1000"/>
      <c r="XAM34" s="1000"/>
      <c r="XAN34" s="1000"/>
      <c r="XAO34" s="1000"/>
      <c r="XAP34" s="1000"/>
      <c r="XAQ34" s="1000"/>
      <c r="XAR34" s="1000"/>
      <c r="XAS34" s="1000"/>
      <c r="XAT34" s="1000"/>
      <c r="XAU34" s="1000"/>
      <c r="XAV34" s="1000"/>
      <c r="XAW34" s="1000"/>
      <c r="XAX34" s="1000"/>
      <c r="XAY34" s="1000"/>
      <c r="XAZ34" s="1000"/>
      <c r="XBA34" s="1000"/>
      <c r="XBB34" s="1000"/>
      <c r="XBC34" s="1000"/>
      <c r="XBD34" s="1000"/>
      <c r="XBE34" s="1000"/>
      <c r="XBF34" s="1000"/>
      <c r="XBG34" s="1000"/>
      <c r="XBH34" s="1000"/>
      <c r="XBI34" s="1000"/>
      <c r="XBJ34" s="1000"/>
      <c r="XBK34" s="1000"/>
      <c r="XBL34" s="1000"/>
      <c r="XBM34" s="1000"/>
      <c r="XBN34" s="1000"/>
      <c r="XBO34" s="1000"/>
      <c r="XBP34" s="1000"/>
      <c r="XBQ34" s="1000"/>
      <c r="XBR34" s="1000"/>
      <c r="XBS34" s="1000"/>
      <c r="XBT34" s="1000"/>
      <c r="XBU34" s="1000"/>
      <c r="XBV34" s="1000"/>
      <c r="XBW34" s="1000"/>
      <c r="XBX34" s="1000"/>
      <c r="XBY34" s="1000"/>
      <c r="XBZ34" s="1000"/>
      <c r="XCA34" s="1000"/>
      <c r="XCB34" s="1000"/>
      <c r="XCC34" s="1000"/>
      <c r="XCD34" s="1000"/>
      <c r="XCE34" s="1000"/>
      <c r="XCF34" s="1000"/>
      <c r="XCG34" s="1000"/>
      <c r="XCH34" s="1000"/>
      <c r="XCI34" s="1000"/>
      <c r="XCJ34" s="1000"/>
      <c r="XCK34" s="1000"/>
      <c r="XCL34" s="1000"/>
      <c r="XCM34" s="1000"/>
      <c r="XCN34" s="1000"/>
      <c r="XCO34" s="1000"/>
      <c r="XCP34" s="1000"/>
      <c r="XCQ34" s="1000"/>
      <c r="XCR34" s="1000"/>
      <c r="XCS34" s="1000"/>
      <c r="XCT34" s="1000"/>
      <c r="XCU34" s="1000"/>
      <c r="XCV34" s="1000"/>
      <c r="XCW34" s="1000"/>
      <c r="XCX34" s="1000"/>
      <c r="XCY34" s="1000"/>
      <c r="XCZ34" s="1000"/>
      <c r="XDA34" s="1000"/>
      <c r="XDB34" s="1000"/>
      <c r="XDC34" s="1000"/>
      <c r="XDD34" s="1000"/>
      <c r="XDE34" s="1000"/>
      <c r="XDF34" s="1000"/>
      <c r="XDG34" s="1000"/>
      <c r="XDH34" s="1000"/>
      <c r="XDI34" s="1000"/>
      <c r="XDJ34" s="1000"/>
      <c r="XDK34" s="1000"/>
      <c r="XDL34" s="1000"/>
      <c r="XDM34" s="1000"/>
      <c r="XDN34" s="1000"/>
      <c r="XDO34" s="1000"/>
      <c r="XDP34" s="1000"/>
      <c r="XDQ34" s="1000"/>
      <c r="XDR34" s="1000"/>
      <c r="XDS34" s="1000"/>
      <c r="XDT34" s="1000"/>
      <c r="XDU34" s="1000"/>
      <c r="XDV34" s="1000"/>
      <c r="XDW34" s="1000"/>
      <c r="XDX34" s="1000"/>
      <c r="XDY34" s="1000"/>
      <c r="XDZ34" s="1000"/>
      <c r="XEA34" s="1000"/>
      <c r="XEB34" s="1000"/>
    </row>
    <row r="35" spans="1:16356" ht="21" hidden="1" customHeight="1">
      <c r="A35" s="139">
        <v>6</v>
      </c>
      <c r="B35" s="128" t="s">
        <v>203</v>
      </c>
      <c r="C35" s="128" t="s">
        <v>333</v>
      </c>
      <c r="D35" s="128">
        <v>40000</v>
      </c>
      <c r="E35" s="128">
        <v>10000</v>
      </c>
      <c r="F35" s="118">
        <v>44798</v>
      </c>
      <c r="G35" s="118">
        <v>45163</v>
      </c>
      <c r="H35" s="128" t="s">
        <v>282</v>
      </c>
      <c r="I35" s="1017">
        <f>E35/23*18</f>
        <v>7826.086956521739</v>
      </c>
      <c r="J35" s="708">
        <v>10000</v>
      </c>
      <c r="K35" s="708">
        <v>8000</v>
      </c>
      <c r="L35" s="708">
        <v>8000</v>
      </c>
      <c r="M35" s="708">
        <v>10000</v>
      </c>
      <c r="N35" s="711">
        <f>E35/21*20</f>
        <v>9523.8095238095248</v>
      </c>
      <c r="O35" s="711">
        <f>E35/22*22</f>
        <v>10000</v>
      </c>
      <c r="P35" s="711">
        <v>9500</v>
      </c>
      <c r="Q35" s="708">
        <v>8000</v>
      </c>
      <c r="R35" s="711">
        <f>E35/22*22</f>
        <v>10000</v>
      </c>
      <c r="S35" s="711">
        <f>E35/22*20.5</f>
        <v>9318.181818181818</v>
      </c>
      <c r="T35" s="711">
        <f>E35/22*20.5</f>
        <v>9318.181818181818</v>
      </c>
      <c r="U35" s="991" t="s">
        <v>939</v>
      </c>
      <c r="V35" s="170"/>
      <c r="W35" s="170"/>
      <c r="X35" s="1018">
        <f>SUM(I35:V35)</f>
        <v>109486.26011669492</v>
      </c>
      <c r="Y35" s="1018">
        <f>'[3]2022'!U6</f>
        <v>10619.0476190476</v>
      </c>
      <c r="Z35" s="1018"/>
      <c r="AA35" s="1018"/>
      <c r="AB35" s="1019"/>
      <c r="AC35" s="1019"/>
      <c r="AD35" s="1019">
        <f>M35</f>
        <v>10000</v>
      </c>
      <c r="AE35" s="1018"/>
      <c r="AF35" s="1018"/>
      <c r="AG35" s="1018"/>
      <c r="AH35" s="1018"/>
      <c r="AI35" s="1018"/>
      <c r="AJ35" s="1018"/>
      <c r="AK35" s="1018"/>
      <c r="AL35" s="1018"/>
      <c r="AM35" s="1018"/>
      <c r="AN35" s="1018"/>
      <c r="AO35" s="1018"/>
      <c r="AP35" s="1018"/>
    </row>
    <row r="36" spans="1:16356" ht="39" hidden="1" customHeight="1">
      <c r="A36" s="1001">
        <v>35</v>
      </c>
      <c r="B36" s="52" t="s">
        <v>346</v>
      </c>
      <c r="C36" s="52" t="s">
        <v>150</v>
      </c>
      <c r="D36" s="52">
        <v>6000</v>
      </c>
      <c r="E36" s="52">
        <v>6000</v>
      </c>
      <c r="F36" s="119">
        <v>45477</v>
      </c>
      <c r="G36" s="119"/>
      <c r="H36" s="705" t="s">
        <v>282</v>
      </c>
      <c r="I36" s="610"/>
      <c r="J36" s="54"/>
      <c r="K36" s="54"/>
      <c r="L36" s="965"/>
      <c r="M36" s="54"/>
      <c r="N36" s="54"/>
      <c r="O36" s="965">
        <f>E36/22*16</f>
        <v>4363.636363636364</v>
      </c>
      <c r="P36" s="965">
        <f>E36/22*22</f>
        <v>6000</v>
      </c>
      <c r="Q36" s="54">
        <f>E36/22*22</f>
        <v>6000</v>
      </c>
      <c r="R36" s="54">
        <v>4000</v>
      </c>
      <c r="S36" s="965">
        <f>E36/22*22</f>
        <v>6000</v>
      </c>
      <c r="T36" s="965">
        <v>5000</v>
      </c>
      <c r="U36" s="52"/>
      <c r="V36" s="716"/>
      <c r="W36" s="716"/>
      <c r="X36" s="1014"/>
      <c r="Y36" s="1014"/>
      <c r="Z36" s="1014"/>
      <c r="AA36" s="1014"/>
      <c r="AB36" s="1016"/>
      <c r="AC36" s="1016"/>
      <c r="AD36" s="1016"/>
      <c r="AE36" s="1014"/>
      <c r="AF36" s="1014"/>
      <c r="AG36" s="1014"/>
      <c r="AH36" s="1002">
        <f t="shared" ref="AH36:AJ40" si="4">R36</f>
        <v>4000</v>
      </c>
      <c r="AI36" s="1014">
        <f t="shared" si="4"/>
        <v>6000</v>
      </c>
      <c r="AJ36" s="1014">
        <f t="shared" si="4"/>
        <v>5000</v>
      </c>
      <c r="AK36" s="1014"/>
      <c r="AL36" s="1014"/>
      <c r="AM36" s="1014"/>
      <c r="AN36" s="1014"/>
      <c r="AO36" s="1014"/>
      <c r="AP36" s="1014"/>
    </row>
    <row r="37" spans="1:16356" ht="35.4" hidden="1" customHeight="1">
      <c r="A37" s="139">
        <v>2</v>
      </c>
      <c r="B37" s="52" t="s">
        <v>129</v>
      </c>
      <c r="C37" s="52" t="s">
        <v>199</v>
      </c>
      <c r="D37" s="52">
        <v>13000</v>
      </c>
      <c r="E37" s="52">
        <v>8000</v>
      </c>
      <c r="F37" s="52"/>
      <c r="G37" s="52"/>
      <c r="H37" s="52" t="s">
        <v>282</v>
      </c>
      <c r="I37" s="610">
        <v>8000</v>
      </c>
      <c r="J37" s="54">
        <v>8000</v>
      </c>
      <c r="K37" s="54">
        <v>8000</v>
      </c>
      <c r="L37" s="711">
        <f>E37/23*22</f>
        <v>7652.173913043478</v>
      </c>
      <c r="M37" s="965">
        <v>8000</v>
      </c>
      <c r="N37" s="965">
        <f>E37/21*20</f>
        <v>7619.0476190476193</v>
      </c>
      <c r="O37" s="965">
        <f>E37/22*19</f>
        <v>6909.090909090909</v>
      </c>
      <c r="P37" s="965">
        <f>E37/22*19.5</f>
        <v>7090.909090909091</v>
      </c>
      <c r="Q37" s="54">
        <v>8000</v>
      </c>
      <c r="R37" s="965">
        <f>E37/22*21</f>
        <v>7636.363636363636</v>
      </c>
      <c r="S37" s="965">
        <f>E37/22*12</f>
        <v>4363.636363636364</v>
      </c>
      <c r="T37" s="965">
        <v>6636</v>
      </c>
      <c r="U37" s="52" t="s">
        <v>938</v>
      </c>
      <c r="V37" s="52" t="s">
        <v>959</v>
      </c>
      <c r="W37" s="223">
        <f>SUM(I37:T37)</f>
        <v>87907.221532091091</v>
      </c>
      <c r="X37" s="1014">
        <f>'2023'!AN4</f>
        <v>20045.454545454544</v>
      </c>
      <c r="Y37" s="610">
        <v>8000</v>
      </c>
      <c r="Z37" s="1014">
        <f>I37</f>
        <v>8000</v>
      </c>
      <c r="AA37" s="1014">
        <v>8000</v>
      </c>
      <c r="AB37" s="1014">
        <v>8000</v>
      </c>
      <c r="AC37" s="1014">
        <f>L37</f>
        <v>7652.173913043478</v>
      </c>
      <c r="AD37" s="1014">
        <f>M37</f>
        <v>8000</v>
      </c>
      <c r="AE37" s="1014">
        <f>N37</f>
        <v>7619.0476190476193</v>
      </c>
      <c r="AF37" s="1014">
        <f>P37</f>
        <v>7090.909090909091</v>
      </c>
      <c r="AG37" s="1014">
        <v>8000</v>
      </c>
      <c r="AH37" s="1014">
        <f t="shared" si="4"/>
        <v>7636.363636363636</v>
      </c>
      <c r="AI37" s="1014">
        <f t="shared" si="4"/>
        <v>4363.636363636364</v>
      </c>
      <c r="AJ37" s="1014">
        <f t="shared" si="4"/>
        <v>6636</v>
      </c>
      <c r="AK37" s="1014">
        <f>SUM(Y37:AJ37)</f>
        <v>88998.130623000179</v>
      </c>
      <c r="AL37" s="1014">
        <v>0</v>
      </c>
      <c r="AM37" s="1014">
        <f>'2022'!G3</f>
        <v>5000</v>
      </c>
      <c r="AN37" s="1014">
        <f>SUM('2021'!O3:R3)</f>
        <v>15045.454545454546</v>
      </c>
      <c r="AO37" s="1014">
        <v>0</v>
      </c>
      <c r="AP37" s="1014">
        <f>SUM(AL37:AO37)</f>
        <v>20045.454545454544</v>
      </c>
    </row>
    <row r="38" spans="1:16356" ht="35.4" hidden="1" customHeight="1">
      <c r="A38" s="1001">
        <v>36</v>
      </c>
      <c r="B38" s="705" t="s">
        <v>347</v>
      </c>
      <c r="C38" s="705" t="s">
        <v>150</v>
      </c>
      <c r="D38" s="705">
        <v>6000</v>
      </c>
      <c r="E38" s="705">
        <v>6000</v>
      </c>
      <c r="F38" s="706"/>
      <c r="G38" s="706"/>
      <c r="H38" s="705" t="s">
        <v>282</v>
      </c>
      <c r="I38" s="1030" t="s">
        <v>30</v>
      </c>
      <c r="J38" s="964" t="s">
        <v>30</v>
      </c>
      <c r="K38" s="964" t="s">
        <v>30</v>
      </c>
      <c r="L38" s="964" t="s">
        <v>30</v>
      </c>
      <c r="M38" s="967">
        <f>E38/22*14</f>
        <v>3818.1818181818185</v>
      </c>
      <c r="N38" s="967">
        <v>6000</v>
      </c>
      <c r="O38" s="967">
        <f>E38/22*19.5</f>
        <v>5318.1818181818189</v>
      </c>
      <c r="P38" s="967">
        <f>E38/22*22</f>
        <v>6000</v>
      </c>
      <c r="Q38" s="967">
        <f>E38/22*21</f>
        <v>5727.2727272727279</v>
      </c>
      <c r="R38" s="967">
        <f>E38/22*21</f>
        <v>5727.2727272727279</v>
      </c>
      <c r="S38" s="965">
        <f>E38/22*19</f>
        <v>5181.818181818182</v>
      </c>
      <c r="T38" s="965">
        <f>E38/22*22</f>
        <v>6000</v>
      </c>
      <c r="U38" s="705"/>
      <c r="V38" s="716"/>
      <c r="W38" s="716"/>
      <c r="X38" s="1014"/>
      <c r="Y38" s="1014"/>
      <c r="Z38" s="1014"/>
      <c r="AA38" s="1014"/>
      <c r="AB38" s="1016"/>
      <c r="AC38" s="1016"/>
      <c r="AD38" s="1016" t="s">
        <v>348</v>
      </c>
      <c r="AE38" s="1014"/>
      <c r="AF38" s="705">
        <f>P38</f>
        <v>6000</v>
      </c>
      <c r="AG38" s="1002">
        <f>Q38</f>
        <v>5727.2727272727279</v>
      </c>
      <c r="AH38" s="1002">
        <f t="shared" si="4"/>
        <v>5727.2727272727279</v>
      </c>
      <c r="AI38" s="1014">
        <f t="shared" si="4"/>
        <v>5181.818181818182</v>
      </c>
      <c r="AJ38" s="1014">
        <f t="shared" si="4"/>
        <v>6000</v>
      </c>
      <c r="AK38" s="1014"/>
      <c r="AL38" s="1014"/>
      <c r="AM38" s="1014"/>
      <c r="AN38" s="1014"/>
      <c r="AO38" s="1014"/>
      <c r="AP38" s="1014"/>
    </row>
    <row r="39" spans="1:16356" ht="33" hidden="1" customHeight="1">
      <c r="A39" s="139">
        <v>33</v>
      </c>
      <c r="B39" s="703" t="s">
        <v>911</v>
      </c>
      <c r="C39" s="703" t="s">
        <v>150</v>
      </c>
      <c r="D39" s="703">
        <v>6000</v>
      </c>
      <c r="E39" s="703">
        <v>6000</v>
      </c>
      <c r="F39" s="703"/>
      <c r="G39" s="703"/>
      <c r="H39" s="703" t="s">
        <v>282</v>
      </c>
      <c r="I39" s="1031" t="s">
        <v>30</v>
      </c>
      <c r="J39" s="1031" t="s">
        <v>30</v>
      </c>
      <c r="K39" s="1031" t="s">
        <v>30</v>
      </c>
      <c r="L39" s="1031" t="s">
        <v>30</v>
      </c>
      <c r="M39" s="1031" t="s">
        <v>30</v>
      </c>
      <c r="N39" s="1031" t="s">
        <v>30</v>
      </c>
      <c r="O39" s="1031" t="s">
        <v>30</v>
      </c>
      <c r="P39" s="1031" t="s">
        <v>30</v>
      </c>
      <c r="Q39" s="1031">
        <v>0</v>
      </c>
      <c r="R39" s="1032">
        <v>6000</v>
      </c>
      <c r="S39" s="1032">
        <f>E39/22*22</f>
        <v>6000</v>
      </c>
      <c r="T39" s="1032">
        <v>6000</v>
      </c>
      <c r="U39" s="703" t="s">
        <v>950</v>
      </c>
      <c r="V39" s="714"/>
      <c r="W39" s="714"/>
      <c r="X39" s="1033">
        <f>SUM(I39:V39)</f>
        <v>18000</v>
      </c>
      <c r="Y39" s="1033"/>
      <c r="Z39" s="1033" t="str">
        <f>I39</f>
        <v>NA</v>
      </c>
      <c r="AA39" s="1033">
        <v>6000</v>
      </c>
      <c r="AB39" s="1034">
        <v>6000</v>
      </c>
      <c r="AC39" s="1034" t="s">
        <v>200</v>
      </c>
      <c r="AD39" s="1034">
        <v>6000</v>
      </c>
      <c r="AE39" s="1034" t="str">
        <f>N39</f>
        <v>NA</v>
      </c>
      <c r="AF39" s="1034" t="str">
        <f>P39</f>
        <v>NA</v>
      </c>
      <c r="AG39" s="1034">
        <f>Q39</f>
        <v>0</v>
      </c>
      <c r="AH39" s="1033">
        <f t="shared" si="4"/>
        <v>6000</v>
      </c>
      <c r="AI39" s="1033">
        <f t="shared" si="4"/>
        <v>6000</v>
      </c>
      <c r="AJ39" s="1033">
        <f t="shared" si="4"/>
        <v>6000</v>
      </c>
      <c r="AK39" s="1033">
        <f>V39</f>
        <v>0</v>
      </c>
      <c r="AL39" s="1033"/>
      <c r="AM39" s="1033"/>
      <c r="AN39" s="1033"/>
      <c r="AO39" s="1033"/>
      <c r="AP39" s="1033"/>
    </row>
    <row r="40" spans="1:16356" ht="21" hidden="1" customHeight="1">
      <c r="A40" s="139">
        <v>43</v>
      </c>
      <c r="B40" s="705" t="s">
        <v>97</v>
      </c>
      <c r="C40" s="705" t="s">
        <v>224</v>
      </c>
      <c r="D40" s="705">
        <v>30000</v>
      </c>
      <c r="E40" s="705">
        <v>5000</v>
      </c>
      <c r="F40" s="706">
        <v>45383</v>
      </c>
      <c r="G40" s="706">
        <v>45748</v>
      </c>
      <c r="H40" s="705" t="s">
        <v>282</v>
      </c>
      <c r="I40" s="1030" t="s">
        <v>30</v>
      </c>
      <c r="J40" s="1030" t="s">
        <v>30</v>
      </c>
      <c r="K40" s="1030" t="s">
        <v>30</v>
      </c>
      <c r="L40" s="967">
        <f>E40/23*18</f>
        <v>3913.0434782608695</v>
      </c>
      <c r="M40" s="964">
        <v>5000</v>
      </c>
      <c r="N40" s="964">
        <f>E40/21*21</f>
        <v>5000</v>
      </c>
      <c r="O40" s="964">
        <f>E40/22*22</f>
        <v>5000</v>
      </c>
      <c r="P40" s="964">
        <v>4500</v>
      </c>
      <c r="Q40" s="964">
        <f>E40/22*22</f>
        <v>5000</v>
      </c>
      <c r="R40" s="967">
        <f>E40/22*20</f>
        <v>4545.454545454546</v>
      </c>
      <c r="S40" s="965">
        <f>E40/22*17</f>
        <v>3863.636363636364</v>
      </c>
      <c r="T40" s="965">
        <f>E40/22*13</f>
        <v>2954.5454545454545</v>
      </c>
      <c r="U40" s="128" t="s">
        <v>944</v>
      </c>
      <c r="V40" s="716"/>
      <c r="W40" s="716"/>
      <c r="X40" s="1014"/>
      <c r="Y40" s="1014"/>
      <c r="Z40" s="1014"/>
      <c r="AA40" s="1014"/>
      <c r="AB40" s="1016"/>
      <c r="AC40" s="1016"/>
      <c r="AD40" s="1016">
        <v>5000</v>
      </c>
      <c r="AE40" s="880">
        <f>N40</f>
        <v>5000</v>
      </c>
      <c r="AF40" s="880">
        <f>P40</f>
        <v>4500</v>
      </c>
      <c r="AG40" s="1014">
        <f>Q40</f>
        <v>5000</v>
      </c>
      <c r="AH40" s="1014">
        <f t="shared" si="4"/>
        <v>4545.454545454546</v>
      </c>
      <c r="AI40" s="1014">
        <f t="shared" si="4"/>
        <v>3863.636363636364</v>
      </c>
      <c r="AJ40" s="1014">
        <f t="shared" si="4"/>
        <v>2954.5454545454545</v>
      </c>
      <c r="AK40" s="1014"/>
      <c r="AL40" s="719"/>
      <c r="AM40" s="719"/>
      <c r="AN40" s="719"/>
      <c r="AO40" s="719"/>
      <c r="AP40" s="719"/>
    </row>
    <row r="41" spans="1:16356" ht="67.95" hidden="1" customHeight="1">
      <c r="A41" s="139">
        <v>30</v>
      </c>
      <c r="B41" s="62" t="s">
        <v>344</v>
      </c>
      <c r="C41" s="62" t="s">
        <v>342</v>
      </c>
      <c r="D41" s="128">
        <v>10000</v>
      </c>
      <c r="E41" s="128">
        <v>6000</v>
      </c>
      <c r="F41" s="118">
        <v>45323</v>
      </c>
      <c r="G41" s="118">
        <v>46054</v>
      </c>
      <c r="H41" s="128" t="s">
        <v>282</v>
      </c>
      <c r="I41" s="1026" t="s">
        <v>30</v>
      </c>
      <c r="J41" s="1027">
        <f>4000/27*21</f>
        <v>3111.1111111111113</v>
      </c>
      <c r="K41" s="708">
        <v>4000</v>
      </c>
      <c r="L41" s="711">
        <f>4000/23*22</f>
        <v>3826.086956521739</v>
      </c>
      <c r="M41" s="711">
        <f>4000/22*19</f>
        <v>3454.5454545454545</v>
      </c>
      <c r="N41" s="711">
        <f>4000/26*20</f>
        <v>3076.9230769230767</v>
      </c>
      <c r="O41" s="711">
        <f>4000/26*22</f>
        <v>3384.6153846153843</v>
      </c>
      <c r="P41" s="711">
        <f>3000-500</f>
        <v>2500</v>
      </c>
      <c r="Q41" s="708">
        <f>E41/22*22</f>
        <v>6000</v>
      </c>
      <c r="R41" s="711">
        <f>E41/22*20</f>
        <v>5454.545454545455</v>
      </c>
      <c r="S41" s="711">
        <f>E41/22*14</f>
        <v>3818.1818181818185</v>
      </c>
      <c r="T41" s="711">
        <v>0</v>
      </c>
      <c r="U41" s="991" t="s">
        <v>942</v>
      </c>
      <c r="V41" s="170" t="s">
        <v>963</v>
      </c>
      <c r="W41" s="170"/>
      <c r="X41" s="1018"/>
      <c r="Y41" s="1018"/>
      <c r="Z41" s="1018"/>
      <c r="AA41" s="1018"/>
      <c r="AB41" s="1019"/>
      <c r="AC41" s="1019"/>
      <c r="AD41" s="1019"/>
      <c r="AE41" s="1018"/>
      <c r="AF41" s="1018"/>
      <c r="AG41" s="1018"/>
      <c r="AH41" s="1018"/>
      <c r="AI41" s="1018"/>
      <c r="AJ41" s="1018"/>
      <c r="AK41" s="1018"/>
      <c r="AL41" s="1018"/>
      <c r="AM41" s="1018"/>
      <c r="AN41" s="1018"/>
      <c r="AO41" s="1018"/>
      <c r="AP41" s="1018"/>
    </row>
    <row r="42" spans="1:16356" ht="21" hidden="1" customHeight="1">
      <c r="A42" s="993">
        <v>46</v>
      </c>
      <c r="B42" s="992" t="s">
        <v>301</v>
      </c>
      <c r="C42" s="992" t="s">
        <v>224</v>
      </c>
      <c r="D42" s="992">
        <v>25000</v>
      </c>
      <c r="E42" s="992">
        <v>5000</v>
      </c>
      <c r="F42" s="994">
        <v>44806</v>
      </c>
      <c r="G42" s="994">
        <v>45171</v>
      </c>
      <c r="H42" s="994" t="s">
        <v>282</v>
      </c>
      <c r="I42" s="1037">
        <f>E42/23*16</f>
        <v>3478.2608695652175</v>
      </c>
      <c r="J42" s="1037">
        <v>5000</v>
      </c>
      <c r="K42" s="1038">
        <f>E42/20*16</f>
        <v>4000</v>
      </c>
      <c r="L42" s="995">
        <f>E42/23*21</f>
        <v>4565.217391304348</v>
      </c>
      <c r="M42" s="995">
        <v>5000</v>
      </c>
      <c r="N42" s="995">
        <f>E42/21*14</f>
        <v>3333.3333333333335</v>
      </c>
      <c r="O42" s="995">
        <f>E42/22*20</f>
        <v>4545.454545454546</v>
      </c>
      <c r="P42" s="995">
        <f>E42/22*15</f>
        <v>3409.090909090909</v>
      </c>
      <c r="Q42" s="995">
        <f>E42/22*19</f>
        <v>4318.181818181818</v>
      </c>
      <c r="R42" s="995">
        <f>E42/22*20</f>
        <v>4545.454545454546</v>
      </c>
      <c r="S42" s="711">
        <f>E42/22*16</f>
        <v>3636.3636363636365</v>
      </c>
      <c r="T42" s="711">
        <f>E42/22*22</f>
        <v>5000</v>
      </c>
      <c r="U42" s="992"/>
      <c r="V42" s="996"/>
      <c r="W42" s="996"/>
      <c r="X42" s="1039">
        <f>SUM(I42:V42)</f>
        <v>50831.357048748359</v>
      </c>
      <c r="Y42" s="1040">
        <f>'[3]2022'!U59</f>
        <v>10000</v>
      </c>
      <c r="Z42" s="1040"/>
      <c r="AA42" s="1040"/>
      <c r="AB42" s="1041"/>
      <c r="AC42" s="1041"/>
      <c r="AD42" s="1041">
        <f>M42</f>
        <v>5000</v>
      </c>
      <c r="AE42" s="1040"/>
      <c r="AF42" s="1039"/>
      <c r="AG42" s="1039"/>
      <c r="AH42" s="1018"/>
      <c r="AI42" s="1018"/>
      <c r="AJ42" s="1039"/>
      <c r="AK42" s="1039"/>
      <c r="AL42" s="1039"/>
      <c r="AM42" s="1039"/>
      <c r="AN42" s="1039"/>
      <c r="AO42" s="1039"/>
      <c r="AP42" s="1039"/>
    </row>
    <row r="43" spans="1:16356" ht="21" hidden="1" customHeight="1">
      <c r="A43" s="993">
        <v>48</v>
      </c>
      <c r="B43" s="992" t="s">
        <v>351</v>
      </c>
      <c r="C43" s="992" t="s">
        <v>224</v>
      </c>
      <c r="D43" s="992">
        <v>10000</v>
      </c>
      <c r="E43" s="992">
        <v>6000</v>
      </c>
      <c r="F43" s="994">
        <v>45356</v>
      </c>
      <c r="G43" s="994">
        <v>45721</v>
      </c>
      <c r="H43" s="994" t="s">
        <v>282</v>
      </c>
      <c r="I43" s="1037" t="s">
        <v>983</v>
      </c>
      <c r="J43" s="1037" t="s">
        <v>983</v>
      </c>
      <c r="K43" s="1038">
        <f>E43/20*14</f>
        <v>4200</v>
      </c>
      <c r="L43" s="995">
        <f>E43/23*20</f>
        <v>5217.391304347826</v>
      </c>
      <c r="M43" s="995">
        <f>E43/22*12</f>
        <v>3272.727272727273</v>
      </c>
      <c r="N43" s="995">
        <f>E43/21*19.5</f>
        <v>5571.4285714285716</v>
      </c>
      <c r="O43" s="995">
        <f>E43/22*20.5</f>
        <v>5590.909090909091</v>
      </c>
      <c r="P43" s="995">
        <f>E43/22*19</f>
        <v>5181.818181818182</v>
      </c>
      <c r="Q43" s="995">
        <f>E43/22*21.5</f>
        <v>5863.636363636364</v>
      </c>
      <c r="R43" s="995">
        <f>E43/22*21</f>
        <v>5727.2727272727279</v>
      </c>
      <c r="S43" s="711">
        <f>E43/22*18.5</f>
        <v>5045.454545454546</v>
      </c>
      <c r="T43" s="711">
        <f>E43/22*20</f>
        <v>5454.545454545455</v>
      </c>
      <c r="U43" s="992" t="s">
        <v>956</v>
      </c>
      <c r="V43" s="996"/>
      <c r="W43" s="996"/>
      <c r="X43" s="1039"/>
      <c r="Y43" s="1039"/>
      <c r="Z43" s="1039"/>
      <c r="AA43" s="1039"/>
      <c r="AB43" s="1042"/>
      <c r="AC43" s="1042"/>
      <c r="AD43" s="1042"/>
      <c r="AE43" s="1039"/>
      <c r="AF43" s="1039"/>
      <c r="AG43" s="1039"/>
      <c r="AH43" s="1039"/>
      <c r="AI43" s="1018"/>
      <c r="AJ43" s="1039"/>
      <c r="AK43" s="1039"/>
      <c r="AL43" s="1039"/>
      <c r="AM43" s="1039"/>
      <c r="AN43" s="1039"/>
      <c r="AO43" s="1039"/>
      <c r="AP43" s="1039"/>
    </row>
    <row r="44" spans="1:16356" ht="21" hidden="1" customHeight="1">
      <c r="A44" s="139">
        <v>37</v>
      </c>
      <c r="B44" s="52" t="s">
        <v>221</v>
      </c>
      <c r="C44" s="52" t="s">
        <v>150</v>
      </c>
      <c r="D44" s="52">
        <v>15000</v>
      </c>
      <c r="E44" s="52">
        <v>10000</v>
      </c>
      <c r="F44" s="52">
        <v>44936</v>
      </c>
      <c r="G44" s="52">
        <v>45301</v>
      </c>
      <c r="H44" s="52" t="s">
        <v>282</v>
      </c>
      <c r="I44" s="610">
        <v>10000</v>
      </c>
      <c r="J44" s="1021">
        <v>10000</v>
      </c>
      <c r="K44" s="54">
        <v>10000</v>
      </c>
      <c r="L44" s="965">
        <v>0</v>
      </c>
      <c r="M44" s="967">
        <v>10000</v>
      </c>
      <c r="N44" s="967">
        <v>0</v>
      </c>
      <c r="O44" s="967">
        <f>E44/22*21</f>
        <v>9545.454545454546</v>
      </c>
      <c r="P44" s="967">
        <f>E44/22*22</f>
        <v>10000</v>
      </c>
      <c r="Q44" s="965">
        <f>E44/22*21</f>
        <v>9545.454545454546</v>
      </c>
      <c r="R44" s="54">
        <f>E44/22*22</f>
        <v>10000</v>
      </c>
      <c r="S44" s="965">
        <f>E44/22*22</f>
        <v>10000</v>
      </c>
      <c r="T44" s="965">
        <v>10000</v>
      </c>
      <c r="U44" s="965" t="s">
        <v>950</v>
      </c>
      <c r="V44" s="52"/>
      <c r="W44" s="880">
        <f>SUM(I44:V44)</f>
        <v>99090.909090909088</v>
      </c>
      <c r="X44" s="880">
        <f>W44-AJ44</f>
        <v>99090.909090909088</v>
      </c>
      <c r="Y44" s="1126"/>
      <c r="Z44" s="1014"/>
      <c r="AA44" s="880"/>
      <c r="AB44" s="880"/>
      <c r="AC44" s="880"/>
      <c r="AD44" s="880"/>
      <c r="AE44" s="1014"/>
      <c r="AF44" s="1014"/>
      <c r="AG44" s="1014"/>
      <c r="AH44" s="1014">
        <f>R44</f>
        <v>10000</v>
      </c>
      <c r="AI44" s="1014"/>
      <c r="AJ44" s="880"/>
      <c r="AK44" s="1014">
        <f>SUM(Z44:AJ44)</f>
        <v>10000</v>
      </c>
      <c r="AL44" s="716"/>
      <c r="AM44" s="716"/>
      <c r="AN44" s="716"/>
      <c r="AO44" s="716"/>
      <c r="AP44" s="1014">
        <f>W44-AK44</f>
        <v>89090.909090909088</v>
      </c>
    </row>
    <row r="45" spans="1:16356" ht="33.6" hidden="1" customHeight="1">
      <c r="A45" s="993">
        <v>56</v>
      </c>
      <c r="B45" s="1044" t="s">
        <v>15</v>
      </c>
      <c r="C45" s="1044"/>
      <c r="D45" s="999">
        <f>SUBTOTAL(9,D1:D12,D15,D16:D27)</f>
        <v>0</v>
      </c>
      <c r="E45" s="999">
        <f>SUM(E2:E44)</f>
        <v>267000</v>
      </c>
      <c r="F45" s="999"/>
      <c r="G45" s="999"/>
      <c r="H45" s="999">
        <f>SUM(H21:H27)</f>
        <v>0</v>
      </c>
      <c r="I45" s="1045">
        <f>SUM(I1:I27)</f>
        <v>113458.64441516616</v>
      </c>
      <c r="J45" s="1045">
        <f>SUM(J1:J27)</f>
        <v>113636.36363636363</v>
      </c>
      <c r="K45" s="1045">
        <f>SUM(K1:K27)</f>
        <v>121500</v>
      </c>
      <c r="L45" s="1045">
        <f>SUM(L21:L27)</f>
        <v>36626.409017713362</v>
      </c>
      <c r="M45" s="1045">
        <f>SUM(M21:M27)</f>
        <v>36581.027667984192</v>
      </c>
      <c r="N45" s="1045"/>
      <c r="O45" s="1045"/>
      <c r="P45" s="1045"/>
      <c r="Q45" s="968"/>
      <c r="R45" s="1045">
        <f>SUM(R21:R27)</f>
        <v>46227.272727272728</v>
      </c>
      <c r="S45" s="1045"/>
      <c r="T45" s="1045">
        <f>SUM(T2:T44)</f>
        <v>210386</v>
      </c>
      <c r="U45" s="999"/>
      <c r="V45" s="999">
        <f>SUM(V21:V27)</f>
        <v>0</v>
      </c>
      <c r="W45" s="999"/>
      <c r="X45" s="999">
        <f>SUM(X21:X27)</f>
        <v>313511.7845117845</v>
      </c>
      <c r="Y45" s="999">
        <f>SUM(Y21:Y27)</f>
        <v>142000</v>
      </c>
      <c r="Z45" s="999">
        <f>SUM(Z21:Z27)</f>
        <v>15000</v>
      </c>
      <c r="AA45" s="999">
        <f>SUM(AA21:AA27)</f>
        <v>15000</v>
      </c>
      <c r="AB45" s="1046">
        <f>SUM(AB1:AB27)</f>
        <v>67500</v>
      </c>
      <c r="AC45" s="1047">
        <f>SUM(AC21:AC27)</f>
        <v>23148.14814814815</v>
      </c>
      <c r="AD45" s="1047">
        <f>SUM(AD21:AD41)</f>
        <v>58437.870129870127</v>
      </c>
      <c r="AE45" s="999">
        <f>SUM(AE21:AE27)</f>
        <v>15000</v>
      </c>
      <c r="AF45" s="999">
        <f>SUM(AF21:AF27)</f>
        <v>24090.909090909092</v>
      </c>
      <c r="AG45" s="999"/>
      <c r="AH45" s="999">
        <f t="shared" ref="AH45:AP45" si="5">SUM(AH21:AH27)</f>
        <v>23181.818181818184</v>
      </c>
      <c r="AI45" s="999">
        <f t="shared" si="5"/>
        <v>22590.909090909092</v>
      </c>
      <c r="AJ45" s="999">
        <f t="shared" si="5"/>
        <v>19000</v>
      </c>
      <c r="AK45" s="999">
        <f t="shared" si="5"/>
        <v>0</v>
      </c>
      <c r="AL45" s="999">
        <f t="shared" si="5"/>
        <v>0</v>
      </c>
      <c r="AM45" s="999">
        <f t="shared" si="5"/>
        <v>0</v>
      </c>
      <c r="AN45" s="999">
        <f t="shared" si="5"/>
        <v>0</v>
      </c>
      <c r="AO45" s="999">
        <f t="shared" si="5"/>
        <v>0</v>
      </c>
      <c r="AP45" s="999">
        <f t="shared" si="5"/>
        <v>0</v>
      </c>
    </row>
    <row r="46" spans="1:16356" ht="15.75" hidden="1" customHeight="1">
      <c r="A46" s="127"/>
      <c r="B46" s="485"/>
      <c r="C46" s="485"/>
      <c r="D46" s="485"/>
      <c r="E46" s="485"/>
      <c r="F46" s="485"/>
      <c r="G46" s="485"/>
      <c r="H46" s="485"/>
      <c r="I46" s="485"/>
      <c r="J46" s="1048"/>
      <c r="K46" s="1048"/>
      <c r="L46" s="1048"/>
      <c r="M46" s="1048"/>
      <c r="N46" s="1048"/>
      <c r="O46" s="1048"/>
      <c r="P46" s="485"/>
      <c r="Q46" s="1048"/>
      <c r="R46" s="1048">
        <v>2455</v>
      </c>
      <c r="S46" s="1048"/>
      <c r="T46" s="1048"/>
      <c r="U46" s="485"/>
      <c r="V46" s="485"/>
      <c r="W46" s="1049"/>
      <c r="X46" s="1049"/>
      <c r="Y46" s="1049"/>
      <c r="Z46" s="1049"/>
      <c r="AA46" s="1050"/>
      <c r="AB46" s="1051"/>
      <c r="AC46" s="1051"/>
      <c r="AD46" s="1049"/>
      <c r="AE46" s="1049"/>
      <c r="AF46" s="1049"/>
      <c r="AG46" s="1049"/>
      <c r="AH46" s="1049"/>
      <c r="AI46" s="1049"/>
      <c r="AJ46" s="1049"/>
      <c r="AK46" s="1049"/>
      <c r="AL46" s="1049"/>
      <c r="AM46" s="1049"/>
      <c r="AN46" s="1049"/>
      <c r="AO46" s="1049"/>
      <c r="AP46" s="1049"/>
    </row>
    <row r="47" spans="1:16356" ht="15.75" customHeight="1">
      <c r="A47" s="127"/>
      <c r="B47" s="485"/>
      <c r="C47" s="485"/>
      <c r="D47" s="485"/>
      <c r="E47" s="485"/>
      <c r="F47" s="485"/>
      <c r="G47" s="485"/>
      <c r="H47" s="485"/>
      <c r="I47" s="485"/>
      <c r="J47" s="1048"/>
      <c r="K47" s="1048"/>
      <c r="L47" s="1048"/>
      <c r="M47" s="1048"/>
      <c r="N47" s="1048"/>
      <c r="O47" s="1048"/>
      <c r="P47" s="485"/>
      <c r="Q47" s="1048"/>
      <c r="R47" s="1048"/>
      <c r="S47" s="1048"/>
      <c r="T47" s="1048"/>
      <c r="U47" s="485"/>
      <c r="V47" s="485"/>
      <c r="W47" s="1049"/>
      <c r="X47" s="1049"/>
      <c r="Y47" s="1049"/>
      <c r="Z47" s="1049"/>
      <c r="AA47" s="1050"/>
      <c r="AB47" s="1051"/>
      <c r="AC47" s="1051"/>
      <c r="AD47" s="1049"/>
      <c r="AE47" s="1049"/>
      <c r="AF47" s="1049"/>
      <c r="AG47" s="1049"/>
      <c r="AH47" s="1049"/>
      <c r="AI47" s="1049"/>
      <c r="AJ47" s="1049"/>
      <c r="AK47" s="1049"/>
      <c r="AL47" s="1049"/>
      <c r="AM47" s="1049"/>
      <c r="AN47" s="1049"/>
      <c r="AO47" s="1049"/>
      <c r="AP47" s="1049"/>
    </row>
    <row r="48" spans="1:16356" ht="15.75" customHeight="1">
      <c r="A48" s="127"/>
      <c r="B48" s="485"/>
      <c r="C48" s="485"/>
      <c r="D48" s="485"/>
      <c r="E48" s="485"/>
      <c r="F48" s="485"/>
      <c r="G48" s="485"/>
      <c r="H48" s="485"/>
      <c r="I48" s="485"/>
      <c r="J48" s="1048"/>
      <c r="K48" s="1048"/>
      <c r="L48" s="1048"/>
      <c r="M48" s="1048"/>
      <c r="N48" s="1048"/>
      <c r="O48" s="1048"/>
      <c r="P48" s="485"/>
      <c r="Q48" s="1121"/>
      <c r="R48" s="1048"/>
      <c r="S48" s="1048"/>
      <c r="T48" s="1048"/>
      <c r="U48" s="485"/>
      <c r="V48" s="485"/>
      <c r="W48" s="1049"/>
      <c r="X48" s="1049"/>
      <c r="Y48" s="1049"/>
      <c r="Z48" s="1049"/>
      <c r="AA48" s="1050"/>
      <c r="AB48" s="1051"/>
      <c r="AC48" s="1051"/>
      <c r="AD48" s="1049"/>
      <c r="AE48" s="1049"/>
      <c r="AF48" s="1049"/>
      <c r="AG48" s="1049"/>
      <c r="AH48" s="1049"/>
      <c r="AI48" s="1049"/>
      <c r="AJ48" s="1049"/>
      <c r="AK48" s="1049"/>
      <c r="AL48" s="1049"/>
      <c r="AM48" s="1049"/>
      <c r="AN48" s="1049"/>
      <c r="AO48" s="1049"/>
      <c r="AP48" s="1049"/>
    </row>
    <row r="49" spans="1:42" ht="15.75" customHeight="1">
      <c r="A49" s="127"/>
      <c r="B49" s="485"/>
      <c r="C49" s="485"/>
      <c r="D49" s="485"/>
      <c r="E49" s="485"/>
      <c r="F49" s="485"/>
      <c r="G49" s="485"/>
      <c r="H49" s="485"/>
      <c r="I49" s="485"/>
      <c r="J49" s="1048"/>
      <c r="K49" s="1048"/>
      <c r="L49" s="1048"/>
      <c r="M49" s="1048"/>
      <c r="N49" s="1048"/>
      <c r="O49" s="1048"/>
      <c r="P49" s="485"/>
      <c r="Q49" s="1048"/>
      <c r="R49" s="1048"/>
      <c r="S49" s="1048"/>
      <c r="T49" s="1048"/>
      <c r="U49" s="485"/>
      <c r="V49" s="485"/>
      <c r="W49" s="1049"/>
      <c r="X49" s="1049"/>
      <c r="Y49" s="1049"/>
      <c r="Z49" s="1049"/>
      <c r="AA49" s="1050"/>
      <c r="AB49" s="1051"/>
      <c r="AC49" s="1051"/>
      <c r="AD49" s="1049"/>
      <c r="AE49" s="1049"/>
      <c r="AF49" s="1049"/>
      <c r="AG49" s="1049"/>
      <c r="AH49" s="1049"/>
      <c r="AI49" s="1049"/>
      <c r="AJ49" s="1049"/>
      <c r="AK49" s="1049"/>
      <c r="AL49" s="1049"/>
      <c r="AM49" s="1049"/>
      <c r="AN49" s="1049"/>
      <c r="AO49" s="1049"/>
      <c r="AP49" s="1049"/>
    </row>
    <row r="50" spans="1:42" ht="15.75" customHeight="1">
      <c r="A50" s="127"/>
      <c r="B50" s="485"/>
      <c r="C50" s="485"/>
      <c r="D50" s="485"/>
      <c r="E50" s="485"/>
      <c r="F50" s="485"/>
      <c r="G50" s="485"/>
      <c r="H50" s="485"/>
      <c r="I50" s="1048"/>
      <c r="J50" s="1048"/>
      <c r="K50" s="1048"/>
      <c r="L50" s="1048"/>
      <c r="M50" s="1048"/>
      <c r="N50" s="1048"/>
      <c r="O50" s="1048"/>
      <c r="P50" s="485"/>
      <c r="Q50" s="1048"/>
      <c r="R50" s="1048"/>
      <c r="T50" s="1048"/>
      <c r="U50" s="485"/>
      <c r="V50" s="485"/>
      <c r="W50" s="1049"/>
      <c r="X50" s="1049"/>
      <c r="Y50" s="1049"/>
      <c r="Z50" s="1049"/>
      <c r="AA50" s="1050"/>
      <c r="AB50" s="1051"/>
      <c r="AC50" s="1051"/>
      <c r="AD50" s="1049"/>
      <c r="AE50" s="1049"/>
      <c r="AF50" s="1049"/>
      <c r="AG50" s="1049"/>
      <c r="AH50" s="1049"/>
      <c r="AI50" s="1049"/>
      <c r="AJ50" s="1049"/>
      <c r="AK50" s="1049"/>
      <c r="AL50" s="1049"/>
      <c r="AM50" s="1049"/>
      <c r="AN50" s="1049"/>
      <c r="AO50" s="1049"/>
      <c r="AP50" s="1049"/>
    </row>
    <row r="51" spans="1:42" ht="15.75" customHeight="1">
      <c r="A51" s="127"/>
      <c r="B51" s="485"/>
      <c r="C51" s="485"/>
      <c r="D51" s="485"/>
      <c r="E51" s="485"/>
      <c r="F51" s="485"/>
      <c r="G51" s="485"/>
      <c r="H51" s="485"/>
      <c r="I51" s="485"/>
      <c r="J51" s="1048"/>
      <c r="K51" s="1048"/>
      <c r="L51" s="1048"/>
      <c r="M51" s="1048"/>
      <c r="N51" s="1048"/>
      <c r="O51" s="1048"/>
      <c r="P51" s="485"/>
      <c r="Q51" s="1048"/>
      <c r="R51" s="1048"/>
      <c r="S51" s="1048"/>
      <c r="T51" s="1048"/>
      <c r="U51" s="485"/>
      <c r="V51" s="485"/>
      <c r="W51" s="1049"/>
      <c r="X51" s="1049"/>
      <c r="Y51" s="1049"/>
      <c r="Z51" s="1049"/>
      <c r="AA51" s="1050"/>
      <c r="AB51" s="1051"/>
      <c r="AC51" s="1051"/>
      <c r="AD51" s="1049"/>
      <c r="AE51" s="1049"/>
      <c r="AF51" s="1049"/>
      <c r="AG51" s="1049"/>
      <c r="AH51" s="1049"/>
      <c r="AI51" s="1049"/>
      <c r="AJ51" s="1049"/>
      <c r="AK51" s="1049"/>
      <c r="AL51" s="1049"/>
      <c r="AM51" s="1049"/>
      <c r="AN51" s="1049"/>
      <c r="AO51" s="1049"/>
      <c r="AP51" s="1049"/>
    </row>
    <row r="52" spans="1:42" ht="15.75" customHeight="1">
      <c r="A52" s="127"/>
      <c r="B52" s="485"/>
      <c r="C52" s="485"/>
      <c r="D52" s="485"/>
      <c r="E52" s="485"/>
      <c r="F52" s="485"/>
      <c r="G52" s="485"/>
      <c r="H52" s="485"/>
      <c r="I52" s="485"/>
      <c r="J52" s="1048"/>
      <c r="K52" s="1048"/>
      <c r="L52" s="1085"/>
      <c r="M52" s="1048"/>
      <c r="N52" s="1048"/>
      <c r="O52" s="1048"/>
      <c r="P52" s="485"/>
      <c r="Q52" s="1048"/>
      <c r="R52" s="1048"/>
      <c r="S52" s="1048"/>
      <c r="T52" s="1048"/>
      <c r="U52" s="485"/>
      <c r="V52" s="485"/>
      <c r="W52" s="1049"/>
      <c r="X52" s="1049"/>
      <c r="Y52" s="1049"/>
      <c r="Z52" s="1049"/>
      <c r="AA52" s="1050"/>
      <c r="AB52" s="1051"/>
      <c r="AC52" s="1051"/>
      <c r="AD52" s="1049"/>
      <c r="AE52" s="1049"/>
      <c r="AF52" s="1049"/>
      <c r="AG52" s="1049"/>
      <c r="AH52" s="1049"/>
      <c r="AI52" s="1049"/>
      <c r="AJ52" s="1049"/>
      <c r="AK52" s="1049"/>
      <c r="AL52" s="1049"/>
      <c r="AM52" s="1049"/>
      <c r="AN52" s="1049"/>
      <c r="AO52" s="1049"/>
      <c r="AP52" s="1049"/>
    </row>
    <row r="53" spans="1:42" ht="15.75" customHeight="1">
      <c r="A53" s="127"/>
      <c r="B53" s="485"/>
      <c r="C53" s="485"/>
      <c r="D53" s="485"/>
      <c r="E53" s="485"/>
      <c r="F53" s="485"/>
      <c r="G53" s="485"/>
      <c r="H53" s="485"/>
      <c r="I53" s="485"/>
      <c r="J53" s="1048"/>
      <c r="K53" s="1048"/>
      <c r="L53" s="1048"/>
      <c r="M53" s="1048"/>
      <c r="N53" s="1048"/>
      <c r="O53" s="1048"/>
      <c r="P53" s="485"/>
      <c r="Q53" s="1048"/>
      <c r="R53" s="1048"/>
      <c r="S53" s="1048"/>
      <c r="T53" s="1048"/>
      <c r="U53" s="485"/>
      <c r="V53" s="485"/>
      <c r="W53" s="1049"/>
      <c r="X53" s="1049"/>
      <c r="Y53" s="1049"/>
      <c r="Z53" s="1049"/>
      <c r="AA53" s="1050"/>
      <c r="AB53" s="1051"/>
      <c r="AC53" s="1051"/>
      <c r="AD53" s="1049"/>
      <c r="AE53" s="1049"/>
      <c r="AF53" s="1049"/>
      <c r="AG53" s="1049"/>
      <c r="AH53" s="1049"/>
      <c r="AI53" s="1049"/>
      <c r="AJ53" s="1049"/>
      <c r="AK53" s="1049"/>
      <c r="AL53" s="1049"/>
      <c r="AM53" s="1049"/>
      <c r="AN53" s="1049"/>
      <c r="AO53" s="1049"/>
      <c r="AP53" s="1049"/>
    </row>
    <row r="54" spans="1:42" ht="15.75" customHeight="1">
      <c r="A54" s="127"/>
      <c r="B54" s="485"/>
      <c r="C54" s="485"/>
      <c r="D54" s="485"/>
      <c r="E54" s="485"/>
      <c r="F54" s="485"/>
      <c r="G54" s="485"/>
      <c r="H54" s="485"/>
      <c r="I54" s="485"/>
      <c r="J54" s="1048"/>
      <c r="K54" s="1048"/>
      <c r="L54" s="1048"/>
      <c r="M54" s="1048"/>
      <c r="N54" s="1048"/>
      <c r="O54" s="1048"/>
      <c r="P54" s="485"/>
      <c r="Q54" s="1048"/>
      <c r="R54" s="1048"/>
      <c r="S54" s="1048"/>
      <c r="T54" s="1048"/>
      <c r="U54" s="485"/>
      <c r="V54" s="485"/>
      <c r="W54" s="1049"/>
      <c r="X54" s="1049"/>
      <c r="Y54" s="1049"/>
      <c r="Z54" s="1049"/>
      <c r="AA54" s="1050"/>
      <c r="AB54" s="1051"/>
      <c r="AC54" s="1051"/>
      <c r="AD54" s="1049"/>
      <c r="AE54" s="1049"/>
      <c r="AF54" s="1049"/>
      <c r="AG54" s="1049"/>
      <c r="AH54" s="1049"/>
      <c r="AI54" s="1049"/>
      <c r="AJ54" s="1049"/>
      <c r="AK54" s="1049"/>
      <c r="AL54" s="1049"/>
      <c r="AM54" s="1049"/>
      <c r="AN54" s="1049"/>
      <c r="AO54" s="1049"/>
      <c r="AP54" s="1049"/>
    </row>
    <row r="55" spans="1:42" ht="15.75" customHeight="1">
      <c r="A55" s="127"/>
      <c r="B55" s="485"/>
      <c r="C55" s="485"/>
      <c r="D55" s="485"/>
      <c r="E55" s="485"/>
      <c r="F55" s="485"/>
      <c r="G55" s="485"/>
      <c r="H55" s="485"/>
      <c r="I55" s="485"/>
      <c r="J55" s="1048"/>
      <c r="K55" s="1048"/>
      <c r="L55" s="1048"/>
      <c r="M55" s="1048"/>
      <c r="N55" s="1048"/>
      <c r="O55" s="1048"/>
      <c r="P55" s="485"/>
      <c r="Q55" s="1048"/>
      <c r="R55" s="1048"/>
      <c r="S55" s="1048"/>
      <c r="T55" s="1048"/>
      <c r="U55" s="485"/>
      <c r="V55" s="485"/>
      <c r="W55" s="1049"/>
      <c r="X55" s="1049"/>
      <c r="Y55" s="1049"/>
      <c r="Z55" s="1049"/>
      <c r="AA55" s="1050"/>
      <c r="AB55" s="1051"/>
      <c r="AC55" s="1051"/>
      <c r="AD55" s="1049"/>
      <c r="AE55" s="1049"/>
      <c r="AF55" s="1049"/>
      <c r="AG55" s="1049"/>
      <c r="AH55" s="1049"/>
      <c r="AI55" s="1049"/>
      <c r="AJ55" s="1049"/>
      <c r="AK55" s="1049"/>
      <c r="AL55" s="1049"/>
      <c r="AM55" s="1049"/>
      <c r="AN55" s="1049"/>
      <c r="AO55" s="1049"/>
      <c r="AP55" s="1049"/>
    </row>
    <row r="56" spans="1:42" ht="15.75" customHeight="1">
      <c r="A56" s="127"/>
      <c r="B56" s="485"/>
      <c r="C56" s="485"/>
      <c r="D56" s="485"/>
      <c r="E56" s="485"/>
      <c r="F56" s="485"/>
      <c r="G56" s="485"/>
      <c r="H56" s="485"/>
      <c r="I56" s="485"/>
      <c r="J56" s="1048"/>
      <c r="K56" s="1048"/>
      <c r="L56" s="1048"/>
      <c r="M56" s="1048"/>
      <c r="N56" s="1048"/>
      <c r="O56" s="1048"/>
      <c r="P56" s="485"/>
      <c r="Q56" s="1048"/>
      <c r="R56" s="1048"/>
      <c r="S56" s="1048"/>
      <c r="T56" s="1048"/>
      <c r="U56" s="485"/>
      <c r="V56" s="485"/>
      <c r="W56" s="1049"/>
      <c r="X56" s="1049"/>
      <c r="Y56" s="1049"/>
      <c r="Z56" s="1049"/>
      <c r="AA56" s="1050"/>
      <c r="AB56" s="1051"/>
      <c r="AC56" s="1051"/>
      <c r="AD56" s="1049"/>
      <c r="AE56" s="1049"/>
      <c r="AF56" s="1049"/>
      <c r="AG56" s="1049"/>
      <c r="AH56" s="1049"/>
      <c r="AI56" s="1049"/>
      <c r="AJ56" s="1049"/>
      <c r="AK56" s="1049"/>
      <c r="AL56" s="1049"/>
      <c r="AM56" s="1049"/>
      <c r="AN56" s="1049"/>
      <c r="AO56" s="1049"/>
      <c r="AP56" s="1049"/>
    </row>
    <row r="57" spans="1:42" ht="15.75" customHeight="1">
      <c r="A57" s="127"/>
      <c r="B57" s="485"/>
      <c r="C57" s="485"/>
      <c r="D57" s="485"/>
      <c r="E57" s="485"/>
      <c r="F57" s="485"/>
      <c r="G57" s="485"/>
      <c r="H57" s="485"/>
      <c r="I57" s="485"/>
      <c r="J57" s="1048"/>
      <c r="K57" s="1048"/>
      <c r="L57" s="1048"/>
      <c r="M57" s="1048"/>
      <c r="N57" s="1048"/>
      <c r="O57" s="1048"/>
      <c r="P57" s="485"/>
      <c r="Q57" s="1048"/>
      <c r="R57" s="1048"/>
      <c r="S57" s="1048"/>
      <c r="T57" s="1048"/>
      <c r="U57" s="485"/>
      <c r="V57" s="485"/>
      <c r="W57" s="1049"/>
      <c r="X57" s="1049"/>
      <c r="Y57" s="1049"/>
      <c r="Z57" s="1049"/>
      <c r="AA57" s="1050"/>
      <c r="AB57" s="1051"/>
      <c r="AC57" s="1051"/>
      <c r="AD57" s="1049"/>
      <c r="AE57" s="1049"/>
      <c r="AF57" s="1049"/>
      <c r="AG57" s="1049"/>
      <c r="AH57" s="1049"/>
      <c r="AI57" s="1049"/>
      <c r="AJ57" s="1049"/>
      <c r="AK57" s="1049"/>
      <c r="AL57" s="1049"/>
      <c r="AM57" s="1049"/>
      <c r="AN57" s="1049"/>
      <c r="AO57" s="1049"/>
      <c r="AP57" s="1049"/>
    </row>
    <row r="58" spans="1:42" ht="15.75" customHeight="1">
      <c r="A58" s="127"/>
      <c r="B58" s="485"/>
      <c r="C58" s="485"/>
      <c r="E58" s="485"/>
      <c r="F58" s="485"/>
      <c r="G58" s="485"/>
      <c r="H58" s="485"/>
      <c r="I58" s="485"/>
      <c r="J58" s="1048"/>
      <c r="K58" s="1048"/>
      <c r="L58" s="1048"/>
      <c r="M58" s="1048"/>
      <c r="N58" s="1048"/>
      <c r="O58" s="1048"/>
      <c r="P58" s="485"/>
      <c r="Q58" s="1048"/>
      <c r="R58" s="1048"/>
      <c r="S58" s="1048"/>
      <c r="T58" s="1048"/>
      <c r="U58" s="485"/>
      <c r="V58" s="485"/>
      <c r="W58" s="1049"/>
      <c r="X58" s="1049"/>
      <c r="Y58" s="1049"/>
      <c r="Z58" s="1049"/>
      <c r="AA58" s="1050"/>
      <c r="AB58" s="1051"/>
      <c r="AC58" s="1051"/>
      <c r="AD58" s="1049"/>
      <c r="AE58" s="1049"/>
      <c r="AF58" s="1049"/>
      <c r="AG58" s="1049"/>
      <c r="AH58" s="1049"/>
      <c r="AI58" s="1049"/>
      <c r="AJ58" s="1049"/>
      <c r="AK58" s="1049"/>
      <c r="AL58" s="1049"/>
      <c r="AM58" s="1049"/>
      <c r="AN58" s="1049"/>
      <c r="AO58" s="1049"/>
      <c r="AP58" s="1049"/>
    </row>
    <row r="59" spans="1:42" ht="15.75" customHeight="1">
      <c r="A59" s="127"/>
      <c r="B59" s="485"/>
      <c r="C59" s="485"/>
      <c r="D59" s="485"/>
      <c r="E59" s="485"/>
      <c r="F59" s="485"/>
      <c r="G59" s="485"/>
      <c r="H59" s="485"/>
      <c r="I59" s="485"/>
      <c r="J59" s="1048"/>
      <c r="K59" s="1048"/>
      <c r="L59" s="1048"/>
      <c r="M59" s="1048"/>
      <c r="N59" s="1048"/>
      <c r="O59" s="1048"/>
      <c r="P59" s="485"/>
      <c r="Q59" s="1048"/>
      <c r="R59" s="1048"/>
      <c r="S59" s="1048"/>
      <c r="T59" s="1048"/>
      <c r="U59" s="485"/>
      <c r="V59" s="485"/>
      <c r="W59" s="1049"/>
      <c r="X59" s="1049"/>
      <c r="Y59" s="1049"/>
      <c r="Z59" s="1049"/>
      <c r="AA59" s="1050"/>
      <c r="AB59" s="1051"/>
      <c r="AC59" s="1051"/>
      <c r="AD59" s="1049"/>
      <c r="AE59" s="1049"/>
      <c r="AF59" s="1049"/>
      <c r="AG59" s="1049"/>
      <c r="AH59" s="1049"/>
      <c r="AI59" s="1049"/>
      <c r="AJ59" s="1049"/>
      <c r="AK59" s="1049"/>
      <c r="AL59" s="1049"/>
      <c r="AM59" s="1049"/>
      <c r="AN59" s="1049"/>
      <c r="AO59" s="1049"/>
      <c r="AP59" s="1049"/>
    </row>
    <row r="60" spans="1:42" ht="15.75" customHeight="1">
      <c r="A60" s="127"/>
      <c r="B60" s="485"/>
      <c r="C60" s="485"/>
      <c r="D60" s="485"/>
      <c r="E60" s="485"/>
      <c r="F60" s="485"/>
      <c r="G60" s="485"/>
      <c r="H60" s="485"/>
      <c r="I60" s="485"/>
      <c r="J60" s="1048"/>
      <c r="K60" s="1048"/>
      <c r="L60" s="1048"/>
      <c r="M60" s="1048"/>
      <c r="N60" s="1048"/>
      <c r="O60" s="1048"/>
      <c r="P60" s="485"/>
      <c r="Q60" s="1048"/>
      <c r="R60" s="1048"/>
      <c r="S60" s="1048"/>
      <c r="T60" s="1048"/>
      <c r="U60" s="485"/>
      <c r="V60" s="485"/>
      <c r="W60" s="1049"/>
      <c r="X60" s="1049"/>
      <c r="Y60" s="1049"/>
      <c r="Z60" s="1049"/>
      <c r="AA60" s="1050"/>
      <c r="AB60" s="1051"/>
      <c r="AC60" s="1051"/>
      <c r="AD60" s="1049"/>
      <c r="AE60" s="1049"/>
      <c r="AF60" s="1049"/>
      <c r="AG60" s="1049"/>
      <c r="AH60" s="1049"/>
      <c r="AI60" s="1049"/>
      <c r="AJ60" s="1049"/>
      <c r="AK60" s="1049"/>
      <c r="AL60" s="1049"/>
      <c r="AM60" s="1049"/>
      <c r="AN60" s="1049"/>
      <c r="AO60" s="1049"/>
      <c r="AP60" s="1049"/>
    </row>
    <row r="61" spans="1:42" ht="15.75" customHeight="1">
      <c r="A61" s="127"/>
      <c r="B61" s="485"/>
      <c r="C61" s="485"/>
      <c r="D61" s="485"/>
      <c r="E61" s="485"/>
      <c r="F61" s="485"/>
      <c r="G61" s="485"/>
      <c r="H61" s="485"/>
      <c r="I61" s="485"/>
      <c r="J61" s="1048"/>
      <c r="K61" s="1048"/>
      <c r="L61" s="1048"/>
      <c r="M61" s="1048"/>
      <c r="N61" s="1048"/>
      <c r="O61" s="1048"/>
      <c r="P61" s="485"/>
      <c r="Q61" s="1048"/>
      <c r="R61" s="1048"/>
      <c r="S61" s="1048"/>
      <c r="T61" s="1048"/>
      <c r="U61" s="485"/>
      <c r="V61" s="485"/>
      <c r="W61" s="1049"/>
      <c r="X61" s="1049"/>
      <c r="Y61" s="1049"/>
      <c r="Z61" s="1049"/>
      <c r="AA61" s="1050"/>
      <c r="AB61" s="1051"/>
      <c r="AC61" s="1051"/>
      <c r="AD61" s="1049"/>
      <c r="AE61" s="1049"/>
      <c r="AF61" s="1049"/>
      <c r="AG61" s="1049"/>
      <c r="AH61" s="1049"/>
      <c r="AI61" s="1049"/>
      <c r="AJ61" s="1049"/>
      <c r="AK61" s="1049"/>
      <c r="AL61" s="1049"/>
      <c r="AM61" s="1049"/>
      <c r="AN61" s="1049"/>
      <c r="AO61" s="1049"/>
      <c r="AP61" s="1049"/>
    </row>
    <row r="62" spans="1:42" ht="15.75" customHeight="1">
      <c r="A62" s="127"/>
      <c r="B62" s="485"/>
      <c r="C62" s="485"/>
      <c r="D62" s="485"/>
      <c r="E62" s="485"/>
      <c r="F62" s="485"/>
      <c r="G62" s="485"/>
      <c r="H62" s="485"/>
      <c r="I62" s="485"/>
      <c r="J62" s="1048"/>
      <c r="K62" s="1048"/>
      <c r="L62" s="1048"/>
      <c r="M62" s="1048"/>
      <c r="N62" s="1048"/>
      <c r="O62" s="1048"/>
      <c r="P62" s="485"/>
      <c r="Q62" s="1048"/>
      <c r="R62" s="1048"/>
      <c r="S62" s="1048"/>
      <c r="T62" s="1048"/>
      <c r="U62" s="485"/>
      <c r="V62" s="485"/>
      <c r="W62" s="1049"/>
      <c r="X62" s="1049"/>
      <c r="Y62" s="1049"/>
      <c r="Z62" s="1049"/>
      <c r="AA62" s="1050"/>
      <c r="AB62" s="1051"/>
      <c r="AC62" s="1051"/>
      <c r="AD62" s="1049"/>
      <c r="AE62" s="1049"/>
      <c r="AF62" s="1049"/>
      <c r="AG62" s="1049"/>
      <c r="AH62" s="1049"/>
      <c r="AI62" s="1049"/>
      <c r="AJ62" s="1049"/>
      <c r="AK62" s="1049"/>
      <c r="AL62" s="1049"/>
      <c r="AM62" s="1049"/>
      <c r="AN62" s="1049"/>
      <c r="AO62" s="1049"/>
      <c r="AP62" s="1049"/>
    </row>
    <row r="63" spans="1:42" ht="15.75" customHeight="1">
      <c r="A63" s="127"/>
      <c r="B63" s="485"/>
      <c r="C63" s="485"/>
      <c r="D63" s="485"/>
      <c r="E63" s="485"/>
      <c r="F63" s="485"/>
      <c r="G63" s="485"/>
      <c r="H63" s="485"/>
      <c r="I63" s="485"/>
      <c r="J63" s="1048"/>
      <c r="K63" s="1048"/>
      <c r="L63" s="1048"/>
      <c r="M63" s="1048"/>
      <c r="N63" s="1048"/>
      <c r="O63" s="1048"/>
      <c r="P63" s="485"/>
      <c r="Q63" s="1048"/>
      <c r="R63" s="1048"/>
      <c r="S63" s="1048"/>
      <c r="T63" s="1048"/>
      <c r="U63" s="485"/>
      <c r="V63" s="485"/>
      <c r="W63" s="1049"/>
      <c r="X63" s="1049"/>
      <c r="Y63" s="1049"/>
      <c r="Z63" s="1049"/>
      <c r="AA63" s="1050"/>
      <c r="AB63" s="1051"/>
      <c r="AC63" s="1051"/>
      <c r="AD63" s="1049"/>
      <c r="AE63" s="1049"/>
      <c r="AF63" s="1049"/>
      <c r="AG63" s="1049"/>
      <c r="AH63" s="1049"/>
      <c r="AI63" s="1049"/>
      <c r="AJ63" s="1049"/>
      <c r="AK63" s="1049"/>
      <c r="AL63" s="1049"/>
      <c r="AM63" s="1049"/>
      <c r="AN63" s="1049"/>
      <c r="AO63" s="1049"/>
      <c r="AP63" s="1049"/>
    </row>
    <row r="64" spans="1:42" ht="15.75" customHeight="1">
      <c r="A64" s="127"/>
      <c r="B64" s="485"/>
      <c r="C64" s="485"/>
      <c r="D64" s="485"/>
      <c r="E64" s="485"/>
      <c r="F64" s="485"/>
      <c r="G64" s="485"/>
      <c r="H64" s="485"/>
      <c r="I64" s="485"/>
      <c r="J64" s="1048"/>
      <c r="K64" s="1048"/>
      <c r="L64" s="1048"/>
      <c r="M64" s="1048"/>
      <c r="N64" s="1048"/>
      <c r="O64" s="1048"/>
      <c r="P64" s="485"/>
      <c r="Q64" s="1048"/>
      <c r="R64" s="1048"/>
      <c r="S64" s="1048"/>
      <c r="T64" s="1048"/>
      <c r="U64" s="485"/>
      <c r="V64" s="485"/>
      <c r="W64" s="1049"/>
      <c r="X64" s="1049"/>
      <c r="Y64" s="1049"/>
      <c r="Z64" s="1049"/>
      <c r="AA64" s="1050"/>
      <c r="AB64" s="1051"/>
      <c r="AC64" s="1051"/>
      <c r="AD64" s="1049"/>
      <c r="AE64" s="1049"/>
      <c r="AF64" s="1049"/>
      <c r="AG64" s="1049"/>
      <c r="AH64" s="1049"/>
      <c r="AI64" s="1049"/>
      <c r="AJ64" s="1049"/>
      <c r="AK64" s="1049"/>
      <c r="AL64" s="1049"/>
      <c r="AM64" s="1049"/>
      <c r="AN64" s="1049"/>
      <c r="AO64" s="1049"/>
      <c r="AP64" s="1049"/>
    </row>
    <row r="65" spans="1:42" ht="15.75" customHeight="1">
      <c r="A65" s="127"/>
      <c r="B65" s="485"/>
      <c r="C65" s="485"/>
      <c r="D65" s="485"/>
      <c r="E65" s="485"/>
      <c r="F65" s="485"/>
      <c r="G65" s="485"/>
      <c r="H65" s="485"/>
      <c r="I65" s="485"/>
      <c r="J65" s="1048"/>
      <c r="K65" s="1048"/>
      <c r="L65" s="1048"/>
      <c r="M65" s="1048"/>
      <c r="N65" s="1048"/>
      <c r="O65" s="1048"/>
      <c r="P65" s="485"/>
      <c r="Q65" s="1048"/>
      <c r="R65" s="1048"/>
      <c r="S65" s="1048"/>
      <c r="T65" s="1048"/>
      <c r="U65" s="485"/>
      <c r="V65" s="485"/>
      <c r="W65" s="1049"/>
      <c r="X65" s="1049"/>
      <c r="Y65" s="1049"/>
      <c r="Z65" s="1049"/>
      <c r="AA65" s="1050"/>
      <c r="AB65" s="1051"/>
      <c r="AC65" s="1051"/>
      <c r="AD65" s="1049"/>
      <c r="AE65" s="1049"/>
      <c r="AF65" s="1049"/>
      <c r="AG65" s="1049"/>
      <c r="AH65" s="1049"/>
      <c r="AI65" s="1049"/>
      <c r="AJ65" s="1049"/>
      <c r="AK65" s="1049"/>
      <c r="AL65" s="1049"/>
      <c r="AM65" s="1049"/>
      <c r="AN65" s="1049"/>
      <c r="AO65" s="1049"/>
      <c r="AP65" s="1049"/>
    </row>
    <row r="66" spans="1:42" ht="15.75" customHeight="1">
      <c r="A66" s="127"/>
      <c r="B66" s="485"/>
      <c r="C66" s="485"/>
      <c r="D66" s="485"/>
      <c r="E66" s="485"/>
      <c r="F66" s="485"/>
      <c r="G66" s="485"/>
      <c r="H66" s="485"/>
      <c r="I66" s="485"/>
      <c r="J66" s="1048"/>
      <c r="K66" s="1048"/>
      <c r="L66" s="1048"/>
      <c r="M66" s="1048"/>
      <c r="N66" s="1048"/>
      <c r="O66" s="1048"/>
      <c r="P66" s="485"/>
      <c r="Q66" s="1048"/>
      <c r="R66" s="1048"/>
      <c r="S66" s="1048"/>
      <c r="T66" s="1048"/>
      <c r="U66" s="485"/>
      <c r="V66" s="485"/>
      <c r="W66" s="1049"/>
      <c r="X66" s="1049"/>
      <c r="Y66" s="1049"/>
      <c r="Z66" s="1049"/>
      <c r="AA66" s="1050"/>
      <c r="AB66" s="1051"/>
      <c r="AC66" s="1051"/>
      <c r="AD66" s="1049"/>
      <c r="AE66" s="1049"/>
      <c r="AF66" s="1049"/>
      <c r="AG66" s="1049"/>
      <c r="AH66" s="1049"/>
      <c r="AI66" s="1049"/>
      <c r="AJ66" s="1049"/>
      <c r="AK66" s="1049"/>
      <c r="AL66" s="1049"/>
      <c r="AM66" s="1049"/>
      <c r="AN66" s="1049"/>
      <c r="AO66" s="1049"/>
      <c r="AP66" s="1049"/>
    </row>
    <row r="67" spans="1:42" ht="15.75" customHeight="1">
      <c r="A67" s="127"/>
      <c r="B67" s="485"/>
      <c r="C67" s="485"/>
      <c r="D67" s="485"/>
      <c r="E67" s="485"/>
      <c r="F67" s="485"/>
      <c r="G67" s="485"/>
      <c r="H67" s="485"/>
      <c r="I67" s="485"/>
      <c r="J67" s="1048"/>
      <c r="K67" s="1048"/>
      <c r="L67" s="1048"/>
      <c r="M67" s="1048"/>
      <c r="N67" s="1048"/>
      <c r="O67" s="1048"/>
      <c r="P67" s="485"/>
      <c r="Q67" s="1048"/>
      <c r="R67" s="1048"/>
      <c r="S67" s="1048"/>
      <c r="T67" s="1048"/>
      <c r="U67" s="485"/>
      <c r="V67" s="485"/>
      <c r="W67" s="1049"/>
      <c r="X67" s="1049"/>
      <c r="Y67" s="1049"/>
      <c r="Z67" s="1049"/>
      <c r="AA67" s="1050"/>
      <c r="AB67" s="1051"/>
      <c r="AC67" s="1051"/>
      <c r="AD67" s="1049"/>
      <c r="AE67" s="1049"/>
      <c r="AF67" s="1049"/>
      <c r="AG67" s="1049"/>
      <c r="AH67" s="1049"/>
      <c r="AI67" s="1049"/>
      <c r="AJ67" s="1049"/>
      <c r="AK67" s="1049"/>
      <c r="AL67" s="1049"/>
      <c r="AM67" s="1049"/>
      <c r="AN67" s="1049"/>
      <c r="AO67" s="1049"/>
      <c r="AP67" s="1049"/>
    </row>
    <row r="68" spans="1:42" ht="15.75" customHeight="1">
      <c r="A68" s="127"/>
      <c r="B68" s="485"/>
      <c r="C68" s="485"/>
      <c r="D68" s="485"/>
      <c r="E68" s="485"/>
      <c r="F68" s="485"/>
      <c r="G68" s="485"/>
      <c r="H68" s="485"/>
      <c r="I68" s="485"/>
      <c r="J68" s="1048"/>
      <c r="K68" s="1048"/>
      <c r="L68" s="1048"/>
      <c r="M68" s="1048"/>
      <c r="N68" s="1048"/>
      <c r="O68" s="1048"/>
      <c r="P68" s="485"/>
      <c r="Q68" s="1048"/>
      <c r="R68" s="1048"/>
      <c r="S68" s="1048"/>
      <c r="T68" s="1048"/>
      <c r="U68" s="485"/>
      <c r="V68" s="485"/>
      <c r="W68" s="1049"/>
      <c r="X68" s="1049"/>
      <c r="Y68" s="1049"/>
      <c r="Z68" s="1049"/>
      <c r="AA68" s="1050"/>
      <c r="AB68" s="1051"/>
      <c r="AC68" s="1051"/>
      <c r="AD68" s="1049"/>
      <c r="AE68" s="1049"/>
      <c r="AF68" s="1049"/>
      <c r="AG68" s="1049"/>
      <c r="AH68" s="1049"/>
      <c r="AI68" s="1049"/>
      <c r="AJ68" s="1049"/>
      <c r="AK68" s="1049"/>
      <c r="AL68" s="1049"/>
      <c r="AM68" s="1049"/>
      <c r="AN68" s="1049"/>
      <c r="AO68" s="1049"/>
      <c r="AP68" s="1049"/>
    </row>
    <row r="69" spans="1:42" ht="15.75" customHeight="1">
      <c r="A69" s="127"/>
      <c r="B69" s="485"/>
      <c r="C69" s="485"/>
      <c r="D69" s="485"/>
      <c r="E69" s="485"/>
      <c r="F69" s="485"/>
      <c r="G69" s="485"/>
      <c r="H69" s="485"/>
      <c r="I69" s="485"/>
      <c r="J69" s="1048"/>
      <c r="K69" s="1048"/>
      <c r="L69" s="1048"/>
      <c r="M69" s="1048"/>
      <c r="N69" s="1048"/>
      <c r="O69" s="1048"/>
      <c r="P69" s="485"/>
      <c r="Q69" s="1048"/>
      <c r="R69" s="1048"/>
      <c r="S69" s="1048"/>
      <c r="T69" s="1048"/>
      <c r="U69" s="485"/>
      <c r="V69" s="485"/>
      <c r="W69" s="1049"/>
      <c r="X69" s="1049"/>
      <c r="Y69" s="1049"/>
      <c r="Z69" s="1049"/>
      <c r="AA69" s="1050"/>
      <c r="AB69" s="1051"/>
      <c r="AC69" s="1051"/>
      <c r="AD69" s="1049"/>
      <c r="AE69" s="1049"/>
      <c r="AF69" s="1049"/>
      <c r="AG69" s="1049"/>
      <c r="AH69" s="1049"/>
      <c r="AI69" s="1049"/>
      <c r="AJ69" s="1049"/>
      <c r="AK69" s="1049"/>
      <c r="AL69" s="1049"/>
      <c r="AM69" s="1049"/>
      <c r="AN69" s="1049"/>
      <c r="AO69" s="1049"/>
      <c r="AP69" s="1049"/>
    </row>
    <row r="70" spans="1:42" ht="15.75" customHeight="1">
      <c r="A70" s="127"/>
      <c r="B70" s="485"/>
      <c r="C70" s="485"/>
      <c r="D70" s="485"/>
      <c r="E70" s="485"/>
      <c r="F70" s="485"/>
      <c r="G70" s="485"/>
      <c r="H70" s="485"/>
      <c r="I70" s="485"/>
      <c r="J70" s="1048"/>
      <c r="K70" s="1048"/>
      <c r="L70" s="1048"/>
      <c r="M70" s="1048"/>
      <c r="N70" s="1048"/>
      <c r="O70" s="1048"/>
      <c r="P70" s="485"/>
      <c r="Q70" s="1048"/>
      <c r="R70" s="1048"/>
      <c r="S70" s="1048"/>
      <c r="T70" s="1048"/>
      <c r="U70" s="485"/>
      <c r="V70" s="485"/>
      <c r="W70" s="1049"/>
      <c r="X70" s="1049"/>
      <c r="Y70" s="1049"/>
      <c r="Z70" s="1049"/>
      <c r="AA70" s="1050"/>
      <c r="AB70" s="1051"/>
      <c r="AC70" s="1051"/>
      <c r="AD70" s="1049"/>
      <c r="AE70" s="1049"/>
      <c r="AF70" s="1049"/>
      <c r="AG70" s="1049"/>
      <c r="AH70" s="1049"/>
      <c r="AI70" s="1049"/>
      <c r="AJ70" s="1049"/>
      <c r="AK70" s="1049"/>
      <c r="AL70" s="1049"/>
      <c r="AM70" s="1049"/>
      <c r="AN70" s="1049"/>
      <c r="AO70" s="1049"/>
      <c r="AP70" s="1049"/>
    </row>
    <row r="71" spans="1:42" ht="15.75" customHeight="1">
      <c r="A71" s="127"/>
      <c r="B71" s="485"/>
      <c r="C71" s="485"/>
      <c r="D71" s="485"/>
      <c r="E71" s="485"/>
      <c r="F71" s="485"/>
      <c r="G71" s="485"/>
      <c r="H71" s="485"/>
      <c r="I71" s="485"/>
      <c r="J71" s="1048"/>
      <c r="K71" s="1048"/>
      <c r="L71" s="1048"/>
      <c r="M71" s="1048"/>
      <c r="N71" s="1048"/>
      <c r="O71" s="1048"/>
      <c r="P71" s="485"/>
      <c r="Q71" s="1048"/>
      <c r="R71" s="1048"/>
      <c r="S71" s="1048"/>
      <c r="T71" s="1048"/>
      <c r="U71" s="485"/>
      <c r="V71" s="485"/>
      <c r="W71" s="1049"/>
      <c r="X71" s="1049"/>
      <c r="Y71" s="1049"/>
      <c r="Z71" s="1049"/>
      <c r="AA71" s="1050"/>
      <c r="AB71" s="1051"/>
      <c r="AC71" s="1051"/>
      <c r="AD71" s="1049"/>
      <c r="AE71" s="1049"/>
      <c r="AF71" s="1049"/>
      <c r="AG71" s="1049"/>
      <c r="AH71" s="1049"/>
      <c r="AI71" s="1049"/>
      <c r="AJ71" s="1049"/>
      <c r="AK71" s="1049"/>
      <c r="AL71" s="1049"/>
      <c r="AM71" s="1049"/>
      <c r="AN71" s="1049"/>
      <c r="AO71" s="1049"/>
      <c r="AP71" s="1049"/>
    </row>
    <row r="72" spans="1:42" ht="15.75" customHeight="1">
      <c r="A72" s="127"/>
      <c r="B72" s="485"/>
      <c r="C72" s="485"/>
      <c r="D72" s="485"/>
      <c r="E72" s="485"/>
      <c r="F72" s="485"/>
      <c r="G72" s="485"/>
      <c r="H72" s="485"/>
      <c r="I72" s="485"/>
      <c r="J72" s="1048"/>
      <c r="K72" s="1048"/>
      <c r="L72" s="1048"/>
      <c r="M72" s="1048"/>
      <c r="N72" s="1048"/>
      <c r="O72" s="1048"/>
      <c r="P72" s="485"/>
      <c r="Q72" s="1048"/>
      <c r="R72" s="1048"/>
      <c r="S72" s="1048"/>
      <c r="T72" s="1048"/>
      <c r="U72" s="485"/>
      <c r="V72" s="485"/>
      <c r="W72" s="1049"/>
      <c r="X72" s="1049"/>
      <c r="Y72" s="1049"/>
      <c r="Z72" s="1049"/>
      <c r="AA72" s="1050"/>
      <c r="AB72" s="1051"/>
      <c r="AC72" s="1051"/>
      <c r="AD72" s="1049"/>
      <c r="AE72" s="1049"/>
      <c r="AF72" s="1049"/>
      <c r="AG72" s="1049"/>
      <c r="AH72" s="1049"/>
      <c r="AI72" s="1049"/>
      <c r="AJ72" s="1049"/>
      <c r="AK72" s="1049"/>
      <c r="AL72" s="1049"/>
      <c r="AM72" s="1049"/>
      <c r="AN72" s="1049"/>
      <c r="AO72" s="1049"/>
      <c r="AP72" s="1049"/>
    </row>
    <row r="73" spans="1:42" ht="15.75" customHeight="1">
      <c r="A73" s="127"/>
      <c r="B73" s="485"/>
      <c r="C73" s="485"/>
      <c r="D73" s="485"/>
      <c r="E73" s="485"/>
      <c r="F73" s="485"/>
      <c r="G73" s="485"/>
      <c r="H73" s="485"/>
      <c r="I73" s="485"/>
      <c r="J73" s="1048"/>
      <c r="K73" s="1048"/>
      <c r="L73" s="1048"/>
      <c r="M73" s="1048"/>
      <c r="N73" s="1048"/>
      <c r="O73" s="1048"/>
      <c r="P73" s="485"/>
      <c r="Q73" s="1048"/>
      <c r="R73" s="1048"/>
      <c r="S73" s="1048"/>
      <c r="T73" s="1048"/>
      <c r="U73" s="485"/>
      <c r="V73" s="485"/>
      <c r="W73" s="1049"/>
      <c r="X73" s="1049"/>
      <c r="Y73" s="1049"/>
      <c r="Z73" s="1049"/>
      <c r="AA73" s="1050"/>
      <c r="AB73" s="1051"/>
      <c r="AC73" s="1051"/>
      <c r="AD73" s="1049"/>
      <c r="AE73" s="1049"/>
      <c r="AF73" s="1049"/>
      <c r="AG73" s="1049"/>
      <c r="AH73" s="1049"/>
      <c r="AI73" s="1049"/>
      <c r="AJ73" s="1049"/>
      <c r="AK73" s="1049"/>
      <c r="AL73" s="1049"/>
      <c r="AM73" s="1049"/>
      <c r="AN73" s="1049"/>
      <c r="AO73" s="1049"/>
      <c r="AP73" s="1049"/>
    </row>
    <row r="74" spans="1:42" ht="15.75" customHeight="1">
      <c r="A74" s="127"/>
      <c r="B74" s="485"/>
      <c r="C74" s="485"/>
      <c r="D74" s="485"/>
      <c r="E74" s="485"/>
      <c r="F74" s="485"/>
      <c r="G74" s="485"/>
      <c r="H74" s="485"/>
      <c r="I74" s="485"/>
      <c r="J74" s="1048"/>
      <c r="K74" s="1048"/>
      <c r="L74" s="1048"/>
      <c r="M74" s="1048"/>
      <c r="N74" s="1048"/>
      <c r="O74" s="1048"/>
      <c r="P74" s="485"/>
      <c r="Q74" s="1048"/>
      <c r="R74" s="1048"/>
      <c r="S74" s="1048"/>
      <c r="T74" s="1048"/>
      <c r="U74" s="485"/>
      <c r="V74" s="485"/>
      <c r="W74" s="1049"/>
      <c r="X74" s="1049"/>
      <c r="Y74" s="1049"/>
      <c r="Z74" s="1049"/>
      <c r="AA74" s="1050"/>
      <c r="AB74" s="1051"/>
      <c r="AC74" s="1051"/>
      <c r="AD74" s="1049"/>
      <c r="AE74" s="1049"/>
      <c r="AF74" s="1049"/>
      <c r="AG74" s="1049"/>
      <c r="AH74" s="1049"/>
      <c r="AI74" s="1049"/>
      <c r="AJ74" s="1049"/>
      <c r="AK74" s="1049"/>
      <c r="AL74" s="1049"/>
      <c r="AM74" s="1049"/>
      <c r="AN74" s="1049"/>
      <c r="AO74" s="1049"/>
      <c r="AP74" s="1049"/>
    </row>
    <row r="75" spans="1:42" ht="15.75" customHeight="1">
      <c r="A75" s="127"/>
      <c r="B75" s="485"/>
      <c r="C75" s="485"/>
      <c r="D75" s="485"/>
      <c r="E75" s="485"/>
      <c r="F75" s="485"/>
      <c r="G75" s="485"/>
      <c r="H75" s="485"/>
      <c r="I75" s="485"/>
      <c r="J75" s="1048"/>
      <c r="K75" s="1048"/>
      <c r="L75" s="1048"/>
      <c r="M75" s="1048"/>
      <c r="N75" s="1048"/>
      <c r="O75" s="1048"/>
      <c r="P75" s="485"/>
      <c r="Q75" s="1048"/>
      <c r="R75" s="1048"/>
      <c r="S75" s="1048"/>
      <c r="T75" s="1048"/>
      <c r="U75" s="485"/>
      <c r="V75" s="485"/>
      <c r="W75" s="1049"/>
      <c r="X75" s="1049"/>
      <c r="Y75" s="1049"/>
      <c r="Z75" s="1049"/>
      <c r="AA75" s="1050"/>
      <c r="AB75" s="1051"/>
      <c r="AC75" s="1051"/>
      <c r="AD75" s="1049"/>
      <c r="AE75" s="1049"/>
      <c r="AF75" s="1049"/>
      <c r="AG75" s="1049"/>
      <c r="AH75" s="1049"/>
      <c r="AI75" s="1049"/>
      <c r="AJ75" s="1049"/>
      <c r="AK75" s="1049"/>
      <c r="AL75" s="1049"/>
      <c r="AM75" s="1049"/>
      <c r="AN75" s="1049"/>
      <c r="AO75" s="1049"/>
      <c r="AP75" s="1049"/>
    </row>
    <row r="76" spans="1:42" ht="15.75" customHeight="1">
      <c r="A76" s="127"/>
      <c r="B76" s="485"/>
      <c r="C76" s="485"/>
      <c r="D76" s="485"/>
      <c r="E76" s="485"/>
      <c r="F76" s="485"/>
      <c r="G76" s="485"/>
      <c r="H76" s="485"/>
      <c r="I76" s="485"/>
      <c r="J76" s="1048"/>
      <c r="K76" s="1048"/>
      <c r="L76" s="1048"/>
      <c r="M76" s="1048"/>
      <c r="N76" s="1048"/>
      <c r="O76" s="1048"/>
      <c r="P76" s="485"/>
      <c r="Q76" s="1048"/>
      <c r="R76" s="1048"/>
      <c r="S76" s="1048"/>
      <c r="T76" s="1048"/>
      <c r="U76" s="485"/>
      <c r="V76" s="485"/>
      <c r="W76" s="1049"/>
      <c r="X76" s="1049"/>
      <c r="Y76" s="1049"/>
      <c r="Z76" s="1049"/>
      <c r="AA76" s="1050"/>
      <c r="AB76" s="1051"/>
      <c r="AC76" s="1051"/>
      <c r="AD76" s="1049"/>
      <c r="AE76" s="1049"/>
      <c r="AF76" s="1049"/>
      <c r="AG76" s="1049"/>
      <c r="AH76" s="1049"/>
      <c r="AI76" s="1049"/>
      <c r="AJ76" s="1049"/>
      <c r="AK76" s="1049"/>
      <c r="AL76" s="1049"/>
      <c r="AM76" s="1049"/>
      <c r="AN76" s="1049"/>
      <c r="AO76" s="1049"/>
      <c r="AP76" s="1049"/>
    </row>
    <row r="77" spans="1:42" ht="15.75" customHeight="1">
      <c r="A77" s="127"/>
      <c r="B77" s="485"/>
      <c r="C77" s="485"/>
      <c r="D77" s="485"/>
      <c r="E77" s="485"/>
      <c r="F77" s="485"/>
      <c r="G77" s="485"/>
      <c r="H77" s="485"/>
      <c r="I77" s="485"/>
      <c r="J77" s="1048"/>
      <c r="K77" s="1048"/>
      <c r="L77" s="1048"/>
      <c r="M77" s="1048"/>
      <c r="N77" s="1048"/>
      <c r="O77" s="1048"/>
      <c r="P77" s="485"/>
      <c r="Q77" s="1048"/>
      <c r="R77" s="1048"/>
      <c r="S77" s="1048"/>
      <c r="T77" s="1048"/>
      <c r="U77" s="485"/>
      <c r="V77" s="485"/>
      <c r="W77" s="1049"/>
      <c r="X77" s="1049"/>
      <c r="Y77" s="1049"/>
      <c r="Z77" s="1049"/>
      <c r="AA77" s="1050"/>
      <c r="AB77" s="1051"/>
      <c r="AC77" s="1051"/>
      <c r="AD77" s="1049"/>
      <c r="AE77" s="1049"/>
      <c r="AF77" s="1049"/>
      <c r="AG77" s="1049"/>
      <c r="AH77" s="1049"/>
      <c r="AI77" s="1049"/>
      <c r="AJ77" s="1049"/>
      <c r="AK77" s="1049"/>
      <c r="AL77" s="1049"/>
      <c r="AM77" s="1049"/>
      <c r="AN77" s="1049"/>
      <c r="AO77" s="1049"/>
      <c r="AP77" s="1049"/>
    </row>
    <row r="78" spans="1:42" ht="15.75" customHeight="1">
      <c r="A78" s="127"/>
      <c r="B78" s="485"/>
      <c r="C78" s="485"/>
      <c r="D78" s="485"/>
      <c r="E78" s="485"/>
      <c r="F78" s="485"/>
      <c r="G78" s="485"/>
      <c r="H78" s="485"/>
      <c r="I78" s="485"/>
      <c r="J78" s="1048"/>
      <c r="K78" s="1048"/>
      <c r="L78" s="1048"/>
      <c r="M78" s="1048"/>
      <c r="N78" s="1048"/>
      <c r="O78" s="1048"/>
      <c r="P78" s="485"/>
      <c r="Q78" s="1048"/>
      <c r="R78" s="1048"/>
      <c r="S78" s="1048"/>
      <c r="T78" s="1048"/>
      <c r="U78" s="485"/>
      <c r="V78" s="485"/>
      <c r="W78" s="1049"/>
      <c r="X78" s="1049"/>
      <c r="Y78" s="1049"/>
      <c r="Z78" s="1049"/>
      <c r="AA78" s="1050"/>
      <c r="AB78" s="1051"/>
      <c r="AC78" s="1051"/>
      <c r="AD78" s="1049"/>
      <c r="AE78" s="1049"/>
      <c r="AF78" s="1049"/>
      <c r="AG78" s="1049"/>
      <c r="AH78" s="1049"/>
      <c r="AI78" s="1049"/>
      <c r="AJ78" s="1049"/>
      <c r="AK78" s="1049"/>
      <c r="AL78" s="1049"/>
      <c r="AM78" s="1049"/>
      <c r="AN78" s="1049"/>
      <c r="AO78" s="1049"/>
      <c r="AP78" s="1049"/>
    </row>
    <row r="79" spans="1:42" ht="15.75" customHeight="1">
      <c r="A79" s="127"/>
      <c r="B79" s="485"/>
      <c r="C79" s="485"/>
      <c r="D79" s="485"/>
      <c r="E79" s="485"/>
      <c r="F79" s="485"/>
      <c r="G79" s="485"/>
      <c r="H79" s="485"/>
      <c r="I79" s="485"/>
      <c r="J79" s="1048"/>
      <c r="K79" s="1048"/>
      <c r="L79" s="1048"/>
      <c r="M79" s="1048"/>
      <c r="N79" s="1048"/>
      <c r="O79" s="1048"/>
      <c r="P79" s="485"/>
      <c r="Q79" s="1048"/>
      <c r="R79" s="1048"/>
      <c r="S79" s="1048"/>
      <c r="T79" s="1048"/>
      <c r="U79" s="485"/>
      <c r="V79" s="485"/>
      <c r="W79" s="1049"/>
      <c r="X79" s="1049"/>
      <c r="Y79" s="1049"/>
      <c r="Z79" s="1049"/>
      <c r="AA79" s="1050"/>
      <c r="AB79" s="1051"/>
      <c r="AC79" s="1051"/>
      <c r="AD79" s="1049"/>
      <c r="AE79" s="1049"/>
      <c r="AF79" s="1049"/>
      <c r="AG79" s="1049"/>
      <c r="AH79" s="1049"/>
      <c r="AI79" s="1049"/>
      <c r="AJ79" s="1049"/>
      <c r="AK79" s="1049"/>
      <c r="AL79" s="1049"/>
      <c r="AM79" s="1049"/>
      <c r="AN79" s="1049"/>
      <c r="AO79" s="1049"/>
      <c r="AP79" s="1049"/>
    </row>
    <row r="80" spans="1:42" ht="15.75" customHeight="1">
      <c r="A80" s="127"/>
      <c r="B80" s="485"/>
      <c r="C80" s="485"/>
      <c r="D80" s="485"/>
      <c r="E80" s="485"/>
      <c r="F80" s="485"/>
      <c r="G80" s="485"/>
      <c r="H80" s="485"/>
      <c r="I80" s="485"/>
      <c r="J80" s="1048"/>
      <c r="K80" s="1048"/>
      <c r="L80" s="1048"/>
      <c r="M80" s="1048"/>
      <c r="N80" s="1048"/>
      <c r="O80" s="1048"/>
      <c r="P80" s="485"/>
      <c r="Q80" s="1048"/>
      <c r="R80" s="1048"/>
      <c r="S80" s="1048"/>
      <c r="T80" s="1048"/>
      <c r="U80" s="485"/>
      <c r="V80" s="485"/>
      <c r="W80" s="1049"/>
      <c r="X80" s="1049"/>
      <c r="Y80" s="1049"/>
      <c r="Z80" s="1049"/>
      <c r="AA80" s="1050"/>
      <c r="AB80" s="1051"/>
      <c r="AC80" s="1051"/>
      <c r="AD80" s="1049"/>
      <c r="AE80" s="1049"/>
      <c r="AF80" s="1049"/>
      <c r="AG80" s="1049"/>
      <c r="AH80" s="1049"/>
      <c r="AI80" s="1049"/>
      <c r="AJ80" s="1049"/>
      <c r="AK80" s="1049"/>
      <c r="AL80" s="1049"/>
      <c r="AM80" s="1049"/>
      <c r="AN80" s="1049"/>
      <c r="AO80" s="1049"/>
      <c r="AP80" s="1049"/>
    </row>
    <row r="81" spans="1:42" ht="15.75" customHeight="1">
      <c r="A81" s="127"/>
      <c r="B81" s="485"/>
      <c r="C81" s="485"/>
      <c r="D81" s="485"/>
      <c r="E81" s="485"/>
      <c r="F81" s="485"/>
      <c r="G81" s="485"/>
      <c r="H81" s="485"/>
      <c r="I81" s="485"/>
      <c r="J81" s="1048"/>
      <c r="K81" s="1048"/>
      <c r="L81" s="1048"/>
      <c r="M81" s="1048"/>
      <c r="N81" s="1048"/>
      <c r="O81" s="1048"/>
      <c r="P81" s="485"/>
      <c r="Q81" s="1048"/>
      <c r="R81" s="1048"/>
      <c r="S81" s="1048"/>
      <c r="T81" s="1048"/>
      <c r="U81" s="485"/>
      <c r="V81" s="485"/>
      <c r="W81" s="1049"/>
      <c r="X81" s="1049"/>
      <c r="Y81" s="1049"/>
      <c r="Z81" s="1049"/>
      <c r="AA81" s="1050"/>
      <c r="AB81" s="1051"/>
      <c r="AC81" s="1051"/>
      <c r="AD81" s="1049"/>
      <c r="AE81" s="1049"/>
      <c r="AF81" s="1049"/>
      <c r="AG81" s="1049"/>
      <c r="AH81" s="1049"/>
      <c r="AI81" s="1049"/>
      <c r="AJ81" s="1049"/>
      <c r="AK81" s="1049"/>
      <c r="AL81" s="1049"/>
      <c r="AM81" s="1049"/>
      <c r="AN81" s="1049"/>
      <c r="AO81" s="1049"/>
      <c r="AP81" s="1049"/>
    </row>
    <row r="82" spans="1:42" ht="15.75" customHeight="1">
      <c r="A82" s="127"/>
      <c r="B82" s="485"/>
      <c r="C82" s="485"/>
      <c r="D82" s="485"/>
      <c r="E82" s="485"/>
      <c r="F82" s="485"/>
      <c r="G82" s="485"/>
      <c r="H82" s="485"/>
      <c r="I82" s="485"/>
      <c r="J82" s="1048"/>
      <c r="K82" s="1048"/>
      <c r="L82" s="1048"/>
      <c r="M82" s="1048"/>
      <c r="N82" s="1048"/>
      <c r="O82" s="1048"/>
      <c r="P82" s="485"/>
      <c r="Q82" s="1048"/>
      <c r="R82" s="1048"/>
      <c r="S82" s="1048"/>
      <c r="T82" s="1048"/>
      <c r="U82" s="485"/>
      <c r="V82" s="485"/>
      <c r="W82" s="1049"/>
      <c r="X82" s="1049"/>
      <c r="Y82" s="1049"/>
      <c r="Z82" s="1049"/>
      <c r="AA82" s="1050"/>
      <c r="AB82" s="1051"/>
      <c r="AC82" s="1051"/>
      <c r="AD82" s="1049"/>
      <c r="AE82" s="1049"/>
      <c r="AF82" s="1049"/>
      <c r="AG82" s="1049"/>
      <c r="AH82" s="1049"/>
      <c r="AI82" s="1049"/>
      <c r="AJ82" s="1049"/>
      <c r="AK82" s="1049"/>
      <c r="AL82" s="1049"/>
      <c r="AM82" s="1049"/>
      <c r="AN82" s="1049"/>
      <c r="AO82" s="1049"/>
      <c r="AP82" s="1049"/>
    </row>
    <row r="83" spans="1:42" ht="15.75" customHeight="1">
      <c r="A83" s="127"/>
      <c r="B83" s="485"/>
      <c r="C83" s="485"/>
      <c r="D83" s="485"/>
      <c r="E83" s="485"/>
      <c r="F83" s="485"/>
      <c r="G83" s="485"/>
      <c r="H83" s="485"/>
      <c r="I83" s="485"/>
      <c r="J83" s="1048"/>
      <c r="K83" s="1048"/>
      <c r="L83" s="1048"/>
      <c r="M83" s="1048"/>
      <c r="N83" s="1048"/>
      <c r="O83" s="1048"/>
      <c r="P83" s="485"/>
      <c r="Q83" s="1048"/>
      <c r="R83" s="1048"/>
      <c r="S83" s="1048"/>
      <c r="T83" s="1048"/>
      <c r="U83" s="485"/>
      <c r="V83" s="485"/>
      <c r="W83" s="1049"/>
      <c r="X83" s="1049"/>
      <c r="Y83" s="1049"/>
      <c r="Z83" s="1049"/>
      <c r="AA83" s="1050"/>
      <c r="AB83" s="1051"/>
      <c r="AC83" s="1051"/>
      <c r="AD83" s="1049"/>
      <c r="AE83" s="1049"/>
      <c r="AF83" s="1049"/>
      <c r="AG83" s="1049"/>
      <c r="AH83" s="1049"/>
      <c r="AI83" s="1049"/>
      <c r="AJ83" s="1049"/>
      <c r="AK83" s="1049"/>
      <c r="AL83" s="1049"/>
      <c r="AM83" s="1049"/>
      <c r="AN83" s="1049"/>
      <c r="AO83" s="1049"/>
      <c r="AP83" s="1049"/>
    </row>
    <row r="84" spans="1:42" ht="15.75" customHeight="1">
      <c r="A84" s="127"/>
      <c r="B84" s="485"/>
      <c r="C84" s="485"/>
      <c r="D84" s="485"/>
      <c r="E84" s="485"/>
      <c r="F84" s="485"/>
      <c r="G84" s="485"/>
      <c r="H84" s="485"/>
      <c r="I84" s="485"/>
      <c r="J84" s="1048"/>
      <c r="K84" s="1048"/>
      <c r="L84" s="1048"/>
      <c r="M84" s="1048"/>
      <c r="N84" s="1048"/>
      <c r="O84" s="1048"/>
      <c r="P84" s="485"/>
      <c r="Q84" s="1048"/>
      <c r="R84" s="1048"/>
      <c r="S84" s="1048"/>
      <c r="T84" s="1048"/>
      <c r="U84" s="485"/>
      <c r="V84" s="485"/>
      <c r="W84" s="1049"/>
      <c r="X84" s="1049"/>
      <c r="Y84" s="1049"/>
      <c r="Z84" s="1049"/>
      <c r="AA84" s="1050"/>
      <c r="AB84" s="1051"/>
      <c r="AC84" s="1051"/>
      <c r="AD84" s="1049"/>
      <c r="AE84" s="1049"/>
      <c r="AF84" s="1049"/>
      <c r="AG84" s="1049"/>
      <c r="AH84" s="1049"/>
      <c r="AI84" s="1049"/>
      <c r="AJ84" s="1049"/>
      <c r="AK84" s="1049"/>
      <c r="AL84" s="1049"/>
      <c r="AM84" s="1049"/>
      <c r="AN84" s="1049"/>
      <c r="AO84" s="1049"/>
      <c r="AP84" s="1049"/>
    </row>
    <row r="85" spans="1:42" ht="15.75" customHeight="1">
      <c r="A85" s="127"/>
      <c r="B85" s="485"/>
      <c r="C85" s="485"/>
      <c r="D85" s="485"/>
      <c r="E85" s="485"/>
      <c r="F85" s="485"/>
      <c r="G85" s="485"/>
      <c r="H85" s="485"/>
      <c r="I85" s="485"/>
      <c r="J85" s="1048"/>
      <c r="K85" s="1048"/>
      <c r="L85" s="1048"/>
      <c r="M85" s="1048"/>
      <c r="N85" s="1048"/>
      <c r="O85" s="1048"/>
      <c r="P85" s="485"/>
      <c r="Q85" s="1048"/>
      <c r="R85" s="1048"/>
      <c r="S85" s="1048"/>
      <c r="T85" s="1048"/>
      <c r="U85" s="485"/>
      <c r="V85" s="485"/>
      <c r="W85" s="1049"/>
      <c r="X85" s="1049"/>
      <c r="Y85" s="1049"/>
      <c r="Z85" s="1049"/>
      <c r="AA85" s="1050"/>
      <c r="AB85" s="1051"/>
      <c r="AC85" s="1051"/>
      <c r="AD85" s="1049"/>
      <c r="AE85" s="1049"/>
      <c r="AF85" s="1049"/>
      <c r="AG85" s="1049"/>
      <c r="AH85" s="1049"/>
      <c r="AI85" s="1049"/>
      <c r="AJ85" s="1049"/>
      <c r="AK85" s="1049"/>
      <c r="AL85" s="1049"/>
      <c r="AM85" s="1049"/>
      <c r="AN85" s="1049"/>
      <c r="AO85" s="1049"/>
      <c r="AP85" s="1049"/>
    </row>
    <row r="86" spans="1:42" ht="15.75" customHeight="1">
      <c r="A86" s="127"/>
      <c r="B86" s="485"/>
      <c r="C86" s="485"/>
      <c r="D86" s="485"/>
      <c r="E86" s="485"/>
      <c r="F86" s="485"/>
      <c r="G86" s="485"/>
      <c r="H86" s="485"/>
      <c r="I86" s="485"/>
      <c r="J86" s="1048"/>
      <c r="K86" s="1048"/>
      <c r="L86" s="1048"/>
      <c r="M86" s="1048"/>
      <c r="N86" s="1048"/>
      <c r="O86" s="1048"/>
      <c r="P86" s="485"/>
      <c r="Q86" s="1048"/>
      <c r="R86" s="1048"/>
      <c r="S86" s="1048"/>
      <c r="T86" s="1048"/>
      <c r="U86" s="485"/>
      <c r="V86" s="485"/>
      <c r="W86" s="1049"/>
      <c r="X86" s="1049"/>
      <c r="Y86" s="1049"/>
      <c r="Z86" s="1049"/>
      <c r="AA86" s="1050"/>
      <c r="AB86" s="1051"/>
      <c r="AC86" s="1051"/>
      <c r="AD86" s="1049"/>
      <c r="AE86" s="1049"/>
      <c r="AF86" s="1049"/>
      <c r="AG86" s="1049"/>
      <c r="AH86" s="1049"/>
      <c r="AI86" s="1049"/>
      <c r="AJ86" s="1049"/>
      <c r="AK86" s="1049"/>
      <c r="AL86" s="1049"/>
      <c r="AM86" s="1049"/>
      <c r="AN86" s="1049"/>
      <c r="AO86" s="1049"/>
      <c r="AP86" s="1049"/>
    </row>
    <row r="87" spans="1:42" ht="15.75" customHeight="1">
      <c r="A87" s="127"/>
      <c r="B87" s="485"/>
      <c r="C87" s="485"/>
      <c r="D87" s="485"/>
      <c r="E87" s="485"/>
      <c r="F87" s="485"/>
      <c r="G87" s="485"/>
      <c r="H87" s="485"/>
      <c r="I87" s="485"/>
      <c r="J87" s="1048"/>
      <c r="K87" s="1048"/>
      <c r="L87" s="1048"/>
      <c r="M87" s="1048"/>
      <c r="N87" s="1048"/>
      <c r="O87" s="1048"/>
      <c r="P87" s="485"/>
      <c r="Q87" s="1048"/>
      <c r="R87" s="1048"/>
      <c r="S87" s="1048"/>
      <c r="T87" s="1048"/>
      <c r="U87" s="485"/>
      <c r="V87" s="485"/>
      <c r="W87" s="1049"/>
      <c r="X87" s="1049"/>
      <c r="Y87" s="1049"/>
      <c r="Z87" s="1049"/>
      <c r="AA87" s="1050"/>
      <c r="AB87" s="1051"/>
      <c r="AC87" s="1051"/>
      <c r="AD87" s="1049"/>
      <c r="AE87" s="1049"/>
      <c r="AF87" s="1049"/>
      <c r="AG87" s="1049"/>
      <c r="AH87" s="1049"/>
      <c r="AI87" s="1049"/>
      <c r="AJ87" s="1049"/>
      <c r="AK87" s="1049"/>
      <c r="AL87" s="1049"/>
      <c r="AM87" s="1049"/>
      <c r="AN87" s="1049"/>
      <c r="AO87" s="1049"/>
      <c r="AP87" s="1049"/>
    </row>
    <row r="88" spans="1:42" ht="15.75" customHeight="1">
      <c r="A88" s="127"/>
      <c r="B88" s="485"/>
      <c r="C88" s="485"/>
      <c r="D88" s="485"/>
      <c r="E88" s="485"/>
      <c r="F88" s="485"/>
      <c r="G88" s="485"/>
      <c r="H88" s="485"/>
      <c r="I88" s="485"/>
      <c r="J88" s="1048"/>
      <c r="K88" s="1048"/>
      <c r="L88" s="1048"/>
      <c r="M88" s="1048"/>
      <c r="N88" s="1048"/>
      <c r="O88" s="1048"/>
      <c r="P88" s="485"/>
      <c r="Q88" s="1048"/>
      <c r="R88" s="1048"/>
      <c r="S88" s="1048"/>
      <c r="T88" s="1048"/>
      <c r="U88" s="485"/>
      <c r="V88" s="485"/>
      <c r="W88" s="1049"/>
      <c r="X88" s="1049"/>
      <c r="Y88" s="1049"/>
      <c r="Z88" s="1049"/>
      <c r="AA88" s="1050"/>
      <c r="AB88" s="1051"/>
      <c r="AC88" s="1051"/>
      <c r="AD88" s="1049"/>
      <c r="AE88" s="1049"/>
      <c r="AF88" s="1049"/>
      <c r="AG88" s="1049"/>
      <c r="AH88" s="1049"/>
      <c r="AI88" s="1049"/>
      <c r="AJ88" s="1049"/>
      <c r="AK88" s="1049"/>
      <c r="AL88" s="1049"/>
      <c r="AM88" s="1049"/>
      <c r="AN88" s="1049"/>
      <c r="AO88" s="1049"/>
      <c r="AP88" s="1049"/>
    </row>
    <row r="89" spans="1:42" ht="15.75" customHeight="1">
      <c r="A89" s="127"/>
      <c r="B89" s="485"/>
      <c r="C89" s="485"/>
      <c r="D89" s="485"/>
      <c r="E89" s="485"/>
      <c r="F89" s="485"/>
      <c r="G89" s="485"/>
      <c r="H89" s="485"/>
      <c r="I89" s="485"/>
      <c r="J89" s="1048"/>
      <c r="K89" s="1048"/>
      <c r="L89" s="1048"/>
      <c r="M89" s="1048"/>
      <c r="N89" s="1048"/>
      <c r="O89" s="1048"/>
      <c r="P89" s="485"/>
      <c r="Q89" s="1048"/>
      <c r="R89" s="1048"/>
      <c r="S89" s="1048"/>
      <c r="T89" s="1048"/>
      <c r="U89" s="485"/>
      <c r="V89" s="485"/>
      <c r="W89" s="1049"/>
      <c r="X89" s="1049"/>
      <c r="Y89" s="1049"/>
      <c r="Z89" s="1049"/>
      <c r="AA89" s="1050"/>
      <c r="AB89" s="1051"/>
      <c r="AC89" s="1051"/>
      <c r="AD89" s="1049"/>
      <c r="AE89" s="1049"/>
      <c r="AF89" s="1049"/>
      <c r="AG89" s="1049"/>
      <c r="AH89" s="1049"/>
      <c r="AI89" s="1049"/>
      <c r="AJ89" s="1049"/>
      <c r="AK89" s="1049"/>
      <c r="AL89" s="1049"/>
      <c r="AM89" s="1049"/>
      <c r="AN89" s="1049"/>
      <c r="AO89" s="1049"/>
      <c r="AP89" s="1049"/>
    </row>
    <row r="90" spans="1:42" ht="15.75" customHeight="1">
      <c r="A90" s="127"/>
      <c r="B90" s="485"/>
      <c r="C90" s="485"/>
      <c r="D90" s="485"/>
      <c r="E90" s="485"/>
      <c r="F90" s="485"/>
      <c r="G90" s="485"/>
      <c r="H90" s="485"/>
      <c r="I90" s="485"/>
      <c r="J90" s="1048"/>
      <c r="K90" s="1048"/>
      <c r="L90" s="1048"/>
      <c r="M90" s="1048"/>
      <c r="N90" s="1048"/>
      <c r="O90" s="1048"/>
      <c r="P90" s="485"/>
      <c r="Q90" s="1048"/>
      <c r="R90" s="1048"/>
      <c r="S90" s="1048"/>
      <c r="T90" s="1048"/>
      <c r="U90" s="485"/>
      <c r="V90" s="485"/>
      <c r="W90" s="1049"/>
      <c r="X90" s="1049"/>
      <c r="Y90" s="1049"/>
      <c r="Z90" s="1049"/>
      <c r="AA90" s="1050"/>
      <c r="AB90" s="1051"/>
      <c r="AC90" s="1051"/>
      <c r="AD90" s="1049"/>
      <c r="AE90" s="1049"/>
      <c r="AF90" s="1049"/>
      <c r="AG90" s="1049"/>
      <c r="AH90" s="1049"/>
      <c r="AI90" s="1049"/>
      <c r="AJ90" s="1049"/>
      <c r="AK90" s="1049"/>
      <c r="AL90" s="1049"/>
      <c r="AM90" s="1049"/>
      <c r="AN90" s="1049"/>
      <c r="AO90" s="1049"/>
      <c r="AP90" s="1049"/>
    </row>
    <row r="91" spans="1:42" ht="15.75" customHeight="1">
      <c r="A91" s="127"/>
      <c r="B91" s="485"/>
      <c r="C91" s="485"/>
      <c r="D91" s="485"/>
      <c r="E91" s="485"/>
      <c r="F91" s="485"/>
      <c r="G91" s="485"/>
      <c r="H91" s="485"/>
      <c r="I91" s="485"/>
      <c r="J91" s="1048"/>
      <c r="K91" s="1048"/>
      <c r="L91" s="1048"/>
      <c r="M91" s="1048"/>
      <c r="N91" s="1048"/>
      <c r="O91" s="1048"/>
      <c r="P91" s="485"/>
      <c r="Q91" s="1048"/>
      <c r="R91" s="1048"/>
      <c r="S91" s="1048"/>
      <c r="T91" s="1048"/>
      <c r="U91" s="485"/>
      <c r="V91" s="485"/>
      <c r="W91" s="1049"/>
      <c r="X91" s="1049"/>
      <c r="Y91" s="1049"/>
      <c r="Z91" s="1049"/>
      <c r="AA91" s="1050"/>
      <c r="AB91" s="1051"/>
      <c r="AC91" s="1051"/>
      <c r="AD91" s="1049"/>
      <c r="AE91" s="1049"/>
      <c r="AF91" s="1049"/>
      <c r="AG91" s="1049"/>
      <c r="AH91" s="1049"/>
      <c r="AI91" s="1049"/>
      <c r="AJ91" s="1049"/>
      <c r="AK91" s="1049"/>
      <c r="AL91" s="1049"/>
      <c r="AM91" s="1049"/>
      <c r="AN91" s="1049"/>
      <c r="AO91" s="1049"/>
      <c r="AP91" s="1049"/>
    </row>
    <row r="92" spans="1:42" ht="15.75" customHeight="1">
      <c r="A92" s="127"/>
      <c r="B92" s="485"/>
      <c r="C92" s="485"/>
      <c r="D92" s="485"/>
      <c r="E92" s="485"/>
      <c r="F92" s="485"/>
      <c r="G92" s="485"/>
      <c r="H92" s="485"/>
      <c r="I92" s="485"/>
      <c r="J92" s="1048"/>
      <c r="K92" s="1048"/>
      <c r="L92" s="1048"/>
      <c r="M92" s="1048"/>
      <c r="N92" s="1048"/>
      <c r="O92" s="1048"/>
      <c r="P92" s="485"/>
      <c r="Q92" s="1048"/>
      <c r="R92" s="1048"/>
      <c r="S92" s="1048"/>
      <c r="T92" s="1048"/>
      <c r="U92" s="485"/>
      <c r="V92" s="485"/>
      <c r="W92" s="1049"/>
      <c r="X92" s="1049"/>
      <c r="Y92" s="1049"/>
      <c r="Z92" s="1049"/>
      <c r="AA92" s="1050"/>
      <c r="AB92" s="1051"/>
      <c r="AC92" s="1051"/>
      <c r="AD92" s="1049"/>
      <c r="AE92" s="1049"/>
      <c r="AF92" s="1049"/>
      <c r="AG92" s="1049"/>
      <c r="AH92" s="1049"/>
      <c r="AI92" s="1049"/>
      <c r="AJ92" s="1049"/>
      <c r="AK92" s="1049"/>
      <c r="AL92" s="1049"/>
      <c r="AM92" s="1049"/>
      <c r="AN92" s="1049"/>
      <c r="AO92" s="1049"/>
      <c r="AP92" s="1049"/>
    </row>
    <row r="93" spans="1:42" ht="15.75" customHeight="1">
      <c r="A93" s="127"/>
      <c r="B93" s="485"/>
      <c r="C93" s="485"/>
      <c r="D93" s="485"/>
      <c r="E93" s="485"/>
      <c r="F93" s="485"/>
      <c r="G93" s="485"/>
      <c r="H93" s="485"/>
      <c r="I93" s="485"/>
      <c r="J93" s="1048"/>
      <c r="K93" s="1048"/>
      <c r="L93" s="1048"/>
      <c r="M93" s="1048"/>
      <c r="N93" s="1048"/>
      <c r="O93" s="1048"/>
      <c r="P93" s="485"/>
      <c r="Q93" s="1048"/>
      <c r="R93" s="1048"/>
      <c r="S93" s="1048"/>
      <c r="T93" s="1048"/>
      <c r="U93" s="485"/>
      <c r="V93" s="485"/>
      <c r="W93" s="1049"/>
      <c r="X93" s="1049"/>
      <c r="Y93" s="1049"/>
      <c r="Z93" s="1049"/>
      <c r="AA93" s="1050"/>
      <c r="AB93" s="1051"/>
      <c r="AC93" s="1051"/>
      <c r="AD93" s="1049"/>
      <c r="AE93" s="1049"/>
      <c r="AF93" s="1049"/>
      <c r="AG93" s="1049"/>
      <c r="AH93" s="1049"/>
      <c r="AI93" s="1049"/>
      <c r="AJ93" s="1049"/>
      <c r="AK93" s="1049"/>
      <c r="AL93" s="1049"/>
      <c r="AM93" s="1049"/>
      <c r="AN93" s="1049"/>
      <c r="AO93" s="1049"/>
      <c r="AP93" s="1049"/>
    </row>
    <row r="94" spans="1:42" ht="15.75" customHeight="1">
      <c r="A94" s="127"/>
      <c r="B94" s="485"/>
      <c r="C94" s="485"/>
      <c r="D94" s="485"/>
      <c r="E94" s="485"/>
      <c r="F94" s="485"/>
      <c r="G94" s="485"/>
      <c r="H94" s="485"/>
      <c r="I94" s="485"/>
      <c r="J94" s="1048"/>
      <c r="K94" s="1048"/>
      <c r="L94" s="1048"/>
      <c r="M94" s="1048"/>
      <c r="N94" s="1048"/>
      <c r="O94" s="1048"/>
      <c r="P94" s="485"/>
      <c r="Q94" s="1048"/>
      <c r="R94" s="1048"/>
      <c r="S94" s="1048"/>
      <c r="T94" s="1048"/>
      <c r="U94" s="485"/>
      <c r="V94" s="485"/>
      <c r="W94" s="1049"/>
      <c r="X94" s="1049"/>
      <c r="Y94" s="1049"/>
      <c r="Z94" s="1049"/>
      <c r="AA94" s="1050"/>
      <c r="AB94" s="1051"/>
      <c r="AC94" s="1051"/>
      <c r="AD94" s="1049"/>
      <c r="AE94" s="1049"/>
      <c r="AF94" s="1049"/>
      <c r="AG94" s="1049"/>
      <c r="AH94" s="1049"/>
      <c r="AI94" s="1049"/>
      <c r="AJ94" s="1049"/>
      <c r="AK94" s="1049"/>
      <c r="AL94" s="1049"/>
      <c r="AM94" s="1049"/>
      <c r="AN94" s="1049"/>
      <c r="AO94" s="1049"/>
      <c r="AP94" s="1049"/>
    </row>
    <row r="95" spans="1:42" ht="15.75" customHeight="1">
      <c r="A95" s="127"/>
      <c r="B95" s="485"/>
      <c r="C95" s="485"/>
      <c r="D95" s="485"/>
      <c r="E95" s="485"/>
      <c r="F95" s="485"/>
      <c r="G95" s="485"/>
      <c r="H95" s="485"/>
      <c r="I95" s="485"/>
      <c r="J95" s="1048"/>
      <c r="K95" s="1048"/>
      <c r="L95" s="1048"/>
      <c r="M95" s="1048"/>
      <c r="N95" s="1048"/>
      <c r="O95" s="1048"/>
      <c r="P95" s="485"/>
      <c r="Q95" s="1048"/>
      <c r="R95" s="1048"/>
      <c r="S95" s="1048"/>
      <c r="T95" s="1048"/>
      <c r="U95" s="485"/>
      <c r="V95" s="485"/>
      <c r="W95" s="1049"/>
      <c r="X95" s="1049"/>
      <c r="Y95" s="1049"/>
      <c r="Z95" s="1049"/>
      <c r="AA95" s="1050"/>
      <c r="AB95" s="1051"/>
      <c r="AC95" s="1051"/>
      <c r="AD95" s="1049"/>
      <c r="AE95" s="1049"/>
      <c r="AF95" s="1049"/>
      <c r="AG95" s="1049"/>
      <c r="AH95" s="1049"/>
      <c r="AI95" s="1049"/>
      <c r="AJ95" s="1049"/>
      <c r="AK95" s="1049"/>
      <c r="AL95" s="1049"/>
      <c r="AM95" s="1049"/>
      <c r="AN95" s="1049"/>
      <c r="AO95" s="1049"/>
      <c r="AP95" s="1049"/>
    </row>
    <row r="96" spans="1:42" ht="15.75" customHeight="1">
      <c r="A96" s="127"/>
      <c r="B96" s="485"/>
      <c r="C96" s="485"/>
      <c r="D96" s="485"/>
      <c r="E96" s="485"/>
      <c r="F96" s="485"/>
      <c r="G96" s="485"/>
      <c r="H96" s="485"/>
      <c r="I96" s="485"/>
      <c r="J96" s="1048"/>
      <c r="K96" s="1048"/>
      <c r="L96" s="1048"/>
      <c r="M96" s="1048"/>
      <c r="N96" s="1048"/>
      <c r="O96" s="1048"/>
      <c r="P96" s="485"/>
      <c r="Q96" s="1048"/>
      <c r="R96" s="1048"/>
      <c r="S96" s="1048"/>
      <c r="T96" s="1048"/>
      <c r="U96" s="485"/>
      <c r="V96" s="485"/>
      <c r="W96" s="1049"/>
      <c r="X96" s="1049"/>
      <c r="Y96" s="1049"/>
      <c r="Z96" s="1049"/>
      <c r="AA96" s="1050"/>
      <c r="AB96" s="1051"/>
      <c r="AC96" s="1051"/>
      <c r="AD96" s="1049"/>
      <c r="AE96" s="1049"/>
      <c r="AF96" s="1049"/>
      <c r="AG96" s="1049"/>
      <c r="AH96" s="1049"/>
      <c r="AI96" s="1049"/>
      <c r="AJ96" s="1049"/>
      <c r="AK96" s="1049"/>
      <c r="AL96" s="1049"/>
      <c r="AM96" s="1049"/>
      <c r="AN96" s="1049"/>
      <c r="AO96" s="1049"/>
      <c r="AP96" s="1049"/>
    </row>
    <row r="97" spans="1:42" ht="15.75" customHeight="1">
      <c r="A97" s="127"/>
      <c r="B97" s="485"/>
      <c r="C97" s="485"/>
      <c r="D97" s="485"/>
      <c r="E97" s="485"/>
      <c r="F97" s="485"/>
      <c r="G97" s="485"/>
      <c r="H97" s="485"/>
      <c r="I97" s="485"/>
      <c r="J97" s="1048"/>
      <c r="K97" s="1048"/>
      <c r="L97" s="1048"/>
      <c r="M97" s="1048"/>
      <c r="N97" s="1048"/>
      <c r="O97" s="1048"/>
      <c r="P97" s="485"/>
      <c r="Q97" s="1048"/>
      <c r="R97" s="1048"/>
      <c r="S97" s="1048"/>
      <c r="T97" s="1048"/>
      <c r="U97" s="485"/>
      <c r="V97" s="485"/>
      <c r="W97" s="1049"/>
      <c r="X97" s="1049"/>
      <c r="Y97" s="1049"/>
      <c r="Z97" s="1049"/>
      <c r="AA97" s="1050"/>
      <c r="AB97" s="1051"/>
      <c r="AC97" s="1051"/>
      <c r="AD97" s="1049"/>
      <c r="AE97" s="1049"/>
      <c r="AF97" s="1049"/>
      <c r="AG97" s="1049"/>
      <c r="AH97" s="1049"/>
      <c r="AI97" s="1049"/>
      <c r="AJ97" s="1049"/>
      <c r="AK97" s="1049"/>
      <c r="AL97" s="1049"/>
      <c r="AM97" s="1049"/>
      <c r="AN97" s="1049"/>
      <c r="AO97" s="1049"/>
      <c r="AP97" s="1049"/>
    </row>
    <row r="98" spans="1:42" ht="15.75" customHeight="1">
      <c r="A98" s="127"/>
      <c r="B98" s="485"/>
      <c r="C98" s="485"/>
      <c r="D98" s="485"/>
      <c r="E98" s="485"/>
      <c r="F98" s="485"/>
      <c r="G98" s="485"/>
      <c r="H98" s="485"/>
      <c r="I98" s="485"/>
      <c r="J98" s="1048"/>
      <c r="K98" s="1048"/>
      <c r="L98" s="1048"/>
      <c r="M98" s="1048"/>
      <c r="N98" s="1048"/>
      <c r="O98" s="1048"/>
      <c r="P98" s="485"/>
      <c r="Q98" s="1048"/>
      <c r="R98" s="1048"/>
      <c r="S98" s="1048"/>
      <c r="T98" s="1048"/>
      <c r="U98" s="485"/>
      <c r="V98" s="485"/>
      <c r="W98" s="1049"/>
      <c r="X98" s="1049"/>
      <c r="Y98" s="1049"/>
      <c r="Z98" s="1049"/>
      <c r="AA98" s="1050"/>
      <c r="AB98" s="1051"/>
      <c r="AC98" s="1051"/>
      <c r="AD98" s="1049"/>
      <c r="AE98" s="1049"/>
      <c r="AF98" s="1049"/>
      <c r="AG98" s="1049"/>
      <c r="AH98" s="1049"/>
      <c r="AI98" s="1049"/>
      <c r="AJ98" s="1049"/>
      <c r="AK98" s="1049"/>
      <c r="AL98" s="1049"/>
      <c r="AM98" s="1049"/>
      <c r="AN98" s="1049"/>
      <c r="AO98" s="1049"/>
      <c r="AP98" s="1049"/>
    </row>
    <row r="99" spans="1:42" ht="15.75" customHeight="1">
      <c r="A99" s="127"/>
      <c r="B99" s="485"/>
      <c r="C99" s="485"/>
      <c r="D99" s="485"/>
      <c r="E99" s="485"/>
      <c r="F99" s="485"/>
      <c r="G99" s="485"/>
      <c r="H99" s="485"/>
      <c r="I99" s="485"/>
      <c r="J99" s="1048"/>
      <c r="K99" s="1048"/>
      <c r="L99" s="1048"/>
      <c r="M99" s="1048"/>
      <c r="N99" s="1048"/>
      <c r="O99" s="1048"/>
      <c r="P99" s="485"/>
      <c r="Q99" s="1048"/>
      <c r="R99" s="1048"/>
      <c r="S99" s="1048"/>
      <c r="T99" s="1048"/>
      <c r="U99" s="485"/>
      <c r="V99" s="485"/>
      <c r="W99" s="1049"/>
      <c r="X99" s="1049"/>
      <c r="Y99" s="1049"/>
      <c r="Z99" s="1049"/>
      <c r="AA99" s="1050"/>
      <c r="AB99" s="1051"/>
      <c r="AC99" s="1051"/>
      <c r="AD99" s="1049"/>
      <c r="AE99" s="1049"/>
      <c r="AF99" s="1049"/>
      <c r="AG99" s="1049"/>
      <c r="AH99" s="1049"/>
      <c r="AI99" s="1049"/>
      <c r="AJ99" s="1049"/>
      <c r="AK99" s="1049"/>
      <c r="AL99" s="1049"/>
      <c r="AM99" s="1049"/>
      <c r="AN99" s="1049"/>
      <c r="AO99" s="1049"/>
      <c r="AP99" s="1049"/>
    </row>
    <row r="100" spans="1:42" ht="15.75" customHeight="1">
      <c r="A100" s="127"/>
      <c r="B100" s="485"/>
      <c r="C100" s="485"/>
      <c r="D100" s="485"/>
      <c r="E100" s="485"/>
      <c r="F100" s="485"/>
      <c r="G100" s="485"/>
      <c r="H100" s="485"/>
      <c r="I100" s="485"/>
      <c r="J100" s="1048"/>
      <c r="K100" s="1048"/>
      <c r="L100" s="1048"/>
      <c r="M100" s="1048"/>
      <c r="N100" s="1048"/>
      <c r="O100" s="1048"/>
      <c r="P100" s="485"/>
      <c r="Q100" s="1048"/>
      <c r="R100" s="1048"/>
      <c r="S100" s="1048"/>
      <c r="T100" s="1048"/>
      <c r="U100" s="485"/>
      <c r="V100" s="485"/>
      <c r="W100" s="1049"/>
      <c r="X100" s="1049"/>
      <c r="Y100" s="1049"/>
      <c r="Z100" s="1049"/>
      <c r="AA100" s="1050"/>
      <c r="AB100" s="1051"/>
      <c r="AC100" s="1051"/>
      <c r="AD100" s="1049"/>
      <c r="AE100" s="1049"/>
      <c r="AF100" s="1049"/>
      <c r="AG100" s="1049"/>
      <c r="AH100" s="1049"/>
      <c r="AI100" s="1049"/>
      <c r="AJ100" s="1049"/>
      <c r="AK100" s="1049"/>
      <c r="AL100" s="1049"/>
      <c r="AM100" s="1049"/>
      <c r="AN100" s="1049"/>
      <c r="AO100" s="1049"/>
      <c r="AP100" s="1049"/>
    </row>
    <row r="101" spans="1:42" ht="15.75" customHeight="1">
      <c r="A101" s="127"/>
      <c r="B101" s="485"/>
      <c r="C101" s="485"/>
      <c r="D101" s="485"/>
      <c r="E101" s="485"/>
      <c r="F101" s="485"/>
      <c r="G101" s="485"/>
      <c r="H101" s="485"/>
      <c r="I101" s="485"/>
      <c r="J101" s="1048"/>
      <c r="K101" s="1048"/>
      <c r="L101" s="1048"/>
      <c r="M101" s="1048"/>
      <c r="N101" s="1048"/>
      <c r="O101" s="1048"/>
      <c r="P101" s="485"/>
      <c r="Q101" s="1048"/>
      <c r="R101" s="1048"/>
      <c r="S101" s="1048"/>
      <c r="T101" s="1048"/>
      <c r="U101" s="485"/>
      <c r="V101" s="485"/>
      <c r="W101" s="1049"/>
      <c r="X101" s="1049"/>
      <c r="Y101" s="1049"/>
      <c r="Z101" s="1049"/>
      <c r="AA101" s="1050"/>
      <c r="AB101" s="1051"/>
      <c r="AC101" s="1051"/>
      <c r="AD101" s="1049"/>
      <c r="AE101" s="1049"/>
      <c r="AF101" s="1049"/>
      <c r="AG101" s="1049"/>
      <c r="AH101" s="1049"/>
      <c r="AI101" s="1049"/>
      <c r="AJ101" s="1049"/>
      <c r="AK101" s="1049"/>
      <c r="AL101" s="1049"/>
      <c r="AM101" s="1049"/>
      <c r="AN101" s="1049"/>
      <c r="AO101" s="1049"/>
      <c r="AP101" s="1049"/>
    </row>
    <row r="102" spans="1:42" ht="15.75" customHeight="1">
      <c r="A102" s="127"/>
      <c r="B102" s="485"/>
      <c r="C102" s="485"/>
      <c r="D102" s="485"/>
      <c r="E102" s="485"/>
      <c r="F102" s="485"/>
      <c r="G102" s="485"/>
      <c r="H102" s="485"/>
      <c r="I102" s="485"/>
      <c r="J102" s="1048"/>
      <c r="K102" s="1048"/>
      <c r="L102" s="1048"/>
      <c r="M102" s="1048"/>
      <c r="N102" s="1048"/>
      <c r="O102" s="1048"/>
      <c r="P102" s="485"/>
      <c r="Q102" s="1048"/>
      <c r="R102" s="1048"/>
      <c r="S102" s="1048"/>
      <c r="T102" s="1048"/>
      <c r="U102" s="485"/>
      <c r="V102" s="485"/>
      <c r="W102" s="1049"/>
      <c r="X102" s="1049"/>
      <c r="Y102" s="1049"/>
      <c r="Z102" s="1049"/>
      <c r="AA102" s="1050"/>
      <c r="AB102" s="1051"/>
      <c r="AC102" s="1051"/>
      <c r="AD102" s="1049"/>
      <c r="AE102" s="1049"/>
      <c r="AF102" s="1049"/>
      <c r="AG102" s="1049"/>
      <c r="AH102" s="1049"/>
      <c r="AI102" s="1049"/>
      <c r="AJ102" s="1049"/>
      <c r="AK102" s="1049"/>
      <c r="AL102" s="1049"/>
      <c r="AM102" s="1049"/>
      <c r="AN102" s="1049"/>
      <c r="AO102" s="1049"/>
      <c r="AP102" s="1049"/>
    </row>
    <row r="103" spans="1:42" ht="15.75" customHeight="1">
      <c r="A103" s="127"/>
      <c r="B103" s="485"/>
      <c r="C103" s="485"/>
      <c r="D103" s="485"/>
      <c r="E103" s="485"/>
      <c r="F103" s="485"/>
      <c r="G103" s="485"/>
      <c r="H103" s="485"/>
      <c r="I103" s="485"/>
      <c r="J103" s="1048"/>
      <c r="K103" s="1048"/>
      <c r="L103" s="1048"/>
      <c r="M103" s="1048"/>
      <c r="N103" s="1048"/>
      <c r="O103" s="1048"/>
      <c r="P103" s="485"/>
      <c r="Q103" s="1048"/>
      <c r="R103" s="1048"/>
      <c r="S103" s="1048"/>
      <c r="T103" s="1048"/>
      <c r="U103" s="485"/>
      <c r="V103" s="485"/>
      <c r="W103" s="1049"/>
      <c r="X103" s="1049"/>
      <c r="Y103" s="1049"/>
      <c r="Z103" s="1049"/>
      <c r="AA103" s="1050"/>
      <c r="AB103" s="1051"/>
      <c r="AC103" s="1051"/>
      <c r="AD103" s="1049"/>
      <c r="AE103" s="1049"/>
      <c r="AF103" s="1049"/>
      <c r="AG103" s="1049"/>
      <c r="AH103" s="1049"/>
      <c r="AI103" s="1049"/>
      <c r="AJ103" s="1049"/>
      <c r="AK103" s="1049"/>
      <c r="AL103" s="1049"/>
      <c r="AM103" s="1049"/>
      <c r="AN103" s="1049"/>
      <c r="AO103" s="1049"/>
      <c r="AP103" s="1049"/>
    </row>
    <row r="104" spans="1:42" ht="15.75" customHeight="1">
      <c r="A104" s="127"/>
      <c r="B104" s="485"/>
      <c r="C104" s="485"/>
      <c r="D104" s="485"/>
      <c r="E104" s="485"/>
      <c r="F104" s="485"/>
      <c r="G104" s="485"/>
      <c r="H104" s="485"/>
      <c r="I104" s="485"/>
      <c r="J104" s="1048"/>
      <c r="K104" s="1048"/>
      <c r="L104" s="1048"/>
      <c r="M104" s="1048"/>
      <c r="N104" s="1048"/>
      <c r="O104" s="1048"/>
      <c r="P104" s="485"/>
      <c r="Q104" s="1048"/>
      <c r="R104" s="1048"/>
      <c r="S104" s="1048"/>
      <c r="T104" s="1048"/>
      <c r="U104" s="485"/>
      <c r="V104" s="485"/>
      <c r="W104" s="1049"/>
      <c r="X104" s="1049"/>
      <c r="Y104" s="1049"/>
      <c r="Z104" s="1049"/>
      <c r="AA104" s="1050"/>
      <c r="AB104" s="1051"/>
      <c r="AC104" s="1051"/>
      <c r="AD104" s="1049"/>
      <c r="AE104" s="1049"/>
      <c r="AF104" s="1049"/>
      <c r="AG104" s="1049"/>
      <c r="AH104" s="1049"/>
      <c r="AI104" s="1049"/>
      <c r="AJ104" s="1049"/>
      <c r="AK104" s="1049"/>
      <c r="AL104" s="1049"/>
      <c r="AM104" s="1049"/>
      <c r="AN104" s="1049"/>
      <c r="AO104" s="1049"/>
      <c r="AP104" s="1049"/>
    </row>
    <row r="105" spans="1:42" ht="15.75" customHeight="1">
      <c r="A105" s="127"/>
      <c r="B105" s="485"/>
      <c r="C105" s="485"/>
      <c r="D105" s="485"/>
      <c r="E105" s="485"/>
      <c r="F105" s="485"/>
      <c r="G105" s="485"/>
      <c r="H105" s="485"/>
      <c r="I105" s="485"/>
      <c r="J105" s="1048"/>
      <c r="K105" s="1048"/>
      <c r="L105" s="1048"/>
      <c r="M105" s="1048"/>
      <c r="N105" s="1048"/>
      <c r="O105" s="1048"/>
      <c r="P105" s="485"/>
      <c r="Q105" s="1048"/>
      <c r="R105" s="1048"/>
      <c r="S105" s="1048"/>
      <c r="T105" s="1048"/>
      <c r="U105" s="485"/>
      <c r="V105" s="485"/>
      <c r="W105" s="1049"/>
      <c r="X105" s="1049"/>
      <c r="Y105" s="1049"/>
      <c r="Z105" s="1049"/>
      <c r="AA105" s="1050"/>
      <c r="AB105" s="1051"/>
      <c r="AC105" s="1051"/>
      <c r="AD105" s="1049"/>
      <c r="AE105" s="1049"/>
      <c r="AF105" s="1049"/>
      <c r="AG105" s="1049"/>
      <c r="AH105" s="1049"/>
      <c r="AI105" s="1049"/>
      <c r="AJ105" s="1049"/>
      <c r="AK105" s="1049"/>
      <c r="AL105" s="1049"/>
      <c r="AM105" s="1049"/>
      <c r="AN105" s="1049"/>
      <c r="AO105" s="1049"/>
      <c r="AP105" s="1049"/>
    </row>
    <row r="106" spans="1:42" ht="15.75" customHeight="1">
      <c r="A106" s="127"/>
      <c r="B106" s="485"/>
      <c r="C106" s="485"/>
      <c r="D106" s="485"/>
      <c r="E106" s="485"/>
      <c r="F106" s="485"/>
      <c r="G106" s="485"/>
      <c r="H106" s="485"/>
      <c r="I106" s="485"/>
      <c r="J106" s="1048"/>
      <c r="K106" s="1048"/>
      <c r="L106" s="1048"/>
      <c r="M106" s="1048"/>
      <c r="N106" s="1048"/>
      <c r="O106" s="1048"/>
      <c r="P106" s="485"/>
      <c r="Q106" s="1048"/>
      <c r="R106" s="1048"/>
      <c r="S106" s="1048"/>
      <c r="T106" s="1048"/>
      <c r="U106" s="485"/>
      <c r="V106" s="485"/>
      <c r="W106" s="1049"/>
      <c r="X106" s="1049"/>
      <c r="Y106" s="1049"/>
      <c r="Z106" s="1049"/>
      <c r="AA106" s="1050"/>
      <c r="AB106" s="1051"/>
      <c r="AC106" s="1051"/>
      <c r="AD106" s="1049"/>
      <c r="AE106" s="1049"/>
      <c r="AF106" s="1049"/>
      <c r="AG106" s="1049"/>
      <c r="AH106" s="1049"/>
      <c r="AI106" s="1049"/>
      <c r="AJ106" s="1049"/>
      <c r="AK106" s="1049"/>
      <c r="AL106" s="1049"/>
      <c r="AM106" s="1049"/>
      <c r="AN106" s="1049"/>
      <c r="AO106" s="1049"/>
      <c r="AP106" s="1049"/>
    </row>
    <row r="107" spans="1:42" ht="15.75" customHeight="1">
      <c r="A107" s="127"/>
      <c r="B107" s="485"/>
      <c r="C107" s="485"/>
      <c r="D107" s="485"/>
      <c r="E107" s="485"/>
      <c r="F107" s="485"/>
      <c r="G107" s="485"/>
      <c r="H107" s="485"/>
      <c r="I107" s="485"/>
      <c r="J107" s="1048"/>
      <c r="K107" s="1048"/>
      <c r="L107" s="1048"/>
      <c r="M107" s="1048"/>
      <c r="N107" s="1048"/>
      <c r="O107" s="1048"/>
      <c r="P107" s="485"/>
      <c r="Q107" s="1048"/>
      <c r="R107" s="1048"/>
      <c r="S107" s="1048"/>
      <c r="T107" s="1048"/>
      <c r="U107" s="485"/>
      <c r="V107" s="485"/>
      <c r="W107" s="1049"/>
      <c r="X107" s="1049"/>
      <c r="Y107" s="1049"/>
      <c r="Z107" s="1049"/>
      <c r="AA107" s="1050"/>
      <c r="AB107" s="1051"/>
      <c r="AC107" s="1051"/>
      <c r="AD107" s="1049"/>
      <c r="AE107" s="1049"/>
      <c r="AF107" s="1049"/>
      <c r="AG107" s="1049"/>
      <c r="AH107" s="1049"/>
      <c r="AI107" s="1049"/>
      <c r="AJ107" s="1049"/>
      <c r="AK107" s="1049"/>
      <c r="AL107" s="1049"/>
      <c r="AM107" s="1049"/>
      <c r="AN107" s="1049"/>
      <c r="AO107" s="1049"/>
      <c r="AP107" s="1049"/>
    </row>
    <row r="108" spans="1:42" ht="15.75" customHeight="1">
      <c r="A108" s="127"/>
      <c r="B108" s="485"/>
      <c r="C108" s="485"/>
      <c r="D108" s="485"/>
      <c r="E108" s="485"/>
      <c r="F108" s="485"/>
      <c r="G108" s="485"/>
      <c r="H108" s="485"/>
      <c r="I108" s="485"/>
      <c r="J108" s="1048"/>
      <c r="K108" s="1048"/>
      <c r="L108" s="1048"/>
      <c r="M108" s="1048"/>
      <c r="N108" s="1048"/>
      <c r="O108" s="1048"/>
      <c r="P108" s="485"/>
      <c r="Q108" s="1048"/>
      <c r="R108" s="1048"/>
      <c r="S108" s="1048"/>
      <c r="T108" s="1048"/>
      <c r="U108" s="485"/>
      <c r="V108" s="485"/>
      <c r="W108" s="1049"/>
      <c r="X108" s="1049"/>
      <c r="Y108" s="1049"/>
      <c r="Z108" s="1049"/>
      <c r="AA108" s="1050"/>
      <c r="AB108" s="1051"/>
      <c r="AC108" s="1051"/>
      <c r="AD108" s="1049"/>
      <c r="AE108" s="1049"/>
      <c r="AF108" s="1049"/>
      <c r="AG108" s="1049"/>
      <c r="AH108" s="1049"/>
      <c r="AI108" s="1049"/>
      <c r="AJ108" s="1049"/>
      <c r="AK108" s="1049"/>
      <c r="AL108" s="1049"/>
      <c r="AM108" s="1049"/>
      <c r="AN108" s="1049"/>
      <c r="AO108" s="1049"/>
      <c r="AP108" s="1049"/>
    </row>
    <row r="109" spans="1:42" ht="15.75" customHeight="1">
      <c r="A109" s="127"/>
      <c r="B109" s="485"/>
      <c r="C109" s="485"/>
      <c r="D109" s="485"/>
      <c r="E109" s="485"/>
      <c r="F109" s="485"/>
      <c r="G109" s="485"/>
      <c r="H109" s="485"/>
      <c r="I109" s="485"/>
      <c r="J109" s="1048"/>
      <c r="K109" s="1048"/>
      <c r="L109" s="1048"/>
      <c r="M109" s="1048"/>
      <c r="N109" s="1048"/>
      <c r="O109" s="1048"/>
      <c r="P109" s="485"/>
      <c r="Q109" s="1048"/>
      <c r="R109" s="1048"/>
      <c r="S109" s="1048"/>
      <c r="T109" s="1048"/>
      <c r="U109" s="485"/>
      <c r="V109" s="485"/>
      <c r="W109" s="1049"/>
      <c r="X109" s="1049"/>
      <c r="Y109" s="1049"/>
      <c r="Z109" s="1049"/>
      <c r="AA109" s="1050"/>
      <c r="AB109" s="1051"/>
      <c r="AC109" s="1051"/>
      <c r="AD109" s="1049"/>
      <c r="AE109" s="1049"/>
      <c r="AF109" s="1049"/>
      <c r="AG109" s="1049"/>
      <c r="AH109" s="1049"/>
      <c r="AI109" s="1049"/>
      <c r="AJ109" s="1049"/>
      <c r="AK109" s="1049"/>
      <c r="AL109" s="1049"/>
      <c r="AM109" s="1049"/>
      <c r="AN109" s="1049"/>
      <c r="AO109" s="1049"/>
      <c r="AP109" s="1049"/>
    </row>
    <row r="110" spans="1:42" ht="15.75" customHeight="1">
      <c r="A110" s="127"/>
      <c r="B110" s="485"/>
      <c r="C110" s="485"/>
      <c r="D110" s="485"/>
      <c r="E110" s="485"/>
      <c r="F110" s="485"/>
      <c r="G110" s="485"/>
      <c r="H110" s="485"/>
      <c r="I110" s="485"/>
      <c r="J110" s="1048"/>
      <c r="K110" s="1048"/>
      <c r="L110" s="1048"/>
      <c r="M110" s="1048"/>
      <c r="N110" s="1048"/>
      <c r="O110" s="1048"/>
      <c r="P110" s="485"/>
      <c r="Q110" s="1048"/>
      <c r="R110" s="1048"/>
      <c r="S110" s="1048"/>
      <c r="T110" s="1048"/>
      <c r="U110" s="485"/>
      <c r="V110" s="485"/>
      <c r="W110" s="1049"/>
      <c r="X110" s="1049"/>
      <c r="Y110" s="1049"/>
      <c r="Z110" s="1049"/>
      <c r="AA110" s="1050"/>
      <c r="AB110" s="1051"/>
      <c r="AC110" s="1051"/>
      <c r="AD110" s="1049"/>
      <c r="AE110" s="1049"/>
      <c r="AF110" s="1049"/>
      <c r="AG110" s="1049"/>
      <c r="AH110" s="1049"/>
      <c r="AI110" s="1049"/>
      <c r="AJ110" s="1049"/>
      <c r="AK110" s="1049"/>
      <c r="AL110" s="1049"/>
      <c r="AM110" s="1049"/>
      <c r="AN110" s="1049"/>
      <c r="AO110" s="1049"/>
      <c r="AP110" s="1049"/>
    </row>
    <row r="111" spans="1:42" ht="15.75" customHeight="1">
      <c r="A111" s="127"/>
      <c r="B111" s="485"/>
      <c r="C111" s="485"/>
      <c r="D111" s="485"/>
      <c r="E111" s="485"/>
      <c r="F111" s="485"/>
      <c r="G111" s="485"/>
      <c r="H111" s="485"/>
      <c r="I111" s="485"/>
      <c r="J111" s="1048"/>
      <c r="K111" s="1048"/>
      <c r="L111" s="1048"/>
      <c r="M111" s="1048"/>
      <c r="N111" s="1048"/>
      <c r="O111" s="1048"/>
      <c r="P111" s="485"/>
      <c r="Q111" s="1048"/>
      <c r="R111" s="1048"/>
      <c r="S111" s="1048"/>
      <c r="T111" s="1048"/>
      <c r="U111" s="485"/>
      <c r="V111" s="485"/>
      <c r="W111" s="1049"/>
      <c r="X111" s="1049"/>
      <c r="Y111" s="1049"/>
      <c r="Z111" s="1049"/>
      <c r="AA111" s="1050"/>
      <c r="AB111" s="1051"/>
      <c r="AC111" s="1051"/>
      <c r="AD111" s="1049"/>
      <c r="AE111" s="1049"/>
      <c r="AF111" s="1049"/>
      <c r="AG111" s="1049"/>
      <c r="AH111" s="1049"/>
      <c r="AI111" s="1049"/>
      <c r="AJ111" s="1049"/>
      <c r="AK111" s="1049"/>
      <c r="AL111" s="1049"/>
      <c r="AM111" s="1049"/>
      <c r="AN111" s="1049"/>
      <c r="AO111" s="1049"/>
      <c r="AP111" s="1049"/>
    </row>
    <row r="112" spans="1:42" ht="15.75" customHeight="1">
      <c r="A112" s="127"/>
      <c r="B112" s="485"/>
      <c r="C112" s="485"/>
      <c r="D112" s="485"/>
      <c r="E112" s="485"/>
      <c r="F112" s="485"/>
      <c r="G112" s="485"/>
      <c r="H112" s="485"/>
      <c r="I112" s="485"/>
      <c r="J112" s="1048"/>
      <c r="K112" s="1048"/>
      <c r="L112" s="1048"/>
      <c r="M112" s="1048"/>
      <c r="N112" s="1048"/>
      <c r="O112" s="1048"/>
      <c r="P112" s="485"/>
      <c r="Q112" s="1048"/>
      <c r="R112" s="1048"/>
      <c r="S112" s="1048"/>
      <c r="T112" s="1048"/>
      <c r="U112" s="485"/>
      <c r="V112" s="485"/>
      <c r="W112" s="1049"/>
      <c r="X112" s="1049"/>
      <c r="Y112" s="1049"/>
      <c r="Z112" s="1049"/>
      <c r="AA112" s="1050"/>
      <c r="AB112" s="1051"/>
      <c r="AC112" s="1051"/>
      <c r="AD112" s="1049"/>
      <c r="AE112" s="1049"/>
      <c r="AF112" s="1049"/>
      <c r="AG112" s="1049"/>
      <c r="AH112" s="1049"/>
      <c r="AI112" s="1049"/>
      <c r="AJ112" s="1049"/>
      <c r="AK112" s="1049"/>
      <c r="AL112" s="1049"/>
      <c r="AM112" s="1049"/>
      <c r="AN112" s="1049"/>
      <c r="AO112" s="1049"/>
      <c r="AP112" s="1049"/>
    </row>
    <row r="113" spans="1:42" ht="15.75" customHeight="1">
      <c r="A113" s="127"/>
      <c r="B113" s="485"/>
      <c r="C113" s="485"/>
      <c r="D113" s="485"/>
      <c r="E113" s="485"/>
      <c r="F113" s="485"/>
      <c r="G113" s="485"/>
      <c r="H113" s="485"/>
      <c r="I113" s="485"/>
      <c r="J113" s="1048"/>
      <c r="K113" s="1048"/>
      <c r="L113" s="1048"/>
      <c r="M113" s="1048"/>
      <c r="N113" s="1048"/>
      <c r="O113" s="1048"/>
      <c r="P113" s="485"/>
      <c r="Q113" s="1048"/>
      <c r="R113" s="1048"/>
      <c r="S113" s="1048"/>
      <c r="T113" s="1048"/>
      <c r="U113" s="485"/>
      <c r="V113" s="485"/>
      <c r="W113" s="1049"/>
      <c r="X113" s="1049"/>
      <c r="Y113" s="1049"/>
      <c r="Z113" s="1049"/>
      <c r="AA113" s="1050"/>
      <c r="AB113" s="1051"/>
      <c r="AC113" s="1051"/>
      <c r="AD113" s="1049"/>
      <c r="AE113" s="1049"/>
      <c r="AF113" s="1049"/>
      <c r="AG113" s="1049"/>
      <c r="AH113" s="1049"/>
      <c r="AI113" s="1049"/>
      <c r="AJ113" s="1049"/>
      <c r="AK113" s="1049"/>
      <c r="AL113" s="1049"/>
      <c r="AM113" s="1049"/>
      <c r="AN113" s="1049"/>
      <c r="AO113" s="1049"/>
      <c r="AP113" s="1049"/>
    </row>
    <row r="114" spans="1:42" ht="15.75" customHeight="1">
      <c r="A114" s="127"/>
      <c r="B114" s="485"/>
      <c r="C114" s="485"/>
      <c r="D114" s="485"/>
      <c r="E114" s="485"/>
      <c r="F114" s="485"/>
      <c r="G114" s="485"/>
      <c r="H114" s="485"/>
      <c r="I114" s="485"/>
      <c r="J114" s="1048"/>
      <c r="K114" s="1048"/>
      <c r="L114" s="1048"/>
      <c r="M114" s="1048"/>
      <c r="N114" s="1048"/>
      <c r="O114" s="1048"/>
      <c r="P114" s="485"/>
      <c r="Q114" s="1048"/>
      <c r="R114" s="1048"/>
      <c r="S114" s="1048"/>
      <c r="T114" s="1048"/>
      <c r="U114" s="485"/>
      <c r="V114" s="485"/>
      <c r="W114" s="1049"/>
      <c r="X114" s="1049"/>
      <c r="Y114" s="1049"/>
      <c r="Z114" s="1049"/>
      <c r="AA114" s="1050"/>
      <c r="AB114" s="1051"/>
      <c r="AC114" s="1051"/>
      <c r="AD114" s="1049"/>
      <c r="AE114" s="1049"/>
      <c r="AF114" s="1049"/>
      <c r="AG114" s="1049"/>
      <c r="AH114" s="1049"/>
      <c r="AI114" s="1049"/>
      <c r="AJ114" s="1049"/>
      <c r="AK114" s="1049"/>
      <c r="AL114" s="1049"/>
      <c r="AM114" s="1049"/>
      <c r="AN114" s="1049"/>
      <c r="AO114" s="1049"/>
      <c r="AP114" s="1049"/>
    </row>
    <row r="115" spans="1:42" ht="15.75" customHeight="1">
      <c r="A115" s="127"/>
      <c r="B115" s="485"/>
      <c r="C115" s="485"/>
      <c r="D115" s="485"/>
      <c r="E115" s="485"/>
      <c r="F115" s="485"/>
      <c r="G115" s="485"/>
      <c r="H115" s="485"/>
      <c r="I115" s="485"/>
      <c r="J115" s="1048"/>
      <c r="K115" s="1048"/>
      <c r="L115" s="1048"/>
      <c r="M115" s="1048"/>
      <c r="N115" s="1048"/>
      <c r="O115" s="1048"/>
      <c r="P115" s="485"/>
      <c r="Q115" s="1048"/>
      <c r="R115" s="1048"/>
      <c r="S115" s="1048"/>
      <c r="T115" s="1048"/>
      <c r="U115" s="485"/>
      <c r="V115" s="485"/>
      <c r="W115" s="1049"/>
      <c r="X115" s="1049"/>
      <c r="Y115" s="1049"/>
      <c r="Z115" s="1049"/>
      <c r="AA115" s="1050"/>
      <c r="AB115" s="1051"/>
      <c r="AC115" s="1051"/>
      <c r="AD115" s="1049"/>
      <c r="AE115" s="1049"/>
      <c r="AF115" s="1049"/>
      <c r="AG115" s="1049"/>
      <c r="AH115" s="1049"/>
      <c r="AI115" s="1049"/>
      <c r="AJ115" s="1049"/>
      <c r="AK115" s="1049"/>
      <c r="AL115" s="1049"/>
      <c r="AM115" s="1049"/>
      <c r="AN115" s="1049"/>
      <c r="AO115" s="1049"/>
      <c r="AP115" s="1049"/>
    </row>
    <row r="116" spans="1:42" ht="15.75" customHeight="1">
      <c r="A116" s="127"/>
      <c r="B116" s="485"/>
      <c r="C116" s="485"/>
      <c r="D116" s="485"/>
      <c r="E116" s="485"/>
      <c r="F116" s="485"/>
      <c r="G116" s="485"/>
      <c r="H116" s="485"/>
      <c r="I116" s="485"/>
      <c r="J116" s="1048"/>
      <c r="K116" s="1048"/>
      <c r="L116" s="1048"/>
      <c r="M116" s="1048"/>
      <c r="N116" s="1048"/>
      <c r="O116" s="1048"/>
      <c r="P116" s="485"/>
      <c r="Q116" s="1048"/>
      <c r="R116" s="1048"/>
      <c r="S116" s="1048"/>
      <c r="T116" s="1048"/>
      <c r="U116" s="485"/>
      <c r="V116" s="485"/>
      <c r="W116" s="1049"/>
      <c r="X116" s="1049"/>
      <c r="Y116" s="1049"/>
      <c r="Z116" s="1049"/>
      <c r="AA116" s="1050"/>
      <c r="AB116" s="1051"/>
      <c r="AC116" s="1051"/>
      <c r="AD116" s="1049"/>
      <c r="AE116" s="1049"/>
      <c r="AF116" s="1049"/>
      <c r="AG116" s="1049"/>
      <c r="AH116" s="1049"/>
      <c r="AI116" s="1049"/>
      <c r="AJ116" s="1049"/>
      <c r="AK116" s="1049"/>
      <c r="AL116" s="1049"/>
      <c r="AM116" s="1049"/>
      <c r="AN116" s="1049"/>
      <c r="AO116" s="1049"/>
      <c r="AP116" s="1049"/>
    </row>
    <row r="117" spans="1:42" ht="15.75" customHeight="1">
      <c r="A117" s="127"/>
      <c r="B117" s="485"/>
      <c r="C117" s="485"/>
      <c r="D117" s="485"/>
      <c r="E117" s="485"/>
      <c r="F117" s="485"/>
      <c r="G117" s="485"/>
      <c r="H117" s="485"/>
      <c r="I117" s="485"/>
      <c r="J117" s="1048"/>
      <c r="K117" s="1048"/>
      <c r="L117" s="1048"/>
      <c r="M117" s="1048"/>
      <c r="N117" s="1048"/>
      <c r="O117" s="1048"/>
      <c r="P117" s="485"/>
      <c r="Q117" s="1048"/>
      <c r="R117" s="1048"/>
      <c r="S117" s="1048"/>
      <c r="T117" s="1048"/>
      <c r="U117" s="485"/>
      <c r="V117" s="485"/>
      <c r="W117" s="1049"/>
      <c r="X117" s="1049"/>
      <c r="Y117" s="1049"/>
      <c r="Z117" s="1049"/>
      <c r="AA117" s="1050"/>
      <c r="AB117" s="1051"/>
      <c r="AC117" s="1051"/>
      <c r="AD117" s="1049"/>
      <c r="AE117" s="1049"/>
      <c r="AF117" s="1049"/>
      <c r="AG117" s="1049"/>
      <c r="AH117" s="1049"/>
      <c r="AI117" s="1049"/>
      <c r="AJ117" s="1049"/>
      <c r="AK117" s="1049"/>
      <c r="AL117" s="1049"/>
      <c r="AM117" s="1049"/>
      <c r="AN117" s="1049"/>
      <c r="AO117" s="1049"/>
      <c r="AP117" s="1049"/>
    </row>
    <row r="118" spans="1:42" ht="15.75" customHeight="1">
      <c r="A118" s="127"/>
      <c r="B118" s="485"/>
      <c r="C118" s="485"/>
      <c r="D118" s="485"/>
      <c r="E118" s="485"/>
      <c r="F118" s="485"/>
      <c r="G118" s="485"/>
      <c r="H118" s="485"/>
      <c r="I118" s="485"/>
      <c r="J118" s="1048"/>
      <c r="K118" s="1048"/>
      <c r="L118" s="1048"/>
      <c r="M118" s="1048"/>
      <c r="N118" s="1048"/>
      <c r="O118" s="1048"/>
      <c r="P118" s="485"/>
      <c r="Q118" s="1048"/>
      <c r="R118" s="1048"/>
      <c r="S118" s="1048"/>
      <c r="T118" s="1048"/>
      <c r="U118" s="485"/>
      <c r="V118" s="485"/>
      <c r="W118" s="1049"/>
      <c r="X118" s="1049"/>
      <c r="Y118" s="1049"/>
      <c r="Z118" s="1049"/>
      <c r="AA118" s="1050"/>
      <c r="AB118" s="1051"/>
      <c r="AC118" s="1051"/>
      <c r="AD118" s="1049"/>
      <c r="AE118" s="1049"/>
      <c r="AF118" s="1049"/>
      <c r="AG118" s="1049"/>
      <c r="AH118" s="1049"/>
      <c r="AI118" s="1049"/>
      <c r="AJ118" s="1049"/>
      <c r="AK118" s="1049"/>
      <c r="AL118" s="1049"/>
      <c r="AM118" s="1049"/>
      <c r="AN118" s="1049"/>
      <c r="AO118" s="1049"/>
      <c r="AP118" s="1049"/>
    </row>
    <row r="119" spans="1:42" ht="15.75" customHeight="1">
      <c r="A119" s="127"/>
      <c r="B119" s="485"/>
      <c r="C119" s="485"/>
      <c r="D119" s="485"/>
      <c r="E119" s="485"/>
      <c r="F119" s="485"/>
      <c r="G119" s="485"/>
      <c r="H119" s="485"/>
      <c r="I119" s="485"/>
      <c r="J119" s="1048"/>
      <c r="K119" s="1048"/>
      <c r="L119" s="1048"/>
      <c r="M119" s="1048"/>
      <c r="N119" s="1048"/>
      <c r="O119" s="1048"/>
      <c r="P119" s="485"/>
      <c r="Q119" s="1048"/>
      <c r="R119" s="1048"/>
      <c r="S119" s="1048"/>
      <c r="T119" s="1048"/>
      <c r="U119" s="485"/>
      <c r="V119" s="485"/>
      <c r="W119" s="1049"/>
      <c r="X119" s="1049"/>
      <c r="Y119" s="1049"/>
      <c r="Z119" s="1049"/>
      <c r="AA119" s="1050"/>
      <c r="AB119" s="1051"/>
      <c r="AC119" s="1051"/>
      <c r="AD119" s="1049"/>
      <c r="AE119" s="1049"/>
      <c r="AF119" s="1049"/>
      <c r="AG119" s="1049"/>
      <c r="AH119" s="1049"/>
      <c r="AI119" s="1049"/>
      <c r="AJ119" s="1049"/>
      <c r="AK119" s="1049"/>
      <c r="AL119" s="1049"/>
      <c r="AM119" s="1049"/>
      <c r="AN119" s="1049"/>
      <c r="AO119" s="1049"/>
      <c r="AP119" s="1049"/>
    </row>
    <row r="120" spans="1:42" ht="15.75" customHeight="1">
      <c r="A120" s="127"/>
      <c r="B120" s="485"/>
      <c r="C120" s="485"/>
      <c r="D120" s="485"/>
      <c r="E120" s="485"/>
      <c r="F120" s="485"/>
      <c r="G120" s="485"/>
      <c r="H120" s="485"/>
      <c r="I120" s="485"/>
      <c r="J120" s="1048"/>
      <c r="K120" s="1048"/>
      <c r="L120" s="1048"/>
      <c r="M120" s="1048"/>
      <c r="N120" s="1048"/>
      <c r="O120" s="1048"/>
      <c r="P120" s="485"/>
      <c r="Q120" s="1048"/>
      <c r="R120" s="1048"/>
      <c r="S120" s="1048"/>
      <c r="T120" s="1048"/>
      <c r="U120" s="485"/>
      <c r="V120" s="485"/>
      <c r="W120" s="1049"/>
      <c r="X120" s="1049"/>
      <c r="Y120" s="1049"/>
      <c r="Z120" s="1049"/>
      <c r="AA120" s="1050"/>
      <c r="AB120" s="1051"/>
      <c r="AC120" s="1051"/>
      <c r="AD120" s="1049"/>
      <c r="AE120" s="1049"/>
      <c r="AF120" s="1049"/>
      <c r="AG120" s="1049"/>
      <c r="AH120" s="1049"/>
      <c r="AI120" s="1049"/>
      <c r="AJ120" s="1049"/>
      <c r="AK120" s="1049"/>
      <c r="AL120" s="1049"/>
      <c r="AM120" s="1049"/>
      <c r="AN120" s="1049"/>
      <c r="AO120" s="1049"/>
      <c r="AP120" s="1049"/>
    </row>
    <row r="121" spans="1:42" ht="15.75" customHeight="1">
      <c r="A121" s="127"/>
      <c r="B121" s="485"/>
      <c r="C121" s="485"/>
      <c r="D121" s="485"/>
      <c r="E121" s="485"/>
      <c r="F121" s="485"/>
      <c r="G121" s="485"/>
      <c r="H121" s="485"/>
      <c r="I121" s="485"/>
      <c r="J121" s="1048"/>
      <c r="K121" s="1048"/>
      <c r="L121" s="1048"/>
      <c r="M121" s="1048"/>
      <c r="N121" s="1048"/>
      <c r="O121" s="1048"/>
      <c r="P121" s="485"/>
      <c r="Q121" s="1048"/>
      <c r="R121" s="1048"/>
      <c r="S121" s="1048"/>
      <c r="T121" s="1048"/>
      <c r="U121" s="485"/>
      <c r="V121" s="485"/>
      <c r="W121" s="1049"/>
      <c r="X121" s="1049"/>
      <c r="Y121" s="1049"/>
      <c r="Z121" s="1049"/>
      <c r="AA121" s="1050"/>
      <c r="AB121" s="1051"/>
      <c r="AC121" s="1051"/>
      <c r="AD121" s="1049"/>
      <c r="AE121" s="1049"/>
      <c r="AF121" s="1049"/>
      <c r="AG121" s="1049"/>
      <c r="AH121" s="1049"/>
      <c r="AI121" s="1049"/>
      <c r="AJ121" s="1049"/>
      <c r="AK121" s="1049"/>
      <c r="AL121" s="1049"/>
      <c r="AM121" s="1049"/>
      <c r="AN121" s="1049"/>
      <c r="AO121" s="1049"/>
      <c r="AP121" s="1049"/>
    </row>
    <row r="122" spans="1:42" ht="15.75" customHeight="1">
      <c r="A122" s="127"/>
      <c r="B122" s="485"/>
      <c r="C122" s="485"/>
      <c r="D122" s="485"/>
      <c r="E122" s="485"/>
      <c r="F122" s="485"/>
      <c r="G122" s="485"/>
      <c r="H122" s="485"/>
      <c r="I122" s="485"/>
      <c r="J122" s="1048"/>
      <c r="K122" s="1048"/>
      <c r="L122" s="1048"/>
      <c r="M122" s="1048"/>
      <c r="N122" s="1048"/>
      <c r="O122" s="1048"/>
      <c r="P122" s="485"/>
      <c r="Q122" s="1048"/>
      <c r="R122" s="1048"/>
      <c r="S122" s="1048"/>
      <c r="T122" s="1048"/>
      <c r="U122" s="485"/>
      <c r="V122" s="485"/>
      <c r="W122" s="1049"/>
      <c r="X122" s="1049"/>
      <c r="Y122" s="1049"/>
      <c r="Z122" s="1049"/>
      <c r="AA122" s="1050"/>
      <c r="AB122" s="1051"/>
      <c r="AC122" s="1051"/>
      <c r="AD122" s="1049"/>
      <c r="AE122" s="1049"/>
      <c r="AF122" s="1049"/>
      <c r="AG122" s="1049"/>
      <c r="AH122" s="1049"/>
      <c r="AI122" s="1049"/>
      <c r="AJ122" s="1049"/>
      <c r="AK122" s="1049"/>
      <c r="AL122" s="1049"/>
      <c r="AM122" s="1049"/>
      <c r="AN122" s="1049"/>
      <c r="AO122" s="1049"/>
      <c r="AP122" s="1049"/>
    </row>
    <row r="123" spans="1:42" ht="15.75" customHeight="1">
      <c r="A123" s="127"/>
      <c r="B123" s="485"/>
      <c r="C123" s="485"/>
      <c r="D123" s="485"/>
      <c r="E123" s="485"/>
      <c r="F123" s="485"/>
      <c r="G123" s="485"/>
      <c r="H123" s="485"/>
      <c r="I123" s="485"/>
      <c r="J123" s="1048"/>
      <c r="K123" s="1048"/>
      <c r="L123" s="1048"/>
      <c r="M123" s="1048"/>
      <c r="N123" s="1048"/>
      <c r="O123" s="1048"/>
      <c r="P123" s="485"/>
      <c r="Q123" s="1048"/>
      <c r="R123" s="1048"/>
      <c r="S123" s="1048"/>
      <c r="T123" s="1048"/>
      <c r="U123" s="485"/>
      <c r="V123" s="485"/>
      <c r="W123" s="1049"/>
      <c r="X123" s="1049"/>
      <c r="Y123" s="1049"/>
      <c r="Z123" s="1049"/>
      <c r="AA123" s="1050"/>
      <c r="AB123" s="1051"/>
      <c r="AC123" s="1051"/>
      <c r="AD123" s="1049"/>
      <c r="AE123" s="1049"/>
      <c r="AF123" s="1049"/>
      <c r="AG123" s="1049"/>
      <c r="AH123" s="1049"/>
      <c r="AI123" s="1049"/>
      <c r="AJ123" s="1049"/>
      <c r="AK123" s="1049"/>
      <c r="AL123" s="1049"/>
      <c r="AM123" s="1049"/>
      <c r="AN123" s="1049"/>
      <c r="AO123" s="1049"/>
      <c r="AP123" s="1049"/>
    </row>
    <row r="124" spans="1:42" ht="15.75" customHeight="1">
      <c r="A124" s="127"/>
      <c r="B124" s="485"/>
      <c r="C124" s="485"/>
      <c r="D124" s="485"/>
      <c r="E124" s="485"/>
      <c r="F124" s="485"/>
      <c r="G124" s="485"/>
      <c r="H124" s="485"/>
      <c r="I124" s="485"/>
      <c r="J124" s="1048"/>
      <c r="K124" s="1048"/>
      <c r="L124" s="1048"/>
      <c r="M124" s="1048"/>
      <c r="N124" s="1048"/>
      <c r="O124" s="1048"/>
      <c r="P124" s="485"/>
      <c r="Q124" s="1048"/>
      <c r="R124" s="1048"/>
      <c r="S124" s="1048"/>
      <c r="T124" s="1048"/>
      <c r="U124" s="485"/>
      <c r="V124" s="485"/>
      <c r="W124" s="1049"/>
      <c r="X124" s="1049"/>
      <c r="Y124" s="1049"/>
      <c r="Z124" s="1049"/>
      <c r="AA124" s="1050"/>
      <c r="AB124" s="1051"/>
      <c r="AC124" s="1051"/>
      <c r="AD124" s="1049"/>
      <c r="AE124" s="1049"/>
      <c r="AF124" s="1049"/>
      <c r="AG124" s="1049"/>
      <c r="AH124" s="1049"/>
      <c r="AI124" s="1049"/>
      <c r="AJ124" s="1049"/>
      <c r="AK124" s="1049"/>
      <c r="AL124" s="1049"/>
      <c r="AM124" s="1049"/>
      <c r="AN124" s="1049"/>
      <c r="AO124" s="1049"/>
      <c r="AP124" s="1049"/>
    </row>
    <row r="125" spans="1:42" ht="15.75" customHeight="1">
      <c r="A125" s="127"/>
      <c r="B125" s="485"/>
      <c r="C125" s="485"/>
      <c r="D125" s="485"/>
      <c r="E125" s="485"/>
      <c r="F125" s="485"/>
      <c r="G125" s="485"/>
      <c r="H125" s="485"/>
      <c r="I125" s="485"/>
      <c r="J125" s="1048"/>
      <c r="K125" s="1048"/>
      <c r="L125" s="1048"/>
      <c r="M125" s="1048"/>
      <c r="N125" s="1048"/>
      <c r="O125" s="1048"/>
      <c r="P125" s="485"/>
      <c r="Q125" s="1048"/>
      <c r="R125" s="1048"/>
      <c r="S125" s="1048"/>
      <c r="T125" s="1048"/>
      <c r="U125" s="485"/>
      <c r="V125" s="485"/>
      <c r="W125" s="1049"/>
      <c r="X125" s="1049"/>
      <c r="Y125" s="1049"/>
      <c r="Z125" s="1049"/>
      <c r="AA125" s="1050"/>
      <c r="AB125" s="1051"/>
      <c r="AC125" s="1051"/>
      <c r="AD125" s="1049"/>
      <c r="AE125" s="1049"/>
      <c r="AF125" s="1049"/>
      <c r="AG125" s="1049"/>
      <c r="AH125" s="1049"/>
      <c r="AI125" s="1049"/>
      <c r="AJ125" s="1049"/>
      <c r="AK125" s="1049"/>
      <c r="AL125" s="1049"/>
      <c r="AM125" s="1049"/>
      <c r="AN125" s="1049"/>
      <c r="AO125" s="1049"/>
      <c r="AP125" s="1049"/>
    </row>
    <row r="126" spans="1:42" ht="15.75" customHeight="1">
      <c r="A126" s="127"/>
      <c r="B126" s="485"/>
      <c r="C126" s="485"/>
      <c r="D126" s="485"/>
      <c r="E126" s="485"/>
      <c r="F126" s="485"/>
      <c r="G126" s="485"/>
      <c r="H126" s="485"/>
      <c r="I126" s="485"/>
      <c r="J126" s="1048"/>
      <c r="K126" s="1048"/>
      <c r="L126" s="1048"/>
      <c r="M126" s="1048"/>
      <c r="N126" s="1048"/>
      <c r="O126" s="1048"/>
      <c r="P126" s="485"/>
      <c r="Q126" s="1048"/>
      <c r="R126" s="1048"/>
      <c r="S126" s="1048"/>
      <c r="T126" s="1048"/>
      <c r="U126" s="485"/>
      <c r="V126" s="485"/>
      <c r="W126" s="1049"/>
      <c r="X126" s="1049"/>
      <c r="Y126" s="1049"/>
      <c r="Z126" s="1049"/>
      <c r="AA126" s="1050"/>
      <c r="AB126" s="1051"/>
      <c r="AC126" s="1051"/>
      <c r="AD126" s="1049"/>
      <c r="AE126" s="1049"/>
      <c r="AF126" s="1049"/>
      <c r="AG126" s="1049"/>
      <c r="AH126" s="1049"/>
      <c r="AI126" s="1049"/>
      <c r="AJ126" s="1049"/>
      <c r="AK126" s="1049"/>
      <c r="AL126" s="1049"/>
      <c r="AM126" s="1049"/>
      <c r="AN126" s="1049"/>
      <c r="AO126" s="1049"/>
      <c r="AP126" s="1049"/>
    </row>
    <row r="127" spans="1:42" ht="15.75" customHeight="1">
      <c r="A127" s="127"/>
      <c r="B127" s="485"/>
      <c r="C127" s="485"/>
      <c r="D127" s="485"/>
      <c r="E127" s="485"/>
      <c r="F127" s="485"/>
      <c r="G127" s="485"/>
      <c r="H127" s="485"/>
      <c r="I127" s="485"/>
      <c r="J127" s="1048"/>
      <c r="K127" s="1048"/>
      <c r="L127" s="1048"/>
      <c r="M127" s="1048"/>
      <c r="N127" s="1048"/>
      <c r="O127" s="1048"/>
      <c r="P127" s="485"/>
      <c r="Q127" s="1048"/>
      <c r="R127" s="1048"/>
      <c r="S127" s="1048"/>
      <c r="T127" s="1048"/>
      <c r="U127" s="485"/>
      <c r="V127" s="485"/>
      <c r="W127" s="1049"/>
      <c r="X127" s="1049"/>
      <c r="Y127" s="1049"/>
      <c r="Z127" s="1049"/>
      <c r="AA127" s="1050"/>
      <c r="AB127" s="1051"/>
      <c r="AC127" s="1051"/>
      <c r="AD127" s="1049"/>
      <c r="AE127" s="1049"/>
      <c r="AF127" s="1049"/>
      <c r="AG127" s="1049"/>
      <c r="AH127" s="1049"/>
      <c r="AI127" s="1049"/>
      <c r="AJ127" s="1049"/>
      <c r="AK127" s="1049"/>
      <c r="AL127" s="1049"/>
      <c r="AM127" s="1049"/>
      <c r="AN127" s="1049"/>
      <c r="AO127" s="1049"/>
      <c r="AP127" s="1049"/>
    </row>
    <row r="128" spans="1:42" ht="15.75" customHeight="1">
      <c r="A128" s="127"/>
      <c r="B128" s="485"/>
      <c r="C128" s="485"/>
      <c r="D128" s="485"/>
      <c r="E128" s="485"/>
      <c r="F128" s="485"/>
      <c r="G128" s="485"/>
      <c r="H128" s="485"/>
      <c r="I128" s="485"/>
      <c r="J128" s="1048"/>
      <c r="K128" s="1048"/>
      <c r="L128" s="1048"/>
      <c r="M128" s="1048"/>
      <c r="N128" s="1048"/>
      <c r="O128" s="1048"/>
      <c r="P128" s="485"/>
      <c r="Q128" s="1048"/>
      <c r="R128" s="1048"/>
      <c r="S128" s="1048"/>
      <c r="T128" s="1048"/>
      <c r="U128" s="485"/>
      <c r="V128" s="485"/>
      <c r="W128" s="1049"/>
      <c r="X128" s="1049"/>
      <c r="Y128" s="1049"/>
      <c r="Z128" s="1049"/>
      <c r="AA128" s="1050"/>
      <c r="AB128" s="1051"/>
      <c r="AC128" s="1051"/>
      <c r="AD128" s="1049"/>
      <c r="AE128" s="1049"/>
      <c r="AF128" s="1049"/>
      <c r="AG128" s="1049"/>
      <c r="AH128" s="1049"/>
      <c r="AI128" s="1049"/>
      <c r="AJ128" s="1049"/>
      <c r="AK128" s="1049"/>
      <c r="AL128" s="1049"/>
      <c r="AM128" s="1049"/>
      <c r="AN128" s="1049"/>
      <c r="AO128" s="1049"/>
      <c r="AP128" s="1049"/>
    </row>
    <row r="129" spans="1:42" ht="15.75" customHeight="1">
      <c r="A129" s="127"/>
      <c r="B129" s="485"/>
      <c r="C129" s="485"/>
      <c r="D129" s="485"/>
      <c r="E129" s="485"/>
      <c r="F129" s="485"/>
      <c r="G129" s="485"/>
      <c r="H129" s="485"/>
      <c r="I129" s="485"/>
      <c r="J129" s="1048"/>
      <c r="K129" s="1048"/>
      <c r="L129" s="1048"/>
      <c r="M129" s="1048"/>
      <c r="N129" s="1048"/>
      <c r="O129" s="1048"/>
      <c r="P129" s="485"/>
      <c r="Q129" s="1048"/>
      <c r="R129" s="1048"/>
      <c r="S129" s="1048"/>
      <c r="T129" s="1048"/>
      <c r="U129" s="485"/>
      <c r="V129" s="485"/>
      <c r="W129" s="1049"/>
      <c r="X129" s="1049"/>
      <c r="Y129" s="1049"/>
      <c r="Z129" s="1049"/>
      <c r="AA129" s="1050"/>
      <c r="AB129" s="1051"/>
      <c r="AC129" s="1051"/>
      <c r="AD129" s="1049"/>
      <c r="AE129" s="1049"/>
      <c r="AF129" s="1049"/>
      <c r="AG129" s="1049"/>
      <c r="AH129" s="1049"/>
      <c r="AI129" s="1049"/>
      <c r="AJ129" s="1049"/>
      <c r="AK129" s="1049"/>
      <c r="AL129" s="1049"/>
      <c r="AM129" s="1049"/>
      <c r="AN129" s="1049"/>
      <c r="AO129" s="1049"/>
      <c r="AP129" s="1049"/>
    </row>
    <row r="130" spans="1:42" ht="15.75" customHeight="1">
      <c r="A130" s="127"/>
      <c r="B130" s="485"/>
      <c r="C130" s="485"/>
      <c r="D130" s="485"/>
      <c r="E130" s="485"/>
      <c r="F130" s="485"/>
      <c r="G130" s="485"/>
      <c r="H130" s="485"/>
      <c r="I130" s="485"/>
      <c r="J130" s="1048"/>
      <c r="K130" s="1048"/>
      <c r="L130" s="1048"/>
      <c r="M130" s="1048"/>
      <c r="N130" s="1048"/>
      <c r="O130" s="1048"/>
      <c r="P130" s="485"/>
      <c r="Q130" s="1048"/>
      <c r="R130" s="1048"/>
      <c r="S130" s="1048"/>
      <c r="T130" s="1048"/>
      <c r="U130" s="485"/>
      <c r="V130" s="485"/>
      <c r="W130" s="1049"/>
      <c r="X130" s="1049"/>
      <c r="Y130" s="1049"/>
      <c r="Z130" s="1049"/>
      <c r="AA130" s="1050"/>
      <c r="AB130" s="1051"/>
      <c r="AC130" s="1051"/>
      <c r="AD130" s="1049"/>
      <c r="AE130" s="1049"/>
      <c r="AF130" s="1049"/>
      <c r="AG130" s="1049"/>
      <c r="AH130" s="1049"/>
      <c r="AI130" s="1049"/>
      <c r="AJ130" s="1049"/>
      <c r="AK130" s="1049"/>
      <c r="AL130" s="1049"/>
      <c r="AM130" s="1049"/>
      <c r="AN130" s="1049"/>
      <c r="AO130" s="1049"/>
      <c r="AP130" s="1049"/>
    </row>
    <row r="131" spans="1:42" ht="15.75" customHeight="1">
      <c r="A131" s="127"/>
      <c r="B131" s="485"/>
      <c r="C131" s="485"/>
      <c r="D131" s="485"/>
      <c r="E131" s="485"/>
      <c r="F131" s="485"/>
      <c r="G131" s="485"/>
      <c r="H131" s="485"/>
      <c r="I131" s="485"/>
      <c r="J131" s="1048"/>
      <c r="K131" s="1048"/>
      <c r="L131" s="1048"/>
      <c r="M131" s="1048"/>
      <c r="N131" s="1048"/>
      <c r="O131" s="1048"/>
      <c r="P131" s="485"/>
      <c r="Q131" s="1048"/>
      <c r="R131" s="1048"/>
      <c r="S131" s="1048"/>
      <c r="T131" s="1048"/>
      <c r="U131" s="485"/>
      <c r="V131" s="485"/>
      <c r="W131" s="1049"/>
      <c r="X131" s="1049"/>
      <c r="Y131" s="1049"/>
      <c r="Z131" s="1049"/>
      <c r="AA131" s="1050"/>
      <c r="AB131" s="1051"/>
      <c r="AC131" s="1051"/>
      <c r="AD131" s="1049"/>
      <c r="AE131" s="1049"/>
      <c r="AF131" s="1049"/>
      <c r="AG131" s="1049"/>
      <c r="AH131" s="1049"/>
      <c r="AI131" s="1049"/>
      <c r="AJ131" s="1049"/>
      <c r="AK131" s="1049"/>
      <c r="AL131" s="1049"/>
      <c r="AM131" s="1049"/>
      <c r="AN131" s="1049"/>
      <c r="AO131" s="1049"/>
      <c r="AP131" s="1049"/>
    </row>
    <row r="132" spans="1:42" ht="15.75" customHeight="1">
      <c r="A132" s="127"/>
      <c r="B132" s="485"/>
      <c r="C132" s="485"/>
      <c r="D132" s="485"/>
      <c r="E132" s="485"/>
      <c r="F132" s="485"/>
      <c r="G132" s="485"/>
      <c r="H132" s="485"/>
      <c r="I132" s="485"/>
      <c r="J132" s="1048"/>
      <c r="K132" s="1048"/>
      <c r="L132" s="1048"/>
      <c r="M132" s="1048"/>
      <c r="N132" s="1048"/>
      <c r="O132" s="1048"/>
      <c r="P132" s="485"/>
      <c r="Q132" s="1048"/>
      <c r="R132" s="1048"/>
      <c r="S132" s="1048"/>
      <c r="T132" s="1048"/>
      <c r="U132" s="485"/>
      <c r="V132" s="485"/>
      <c r="W132" s="1049"/>
      <c r="X132" s="1049"/>
      <c r="Y132" s="1049"/>
      <c r="Z132" s="1049"/>
      <c r="AA132" s="1050"/>
      <c r="AB132" s="1051"/>
      <c r="AC132" s="1051"/>
      <c r="AD132" s="1049"/>
      <c r="AE132" s="1049"/>
      <c r="AF132" s="1049"/>
      <c r="AG132" s="1049"/>
      <c r="AH132" s="1049"/>
      <c r="AI132" s="1049"/>
      <c r="AJ132" s="1049"/>
      <c r="AK132" s="1049"/>
      <c r="AL132" s="1049"/>
      <c r="AM132" s="1049"/>
      <c r="AN132" s="1049"/>
      <c r="AO132" s="1049"/>
      <c r="AP132" s="1049"/>
    </row>
    <row r="133" spans="1:42" ht="15.75" customHeight="1">
      <c r="A133" s="127"/>
      <c r="B133" s="485"/>
      <c r="C133" s="485"/>
      <c r="D133" s="485"/>
      <c r="E133" s="485"/>
      <c r="F133" s="485"/>
      <c r="G133" s="485"/>
      <c r="H133" s="485"/>
      <c r="I133" s="485"/>
      <c r="J133" s="1048"/>
      <c r="K133" s="1048"/>
      <c r="L133" s="1048"/>
      <c r="M133" s="1048"/>
      <c r="N133" s="1048"/>
      <c r="O133" s="1048"/>
      <c r="P133" s="485"/>
      <c r="Q133" s="1048"/>
      <c r="R133" s="1048"/>
      <c r="S133" s="1048"/>
      <c r="T133" s="1048"/>
      <c r="U133" s="485"/>
      <c r="V133" s="485"/>
      <c r="W133" s="1049"/>
      <c r="X133" s="1049"/>
      <c r="Y133" s="1049"/>
      <c r="Z133" s="1049"/>
      <c r="AA133" s="1050"/>
      <c r="AB133" s="1051"/>
      <c r="AC133" s="1051"/>
      <c r="AD133" s="1049"/>
      <c r="AE133" s="1049"/>
      <c r="AF133" s="1049"/>
      <c r="AG133" s="1049"/>
      <c r="AH133" s="1049"/>
      <c r="AI133" s="1049"/>
      <c r="AJ133" s="1049"/>
      <c r="AK133" s="1049"/>
      <c r="AL133" s="1049"/>
      <c r="AM133" s="1049"/>
      <c r="AN133" s="1049"/>
      <c r="AO133" s="1049"/>
      <c r="AP133" s="1049"/>
    </row>
    <row r="134" spans="1:42" ht="15.75" customHeight="1">
      <c r="A134" s="127"/>
      <c r="B134" s="485"/>
      <c r="C134" s="485"/>
      <c r="D134" s="485"/>
      <c r="E134" s="485"/>
      <c r="F134" s="485"/>
      <c r="G134" s="485"/>
      <c r="H134" s="485"/>
      <c r="I134" s="485"/>
      <c r="J134" s="1048"/>
      <c r="K134" s="1048"/>
      <c r="L134" s="1048"/>
      <c r="M134" s="1048"/>
      <c r="N134" s="1048"/>
      <c r="O134" s="1048"/>
      <c r="P134" s="485"/>
      <c r="Q134" s="1048"/>
      <c r="R134" s="1048"/>
      <c r="S134" s="1048"/>
      <c r="T134" s="1048"/>
      <c r="U134" s="485"/>
      <c r="V134" s="485"/>
      <c r="W134" s="1049"/>
      <c r="X134" s="1049"/>
      <c r="Y134" s="1049"/>
      <c r="Z134" s="1049"/>
      <c r="AA134" s="1050"/>
      <c r="AB134" s="1051"/>
      <c r="AC134" s="1051"/>
      <c r="AD134" s="1049"/>
      <c r="AE134" s="1049"/>
      <c r="AF134" s="1049"/>
      <c r="AG134" s="1049"/>
      <c r="AH134" s="1049"/>
      <c r="AI134" s="1049"/>
      <c r="AJ134" s="1049"/>
      <c r="AK134" s="1049"/>
      <c r="AL134" s="1049"/>
      <c r="AM134" s="1049"/>
      <c r="AN134" s="1049"/>
      <c r="AO134" s="1049"/>
      <c r="AP134" s="1049"/>
    </row>
    <row r="135" spans="1:42" ht="15.75" customHeight="1">
      <c r="A135" s="127"/>
      <c r="B135" s="485"/>
      <c r="C135" s="485"/>
      <c r="D135" s="485"/>
      <c r="E135" s="485"/>
      <c r="F135" s="485"/>
      <c r="G135" s="485"/>
      <c r="H135" s="485"/>
      <c r="I135" s="485"/>
      <c r="J135" s="1048"/>
      <c r="K135" s="1048"/>
      <c r="L135" s="1048"/>
      <c r="M135" s="1048"/>
      <c r="N135" s="1048"/>
      <c r="O135" s="1048"/>
      <c r="P135" s="485"/>
      <c r="Q135" s="1048"/>
      <c r="R135" s="1048"/>
      <c r="S135" s="1048"/>
      <c r="T135" s="1048"/>
      <c r="U135" s="485"/>
      <c r="V135" s="485"/>
      <c r="W135" s="1049"/>
      <c r="X135" s="1049"/>
      <c r="Y135" s="1049"/>
      <c r="Z135" s="1049"/>
      <c r="AA135" s="1050"/>
      <c r="AB135" s="1051"/>
      <c r="AC135" s="1051"/>
      <c r="AD135" s="1049"/>
      <c r="AE135" s="1049"/>
      <c r="AF135" s="1049"/>
      <c r="AG135" s="1049"/>
      <c r="AH135" s="1049"/>
      <c r="AI135" s="1049"/>
      <c r="AJ135" s="1049"/>
      <c r="AK135" s="1049"/>
      <c r="AL135" s="1049"/>
      <c r="AM135" s="1049"/>
      <c r="AN135" s="1049"/>
      <c r="AO135" s="1049"/>
      <c r="AP135" s="1049"/>
    </row>
    <row r="136" spans="1:42" ht="15.75" customHeight="1">
      <c r="A136" s="127"/>
      <c r="B136" s="485"/>
      <c r="C136" s="485"/>
      <c r="D136" s="485"/>
      <c r="E136" s="485"/>
      <c r="F136" s="485"/>
      <c r="G136" s="485"/>
      <c r="H136" s="485"/>
      <c r="I136" s="485"/>
      <c r="J136" s="1048"/>
      <c r="K136" s="1048"/>
      <c r="L136" s="1048"/>
      <c r="M136" s="1048"/>
      <c r="N136" s="1048"/>
      <c r="O136" s="1048"/>
      <c r="P136" s="485"/>
      <c r="Q136" s="1048"/>
      <c r="R136" s="1048"/>
      <c r="S136" s="1048"/>
      <c r="T136" s="1048"/>
      <c r="U136" s="485"/>
      <c r="V136" s="485"/>
      <c r="W136" s="1049"/>
      <c r="X136" s="1049"/>
      <c r="Y136" s="1049"/>
      <c r="Z136" s="1049"/>
      <c r="AA136" s="1050"/>
      <c r="AB136" s="1051"/>
      <c r="AC136" s="1051"/>
      <c r="AD136" s="1049"/>
      <c r="AE136" s="1049"/>
      <c r="AF136" s="1049"/>
      <c r="AG136" s="1049"/>
      <c r="AH136" s="1049"/>
      <c r="AI136" s="1049"/>
      <c r="AJ136" s="1049"/>
      <c r="AK136" s="1049"/>
      <c r="AL136" s="1049"/>
      <c r="AM136" s="1049"/>
      <c r="AN136" s="1049"/>
      <c r="AO136" s="1049"/>
      <c r="AP136" s="1049"/>
    </row>
    <row r="137" spans="1:42" ht="15.75" customHeight="1">
      <c r="A137" s="127"/>
      <c r="B137" s="485"/>
      <c r="C137" s="485"/>
      <c r="D137" s="485"/>
      <c r="E137" s="485"/>
      <c r="F137" s="485"/>
      <c r="G137" s="485"/>
      <c r="H137" s="485"/>
      <c r="I137" s="485"/>
      <c r="J137" s="1048"/>
      <c r="K137" s="1048"/>
      <c r="L137" s="1048"/>
      <c r="M137" s="1048"/>
      <c r="N137" s="1048"/>
      <c r="O137" s="1048"/>
      <c r="P137" s="485"/>
      <c r="Q137" s="1048"/>
      <c r="R137" s="1048"/>
      <c r="S137" s="1048"/>
      <c r="T137" s="1048"/>
      <c r="U137" s="485"/>
      <c r="V137" s="485"/>
      <c r="W137" s="1049"/>
      <c r="X137" s="1049"/>
      <c r="Y137" s="1049"/>
      <c r="Z137" s="1049"/>
      <c r="AA137" s="1050"/>
      <c r="AB137" s="1051"/>
      <c r="AC137" s="1051"/>
      <c r="AD137" s="1049"/>
      <c r="AE137" s="1049"/>
      <c r="AF137" s="1049"/>
      <c r="AG137" s="1049"/>
      <c r="AH137" s="1049"/>
      <c r="AI137" s="1049"/>
      <c r="AJ137" s="1049"/>
      <c r="AK137" s="1049"/>
      <c r="AL137" s="1049"/>
      <c r="AM137" s="1049"/>
      <c r="AN137" s="1049"/>
      <c r="AO137" s="1049"/>
      <c r="AP137" s="1049"/>
    </row>
    <row r="138" spans="1:42" ht="15.75" customHeight="1">
      <c r="A138" s="127"/>
      <c r="B138" s="485"/>
      <c r="C138" s="485"/>
      <c r="D138" s="485"/>
      <c r="E138" s="485"/>
      <c r="F138" s="485"/>
      <c r="G138" s="485"/>
      <c r="H138" s="485"/>
      <c r="I138" s="485"/>
      <c r="J138" s="1048"/>
      <c r="K138" s="1048"/>
      <c r="L138" s="1048"/>
      <c r="M138" s="1048"/>
      <c r="N138" s="1048"/>
      <c r="O138" s="1048"/>
      <c r="P138" s="485"/>
      <c r="Q138" s="1048"/>
      <c r="V138" s="485"/>
      <c r="W138" s="1049"/>
      <c r="X138" s="1049"/>
      <c r="Y138" s="1049"/>
      <c r="Z138" s="1049"/>
      <c r="AA138" s="1050"/>
      <c r="AB138" s="1051"/>
      <c r="AC138" s="1051"/>
      <c r="AD138" s="1049"/>
      <c r="AE138" s="1049"/>
      <c r="AF138" s="1049"/>
      <c r="AG138" s="1049"/>
      <c r="AH138" s="1049"/>
      <c r="AI138" s="1049"/>
      <c r="AJ138" s="1049"/>
      <c r="AK138" s="1049"/>
      <c r="AL138" s="1049"/>
      <c r="AM138" s="1049"/>
      <c r="AN138" s="1049"/>
      <c r="AO138" s="1049"/>
      <c r="AP138" s="1049"/>
    </row>
    <row r="139" spans="1:42" ht="15.75" customHeight="1">
      <c r="A139" s="127"/>
      <c r="B139" s="485"/>
      <c r="C139" s="485"/>
      <c r="D139" s="485"/>
      <c r="E139" s="485"/>
      <c r="F139" s="485"/>
      <c r="G139" s="485"/>
      <c r="H139" s="485"/>
      <c r="I139" s="485"/>
      <c r="J139" s="1048"/>
      <c r="K139" s="1048"/>
      <c r="L139" s="1048"/>
      <c r="M139" s="1048"/>
      <c r="N139" s="1048"/>
      <c r="O139" s="1048"/>
      <c r="P139" s="485"/>
      <c r="Q139" s="1048"/>
      <c r="V139" s="485"/>
      <c r="W139" s="1049"/>
      <c r="X139" s="1049"/>
      <c r="Y139" s="1049"/>
      <c r="Z139" s="1049"/>
      <c r="AA139" s="1050"/>
      <c r="AB139" s="1051"/>
      <c r="AC139" s="1051"/>
      <c r="AD139" s="1049"/>
      <c r="AE139" s="1049"/>
      <c r="AF139" s="1049"/>
      <c r="AG139" s="1049"/>
      <c r="AH139" s="1049"/>
      <c r="AI139" s="1049"/>
      <c r="AJ139" s="1049"/>
      <c r="AK139" s="1049"/>
      <c r="AL139" s="1049"/>
      <c r="AM139" s="1049"/>
      <c r="AN139" s="1049"/>
      <c r="AO139" s="1049"/>
      <c r="AP139" s="1049"/>
    </row>
    <row r="140" spans="1:42" ht="15.75" customHeight="1">
      <c r="A140" s="127"/>
      <c r="B140" s="485"/>
      <c r="C140" s="485"/>
      <c r="D140" s="485"/>
      <c r="E140" s="485"/>
      <c r="F140" s="485"/>
      <c r="G140" s="485"/>
      <c r="H140" s="485"/>
      <c r="I140" s="485"/>
      <c r="J140" s="1048"/>
      <c r="K140" s="1048"/>
      <c r="L140" s="1048"/>
      <c r="M140" s="1048"/>
      <c r="N140" s="1048"/>
      <c r="O140" s="1048"/>
      <c r="P140" s="485"/>
      <c r="Q140" s="1048"/>
      <c r="V140" s="485"/>
      <c r="W140" s="1049"/>
      <c r="X140" s="1049"/>
      <c r="Y140" s="1049"/>
      <c r="Z140" s="1049"/>
      <c r="AA140" s="1050"/>
      <c r="AB140" s="1051"/>
      <c r="AC140" s="1051"/>
      <c r="AD140" s="1049"/>
      <c r="AE140" s="1049"/>
      <c r="AF140" s="1049"/>
      <c r="AG140" s="1049"/>
      <c r="AH140" s="1049"/>
      <c r="AI140" s="1049"/>
      <c r="AJ140" s="1049"/>
      <c r="AK140" s="1049"/>
      <c r="AL140" s="1049"/>
      <c r="AM140" s="1049"/>
      <c r="AN140" s="1049"/>
      <c r="AO140" s="1049"/>
      <c r="AP140" s="1049"/>
    </row>
    <row r="141" spans="1:42" ht="15.75" customHeight="1">
      <c r="A141" s="127"/>
      <c r="B141" s="485"/>
      <c r="C141" s="485"/>
      <c r="D141" s="485"/>
      <c r="E141" s="485"/>
      <c r="F141" s="485"/>
      <c r="G141" s="485"/>
      <c r="H141" s="485"/>
      <c r="I141" s="485"/>
      <c r="J141" s="1048"/>
      <c r="K141" s="1048"/>
      <c r="L141" s="1048"/>
      <c r="M141" s="1048"/>
      <c r="N141" s="1048"/>
      <c r="O141" s="1048"/>
      <c r="P141" s="485"/>
      <c r="Q141" s="1048"/>
      <c r="V141" s="485"/>
      <c r="W141" s="1049"/>
      <c r="X141" s="1049"/>
      <c r="Y141" s="1049"/>
      <c r="Z141" s="1049"/>
      <c r="AA141" s="1050"/>
      <c r="AB141" s="1051"/>
      <c r="AC141" s="1051"/>
      <c r="AD141" s="1049"/>
      <c r="AE141" s="1049"/>
      <c r="AF141" s="1049"/>
      <c r="AG141" s="1049"/>
      <c r="AH141" s="1049"/>
      <c r="AI141" s="1049"/>
      <c r="AJ141" s="1049"/>
      <c r="AK141" s="1049"/>
      <c r="AL141" s="1049"/>
      <c r="AM141" s="1049"/>
      <c r="AN141" s="1049"/>
      <c r="AO141" s="1049"/>
      <c r="AP141" s="1049"/>
    </row>
    <row r="142" spans="1:42" ht="15.75" customHeight="1">
      <c r="A142" s="127"/>
      <c r="B142" s="485"/>
      <c r="C142" s="485"/>
      <c r="D142" s="485"/>
      <c r="E142" s="485"/>
      <c r="F142" s="485"/>
      <c r="G142" s="485"/>
      <c r="H142" s="485"/>
      <c r="I142" s="485"/>
      <c r="J142" s="1048"/>
      <c r="K142" s="1048"/>
      <c r="L142" s="1048"/>
      <c r="M142" s="1048"/>
      <c r="N142" s="1048"/>
      <c r="O142" s="1048"/>
      <c r="P142" s="485"/>
      <c r="Q142" s="1048"/>
      <c r="V142" s="485"/>
      <c r="W142" s="1049"/>
      <c r="X142" s="1049"/>
      <c r="Y142" s="1049"/>
      <c r="Z142" s="1049"/>
      <c r="AA142" s="1050"/>
      <c r="AB142" s="1051"/>
      <c r="AC142" s="1051"/>
      <c r="AD142" s="1049"/>
      <c r="AE142" s="1049"/>
      <c r="AF142" s="1049"/>
      <c r="AG142" s="1049"/>
      <c r="AH142" s="1049"/>
      <c r="AI142" s="1049"/>
      <c r="AJ142" s="1049"/>
      <c r="AK142" s="1049"/>
      <c r="AL142" s="1049"/>
      <c r="AM142" s="1049"/>
      <c r="AN142" s="1049"/>
      <c r="AO142" s="1049"/>
      <c r="AP142" s="1049"/>
    </row>
    <row r="143" spans="1:42" ht="15.75" customHeight="1">
      <c r="A143" s="127"/>
      <c r="B143" s="485"/>
      <c r="C143" s="485"/>
      <c r="D143" s="485"/>
      <c r="E143" s="485"/>
      <c r="F143" s="485"/>
      <c r="G143" s="485"/>
      <c r="H143" s="485"/>
      <c r="I143" s="485"/>
      <c r="J143" s="1048"/>
      <c r="K143" s="1048"/>
      <c r="L143" s="1048"/>
      <c r="M143" s="1048"/>
      <c r="N143" s="1048"/>
      <c r="O143" s="1048"/>
      <c r="P143" s="485"/>
      <c r="Q143" s="1048"/>
      <c r="V143" s="485"/>
      <c r="W143" s="1049"/>
      <c r="X143" s="1049"/>
      <c r="Y143" s="1049"/>
      <c r="Z143" s="1049"/>
      <c r="AA143" s="1050"/>
      <c r="AB143" s="1051"/>
      <c r="AC143" s="1051"/>
      <c r="AD143" s="1049"/>
      <c r="AE143" s="1049"/>
      <c r="AF143" s="1049"/>
      <c r="AG143" s="1049"/>
      <c r="AH143" s="1049"/>
      <c r="AI143" s="1049"/>
      <c r="AJ143" s="1049"/>
      <c r="AK143" s="1049"/>
      <c r="AL143" s="1049"/>
      <c r="AM143" s="1049"/>
      <c r="AN143" s="1049"/>
      <c r="AO143" s="1049"/>
      <c r="AP143" s="1049"/>
    </row>
    <row r="144" spans="1:42" ht="15.75" customHeight="1">
      <c r="A144" s="127"/>
      <c r="B144" s="485"/>
      <c r="C144" s="485"/>
      <c r="D144" s="485"/>
      <c r="E144" s="485"/>
      <c r="F144" s="485"/>
      <c r="G144" s="485"/>
      <c r="H144" s="485"/>
      <c r="I144" s="485"/>
      <c r="J144" s="1048"/>
      <c r="K144" s="1048"/>
      <c r="L144" s="1048"/>
      <c r="M144" s="1048"/>
      <c r="N144" s="1048"/>
      <c r="O144" s="1048"/>
      <c r="P144" s="485"/>
      <c r="Q144" s="1048"/>
      <c r="V144" s="485"/>
      <c r="W144" s="1049"/>
      <c r="X144" s="1049"/>
      <c r="Y144" s="1049"/>
      <c r="Z144" s="1049"/>
      <c r="AA144" s="1050"/>
      <c r="AB144" s="1051"/>
      <c r="AC144" s="1051"/>
      <c r="AD144" s="1049"/>
      <c r="AE144" s="1049"/>
      <c r="AF144" s="1049"/>
      <c r="AG144" s="1049"/>
      <c r="AH144" s="1049"/>
      <c r="AI144" s="1049"/>
      <c r="AJ144" s="1049"/>
      <c r="AK144" s="1049"/>
      <c r="AL144" s="1049"/>
      <c r="AM144" s="1049"/>
      <c r="AN144" s="1049"/>
      <c r="AO144" s="1049"/>
      <c r="AP144" s="1049"/>
    </row>
    <row r="145" spans="10:27" ht="13.5" customHeight="1">
      <c r="J145" s="1053"/>
      <c r="K145" s="1053"/>
      <c r="L145" s="1053"/>
      <c r="M145" s="1053"/>
      <c r="N145" s="1053"/>
      <c r="O145" s="1053"/>
      <c r="P145" s="112"/>
      <c r="AA145" s="1050"/>
    </row>
    <row r="146" spans="10:27" ht="13.5" customHeight="1">
      <c r="J146" s="1053"/>
      <c r="K146" s="1053"/>
      <c r="L146" s="1053"/>
      <c r="M146" s="1053"/>
      <c r="N146" s="1053"/>
      <c r="O146" s="1053"/>
      <c r="P146" s="112"/>
      <c r="AA146" s="1050"/>
    </row>
    <row r="147" spans="10:27" ht="13.5" customHeight="1">
      <c r="J147" s="1053"/>
      <c r="K147" s="1053"/>
      <c r="L147" s="1053"/>
      <c r="M147" s="1053"/>
      <c r="N147" s="1053"/>
      <c r="O147" s="1053"/>
      <c r="P147" s="112"/>
      <c r="AA147" s="1050"/>
    </row>
    <row r="148" spans="10:27" ht="13.5" customHeight="1">
      <c r="J148" s="1053"/>
      <c r="K148" s="1053"/>
      <c r="L148" s="1053"/>
      <c r="M148" s="1053"/>
      <c r="N148" s="1053"/>
      <c r="O148" s="1053"/>
      <c r="P148" s="112"/>
      <c r="AA148" s="1050"/>
    </row>
    <row r="149" spans="10:27" ht="13.5" customHeight="1">
      <c r="J149" s="1053"/>
      <c r="K149" s="1053"/>
      <c r="L149" s="1053"/>
      <c r="M149" s="1053"/>
      <c r="N149" s="1053"/>
      <c r="O149" s="1053"/>
      <c r="P149" s="112"/>
      <c r="AA149" s="1050"/>
    </row>
    <row r="150" spans="10:27" ht="13.5" customHeight="1">
      <c r="J150" s="1053"/>
      <c r="K150" s="1053"/>
      <c r="L150" s="1053"/>
      <c r="M150" s="1053"/>
      <c r="N150" s="1053"/>
      <c r="O150" s="1053"/>
      <c r="P150" s="112"/>
      <c r="AA150" s="1050"/>
    </row>
    <row r="151" spans="10:27" ht="13.5" customHeight="1">
      <c r="J151" s="1053"/>
      <c r="K151" s="1053"/>
      <c r="L151" s="1053"/>
      <c r="M151" s="1053"/>
      <c r="N151" s="1053"/>
      <c r="O151" s="1053"/>
      <c r="P151" s="112"/>
      <c r="AA151" s="1050"/>
    </row>
    <row r="152" spans="10:27" ht="13.5" customHeight="1">
      <c r="J152" s="1053"/>
      <c r="K152" s="1053"/>
      <c r="L152" s="1053"/>
      <c r="M152" s="1053"/>
      <c r="N152" s="1053"/>
      <c r="O152" s="1053"/>
      <c r="P152" s="112"/>
      <c r="AA152" s="1050"/>
    </row>
    <row r="153" spans="10:27" ht="13.5" customHeight="1">
      <c r="J153" s="1053"/>
      <c r="K153" s="1053"/>
      <c r="L153" s="1053"/>
      <c r="M153" s="1053"/>
      <c r="N153" s="1053"/>
      <c r="O153" s="1053"/>
      <c r="P153" s="112"/>
      <c r="AA153" s="1050"/>
    </row>
    <row r="154" spans="10:27" ht="13.5" customHeight="1">
      <c r="J154" s="1053"/>
      <c r="K154" s="1053"/>
      <c r="L154" s="1053"/>
      <c r="M154" s="1053"/>
      <c r="N154" s="1053"/>
      <c r="O154" s="1053"/>
      <c r="P154" s="112"/>
      <c r="AA154" s="1050"/>
    </row>
    <row r="155" spans="10:27" ht="13.5" customHeight="1">
      <c r="J155" s="1053"/>
      <c r="K155" s="1053"/>
      <c r="L155" s="1053"/>
      <c r="M155" s="1053"/>
      <c r="N155" s="1053"/>
      <c r="O155" s="1053"/>
      <c r="P155" s="112"/>
      <c r="AA155" s="1050"/>
    </row>
    <row r="156" spans="10:27" ht="13.5" customHeight="1">
      <c r="J156" s="1053"/>
      <c r="K156" s="1053"/>
      <c r="L156" s="1053"/>
      <c r="M156" s="1053"/>
      <c r="N156" s="1053"/>
      <c r="O156" s="1053"/>
      <c r="P156" s="112"/>
      <c r="AA156" s="1050"/>
    </row>
    <row r="157" spans="10:27" ht="13.5" customHeight="1">
      <c r="J157" s="1053"/>
      <c r="K157" s="1053"/>
      <c r="L157" s="1053"/>
      <c r="M157" s="1053"/>
      <c r="N157" s="1053"/>
      <c r="O157" s="1053"/>
      <c r="P157" s="112"/>
      <c r="AA157" s="1050"/>
    </row>
    <row r="158" spans="10:27" ht="13.5" customHeight="1">
      <c r="J158" s="1053"/>
      <c r="K158" s="1053"/>
      <c r="L158" s="1053"/>
      <c r="M158" s="1053"/>
      <c r="N158" s="1053"/>
      <c r="O158" s="1053"/>
      <c r="P158" s="112"/>
      <c r="AA158" s="1050"/>
    </row>
    <row r="159" spans="10:27" ht="13.5" customHeight="1">
      <c r="J159" s="1053"/>
      <c r="K159" s="1053"/>
      <c r="L159" s="1053"/>
      <c r="M159" s="1053"/>
      <c r="N159" s="1053"/>
      <c r="O159" s="1053"/>
      <c r="P159" s="112"/>
      <c r="AA159" s="1050"/>
    </row>
    <row r="160" spans="10:27" ht="13.5" customHeight="1">
      <c r="J160" s="1053"/>
      <c r="K160" s="1053"/>
      <c r="L160" s="1053"/>
      <c r="M160" s="1053"/>
      <c r="N160" s="1053"/>
      <c r="O160" s="1053"/>
      <c r="P160" s="112"/>
      <c r="AA160" s="1050"/>
    </row>
    <row r="161" spans="10:27" ht="13.5" customHeight="1">
      <c r="J161" s="1053"/>
      <c r="K161" s="1053"/>
      <c r="L161" s="1053"/>
      <c r="M161" s="1053"/>
      <c r="N161" s="1053"/>
      <c r="O161" s="1053"/>
      <c r="P161" s="112"/>
      <c r="AA161" s="1050"/>
    </row>
    <row r="162" spans="10:27" ht="13.5" customHeight="1">
      <c r="J162" s="1053"/>
      <c r="K162" s="1053"/>
      <c r="L162" s="1053"/>
      <c r="M162" s="1053"/>
      <c r="N162" s="1053"/>
      <c r="O162" s="1053"/>
      <c r="P162" s="112"/>
      <c r="AA162" s="1050"/>
    </row>
    <row r="163" spans="10:27" ht="13.5" customHeight="1">
      <c r="J163" s="1053"/>
      <c r="K163" s="1053"/>
      <c r="L163" s="1053"/>
      <c r="M163" s="1053"/>
      <c r="N163" s="1053"/>
      <c r="O163" s="1053"/>
      <c r="P163" s="112"/>
      <c r="AA163" s="1050"/>
    </row>
    <row r="164" spans="10:27" ht="13.5" customHeight="1">
      <c r="J164" s="1053"/>
      <c r="K164" s="1053"/>
      <c r="L164" s="1053"/>
      <c r="M164" s="1053"/>
      <c r="N164" s="1053"/>
      <c r="O164" s="1053"/>
      <c r="P164" s="112"/>
      <c r="AA164" s="1050"/>
    </row>
    <row r="165" spans="10:27" ht="13.5" customHeight="1">
      <c r="J165" s="1053"/>
      <c r="K165" s="1053"/>
      <c r="L165" s="1053"/>
      <c r="M165" s="1053"/>
      <c r="N165" s="1053"/>
      <c r="O165" s="1053"/>
      <c r="P165" s="112"/>
      <c r="AA165" s="1050"/>
    </row>
    <row r="166" spans="10:27" ht="13.5" customHeight="1">
      <c r="J166" s="1053"/>
      <c r="K166" s="1053"/>
      <c r="L166" s="1053"/>
      <c r="M166" s="1053"/>
      <c r="N166" s="1053"/>
      <c r="O166" s="1053"/>
      <c r="P166" s="112"/>
      <c r="AA166" s="1050"/>
    </row>
    <row r="167" spans="10:27" ht="13.5" customHeight="1">
      <c r="J167" s="1053"/>
      <c r="K167" s="1053"/>
      <c r="L167" s="1053"/>
      <c r="M167" s="1053"/>
      <c r="N167" s="1053"/>
      <c r="O167" s="1053"/>
      <c r="P167" s="112"/>
      <c r="AA167" s="1050"/>
    </row>
    <row r="168" spans="10:27" ht="13.5" customHeight="1">
      <c r="J168" s="1053"/>
      <c r="K168" s="1053"/>
      <c r="L168" s="1053"/>
      <c r="M168" s="1053"/>
      <c r="N168" s="1053"/>
      <c r="O168" s="1053"/>
      <c r="P168" s="112"/>
      <c r="AA168" s="1050"/>
    </row>
    <row r="169" spans="10:27" ht="13.5" customHeight="1">
      <c r="J169" s="1053"/>
      <c r="K169" s="1053"/>
      <c r="L169" s="1053"/>
      <c r="M169" s="1053"/>
      <c r="N169" s="1053"/>
      <c r="O169" s="1053"/>
      <c r="P169" s="112"/>
      <c r="AA169" s="1050"/>
    </row>
    <row r="170" spans="10:27" ht="13.5" customHeight="1">
      <c r="J170" s="1053"/>
      <c r="K170" s="1053"/>
      <c r="L170" s="1053"/>
      <c r="M170" s="1053"/>
      <c r="N170" s="1053"/>
      <c r="O170" s="1053"/>
      <c r="P170" s="112"/>
      <c r="AA170" s="1050"/>
    </row>
    <row r="171" spans="10:27" ht="13.5" customHeight="1">
      <c r="J171" s="1053"/>
      <c r="K171" s="1053"/>
      <c r="L171" s="1053"/>
      <c r="M171" s="1053"/>
      <c r="N171" s="1053"/>
      <c r="O171" s="1053"/>
      <c r="P171" s="112"/>
      <c r="AA171" s="1050"/>
    </row>
    <row r="172" spans="10:27" ht="13.5" customHeight="1">
      <c r="J172" s="1053"/>
      <c r="K172" s="1053"/>
      <c r="L172" s="1053"/>
      <c r="M172" s="1053"/>
      <c r="N172" s="1053"/>
      <c r="O172" s="1053"/>
      <c r="P172" s="112"/>
      <c r="AA172" s="1050"/>
    </row>
    <row r="173" spans="10:27" ht="13.5" customHeight="1">
      <c r="J173" s="1053"/>
      <c r="K173" s="1053"/>
      <c r="L173" s="1053"/>
      <c r="M173" s="1053"/>
      <c r="N173" s="1053"/>
      <c r="O173" s="1053"/>
      <c r="P173" s="112"/>
      <c r="AA173" s="1050"/>
    </row>
    <row r="174" spans="10:27" ht="13.5" customHeight="1">
      <c r="J174" s="1053"/>
      <c r="K174" s="1053"/>
      <c r="L174" s="1053"/>
      <c r="M174" s="1053"/>
      <c r="N174" s="1053"/>
      <c r="O174" s="1053"/>
      <c r="P174" s="112"/>
      <c r="AA174" s="1050"/>
    </row>
    <row r="175" spans="10:27" ht="13.5" customHeight="1">
      <c r="J175" s="1053"/>
      <c r="K175" s="1053"/>
      <c r="L175" s="1053"/>
      <c r="M175" s="1053"/>
      <c r="N175" s="1053"/>
      <c r="O175" s="1053"/>
      <c r="P175" s="112"/>
      <c r="AA175" s="1050"/>
    </row>
    <row r="176" spans="10:27" ht="13.5" customHeight="1">
      <c r="J176" s="1053"/>
      <c r="K176" s="1053"/>
      <c r="L176" s="1053"/>
      <c r="M176" s="1053"/>
      <c r="N176" s="1053"/>
      <c r="O176" s="1053"/>
      <c r="P176" s="112"/>
      <c r="AA176" s="1050"/>
    </row>
    <row r="177" spans="10:27" ht="13.5" customHeight="1">
      <c r="J177" s="1053"/>
      <c r="K177" s="1053"/>
      <c r="L177" s="1053"/>
      <c r="M177" s="1053"/>
      <c r="N177" s="1053"/>
      <c r="O177" s="1053"/>
      <c r="P177" s="112"/>
      <c r="AA177" s="1050"/>
    </row>
    <row r="178" spans="10:27" ht="13.5" customHeight="1">
      <c r="J178" s="1053"/>
      <c r="K178" s="1053"/>
      <c r="L178" s="1053"/>
      <c r="M178" s="1053"/>
      <c r="N178" s="1053"/>
      <c r="O178" s="1053"/>
      <c r="P178" s="112"/>
      <c r="AA178" s="1050"/>
    </row>
    <row r="179" spans="10:27" ht="13.5" customHeight="1">
      <c r="J179" s="1053"/>
      <c r="K179" s="1053"/>
      <c r="L179" s="1053"/>
      <c r="M179" s="1053"/>
      <c r="N179" s="1053"/>
      <c r="O179" s="1053"/>
      <c r="P179" s="112"/>
      <c r="AA179" s="1050"/>
    </row>
    <row r="180" spans="10:27" ht="13.5" customHeight="1">
      <c r="J180" s="1053"/>
      <c r="K180" s="1053"/>
      <c r="L180" s="1053"/>
      <c r="M180" s="1053"/>
      <c r="N180" s="1053"/>
      <c r="O180" s="1053"/>
      <c r="P180" s="112"/>
      <c r="AA180" s="1050"/>
    </row>
    <row r="181" spans="10:27" ht="13.5" customHeight="1">
      <c r="J181" s="1053"/>
      <c r="K181" s="1053"/>
      <c r="L181" s="1053"/>
      <c r="M181" s="1053"/>
      <c r="N181" s="1053"/>
      <c r="O181" s="1053"/>
      <c r="P181" s="112"/>
      <c r="AA181" s="1050"/>
    </row>
    <row r="182" spans="10:27" ht="13.5" customHeight="1">
      <c r="J182" s="1053"/>
      <c r="K182" s="1053"/>
      <c r="L182" s="1053"/>
      <c r="M182" s="1053"/>
      <c r="N182" s="1053"/>
      <c r="O182" s="1053"/>
      <c r="P182" s="112"/>
      <c r="AA182" s="1050"/>
    </row>
    <row r="183" spans="10:27" ht="13.5" customHeight="1">
      <c r="J183" s="1053"/>
      <c r="K183" s="1053"/>
      <c r="L183" s="1053"/>
      <c r="M183" s="1053"/>
      <c r="N183" s="1053"/>
      <c r="O183" s="1053"/>
      <c r="P183" s="112"/>
      <c r="AA183" s="1050"/>
    </row>
    <row r="184" spans="10:27" ht="13.5" customHeight="1">
      <c r="J184" s="1053"/>
      <c r="K184" s="1053"/>
      <c r="L184" s="1053"/>
      <c r="M184" s="1053"/>
      <c r="N184" s="1053"/>
      <c r="O184" s="1053"/>
      <c r="P184" s="112"/>
      <c r="AA184" s="1050"/>
    </row>
    <row r="185" spans="10:27" ht="13.5" customHeight="1">
      <c r="J185" s="1053"/>
      <c r="K185" s="1053"/>
      <c r="L185" s="1053"/>
      <c r="M185" s="1053"/>
      <c r="N185" s="1053"/>
      <c r="O185" s="1053"/>
      <c r="P185" s="112"/>
      <c r="AA185" s="1050"/>
    </row>
    <row r="186" spans="10:27" ht="13.5" customHeight="1">
      <c r="J186" s="1053"/>
      <c r="K186" s="1053"/>
      <c r="L186" s="1053"/>
      <c r="M186" s="1053"/>
      <c r="N186" s="1053"/>
      <c r="O186" s="1053"/>
      <c r="P186" s="112"/>
      <c r="AA186" s="1050"/>
    </row>
    <row r="187" spans="10:27" ht="13.5" customHeight="1">
      <c r="J187" s="1053"/>
      <c r="K187" s="1053"/>
      <c r="L187" s="1053"/>
      <c r="M187" s="1053"/>
      <c r="N187" s="1053"/>
      <c r="O187" s="1053"/>
      <c r="P187" s="112"/>
      <c r="AA187" s="1050"/>
    </row>
    <row r="188" spans="10:27" ht="13.5" customHeight="1">
      <c r="J188" s="1053"/>
      <c r="K188" s="1053"/>
      <c r="L188" s="1053"/>
      <c r="M188" s="1053"/>
      <c r="N188" s="1053"/>
      <c r="O188" s="1053"/>
      <c r="P188" s="112"/>
      <c r="AA188" s="1050"/>
    </row>
    <row r="189" spans="10:27" ht="13.5" customHeight="1">
      <c r="J189" s="1053"/>
      <c r="K189" s="1053"/>
      <c r="L189" s="1053"/>
      <c r="M189" s="1053"/>
      <c r="N189" s="1053"/>
      <c r="O189" s="1053"/>
      <c r="P189" s="112"/>
      <c r="AA189" s="1050"/>
    </row>
    <row r="190" spans="10:27" ht="13.5" customHeight="1">
      <c r="J190" s="1053"/>
      <c r="K190" s="1053"/>
      <c r="L190" s="1053"/>
      <c r="M190" s="1053"/>
      <c r="N190" s="1053"/>
      <c r="O190" s="1053"/>
      <c r="P190" s="112"/>
      <c r="AA190" s="1050"/>
    </row>
    <row r="191" spans="10:27" ht="13.5" customHeight="1">
      <c r="J191" s="1053"/>
      <c r="K191" s="1053"/>
      <c r="L191" s="1053"/>
      <c r="M191" s="1053"/>
      <c r="N191" s="1053"/>
      <c r="O191" s="1053"/>
      <c r="P191" s="112"/>
      <c r="AA191" s="1050"/>
    </row>
    <row r="192" spans="10:27" ht="13.5" customHeight="1">
      <c r="J192" s="1053"/>
      <c r="K192" s="1053"/>
      <c r="L192" s="1053"/>
      <c r="M192" s="1053"/>
      <c r="N192" s="1053"/>
      <c r="O192" s="1053"/>
      <c r="P192" s="112"/>
      <c r="AA192" s="1050"/>
    </row>
    <row r="193" spans="10:27" ht="13.5" customHeight="1">
      <c r="J193" s="1053"/>
      <c r="K193" s="1053"/>
      <c r="L193" s="1053"/>
      <c r="M193" s="1053"/>
      <c r="N193" s="1053"/>
      <c r="O193" s="1053"/>
      <c r="P193" s="112"/>
      <c r="AA193" s="1050"/>
    </row>
    <row r="194" spans="10:27" ht="13.5" customHeight="1">
      <c r="J194" s="1053"/>
      <c r="K194" s="1053"/>
      <c r="L194" s="1053"/>
      <c r="M194" s="1053"/>
      <c r="N194" s="1053"/>
      <c r="O194" s="1053"/>
      <c r="P194" s="112"/>
      <c r="AA194" s="1050"/>
    </row>
    <row r="195" spans="10:27" ht="13.5" customHeight="1">
      <c r="J195" s="1053"/>
      <c r="K195" s="1053"/>
      <c r="L195" s="1053"/>
      <c r="M195" s="1053"/>
      <c r="N195" s="1053"/>
      <c r="O195" s="1053"/>
      <c r="P195" s="112"/>
      <c r="AA195" s="1050"/>
    </row>
    <row r="196" spans="10:27" ht="13.5" customHeight="1">
      <c r="J196" s="1053"/>
      <c r="K196" s="1053"/>
      <c r="L196" s="1053"/>
      <c r="M196" s="1053"/>
      <c r="N196" s="1053"/>
      <c r="O196" s="1053"/>
      <c r="P196" s="112"/>
      <c r="AA196" s="1050"/>
    </row>
    <row r="197" spans="10:27" ht="13.5" customHeight="1">
      <c r="J197" s="1053"/>
      <c r="K197" s="1053"/>
      <c r="L197" s="1053"/>
      <c r="M197" s="1053"/>
      <c r="N197" s="1053"/>
      <c r="O197" s="1053"/>
      <c r="P197" s="112"/>
      <c r="AA197" s="1050"/>
    </row>
    <row r="198" spans="10:27" ht="13.5" customHeight="1">
      <c r="J198" s="1053"/>
      <c r="K198" s="1053"/>
      <c r="L198" s="1053"/>
      <c r="M198" s="1053"/>
      <c r="N198" s="1053"/>
      <c r="O198" s="1053"/>
      <c r="P198" s="112"/>
      <c r="AA198" s="1050"/>
    </row>
    <row r="199" spans="10:27" ht="13.5" customHeight="1">
      <c r="J199" s="1053"/>
      <c r="K199" s="1053"/>
      <c r="L199" s="1053"/>
      <c r="M199" s="1053"/>
      <c r="N199" s="1053"/>
      <c r="O199" s="1053"/>
      <c r="P199" s="112"/>
      <c r="AA199" s="1050"/>
    </row>
    <row r="200" spans="10:27" ht="13.5" customHeight="1">
      <c r="J200" s="1053"/>
      <c r="K200" s="1053"/>
      <c r="L200" s="1053"/>
      <c r="M200" s="1053"/>
      <c r="N200" s="1053"/>
      <c r="O200" s="1053"/>
      <c r="P200" s="112"/>
      <c r="AA200" s="1050"/>
    </row>
    <row r="201" spans="10:27" ht="13.5" customHeight="1">
      <c r="J201" s="1053"/>
      <c r="K201" s="1053"/>
      <c r="L201" s="1053"/>
      <c r="M201" s="1053"/>
      <c r="N201" s="1053"/>
      <c r="O201" s="1053"/>
      <c r="P201" s="112"/>
      <c r="AA201" s="1050"/>
    </row>
    <row r="202" spans="10:27" ht="13.5" customHeight="1">
      <c r="J202" s="1053"/>
      <c r="K202" s="1053"/>
      <c r="L202" s="1053"/>
      <c r="M202" s="1053"/>
      <c r="N202" s="1053"/>
      <c r="O202" s="1053"/>
      <c r="P202" s="112"/>
      <c r="AA202" s="1050"/>
    </row>
    <row r="203" spans="10:27" ht="13.5" customHeight="1">
      <c r="J203" s="1053"/>
      <c r="K203" s="1053"/>
      <c r="L203" s="1053"/>
      <c r="M203" s="1053"/>
      <c r="N203" s="1053"/>
      <c r="O203" s="1053"/>
      <c r="P203" s="112"/>
      <c r="AA203" s="1050"/>
    </row>
    <row r="204" spans="10:27" ht="13.5" customHeight="1">
      <c r="J204" s="1053"/>
      <c r="K204" s="1053"/>
      <c r="L204" s="1053"/>
      <c r="M204" s="1053"/>
      <c r="N204" s="1053"/>
      <c r="O204" s="1053"/>
      <c r="P204" s="112"/>
      <c r="AA204" s="1050"/>
    </row>
    <row r="205" spans="10:27" ht="13.5" customHeight="1">
      <c r="J205" s="1053"/>
      <c r="K205" s="1053"/>
      <c r="L205" s="1053"/>
      <c r="M205" s="1053"/>
      <c r="N205" s="1053"/>
      <c r="O205" s="1053"/>
      <c r="P205" s="112"/>
      <c r="AA205" s="1050"/>
    </row>
    <row r="206" spans="10:27" ht="13.5" customHeight="1">
      <c r="J206" s="1053"/>
      <c r="K206" s="1053"/>
      <c r="L206" s="1053"/>
      <c r="M206" s="1053"/>
      <c r="N206" s="1053"/>
      <c r="O206" s="1053"/>
      <c r="P206" s="112"/>
      <c r="AA206" s="1050"/>
    </row>
    <row r="207" spans="10:27" ht="13.5" customHeight="1">
      <c r="J207" s="1053"/>
      <c r="K207" s="1053"/>
      <c r="L207" s="1053"/>
      <c r="M207" s="1053"/>
      <c r="N207" s="1053"/>
      <c r="O207" s="1053"/>
      <c r="P207" s="112"/>
      <c r="AA207" s="1050"/>
    </row>
    <row r="208" spans="10:27" ht="13.5" customHeight="1">
      <c r="J208" s="1053"/>
      <c r="K208" s="1053"/>
      <c r="L208" s="1053"/>
      <c r="M208" s="1053"/>
      <c r="N208" s="1053"/>
      <c r="O208" s="1053"/>
      <c r="P208" s="112"/>
      <c r="AA208" s="1050"/>
    </row>
    <row r="209" spans="10:27" ht="13.5" customHeight="1">
      <c r="J209" s="1053"/>
      <c r="K209" s="1053"/>
      <c r="L209" s="1053"/>
      <c r="M209" s="1053"/>
      <c r="N209" s="1053"/>
      <c r="O209" s="1053"/>
      <c r="P209" s="112"/>
      <c r="AA209" s="1050"/>
    </row>
    <row r="210" spans="10:27" ht="13.5" customHeight="1">
      <c r="J210" s="1053"/>
      <c r="K210" s="1053"/>
      <c r="L210" s="1053"/>
      <c r="M210" s="1053"/>
      <c r="N210" s="1053"/>
      <c r="O210" s="1053"/>
      <c r="P210" s="112"/>
      <c r="AA210" s="1050"/>
    </row>
    <row r="211" spans="10:27" ht="13.5" customHeight="1">
      <c r="J211" s="1053"/>
      <c r="K211" s="1053"/>
      <c r="L211" s="1053"/>
      <c r="M211" s="1053"/>
      <c r="N211" s="1053"/>
      <c r="O211" s="1053"/>
      <c r="P211" s="112"/>
      <c r="AA211" s="1050"/>
    </row>
    <row r="212" spans="10:27" ht="13.5" customHeight="1">
      <c r="J212" s="1053"/>
      <c r="K212" s="1053"/>
      <c r="L212" s="1053"/>
      <c r="M212" s="1053"/>
      <c r="N212" s="1053"/>
      <c r="O212" s="1053"/>
      <c r="P212" s="112"/>
      <c r="AA212" s="1050"/>
    </row>
    <row r="213" spans="10:27" ht="13.5" customHeight="1">
      <c r="J213" s="1053"/>
      <c r="K213" s="1053"/>
      <c r="L213" s="1053"/>
      <c r="M213" s="1053"/>
      <c r="N213" s="1053"/>
      <c r="O213" s="1053"/>
      <c r="P213" s="112"/>
      <c r="AA213" s="1050"/>
    </row>
    <row r="214" spans="10:27" ht="13.5" customHeight="1">
      <c r="J214" s="1053"/>
      <c r="K214" s="1053"/>
      <c r="L214" s="1053"/>
      <c r="M214" s="1053"/>
      <c r="N214" s="1053"/>
      <c r="O214" s="1053"/>
      <c r="P214" s="112"/>
      <c r="AA214" s="1050"/>
    </row>
    <row r="215" spans="10:27" ht="13.5" customHeight="1">
      <c r="J215" s="1053"/>
      <c r="K215" s="1053"/>
      <c r="L215" s="1053"/>
      <c r="M215" s="1053"/>
      <c r="N215" s="1053"/>
      <c r="O215" s="1053"/>
      <c r="P215" s="112"/>
      <c r="AA215" s="1050"/>
    </row>
    <row r="216" spans="10:27" ht="13.5" customHeight="1">
      <c r="J216" s="1053"/>
      <c r="K216" s="1053"/>
      <c r="L216" s="1053"/>
      <c r="M216" s="1053"/>
      <c r="N216" s="1053"/>
      <c r="O216" s="1053"/>
      <c r="P216" s="112"/>
      <c r="AA216" s="1050"/>
    </row>
    <row r="217" spans="10:27" ht="13.5" customHeight="1">
      <c r="J217" s="1053"/>
      <c r="K217" s="1053"/>
      <c r="L217" s="1053"/>
      <c r="M217" s="1053"/>
      <c r="N217" s="1053"/>
      <c r="O217" s="1053"/>
      <c r="P217" s="112"/>
      <c r="AA217" s="1050"/>
    </row>
    <row r="218" spans="10:27" ht="13.5" customHeight="1">
      <c r="J218" s="1053"/>
      <c r="K218" s="1053"/>
      <c r="L218" s="1053"/>
      <c r="M218" s="1053"/>
      <c r="N218" s="1053"/>
      <c r="O218" s="1053"/>
      <c r="P218" s="112"/>
      <c r="AA218" s="1050"/>
    </row>
    <row r="219" spans="10:27" ht="13.5" customHeight="1">
      <c r="J219" s="1053"/>
      <c r="K219" s="1053"/>
      <c r="L219" s="1053"/>
      <c r="M219" s="1053"/>
      <c r="N219" s="1053"/>
      <c r="O219" s="1053"/>
      <c r="P219" s="112"/>
      <c r="AA219" s="1050"/>
    </row>
    <row r="220" spans="10:27" ht="13.5" customHeight="1">
      <c r="J220" s="1053"/>
      <c r="K220" s="1053"/>
      <c r="L220" s="1053"/>
      <c r="M220" s="1053"/>
      <c r="N220" s="1053"/>
      <c r="O220" s="1053"/>
      <c r="P220" s="112"/>
      <c r="AA220" s="1050"/>
    </row>
    <row r="221" spans="10:27" ht="13.5" customHeight="1">
      <c r="J221" s="1053"/>
      <c r="K221" s="1053"/>
      <c r="L221" s="1053"/>
      <c r="M221" s="1053"/>
      <c r="N221" s="1053"/>
      <c r="O221" s="1053"/>
      <c r="P221" s="112"/>
      <c r="AA221" s="1050"/>
    </row>
    <row r="222" spans="10:27" ht="13.5" customHeight="1">
      <c r="J222" s="1053"/>
      <c r="K222" s="1053"/>
      <c r="L222" s="1053"/>
      <c r="M222" s="1053"/>
      <c r="N222" s="1053"/>
      <c r="O222" s="1053"/>
      <c r="P222" s="112"/>
      <c r="AA222" s="1050"/>
    </row>
    <row r="223" spans="10:27" ht="13.5" customHeight="1">
      <c r="J223" s="1053"/>
      <c r="K223" s="1053"/>
      <c r="L223" s="1053"/>
      <c r="M223" s="1053"/>
      <c r="N223" s="1053"/>
      <c r="O223" s="1053"/>
      <c r="P223" s="112"/>
      <c r="AA223" s="1050"/>
    </row>
    <row r="224" spans="10:27" ht="13.5" customHeight="1">
      <c r="J224" s="1053"/>
      <c r="K224" s="1053"/>
      <c r="L224" s="1053"/>
      <c r="M224" s="1053"/>
      <c r="N224" s="1053"/>
      <c r="O224" s="1053"/>
      <c r="P224" s="112"/>
      <c r="AA224" s="1050"/>
    </row>
    <row r="225" spans="10:27" ht="13.5" customHeight="1">
      <c r="J225" s="1053"/>
      <c r="K225" s="1053"/>
      <c r="L225" s="1053"/>
      <c r="M225" s="1053"/>
      <c r="N225" s="1053"/>
      <c r="O225" s="1053"/>
      <c r="P225" s="112"/>
      <c r="AA225" s="1050"/>
    </row>
    <row r="226" spans="10:27" ht="13.5" customHeight="1">
      <c r="J226" s="1053"/>
      <c r="K226" s="1053"/>
      <c r="L226" s="1053"/>
      <c r="M226" s="1053"/>
      <c r="N226" s="1053"/>
      <c r="O226" s="1053"/>
      <c r="P226" s="112"/>
      <c r="AA226" s="1050"/>
    </row>
    <row r="227" spans="10:27" ht="13.5" customHeight="1">
      <c r="J227" s="1053"/>
      <c r="K227" s="1053"/>
      <c r="L227" s="1053"/>
      <c r="M227" s="1053"/>
      <c r="N227" s="1053"/>
      <c r="O227" s="1053"/>
      <c r="P227" s="112"/>
      <c r="AA227" s="1050"/>
    </row>
    <row r="228" spans="10:27" ht="13.5" customHeight="1">
      <c r="J228" s="1053"/>
      <c r="K228" s="1053"/>
      <c r="L228" s="1053"/>
      <c r="M228" s="1053"/>
      <c r="N228" s="1053"/>
      <c r="O228" s="1053"/>
      <c r="P228" s="112"/>
      <c r="AA228" s="1050"/>
    </row>
    <row r="229" spans="10:27" ht="13.5" customHeight="1">
      <c r="J229" s="1053"/>
      <c r="K229" s="1053"/>
      <c r="L229" s="1053"/>
      <c r="M229" s="1053"/>
      <c r="N229" s="1053"/>
      <c r="O229" s="1053"/>
      <c r="P229" s="112"/>
      <c r="AA229" s="1050"/>
    </row>
    <row r="230" spans="10:27" ht="13.5" customHeight="1">
      <c r="J230" s="1053"/>
      <c r="K230" s="1053"/>
      <c r="L230" s="1053"/>
      <c r="M230" s="1053"/>
      <c r="N230" s="1053"/>
      <c r="O230" s="1053"/>
      <c r="P230" s="112"/>
      <c r="AA230" s="1050"/>
    </row>
    <row r="231" spans="10:27" ht="13.5" customHeight="1">
      <c r="J231" s="1053"/>
      <c r="K231" s="1053"/>
      <c r="L231" s="1053"/>
      <c r="M231" s="1053"/>
      <c r="N231" s="1053"/>
      <c r="O231" s="1053"/>
      <c r="P231" s="112"/>
      <c r="AA231" s="1050"/>
    </row>
    <row r="232" spans="10:27" ht="13.5" customHeight="1">
      <c r="J232" s="1053"/>
      <c r="K232" s="1053"/>
      <c r="L232" s="1053"/>
      <c r="M232" s="1053"/>
      <c r="N232" s="1053"/>
      <c r="O232" s="1053"/>
      <c r="P232" s="112"/>
      <c r="AA232" s="1050"/>
    </row>
    <row r="233" spans="10:27" ht="13.5" customHeight="1">
      <c r="J233" s="1053"/>
      <c r="K233" s="1053"/>
      <c r="L233" s="1053"/>
      <c r="M233" s="1053"/>
      <c r="N233" s="1053"/>
      <c r="O233" s="1053"/>
      <c r="P233" s="112"/>
      <c r="AA233" s="1050"/>
    </row>
    <row r="234" spans="10:27" ht="13.5" customHeight="1">
      <c r="J234" s="1053"/>
      <c r="K234" s="1053"/>
      <c r="L234" s="1053"/>
      <c r="M234" s="1053"/>
      <c r="N234" s="1053"/>
      <c r="O234" s="1053"/>
      <c r="P234" s="112"/>
      <c r="AA234" s="1050"/>
    </row>
    <row r="235" spans="10:27" ht="13.5" customHeight="1">
      <c r="J235" s="1053"/>
      <c r="K235" s="1053"/>
      <c r="L235" s="1053"/>
      <c r="M235" s="1053"/>
      <c r="N235" s="1053"/>
      <c r="O235" s="1053"/>
      <c r="P235" s="112"/>
      <c r="AA235" s="1050"/>
    </row>
    <row r="236" spans="10:27" ht="13.5" customHeight="1">
      <c r="J236" s="1053"/>
      <c r="K236" s="1053"/>
      <c r="L236" s="1053"/>
      <c r="M236" s="1053"/>
      <c r="N236" s="1053"/>
      <c r="O236" s="1053"/>
      <c r="P236" s="112"/>
      <c r="AA236" s="1050"/>
    </row>
    <row r="237" spans="10:27" ht="13.5" customHeight="1">
      <c r="J237" s="1053"/>
      <c r="K237" s="1053"/>
      <c r="L237" s="1053"/>
      <c r="M237" s="1053"/>
      <c r="N237" s="1053"/>
      <c r="O237" s="1053"/>
      <c r="P237" s="112"/>
      <c r="AA237" s="1050"/>
    </row>
    <row r="238" spans="10:27" ht="13.5" customHeight="1">
      <c r="J238" s="1053"/>
      <c r="K238" s="1053"/>
      <c r="L238" s="1053"/>
      <c r="M238" s="1053"/>
      <c r="N238" s="1053"/>
      <c r="O238" s="1053"/>
      <c r="P238" s="112"/>
      <c r="AA238" s="1050"/>
    </row>
    <row r="239" spans="10:27" ht="13.5" customHeight="1">
      <c r="J239" s="1053"/>
      <c r="K239" s="1053"/>
      <c r="L239" s="1053"/>
      <c r="M239" s="1053"/>
      <c r="N239" s="1053"/>
      <c r="O239" s="1053"/>
      <c r="P239" s="112"/>
      <c r="AA239" s="1050"/>
    </row>
    <row r="240" spans="10:27" ht="13.5" customHeight="1">
      <c r="J240" s="1053"/>
      <c r="K240" s="1053"/>
      <c r="L240" s="1053"/>
      <c r="M240" s="1053"/>
      <c r="N240" s="1053"/>
      <c r="O240" s="1053"/>
      <c r="P240" s="112"/>
      <c r="AA240" s="1050"/>
    </row>
    <row r="241" spans="10:27" ht="13.5" customHeight="1">
      <c r="J241" s="1053"/>
      <c r="K241" s="1053"/>
      <c r="L241" s="1053"/>
      <c r="M241" s="1053"/>
      <c r="N241" s="1053"/>
      <c r="O241" s="1053"/>
      <c r="P241" s="112"/>
      <c r="AA241" s="1050"/>
    </row>
    <row r="242" spans="10:27" ht="13.5" customHeight="1">
      <c r="J242" s="1053"/>
      <c r="K242" s="1053"/>
      <c r="L242" s="1053"/>
      <c r="M242" s="1053"/>
      <c r="N242" s="1053"/>
      <c r="O242" s="1053"/>
      <c r="P242" s="112"/>
      <c r="AA242" s="1050"/>
    </row>
    <row r="243" spans="10:27" ht="13.5" customHeight="1">
      <c r="J243" s="1053"/>
      <c r="K243" s="1053"/>
      <c r="L243" s="1053"/>
      <c r="M243" s="1053"/>
      <c r="N243" s="1053"/>
      <c r="O243" s="1053"/>
      <c r="P243" s="112"/>
      <c r="AA243" s="1050"/>
    </row>
    <row r="244" spans="10:27" ht="13.5" customHeight="1">
      <c r="J244" s="1053"/>
      <c r="K244" s="1053"/>
      <c r="L244" s="1053"/>
      <c r="M244" s="1053"/>
      <c r="N244" s="1053"/>
      <c r="O244" s="1053"/>
      <c r="P244" s="112"/>
      <c r="AA244" s="1050"/>
    </row>
    <row r="245" spans="10:27" ht="13.5" customHeight="1">
      <c r="J245" s="1053"/>
      <c r="K245" s="1053"/>
      <c r="L245" s="1053"/>
      <c r="M245" s="1053"/>
      <c r="N245" s="1053"/>
      <c r="O245" s="1053"/>
      <c r="P245" s="112"/>
      <c r="AA245" s="1050"/>
    </row>
    <row r="246" spans="10:27" ht="13.5" customHeight="1">
      <c r="J246" s="1053"/>
      <c r="K246" s="1053"/>
      <c r="L246" s="1053"/>
      <c r="M246" s="1053"/>
      <c r="N246" s="1053"/>
      <c r="O246" s="1053"/>
      <c r="P246" s="112"/>
      <c r="AA246" s="1050"/>
    </row>
    <row r="247" spans="10:27" ht="13.5" customHeight="1">
      <c r="J247" s="1053"/>
      <c r="K247" s="1053"/>
      <c r="L247" s="1053"/>
      <c r="M247" s="1053"/>
      <c r="N247" s="1053"/>
      <c r="O247" s="1053"/>
      <c r="P247" s="112"/>
      <c r="AA247" s="1050"/>
    </row>
    <row r="248" spans="10:27" ht="13.5" customHeight="1">
      <c r="J248" s="1053"/>
      <c r="K248" s="1053"/>
      <c r="L248" s="1053"/>
      <c r="M248" s="1053"/>
      <c r="N248" s="1053"/>
      <c r="O248" s="1053"/>
      <c r="P248" s="112"/>
      <c r="AA248" s="1050"/>
    </row>
    <row r="249" spans="10:27" ht="13.5" customHeight="1">
      <c r="J249" s="1053"/>
      <c r="K249" s="1053"/>
      <c r="L249" s="1053"/>
      <c r="M249" s="1053"/>
      <c r="N249" s="1053"/>
      <c r="O249" s="1053"/>
      <c r="P249" s="112"/>
      <c r="AA249" s="1050"/>
    </row>
    <row r="250" spans="10:27" ht="13.5" customHeight="1">
      <c r="J250" s="1053"/>
      <c r="K250" s="1053"/>
      <c r="L250" s="1053"/>
      <c r="M250" s="1053"/>
      <c r="N250" s="1053"/>
      <c r="O250" s="1053"/>
      <c r="P250" s="112"/>
      <c r="AA250" s="1050"/>
    </row>
    <row r="251" spans="10:27" ht="13.5" customHeight="1">
      <c r="J251" s="1053"/>
      <c r="K251" s="1053"/>
      <c r="L251" s="1053"/>
      <c r="M251" s="1053"/>
      <c r="N251" s="1053"/>
      <c r="O251" s="1053"/>
      <c r="P251" s="112"/>
      <c r="AA251" s="1050"/>
    </row>
    <row r="252" spans="10:27" ht="13.5" customHeight="1">
      <c r="J252" s="1053"/>
      <c r="K252" s="1053"/>
      <c r="L252" s="1053"/>
      <c r="M252" s="1053"/>
      <c r="N252" s="1053"/>
      <c r="O252" s="1053"/>
      <c r="P252" s="112"/>
      <c r="AA252" s="1050"/>
    </row>
    <row r="253" spans="10:27" ht="13.5" customHeight="1">
      <c r="J253" s="1053"/>
      <c r="K253" s="1053"/>
      <c r="L253" s="1053"/>
      <c r="M253" s="1053"/>
      <c r="N253" s="1053"/>
      <c r="O253" s="1053"/>
      <c r="P253" s="112"/>
      <c r="AA253" s="1050"/>
    </row>
    <row r="254" spans="10:27" ht="13.5" customHeight="1">
      <c r="J254" s="1053"/>
      <c r="K254" s="1053"/>
      <c r="L254" s="1053"/>
      <c r="M254" s="1053"/>
      <c r="N254" s="1053"/>
      <c r="O254" s="1053"/>
      <c r="P254" s="112"/>
      <c r="AA254" s="1050"/>
    </row>
    <row r="255" spans="10:27" ht="13.5" customHeight="1">
      <c r="J255" s="1053"/>
      <c r="K255" s="1053"/>
      <c r="L255" s="1053"/>
      <c r="M255" s="1053"/>
      <c r="N255" s="1053"/>
      <c r="O255" s="1053"/>
      <c r="P255" s="112"/>
      <c r="AA255" s="1050"/>
    </row>
    <row r="256" spans="10:27" ht="13.5" customHeight="1">
      <c r="J256" s="1053"/>
      <c r="K256" s="1053"/>
      <c r="L256" s="1053"/>
      <c r="M256" s="1053"/>
      <c r="N256" s="1053"/>
      <c r="O256" s="1053"/>
      <c r="P256" s="112"/>
      <c r="AA256" s="1050"/>
    </row>
    <row r="257" spans="10:27" ht="13.5" customHeight="1">
      <c r="J257" s="1053"/>
      <c r="K257" s="1053"/>
      <c r="L257" s="1053"/>
      <c r="M257" s="1053"/>
      <c r="N257" s="1053"/>
      <c r="O257" s="1053"/>
      <c r="P257" s="112"/>
      <c r="AA257" s="1050"/>
    </row>
    <row r="258" spans="10:27" ht="13.5" customHeight="1">
      <c r="J258" s="1053"/>
      <c r="K258" s="1053"/>
      <c r="L258" s="1053"/>
      <c r="M258" s="1053"/>
      <c r="N258" s="1053"/>
      <c r="O258" s="1053"/>
      <c r="P258" s="112"/>
      <c r="AA258" s="1050"/>
    </row>
    <row r="259" spans="10:27" ht="13.5" customHeight="1">
      <c r="J259" s="1053"/>
      <c r="K259" s="1053"/>
      <c r="L259" s="1053"/>
      <c r="M259" s="1053"/>
      <c r="N259" s="1053"/>
      <c r="O259" s="1053"/>
      <c r="P259" s="112"/>
      <c r="AA259" s="1050"/>
    </row>
    <row r="260" spans="10:27" ht="13.5" customHeight="1">
      <c r="J260" s="1053"/>
      <c r="K260" s="1053"/>
      <c r="L260" s="1053"/>
      <c r="M260" s="1053"/>
      <c r="N260" s="1053"/>
      <c r="O260" s="1053"/>
      <c r="P260" s="112"/>
      <c r="AA260" s="1050"/>
    </row>
    <row r="261" spans="10:27" ht="13.5" customHeight="1">
      <c r="J261" s="1053"/>
      <c r="K261" s="1053"/>
      <c r="L261" s="1053"/>
      <c r="M261" s="1053"/>
      <c r="N261" s="1053"/>
      <c r="O261" s="1053"/>
      <c r="P261" s="112"/>
      <c r="AA261" s="1050"/>
    </row>
    <row r="262" spans="10:27" ht="13.5" customHeight="1">
      <c r="J262" s="1053"/>
      <c r="K262" s="1053"/>
      <c r="L262" s="1053"/>
      <c r="M262" s="1053"/>
      <c r="N262" s="1053"/>
      <c r="O262" s="1053"/>
      <c r="P262" s="112"/>
      <c r="AA262" s="1050"/>
    </row>
    <row r="263" spans="10:27" ht="13.5" customHeight="1">
      <c r="J263" s="1053"/>
      <c r="K263" s="1053"/>
      <c r="L263" s="1053"/>
      <c r="M263" s="1053"/>
      <c r="N263" s="1053"/>
      <c r="O263" s="1053"/>
      <c r="P263" s="112"/>
      <c r="AA263" s="1050"/>
    </row>
    <row r="264" spans="10:27" ht="13.5" customHeight="1">
      <c r="J264" s="1053"/>
      <c r="K264" s="1053"/>
      <c r="L264" s="1053"/>
      <c r="M264" s="1053"/>
      <c r="N264" s="1053"/>
      <c r="O264" s="1053"/>
      <c r="P264" s="112"/>
      <c r="AA264" s="1050"/>
    </row>
    <row r="265" spans="10:27" ht="13.5" customHeight="1">
      <c r="J265" s="1053"/>
      <c r="K265" s="1053"/>
      <c r="L265" s="1053"/>
      <c r="M265" s="1053"/>
      <c r="N265" s="1053"/>
      <c r="O265" s="1053"/>
      <c r="P265" s="112"/>
      <c r="AA265" s="1050"/>
    </row>
    <row r="266" spans="10:27" ht="13.5" customHeight="1">
      <c r="J266" s="1053"/>
      <c r="K266" s="1053"/>
      <c r="L266" s="1053"/>
      <c r="M266" s="1053"/>
      <c r="N266" s="1053"/>
      <c r="O266" s="1053"/>
      <c r="P266" s="112"/>
      <c r="AA266" s="1050"/>
    </row>
    <row r="267" spans="10:27" ht="13.5" customHeight="1">
      <c r="J267" s="1053"/>
      <c r="K267" s="1053"/>
      <c r="L267" s="1053"/>
      <c r="M267" s="1053"/>
      <c r="N267" s="1053"/>
      <c r="O267" s="1053"/>
      <c r="P267" s="112"/>
      <c r="AA267" s="1050"/>
    </row>
    <row r="268" spans="10:27" ht="13.5" customHeight="1">
      <c r="J268" s="1053"/>
      <c r="K268" s="1053"/>
      <c r="L268" s="1053"/>
      <c r="M268" s="1053"/>
      <c r="N268" s="1053"/>
      <c r="O268" s="1053"/>
      <c r="P268" s="112"/>
      <c r="AA268" s="1050"/>
    </row>
    <row r="269" spans="10:27" ht="13.5" customHeight="1">
      <c r="J269" s="1053"/>
      <c r="K269" s="1053"/>
      <c r="L269" s="1053"/>
      <c r="M269" s="1053"/>
      <c r="N269" s="1053"/>
      <c r="O269" s="1053"/>
      <c r="P269" s="112"/>
      <c r="AA269" s="1050"/>
    </row>
    <row r="270" spans="10:27" ht="13.5" customHeight="1">
      <c r="J270" s="1053"/>
      <c r="K270" s="1053"/>
      <c r="L270" s="1053"/>
      <c r="M270" s="1053"/>
      <c r="N270" s="1053"/>
      <c r="O270" s="1053"/>
      <c r="P270" s="112"/>
      <c r="AA270" s="1050"/>
    </row>
    <row r="271" spans="10:27" ht="13.5" customHeight="1">
      <c r="J271" s="1053"/>
      <c r="K271" s="1053"/>
      <c r="L271" s="1053"/>
      <c r="M271" s="1053"/>
      <c r="N271" s="1053"/>
      <c r="O271" s="1053"/>
      <c r="P271" s="112"/>
      <c r="AA271" s="1050"/>
    </row>
    <row r="272" spans="10:27" ht="13.5" customHeight="1">
      <c r="J272" s="1053"/>
      <c r="K272" s="1053"/>
      <c r="L272" s="1053"/>
      <c r="M272" s="1053"/>
      <c r="N272" s="1053"/>
      <c r="O272" s="1053"/>
      <c r="P272" s="112"/>
      <c r="AA272" s="1050"/>
    </row>
    <row r="273" spans="10:27" ht="13.5" customHeight="1">
      <c r="J273" s="1053"/>
      <c r="K273" s="1053"/>
      <c r="L273" s="1053"/>
      <c r="M273" s="1053"/>
      <c r="N273" s="1053"/>
      <c r="O273" s="1053"/>
      <c r="P273" s="112"/>
      <c r="AA273" s="1050"/>
    </row>
    <row r="274" spans="10:27" ht="13.5" customHeight="1">
      <c r="J274" s="1053"/>
      <c r="K274" s="1053"/>
      <c r="L274" s="1053"/>
      <c r="M274" s="1053"/>
      <c r="N274" s="1053"/>
      <c r="O274" s="1053"/>
      <c r="P274" s="112"/>
      <c r="AA274" s="1050"/>
    </row>
    <row r="275" spans="10:27" ht="13.5" customHeight="1">
      <c r="J275" s="1053"/>
      <c r="K275" s="1053"/>
      <c r="L275" s="1053"/>
      <c r="M275" s="1053"/>
      <c r="N275" s="1053"/>
      <c r="O275" s="1053"/>
      <c r="P275" s="112"/>
      <c r="AA275" s="1050"/>
    </row>
    <row r="276" spans="10:27" ht="13.5" customHeight="1">
      <c r="J276" s="1053"/>
      <c r="K276" s="1053"/>
      <c r="L276" s="1053"/>
      <c r="M276" s="1053"/>
      <c r="N276" s="1053"/>
      <c r="O276" s="1053"/>
      <c r="P276" s="112"/>
      <c r="AA276" s="1050"/>
    </row>
    <row r="277" spans="10:27" ht="13.5" customHeight="1">
      <c r="J277" s="1053"/>
      <c r="K277" s="1053"/>
      <c r="L277" s="1053"/>
      <c r="M277" s="1053"/>
      <c r="N277" s="1053"/>
      <c r="O277" s="1053"/>
      <c r="P277" s="112"/>
      <c r="AA277" s="1050"/>
    </row>
    <row r="278" spans="10:27" ht="13.5" customHeight="1">
      <c r="J278" s="1053"/>
      <c r="K278" s="1053"/>
      <c r="L278" s="1053"/>
      <c r="M278" s="1053"/>
      <c r="N278" s="1053"/>
      <c r="O278" s="1053"/>
      <c r="P278" s="112"/>
      <c r="AA278" s="1050"/>
    </row>
    <row r="279" spans="10:27" ht="13.5" customHeight="1">
      <c r="J279" s="1053"/>
      <c r="K279" s="1053"/>
      <c r="L279" s="1053"/>
      <c r="M279" s="1053"/>
      <c r="N279" s="1053"/>
      <c r="O279" s="1053"/>
      <c r="P279" s="112"/>
      <c r="AA279" s="1050"/>
    </row>
    <row r="280" spans="10:27" ht="13.5" customHeight="1">
      <c r="J280" s="1053"/>
      <c r="K280" s="1053"/>
      <c r="L280" s="1053"/>
      <c r="M280" s="1053"/>
      <c r="N280" s="1053"/>
      <c r="O280" s="1053"/>
      <c r="P280" s="112"/>
      <c r="AA280" s="1050"/>
    </row>
    <row r="281" spans="10:27" ht="13.5" customHeight="1">
      <c r="J281" s="1053"/>
      <c r="K281" s="1053"/>
      <c r="L281" s="1053"/>
      <c r="M281" s="1053"/>
      <c r="N281" s="1053"/>
      <c r="O281" s="1053"/>
      <c r="P281" s="112"/>
      <c r="AA281" s="1050"/>
    </row>
    <row r="282" spans="10:27" ht="13.5" customHeight="1">
      <c r="J282" s="1053"/>
      <c r="K282" s="1053"/>
      <c r="L282" s="1053"/>
      <c r="M282" s="1053"/>
      <c r="N282" s="1053"/>
      <c r="O282" s="1053"/>
      <c r="P282" s="112"/>
      <c r="AA282" s="1050"/>
    </row>
    <row r="283" spans="10:27" ht="13.5" customHeight="1">
      <c r="J283" s="1053"/>
      <c r="K283" s="1053"/>
      <c r="L283" s="1053"/>
      <c r="M283" s="1053"/>
      <c r="N283" s="1053"/>
      <c r="O283" s="1053"/>
      <c r="P283" s="112"/>
      <c r="AA283" s="1050"/>
    </row>
    <row r="284" spans="10:27" ht="13.5" customHeight="1">
      <c r="J284" s="1053"/>
      <c r="K284" s="1053"/>
      <c r="L284" s="1053"/>
      <c r="M284" s="1053"/>
      <c r="N284" s="1053"/>
      <c r="O284" s="1053"/>
      <c r="P284" s="112"/>
      <c r="AA284" s="1050"/>
    </row>
    <row r="285" spans="10:27" ht="13.5" customHeight="1">
      <c r="J285" s="1053"/>
      <c r="K285" s="1053"/>
      <c r="L285" s="1053"/>
      <c r="M285" s="1053"/>
      <c r="N285" s="1053"/>
      <c r="O285" s="1053"/>
      <c r="P285" s="112"/>
      <c r="AA285" s="1050"/>
    </row>
    <row r="286" spans="10:27" ht="13.5" customHeight="1">
      <c r="J286" s="1053"/>
      <c r="K286" s="1053"/>
      <c r="L286" s="1053"/>
      <c r="M286" s="1053"/>
      <c r="N286" s="1053"/>
      <c r="O286" s="1053"/>
      <c r="P286" s="112"/>
      <c r="AA286" s="1050"/>
    </row>
    <row r="287" spans="10:27" ht="13.5" customHeight="1">
      <c r="J287" s="1053"/>
      <c r="K287" s="1053"/>
      <c r="L287" s="1053"/>
      <c r="M287" s="1053"/>
      <c r="N287" s="1053"/>
      <c r="O287" s="1053"/>
      <c r="P287" s="112"/>
      <c r="AA287" s="1050"/>
    </row>
    <row r="288" spans="10:27" ht="13.5" customHeight="1">
      <c r="J288" s="1053"/>
      <c r="K288" s="1053"/>
      <c r="L288" s="1053"/>
      <c r="M288" s="1053"/>
      <c r="N288" s="1053"/>
      <c r="O288" s="1053"/>
      <c r="P288" s="112"/>
      <c r="AA288" s="1050"/>
    </row>
    <row r="289" spans="10:27" ht="13.5" customHeight="1">
      <c r="J289" s="1053"/>
      <c r="K289" s="1053"/>
      <c r="L289" s="1053"/>
      <c r="M289" s="1053"/>
      <c r="N289" s="1053"/>
      <c r="O289" s="1053"/>
      <c r="P289" s="112"/>
      <c r="AA289" s="1050"/>
    </row>
    <row r="290" spans="10:27" ht="13.5" customHeight="1">
      <c r="J290" s="1053"/>
      <c r="K290" s="1053"/>
      <c r="L290" s="1053"/>
      <c r="M290" s="1053"/>
      <c r="N290" s="1053"/>
      <c r="O290" s="1053"/>
      <c r="P290" s="112"/>
      <c r="AA290" s="1050"/>
    </row>
    <row r="291" spans="10:27" ht="13.5" customHeight="1">
      <c r="J291" s="1053"/>
      <c r="K291" s="1053"/>
      <c r="L291" s="1053"/>
      <c r="M291" s="1053"/>
      <c r="N291" s="1053"/>
      <c r="O291" s="1053"/>
      <c r="P291" s="112"/>
      <c r="AA291" s="1050"/>
    </row>
    <row r="292" spans="10:27" ht="13.5" customHeight="1">
      <c r="J292" s="1053"/>
      <c r="K292" s="1053"/>
      <c r="L292" s="1053"/>
      <c r="M292" s="1053"/>
      <c r="N292" s="1053"/>
      <c r="O292" s="1053"/>
      <c r="P292" s="112"/>
      <c r="AA292" s="1050"/>
    </row>
    <row r="293" spans="10:27" ht="13.5" customHeight="1">
      <c r="J293" s="1053"/>
      <c r="K293" s="1053"/>
      <c r="L293" s="1053"/>
      <c r="M293" s="1053"/>
      <c r="N293" s="1053"/>
      <c r="O293" s="1053"/>
      <c r="P293" s="112"/>
      <c r="AA293" s="1050"/>
    </row>
    <row r="294" spans="10:27" ht="13.5" customHeight="1">
      <c r="J294" s="1053"/>
      <c r="K294" s="1053"/>
      <c r="L294" s="1053"/>
      <c r="M294" s="1053"/>
      <c r="N294" s="1053"/>
      <c r="O294" s="1053"/>
      <c r="P294" s="112"/>
      <c r="AA294" s="1050"/>
    </row>
    <row r="295" spans="10:27" ht="13.5" customHeight="1">
      <c r="J295" s="1053"/>
      <c r="K295" s="1053"/>
      <c r="L295" s="1053"/>
      <c r="M295" s="1053"/>
      <c r="N295" s="1053"/>
      <c r="O295" s="1053"/>
      <c r="P295" s="112"/>
      <c r="AA295" s="1050"/>
    </row>
    <row r="296" spans="10:27" ht="13.5" customHeight="1">
      <c r="J296" s="1053"/>
      <c r="K296" s="1053"/>
      <c r="L296" s="1053"/>
      <c r="M296" s="1053"/>
      <c r="N296" s="1053"/>
      <c r="O296" s="1053"/>
      <c r="P296" s="112"/>
      <c r="AA296" s="1050"/>
    </row>
    <row r="297" spans="10:27" ht="13.5" customHeight="1">
      <c r="J297" s="1053"/>
      <c r="K297" s="1053"/>
      <c r="L297" s="1053"/>
      <c r="M297" s="1053"/>
      <c r="N297" s="1053"/>
      <c r="O297" s="1053"/>
      <c r="P297" s="112"/>
      <c r="AA297" s="1050"/>
    </row>
    <row r="298" spans="10:27" ht="13.5" customHeight="1">
      <c r="J298" s="1053"/>
      <c r="K298" s="1053"/>
      <c r="L298" s="1053"/>
      <c r="M298" s="1053"/>
      <c r="N298" s="1053"/>
      <c r="O298" s="1053"/>
      <c r="P298" s="112"/>
      <c r="AA298" s="1050"/>
    </row>
    <row r="299" spans="10:27" ht="13.5" customHeight="1">
      <c r="J299" s="1053"/>
      <c r="K299" s="1053"/>
      <c r="L299" s="1053"/>
      <c r="M299" s="1053"/>
      <c r="N299" s="1053"/>
      <c r="O299" s="1053"/>
      <c r="P299" s="112"/>
      <c r="AA299" s="1050"/>
    </row>
    <row r="300" spans="10:27" ht="13.5" customHeight="1">
      <c r="J300" s="1053"/>
      <c r="K300" s="1053"/>
      <c r="L300" s="1053"/>
      <c r="M300" s="1053"/>
      <c r="N300" s="1053"/>
      <c r="O300" s="1053"/>
      <c r="P300" s="112"/>
      <c r="AA300" s="1050"/>
    </row>
    <row r="301" spans="10:27" ht="13.5" customHeight="1">
      <c r="J301" s="1053"/>
      <c r="K301" s="1053"/>
      <c r="L301" s="1053"/>
      <c r="M301" s="1053"/>
      <c r="N301" s="1053"/>
      <c r="O301" s="1053"/>
      <c r="P301" s="112"/>
      <c r="AA301" s="1050"/>
    </row>
    <row r="302" spans="10:27" ht="13.5" customHeight="1">
      <c r="J302" s="1053"/>
      <c r="K302" s="1053"/>
      <c r="L302" s="1053"/>
      <c r="M302" s="1053"/>
      <c r="N302" s="1053"/>
      <c r="O302" s="1053"/>
      <c r="P302" s="112"/>
      <c r="AA302" s="1050"/>
    </row>
    <row r="303" spans="10:27" ht="13.5" customHeight="1">
      <c r="J303" s="1053"/>
      <c r="K303" s="1053"/>
      <c r="L303" s="1053"/>
      <c r="M303" s="1053"/>
      <c r="N303" s="1053"/>
      <c r="O303" s="1053"/>
      <c r="P303" s="112"/>
      <c r="AA303" s="1050"/>
    </row>
    <row r="304" spans="10:27" ht="13.5" customHeight="1">
      <c r="J304" s="1053"/>
      <c r="K304" s="1053"/>
      <c r="L304" s="1053"/>
      <c r="M304" s="1053"/>
      <c r="N304" s="1053"/>
      <c r="O304" s="1053"/>
      <c r="P304" s="112"/>
      <c r="AA304" s="1050"/>
    </row>
    <row r="305" spans="10:27" ht="13.5" customHeight="1">
      <c r="J305" s="1053"/>
      <c r="K305" s="1053"/>
      <c r="L305" s="1053"/>
      <c r="M305" s="1053"/>
      <c r="N305" s="1053"/>
      <c r="O305" s="1053"/>
      <c r="P305" s="112"/>
      <c r="AA305" s="1050"/>
    </row>
    <row r="306" spans="10:27" ht="13.5" customHeight="1">
      <c r="J306" s="1053"/>
      <c r="K306" s="1053"/>
      <c r="L306" s="1053"/>
      <c r="M306" s="1053"/>
      <c r="N306" s="1053"/>
      <c r="O306" s="1053"/>
      <c r="P306" s="112"/>
      <c r="AA306" s="1050"/>
    </row>
    <row r="307" spans="10:27" ht="13.5" customHeight="1">
      <c r="J307" s="1053"/>
      <c r="K307" s="1053"/>
      <c r="L307" s="1053"/>
      <c r="M307" s="1053"/>
      <c r="N307" s="1053"/>
      <c r="O307" s="1053"/>
      <c r="P307" s="112"/>
      <c r="AA307" s="1050"/>
    </row>
    <row r="308" spans="10:27" ht="13.5" customHeight="1">
      <c r="J308" s="1053"/>
      <c r="K308" s="1053"/>
      <c r="L308" s="1053"/>
      <c r="M308" s="1053"/>
      <c r="N308" s="1053"/>
      <c r="O308" s="1053"/>
      <c r="P308" s="112"/>
      <c r="AA308" s="1050"/>
    </row>
    <row r="309" spans="10:27" ht="13.5" customHeight="1">
      <c r="J309" s="1053"/>
      <c r="K309" s="1053"/>
      <c r="L309" s="1053"/>
      <c r="M309" s="1053"/>
      <c r="N309" s="1053"/>
      <c r="O309" s="1053"/>
      <c r="P309" s="112"/>
      <c r="AA309" s="1050"/>
    </row>
    <row r="310" spans="10:27" ht="13.5" customHeight="1">
      <c r="J310" s="1053"/>
      <c r="K310" s="1053"/>
      <c r="L310" s="1053"/>
      <c r="M310" s="1053"/>
      <c r="N310" s="1053"/>
      <c r="O310" s="1053"/>
      <c r="P310" s="112"/>
      <c r="AA310" s="1050"/>
    </row>
    <row r="311" spans="10:27" ht="13.5" customHeight="1">
      <c r="J311" s="1053"/>
      <c r="K311" s="1053"/>
      <c r="L311" s="1053"/>
      <c r="M311" s="1053"/>
      <c r="N311" s="1053"/>
      <c r="O311" s="1053"/>
      <c r="P311" s="112"/>
      <c r="AA311" s="1050"/>
    </row>
    <row r="312" spans="10:27" ht="13.5" customHeight="1">
      <c r="J312" s="1053"/>
      <c r="K312" s="1053"/>
      <c r="L312" s="1053"/>
      <c r="M312" s="1053"/>
      <c r="N312" s="1053"/>
      <c r="O312" s="1053"/>
      <c r="P312" s="112"/>
      <c r="AA312" s="1050"/>
    </row>
    <row r="313" spans="10:27" ht="13.5" customHeight="1">
      <c r="J313" s="1053"/>
      <c r="K313" s="1053"/>
      <c r="L313" s="1053"/>
      <c r="M313" s="1053"/>
      <c r="N313" s="1053"/>
      <c r="O313" s="1053"/>
      <c r="P313" s="112"/>
      <c r="AA313" s="1050"/>
    </row>
    <row r="314" spans="10:27" ht="13.5" customHeight="1">
      <c r="J314" s="1053"/>
      <c r="K314" s="1053"/>
      <c r="L314" s="1053"/>
      <c r="M314" s="1053"/>
      <c r="N314" s="1053"/>
      <c r="O314" s="1053"/>
      <c r="P314" s="112"/>
      <c r="AA314" s="1050"/>
    </row>
    <row r="315" spans="10:27" ht="13.5" customHeight="1">
      <c r="J315" s="1053"/>
      <c r="K315" s="1053"/>
      <c r="L315" s="1053"/>
      <c r="M315" s="1053"/>
      <c r="N315" s="1053"/>
      <c r="O315" s="1053"/>
      <c r="P315" s="112"/>
      <c r="AA315" s="1050"/>
    </row>
    <row r="316" spans="10:27" ht="13.5" customHeight="1">
      <c r="J316" s="1053"/>
      <c r="K316" s="1053"/>
      <c r="L316" s="1053"/>
      <c r="M316" s="1053"/>
      <c r="N316" s="1053"/>
      <c r="O316" s="1053"/>
      <c r="P316" s="112"/>
      <c r="AA316" s="1050"/>
    </row>
    <row r="317" spans="10:27" ht="13.5" customHeight="1">
      <c r="J317" s="1053"/>
      <c r="K317" s="1053"/>
      <c r="L317" s="1053"/>
      <c r="M317" s="1053"/>
      <c r="N317" s="1053"/>
      <c r="O317" s="1053"/>
      <c r="P317" s="112"/>
      <c r="AA317" s="1050"/>
    </row>
    <row r="318" spans="10:27" ht="13.5" customHeight="1">
      <c r="J318" s="1053"/>
      <c r="K318" s="1053"/>
      <c r="L318" s="1053"/>
      <c r="M318" s="1053"/>
      <c r="N318" s="1053"/>
      <c r="O318" s="1053"/>
      <c r="P318" s="112"/>
      <c r="AA318" s="1050"/>
    </row>
    <row r="319" spans="10:27" ht="13.5" customHeight="1">
      <c r="J319" s="1053"/>
      <c r="K319" s="1053"/>
      <c r="L319" s="1053"/>
      <c r="M319" s="1053"/>
      <c r="N319" s="1053"/>
      <c r="O319" s="1053"/>
      <c r="P319" s="112"/>
      <c r="AA319" s="1050"/>
    </row>
    <row r="320" spans="10:27" ht="13.5" customHeight="1">
      <c r="J320" s="1053"/>
      <c r="K320" s="1053"/>
      <c r="L320" s="1053"/>
      <c r="M320" s="1053"/>
      <c r="N320" s="1053"/>
      <c r="O320" s="1053"/>
      <c r="P320" s="112"/>
      <c r="AA320" s="1050"/>
    </row>
    <row r="321" spans="10:27" ht="13.5" customHeight="1">
      <c r="J321" s="1053"/>
      <c r="K321" s="1053"/>
      <c r="L321" s="1053"/>
      <c r="M321" s="1053"/>
      <c r="N321" s="1053"/>
      <c r="O321" s="1053"/>
      <c r="P321" s="112"/>
      <c r="AA321" s="1050"/>
    </row>
    <row r="322" spans="10:27" ht="13.5" customHeight="1">
      <c r="J322" s="1053"/>
      <c r="K322" s="1053"/>
      <c r="L322" s="1053"/>
      <c r="M322" s="1053"/>
      <c r="N322" s="1053"/>
      <c r="O322" s="1053"/>
      <c r="P322" s="112"/>
      <c r="AA322" s="1050"/>
    </row>
    <row r="323" spans="10:27" ht="13.5" customHeight="1">
      <c r="J323" s="1053"/>
      <c r="K323" s="1053"/>
      <c r="L323" s="1053"/>
      <c r="M323" s="1053"/>
      <c r="N323" s="1053"/>
      <c r="O323" s="1053"/>
      <c r="P323" s="112"/>
      <c r="AA323" s="1050"/>
    </row>
    <row r="324" spans="10:27" ht="13.5" customHeight="1">
      <c r="J324" s="1053"/>
      <c r="K324" s="1053"/>
      <c r="L324" s="1053"/>
      <c r="M324" s="1053"/>
      <c r="N324" s="1053"/>
      <c r="O324" s="1053"/>
      <c r="P324" s="112"/>
      <c r="AA324" s="1050"/>
    </row>
    <row r="325" spans="10:27" ht="13.5" customHeight="1">
      <c r="J325" s="1053"/>
      <c r="K325" s="1053"/>
      <c r="L325" s="1053"/>
      <c r="M325" s="1053"/>
      <c r="N325" s="1053"/>
      <c r="O325" s="1053"/>
      <c r="P325" s="112"/>
      <c r="AA325" s="1050"/>
    </row>
    <row r="326" spans="10:27" ht="13.5" customHeight="1">
      <c r="J326" s="1053"/>
      <c r="K326" s="1053"/>
      <c r="L326" s="1053"/>
      <c r="M326" s="1053"/>
      <c r="N326" s="1053"/>
      <c r="O326" s="1053"/>
      <c r="P326" s="112"/>
      <c r="AA326" s="1050"/>
    </row>
    <row r="327" spans="10:27" ht="13.5" customHeight="1">
      <c r="J327" s="1053"/>
      <c r="K327" s="1053"/>
      <c r="L327" s="1053"/>
      <c r="M327" s="1053"/>
      <c r="N327" s="1053"/>
      <c r="O327" s="1053"/>
      <c r="P327" s="112"/>
      <c r="AA327" s="1050"/>
    </row>
    <row r="328" spans="10:27" ht="13.5" customHeight="1">
      <c r="J328" s="1053"/>
      <c r="K328" s="1053"/>
      <c r="L328" s="1053"/>
      <c r="M328" s="1053"/>
      <c r="N328" s="1053"/>
      <c r="O328" s="1053"/>
      <c r="P328" s="112"/>
      <c r="AA328" s="1050"/>
    </row>
    <row r="329" spans="10:27" ht="13.5" customHeight="1">
      <c r="J329" s="1053"/>
      <c r="K329" s="1053"/>
      <c r="L329" s="1053"/>
      <c r="M329" s="1053"/>
      <c r="N329" s="1053"/>
      <c r="O329" s="1053"/>
      <c r="P329" s="112"/>
      <c r="AA329" s="1050"/>
    </row>
    <row r="330" spans="10:27" ht="13.5" customHeight="1">
      <c r="J330" s="1053"/>
      <c r="K330" s="1053"/>
      <c r="L330" s="1053"/>
      <c r="M330" s="1053"/>
      <c r="N330" s="1053"/>
      <c r="O330" s="1053"/>
      <c r="P330" s="112"/>
      <c r="AA330" s="1050"/>
    </row>
    <row r="331" spans="10:27" ht="13.5" customHeight="1">
      <c r="J331" s="1053"/>
      <c r="K331" s="1053"/>
      <c r="L331" s="1053"/>
      <c r="M331" s="1053"/>
      <c r="N331" s="1053"/>
      <c r="O331" s="1053"/>
      <c r="P331" s="112"/>
      <c r="AA331" s="1050"/>
    </row>
    <row r="332" spans="10:27" ht="13.5" customHeight="1">
      <c r="J332" s="1053"/>
      <c r="K332" s="1053"/>
      <c r="L332" s="1053"/>
      <c r="M332" s="1053"/>
      <c r="N332" s="1053"/>
      <c r="O332" s="1053"/>
      <c r="P332" s="112"/>
      <c r="AA332" s="1050"/>
    </row>
    <row r="333" spans="10:27" ht="13.5" customHeight="1">
      <c r="J333" s="1053"/>
      <c r="K333" s="1053"/>
      <c r="L333" s="1053"/>
      <c r="M333" s="1053"/>
      <c r="N333" s="1053"/>
      <c r="O333" s="1053"/>
      <c r="P333" s="112"/>
      <c r="AA333" s="1050"/>
    </row>
    <row r="334" spans="10:27" ht="13.5" customHeight="1">
      <c r="J334" s="1053"/>
      <c r="K334" s="1053"/>
      <c r="L334" s="1053"/>
      <c r="M334" s="1053"/>
      <c r="N334" s="1053"/>
      <c r="O334" s="1053"/>
      <c r="P334" s="112"/>
      <c r="AA334" s="1050"/>
    </row>
    <row r="335" spans="10:27" ht="13.5" customHeight="1">
      <c r="J335" s="1053"/>
      <c r="K335" s="1053"/>
      <c r="L335" s="1053"/>
      <c r="M335" s="1053"/>
      <c r="N335" s="1053"/>
      <c r="O335" s="1053"/>
      <c r="P335" s="112"/>
      <c r="AA335" s="1050"/>
    </row>
    <row r="336" spans="10:27" ht="13.5" customHeight="1">
      <c r="J336" s="1053"/>
      <c r="K336" s="1053"/>
      <c r="L336" s="1053"/>
      <c r="M336" s="1053"/>
      <c r="N336" s="1053"/>
      <c r="O336" s="1053"/>
      <c r="P336" s="112"/>
      <c r="AA336" s="1050"/>
    </row>
    <row r="337" spans="10:27" ht="13.5" customHeight="1">
      <c r="J337" s="1053"/>
      <c r="K337" s="1053"/>
      <c r="L337" s="1053"/>
      <c r="M337" s="1053"/>
      <c r="N337" s="1053"/>
      <c r="O337" s="1053"/>
      <c r="P337" s="112"/>
      <c r="AA337" s="1050"/>
    </row>
    <row r="338" spans="10:27" ht="13.5" customHeight="1">
      <c r="J338" s="1053"/>
      <c r="K338" s="1053"/>
      <c r="L338" s="1053"/>
      <c r="M338" s="1053"/>
      <c r="N338" s="1053"/>
      <c r="O338" s="1053"/>
      <c r="P338" s="112"/>
      <c r="AA338" s="1050"/>
    </row>
    <row r="339" spans="10:27" ht="13.5" customHeight="1">
      <c r="J339" s="1053"/>
      <c r="K339" s="1053"/>
      <c r="L339" s="1053"/>
      <c r="M339" s="1053"/>
      <c r="N339" s="1053"/>
      <c r="O339" s="1053"/>
      <c r="P339" s="112"/>
      <c r="AA339" s="1050"/>
    </row>
    <row r="340" spans="10:27" ht="13.5" customHeight="1">
      <c r="J340" s="1053"/>
      <c r="K340" s="1053"/>
      <c r="L340" s="1053"/>
      <c r="M340" s="1053"/>
      <c r="N340" s="1053"/>
      <c r="O340" s="1053"/>
      <c r="P340" s="112"/>
      <c r="AA340" s="1050"/>
    </row>
    <row r="341" spans="10:27" ht="13.5" customHeight="1">
      <c r="J341" s="1053"/>
      <c r="K341" s="1053"/>
      <c r="L341" s="1053"/>
      <c r="M341" s="1053"/>
      <c r="N341" s="1053"/>
      <c r="O341" s="1053"/>
      <c r="P341" s="112"/>
      <c r="AA341" s="1050"/>
    </row>
    <row r="342" spans="10:27" ht="13.5" customHeight="1">
      <c r="J342" s="1053"/>
      <c r="K342" s="1053"/>
      <c r="L342" s="1053"/>
      <c r="M342" s="1053"/>
      <c r="N342" s="1053"/>
      <c r="O342" s="1053"/>
      <c r="P342" s="112"/>
      <c r="AA342" s="1050"/>
    </row>
    <row r="343" spans="10:27" ht="13.5" customHeight="1">
      <c r="J343" s="1053"/>
      <c r="K343" s="1053"/>
      <c r="L343" s="1053"/>
      <c r="M343" s="1053"/>
      <c r="N343" s="1053"/>
      <c r="O343" s="1053"/>
      <c r="P343" s="112"/>
      <c r="AA343" s="1050"/>
    </row>
    <row r="344" spans="10:27" ht="13.5" customHeight="1">
      <c r="J344" s="1053"/>
      <c r="K344" s="1053"/>
      <c r="L344" s="1053"/>
      <c r="M344" s="1053"/>
      <c r="N344" s="1053"/>
      <c r="O344" s="1053"/>
      <c r="P344" s="112"/>
      <c r="AA344" s="1050"/>
    </row>
    <row r="345" spans="10:27" ht="13.5" customHeight="1">
      <c r="J345" s="1053"/>
      <c r="K345" s="1053"/>
      <c r="L345" s="1053"/>
      <c r="M345" s="1053"/>
      <c r="N345" s="1053"/>
      <c r="O345" s="1053"/>
      <c r="P345" s="112"/>
      <c r="AA345" s="1050"/>
    </row>
    <row r="346" spans="10:27" ht="13.5" customHeight="1">
      <c r="J346" s="1053"/>
      <c r="K346" s="1053"/>
      <c r="L346" s="1053"/>
      <c r="M346" s="1053"/>
      <c r="N346" s="1053"/>
      <c r="O346" s="1053"/>
      <c r="P346" s="112"/>
      <c r="AA346" s="1050"/>
    </row>
    <row r="347" spans="10:27" ht="13.5" customHeight="1">
      <c r="J347" s="1053"/>
      <c r="K347" s="1053"/>
      <c r="L347" s="1053"/>
      <c r="M347" s="1053"/>
      <c r="N347" s="1053"/>
      <c r="O347" s="1053"/>
      <c r="P347" s="112"/>
      <c r="AA347" s="1050"/>
    </row>
    <row r="348" spans="10:27" ht="13.5" customHeight="1">
      <c r="J348" s="1053"/>
      <c r="K348" s="1053"/>
      <c r="L348" s="1053"/>
      <c r="M348" s="1053"/>
      <c r="N348" s="1053"/>
      <c r="O348" s="1053"/>
      <c r="P348" s="112"/>
      <c r="AA348" s="1050"/>
    </row>
    <row r="349" spans="10:27" ht="13.5" customHeight="1">
      <c r="J349" s="1053"/>
      <c r="K349" s="1053"/>
      <c r="L349" s="1053"/>
      <c r="M349" s="1053"/>
      <c r="N349" s="1053"/>
      <c r="O349" s="1053"/>
      <c r="P349" s="112"/>
      <c r="AA349" s="1050"/>
    </row>
    <row r="350" spans="10:27" ht="13.5" customHeight="1">
      <c r="J350" s="1053"/>
      <c r="K350" s="1053"/>
      <c r="L350" s="1053"/>
      <c r="M350" s="1053"/>
      <c r="N350" s="1053"/>
      <c r="O350" s="1053"/>
      <c r="P350" s="112"/>
      <c r="AA350" s="1050"/>
    </row>
    <row r="351" spans="10:27" ht="13.5" customHeight="1">
      <c r="J351" s="1053"/>
      <c r="K351" s="1053"/>
      <c r="L351" s="1053"/>
      <c r="M351" s="1053"/>
      <c r="N351" s="1053"/>
      <c r="O351" s="1053"/>
      <c r="P351" s="112"/>
      <c r="AA351" s="1050"/>
    </row>
    <row r="352" spans="10:27" ht="13.5" customHeight="1">
      <c r="J352" s="1053"/>
      <c r="K352" s="1053"/>
      <c r="L352" s="1053"/>
      <c r="M352" s="1053"/>
      <c r="N352" s="1053"/>
      <c r="O352" s="1053"/>
      <c r="P352" s="112"/>
      <c r="AA352" s="1050"/>
    </row>
    <row r="353" spans="10:27" ht="13.5" customHeight="1">
      <c r="J353" s="1053"/>
      <c r="K353" s="1053"/>
      <c r="L353" s="1053"/>
      <c r="M353" s="1053"/>
      <c r="N353" s="1053"/>
      <c r="O353" s="1053"/>
      <c r="P353" s="112"/>
      <c r="AA353" s="1050"/>
    </row>
    <row r="354" spans="10:27" ht="13.5" customHeight="1">
      <c r="J354" s="1053"/>
      <c r="K354" s="1053"/>
      <c r="L354" s="1053"/>
      <c r="M354" s="1053"/>
      <c r="N354" s="1053"/>
      <c r="O354" s="1053"/>
      <c r="P354" s="112"/>
      <c r="AA354" s="1050"/>
    </row>
    <row r="355" spans="10:27" ht="13.5" customHeight="1">
      <c r="J355" s="1053"/>
      <c r="K355" s="1053"/>
      <c r="L355" s="1053"/>
      <c r="M355" s="1053"/>
      <c r="N355" s="1053"/>
      <c r="O355" s="1053"/>
      <c r="P355" s="112"/>
      <c r="AA355" s="1050"/>
    </row>
    <row r="356" spans="10:27" ht="13.5" customHeight="1">
      <c r="J356" s="1053"/>
      <c r="K356" s="1053"/>
      <c r="L356" s="1053"/>
      <c r="M356" s="1053"/>
      <c r="N356" s="1053"/>
      <c r="O356" s="1053"/>
      <c r="P356" s="112"/>
      <c r="AA356" s="1050"/>
    </row>
    <row r="357" spans="10:27" ht="13.5" customHeight="1">
      <c r="J357" s="1053"/>
      <c r="K357" s="1053"/>
      <c r="L357" s="1053"/>
      <c r="M357" s="1053"/>
      <c r="N357" s="1053"/>
      <c r="O357" s="1053"/>
      <c r="P357" s="112"/>
      <c r="AA357" s="1050"/>
    </row>
    <row r="358" spans="10:27" ht="13.5" customHeight="1">
      <c r="J358" s="1053"/>
      <c r="K358" s="1053"/>
      <c r="L358" s="1053"/>
      <c r="M358" s="1053"/>
      <c r="N358" s="1053"/>
      <c r="O358" s="1053"/>
      <c r="P358" s="112"/>
      <c r="AA358" s="1050"/>
    </row>
    <row r="359" spans="10:27" ht="13.5" customHeight="1">
      <c r="J359" s="1053"/>
      <c r="K359" s="1053"/>
      <c r="L359" s="1053"/>
      <c r="M359" s="1053"/>
      <c r="N359" s="1053"/>
      <c r="O359" s="1053"/>
      <c r="P359" s="112"/>
      <c r="AA359" s="1050"/>
    </row>
    <row r="360" spans="10:27" ht="13.5" customHeight="1">
      <c r="J360" s="1053"/>
      <c r="K360" s="1053"/>
      <c r="L360" s="1053"/>
      <c r="M360" s="1053"/>
      <c r="N360" s="1053"/>
      <c r="O360" s="1053"/>
      <c r="P360" s="112"/>
      <c r="AA360" s="1050"/>
    </row>
    <row r="361" spans="10:27" ht="13.5" customHeight="1">
      <c r="J361" s="1053"/>
      <c r="K361" s="1053"/>
      <c r="L361" s="1053"/>
      <c r="M361" s="1053"/>
      <c r="N361" s="1053"/>
      <c r="O361" s="1053"/>
      <c r="P361" s="112"/>
      <c r="AA361" s="1050"/>
    </row>
    <row r="362" spans="10:27" ht="13.5" customHeight="1">
      <c r="J362" s="1053"/>
      <c r="K362" s="1053"/>
      <c r="L362" s="1053"/>
      <c r="M362" s="1053"/>
      <c r="N362" s="1053"/>
      <c r="O362" s="1053"/>
      <c r="P362" s="112"/>
      <c r="AA362" s="1050"/>
    </row>
    <row r="363" spans="10:27" ht="13.5" customHeight="1">
      <c r="J363" s="1053"/>
      <c r="K363" s="1053"/>
      <c r="L363" s="1053"/>
      <c r="M363" s="1053"/>
      <c r="N363" s="1053"/>
      <c r="O363" s="1053"/>
      <c r="P363" s="112"/>
      <c r="AA363" s="1050"/>
    </row>
    <row r="364" spans="10:27" ht="13.5" customHeight="1">
      <c r="J364" s="1053"/>
      <c r="K364" s="1053"/>
      <c r="L364" s="1053"/>
      <c r="M364" s="1053"/>
      <c r="N364" s="1053"/>
      <c r="O364" s="1053"/>
      <c r="P364" s="112"/>
      <c r="AA364" s="1050"/>
    </row>
    <row r="365" spans="10:27" ht="13.5" customHeight="1">
      <c r="J365" s="1053"/>
      <c r="K365" s="1053"/>
      <c r="L365" s="1053"/>
      <c r="M365" s="1053"/>
      <c r="N365" s="1053"/>
      <c r="O365" s="1053"/>
      <c r="P365" s="112"/>
      <c r="AA365" s="1050"/>
    </row>
    <row r="366" spans="10:27" ht="13.5" customHeight="1">
      <c r="J366" s="1053"/>
      <c r="K366" s="1053"/>
      <c r="L366" s="1053"/>
      <c r="M366" s="1053"/>
      <c r="N366" s="1053"/>
      <c r="O366" s="1053"/>
      <c r="P366" s="112"/>
      <c r="AA366" s="1050"/>
    </row>
    <row r="367" spans="10:27" ht="13.5" customHeight="1">
      <c r="J367" s="1053"/>
      <c r="K367" s="1053"/>
      <c r="L367" s="1053"/>
      <c r="M367" s="1053"/>
      <c r="N367" s="1053"/>
      <c r="O367" s="1053"/>
      <c r="P367" s="112"/>
      <c r="AA367" s="1050"/>
    </row>
    <row r="368" spans="10:27" ht="13.5" customHeight="1">
      <c r="J368" s="1053"/>
      <c r="K368" s="1053"/>
      <c r="L368" s="1053"/>
      <c r="M368" s="1053"/>
      <c r="N368" s="1053"/>
      <c r="O368" s="1053"/>
      <c r="P368" s="112"/>
      <c r="AA368" s="1050"/>
    </row>
    <row r="369" spans="10:27" ht="13.5" customHeight="1">
      <c r="J369" s="1053"/>
      <c r="K369" s="1053"/>
      <c r="L369" s="1053"/>
      <c r="M369" s="1053"/>
      <c r="N369" s="1053"/>
      <c r="O369" s="1053"/>
      <c r="P369" s="112"/>
      <c r="AA369" s="1050"/>
    </row>
    <row r="370" spans="10:27" ht="13.5" customHeight="1">
      <c r="J370" s="1053"/>
      <c r="K370" s="1053"/>
      <c r="L370" s="1053"/>
      <c r="M370" s="1053"/>
      <c r="N370" s="1053"/>
      <c r="O370" s="1053"/>
      <c r="P370" s="112"/>
      <c r="AA370" s="1050"/>
    </row>
    <row r="371" spans="10:27" ht="13.5" customHeight="1">
      <c r="J371" s="1053"/>
      <c r="K371" s="1053"/>
      <c r="L371" s="1053"/>
      <c r="M371" s="1053"/>
      <c r="N371" s="1053"/>
      <c r="O371" s="1053"/>
      <c r="P371" s="112"/>
      <c r="AA371" s="1050"/>
    </row>
    <row r="372" spans="10:27" ht="13.5" customHeight="1">
      <c r="J372" s="1053"/>
      <c r="K372" s="1053"/>
      <c r="L372" s="1053"/>
      <c r="M372" s="1053"/>
      <c r="N372" s="1053"/>
      <c r="O372" s="1053"/>
      <c r="P372" s="112"/>
      <c r="AA372" s="1050"/>
    </row>
    <row r="373" spans="10:27" ht="13.5" customHeight="1">
      <c r="J373" s="1053"/>
      <c r="K373" s="1053"/>
      <c r="L373" s="1053"/>
      <c r="M373" s="1053"/>
      <c r="N373" s="1053"/>
      <c r="O373" s="1053"/>
      <c r="P373" s="112"/>
      <c r="AA373" s="1050"/>
    </row>
    <row r="374" spans="10:27" ht="13.5" customHeight="1">
      <c r="J374" s="1053"/>
      <c r="K374" s="1053"/>
      <c r="L374" s="1053"/>
      <c r="M374" s="1053"/>
      <c r="N374" s="1053"/>
      <c r="O374" s="1053"/>
      <c r="P374" s="112"/>
      <c r="AA374" s="1050"/>
    </row>
    <row r="375" spans="10:27" ht="13.5" customHeight="1">
      <c r="J375" s="1053"/>
      <c r="K375" s="1053"/>
      <c r="L375" s="1053"/>
      <c r="M375" s="1053"/>
      <c r="N375" s="1053"/>
      <c r="O375" s="1053"/>
      <c r="P375" s="112"/>
      <c r="AA375" s="1050"/>
    </row>
    <row r="376" spans="10:27" ht="13.5" customHeight="1">
      <c r="J376" s="1053"/>
      <c r="K376" s="1053"/>
      <c r="L376" s="1053"/>
      <c r="M376" s="1053"/>
      <c r="N376" s="1053"/>
      <c r="O376" s="1053"/>
      <c r="P376" s="112"/>
      <c r="AA376" s="1050"/>
    </row>
    <row r="377" spans="10:27" ht="13.5" customHeight="1">
      <c r="J377" s="1053"/>
      <c r="K377" s="1053"/>
      <c r="L377" s="1053"/>
      <c r="M377" s="1053"/>
      <c r="N377" s="1053"/>
      <c r="O377" s="1053"/>
      <c r="P377" s="112"/>
      <c r="AA377" s="1050"/>
    </row>
    <row r="378" spans="10:27" ht="13.5" customHeight="1">
      <c r="J378" s="1053"/>
      <c r="K378" s="1053"/>
      <c r="L378" s="1053"/>
      <c r="M378" s="1053"/>
      <c r="N378" s="1053"/>
      <c r="O378" s="1053"/>
      <c r="P378" s="112"/>
      <c r="AA378" s="1050"/>
    </row>
    <row r="379" spans="10:27" ht="13.5" customHeight="1">
      <c r="J379" s="1053"/>
      <c r="K379" s="1053"/>
      <c r="L379" s="1053"/>
      <c r="M379" s="1053"/>
      <c r="N379" s="1053"/>
      <c r="O379" s="1053"/>
      <c r="P379" s="112"/>
      <c r="AA379" s="1050"/>
    </row>
    <row r="380" spans="10:27" ht="13.5" customHeight="1">
      <c r="J380" s="1053"/>
      <c r="K380" s="1053"/>
      <c r="L380" s="1053"/>
      <c r="M380" s="1053"/>
      <c r="N380" s="1053"/>
      <c r="O380" s="1053"/>
      <c r="P380" s="112"/>
      <c r="AA380" s="1050"/>
    </row>
    <row r="381" spans="10:27" ht="13.5" customHeight="1">
      <c r="J381" s="1053"/>
      <c r="K381" s="1053"/>
      <c r="L381" s="1053"/>
      <c r="M381" s="1053"/>
      <c r="N381" s="1053"/>
      <c r="O381" s="1053"/>
      <c r="P381" s="112"/>
      <c r="AA381" s="1050"/>
    </row>
    <row r="382" spans="10:27" ht="13.5" customHeight="1">
      <c r="J382" s="1053"/>
      <c r="K382" s="1053"/>
      <c r="L382" s="1053"/>
      <c r="M382" s="1053"/>
      <c r="N382" s="1053"/>
      <c r="O382" s="1053"/>
      <c r="P382" s="112"/>
      <c r="AA382" s="1050"/>
    </row>
    <row r="383" spans="10:27" ht="13.5" customHeight="1">
      <c r="J383" s="1053"/>
      <c r="K383" s="1053"/>
      <c r="L383" s="1053"/>
      <c r="M383" s="1053"/>
      <c r="N383" s="1053"/>
      <c r="O383" s="1053"/>
      <c r="P383" s="112"/>
      <c r="AA383" s="1050"/>
    </row>
    <row r="384" spans="10:27" ht="13.5" customHeight="1">
      <c r="J384" s="1053"/>
      <c r="K384" s="1053"/>
      <c r="L384" s="1053"/>
      <c r="M384" s="1053"/>
      <c r="N384" s="1053"/>
      <c r="O384" s="1053"/>
      <c r="P384" s="112"/>
      <c r="AA384" s="1050"/>
    </row>
    <row r="385" spans="10:27" ht="13.5" customHeight="1">
      <c r="J385" s="1053"/>
      <c r="K385" s="1053"/>
      <c r="L385" s="1053"/>
      <c r="M385" s="1053"/>
      <c r="N385" s="1053"/>
      <c r="O385" s="1053"/>
      <c r="P385" s="112"/>
      <c r="AA385" s="1050"/>
    </row>
    <row r="386" spans="10:27" ht="13.5" customHeight="1">
      <c r="J386" s="1053"/>
      <c r="K386" s="1053"/>
      <c r="L386" s="1053"/>
      <c r="M386" s="1053"/>
      <c r="N386" s="1053"/>
      <c r="O386" s="1053"/>
      <c r="P386" s="112"/>
      <c r="AA386" s="1050"/>
    </row>
    <row r="387" spans="10:27" ht="13.5" customHeight="1">
      <c r="J387" s="1053"/>
      <c r="K387" s="1053"/>
      <c r="L387" s="1053"/>
      <c r="M387" s="1053"/>
      <c r="N387" s="1053"/>
      <c r="O387" s="1053"/>
      <c r="P387" s="112"/>
      <c r="AA387" s="1050"/>
    </row>
    <row r="388" spans="10:27" ht="13.5" customHeight="1">
      <c r="J388" s="1053"/>
      <c r="K388" s="1053"/>
      <c r="L388" s="1053"/>
      <c r="M388" s="1053"/>
      <c r="N388" s="1053"/>
      <c r="O388" s="1053"/>
      <c r="P388" s="112"/>
      <c r="AA388" s="1050"/>
    </row>
    <row r="389" spans="10:27" ht="13.5" customHeight="1">
      <c r="J389" s="1053"/>
      <c r="K389" s="1053"/>
      <c r="L389" s="1053"/>
      <c r="M389" s="1053"/>
      <c r="N389" s="1053"/>
      <c r="O389" s="1053"/>
      <c r="P389" s="112"/>
      <c r="AA389" s="1050"/>
    </row>
    <row r="390" spans="10:27" ht="13.5" customHeight="1">
      <c r="J390" s="1053"/>
      <c r="K390" s="1053"/>
      <c r="L390" s="1053"/>
      <c r="M390" s="1053"/>
      <c r="N390" s="1053"/>
      <c r="O390" s="1053"/>
      <c r="P390" s="112"/>
      <c r="AA390" s="1050"/>
    </row>
    <row r="391" spans="10:27" ht="13.5" customHeight="1">
      <c r="J391" s="1053"/>
      <c r="K391" s="1053"/>
      <c r="L391" s="1053"/>
      <c r="M391" s="1053"/>
      <c r="N391" s="1053"/>
      <c r="O391" s="1053"/>
      <c r="P391" s="112"/>
      <c r="AA391" s="1050"/>
    </row>
    <row r="392" spans="10:27" ht="13.5" customHeight="1">
      <c r="J392" s="1053"/>
      <c r="K392" s="1053"/>
      <c r="L392" s="1053"/>
      <c r="M392" s="1053"/>
      <c r="N392" s="1053"/>
      <c r="O392" s="1053"/>
      <c r="P392" s="112"/>
      <c r="AA392" s="1050"/>
    </row>
    <row r="393" spans="10:27" ht="13.5" customHeight="1">
      <c r="J393" s="1053"/>
      <c r="K393" s="1053"/>
      <c r="L393" s="1053"/>
      <c r="M393" s="1053"/>
      <c r="N393" s="1053"/>
      <c r="O393" s="1053"/>
      <c r="P393" s="112"/>
      <c r="AA393" s="1050"/>
    </row>
    <row r="394" spans="10:27" ht="13.5" customHeight="1">
      <c r="J394" s="1053"/>
      <c r="K394" s="1053"/>
      <c r="L394" s="1053"/>
      <c r="M394" s="1053"/>
      <c r="N394" s="1053"/>
      <c r="O394" s="1053"/>
      <c r="P394" s="112"/>
      <c r="AA394" s="1050"/>
    </row>
    <row r="395" spans="10:27" ht="13.5" customHeight="1">
      <c r="J395" s="1053"/>
      <c r="K395" s="1053"/>
      <c r="L395" s="1053"/>
      <c r="M395" s="1053"/>
      <c r="N395" s="1053"/>
      <c r="O395" s="1053"/>
      <c r="P395" s="112"/>
      <c r="AA395" s="1050"/>
    </row>
    <row r="396" spans="10:27" ht="13.5" customHeight="1">
      <c r="J396" s="1053"/>
      <c r="K396" s="1053"/>
      <c r="L396" s="1053"/>
      <c r="M396" s="1053"/>
      <c r="N396" s="1053"/>
      <c r="O396" s="1053"/>
      <c r="P396" s="112"/>
      <c r="AA396" s="1050"/>
    </row>
    <row r="397" spans="10:27" ht="13.5" customHeight="1">
      <c r="J397" s="1053"/>
      <c r="K397" s="1053"/>
      <c r="L397" s="1053"/>
      <c r="M397" s="1053"/>
      <c r="N397" s="1053"/>
      <c r="O397" s="1053"/>
      <c r="P397" s="112"/>
      <c r="AA397" s="1050"/>
    </row>
    <row r="398" spans="10:27" ht="13.5" customHeight="1">
      <c r="J398" s="1053"/>
      <c r="K398" s="1053"/>
      <c r="L398" s="1053"/>
      <c r="M398" s="1053"/>
      <c r="N398" s="1053"/>
      <c r="O398" s="1053"/>
      <c r="P398" s="112"/>
      <c r="AA398" s="1050"/>
    </row>
    <row r="399" spans="10:27" ht="13.5" customHeight="1">
      <c r="J399" s="1053"/>
      <c r="K399" s="1053"/>
      <c r="L399" s="1053"/>
      <c r="M399" s="1053"/>
      <c r="N399" s="1053"/>
      <c r="O399" s="1053"/>
      <c r="P399" s="112"/>
      <c r="AA399" s="1050"/>
    </row>
    <row r="400" spans="10:27" ht="13.5" customHeight="1">
      <c r="J400" s="1053"/>
      <c r="K400" s="1053"/>
      <c r="L400" s="1053"/>
      <c r="M400" s="1053"/>
      <c r="N400" s="1053"/>
      <c r="O400" s="1053"/>
      <c r="P400" s="112"/>
      <c r="AA400" s="1050"/>
    </row>
    <row r="401" spans="10:27" ht="13.5" customHeight="1">
      <c r="J401" s="1053"/>
      <c r="K401" s="1053"/>
      <c r="L401" s="1053"/>
      <c r="M401" s="1053"/>
      <c r="N401" s="1053"/>
      <c r="O401" s="1053"/>
      <c r="P401" s="112"/>
      <c r="AA401" s="1050"/>
    </row>
    <row r="402" spans="10:27" ht="13.5" customHeight="1">
      <c r="J402" s="1053"/>
      <c r="K402" s="1053"/>
      <c r="L402" s="1053"/>
      <c r="M402" s="1053"/>
      <c r="N402" s="1053"/>
      <c r="O402" s="1053"/>
      <c r="P402" s="112"/>
      <c r="AA402" s="1050"/>
    </row>
    <row r="403" spans="10:27" ht="13.5" customHeight="1">
      <c r="J403" s="1053"/>
      <c r="K403" s="1053"/>
      <c r="L403" s="1053"/>
      <c r="M403" s="1053"/>
      <c r="N403" s="1053"/>
      <c r="O403" s="1053"/>
      <c r="P403" s="112"/>
      <c r="AA403" s="1050"/>
    </row>
    <row r="404" spans="10:27" ht="13.5" customHeight="1">
      <c r="J404" s="1053"/>
      <c r="K404" s="1053"/>
      <c r="L404" s="1053"/>
      <c r="M404" s="1053"/>
      <c r="N404" s="1053"/>
      <c r="O404" s="1053"/>
      <c r="P404" s="112"/>
      <c r="AA404" s="1050"/>
    </row>
    <row r="405" spans="10:27" ht="13.5" customHeight="1">
      <c r="J405" s="1053"/>
      <c r="K405" s="1053"/>
      <c r="L405" s="1053"/>
      <c r="M405" s="1053"/>
      <c r="N405" s="1053"/>
      <c r="O405" s="1053"/>
      <c r="P405" s="112"/>
      <c r="AA405" s="1050"/>
    </row>
    <row r="406" spans="10:27" ht="13.5" customHeight="1">
      <c r="J406" s="1053"/>
      <c r="K406" s="1053"/>
      <c r="L406" s="1053"/>
      <c r="M406" s="1053"/>
      <c r="N406" s="1053"/>
      <c r="O406" s="1053"/>
      <c r="P406" s="112"/>
      <c r="AA406" s="1050"/>
    </row>
    <row r="407" spans="10:27" ht="13.5" customHeight="1">
      <c r="J407" s="1053"/>
      <c r="K407" s="1053"/>
      <c r="L407" s="1053"/>
      <c r="M407" s="1053"/>
      <c r="N407" s="1053"/>
      <c r="O407" s="1053"/>
      <c r="P407" s="112"/>
      <c r="AA407" s="1050"/>
    </row>
    <row r="408" spans="10:27" ht="13.5" customHeight="1">
      <c r="J408" s="1053"/>
      <c r="K408" s="1053"/>
      <c r="L408" s="1053"/>
      <c r="M408" s="1053"/>
      <c r="N408" s="1053"/>
      <c r="O408" s="1053"/>
      <c r="P408" s="112"/>
      <c r="AA408" s="1050"/>
    </row>
    <row r="409" spans="10:27" ht="13.5" customHeight="1">
      <c r="J409" s="1053"/>
      <c r="K409" s="1053"/>
      <c r="L409" s="1053"/>
      <c r="M409" s="1053"/>
      <c r="N409" s="1053"/>
      <c r="O409" s="1053"/>
      <c r="P409" s="112"/>
      <c r="AA409" s="1050"/>
    </row>
    <row r="410" spans="10:27" ht="13.5" customHeight="1">
      <c r="J410" s="1053"/>
      <c r="K410" s="1053"/>
      <c r="L410" s="1053"/>
      <c r="M410" s="1053"/>
      <c r="N410" s="1053"/>
      <c r="O410" s="1053"/>
      <c r="P410" s="112"/>
      <c r="AA410" s="1050"/>
    </row>
    <row r="411" spans="10:27" ht="13.5" customHeight="1">
      <c r="J411" s="1053"/>
      <c r="K411" s="1053"/>
      <c r="L411" s="1053"/>
      <c r="M411" s="1053"/>
      <c r="N411" s="1053"/>
      <c r="O411" s="1053"/>
      <c r="P411" s="112"/>
      <c r="AA411" s="1050"/>
    </row>
    <row r="412" spans="10:27" ht="13.5" customHeight="1">
      <c r="J412" s="1053"/>
      <c r="K412" s="1053"/>
      <c r="L412" s="1053"/>
      <c r="M412" s="1053"/>
      <c r="N412" s="1053"/>
      <c r="O412" s="1053"/>
      <c r="P412" s="112"/>
      <c r="AA412" s="1050"/>
    </row>
    <row r="413" spans="10:27" ht="13.5" customHeight="1">
      <c r="J413" s="1053"/>
      <c r="K413" s="1053"/>
      <c r="L413" s="1053"/>
      <c r="M413" s="1053"/>
      <c r="N413" s="1053"/>
      <c r="O413" s="1053"/>
      <c r="P413" s="112"/>
      <c r="AA413" s="1050"/>
    </row>
    <row r="414" spans="10:27" ht="13.5" customHeight="1">
      <c r="J414" s="1053"/>
      <c r="K414" s="1053"/>
      <c r="L414" s="1053"/>
      <c r="M414" s="1053"/>
      <c r="N414" s="1053"/>
      <c r="O414" s="1053"/>
      <c r="P414" s="112"/>
      <c r="AA414" s="1050"/>
    </row>
    <row r="415" spans="10:27" ht="13.5" customHeight="1">
      <c r="J415" s="1053"/>
      <c r="K415" s="1053"/>
      <c r="L415" s="1053"/>
      <c r="M415" s="1053"/>
      <c r="N415" s="1053"/>
      <c r="O415" s="1053"/>
      <c r="P415" s="112"/>
      <c r="AA415" s="1050"/>
    </row>
    <row r="416" spans="10:27" ht="13.5" customHeight="1">
      <c r="J416" s="1053"/>
      <c r="K416" s="1053"/>
      <c r="L416" s="1053"/>
      <c r="M416" s="1053"/>
      <c r="N416" s="1053"/>
      <c r="O416" s="1053"/>
      <c r="P416" s="112"/>
      <c r="AA416" s="1050"/>
    </row>
    <row r="417" spans="10:27" ht="13.5" customHeight="1">
      <c r="J417" s="1053"/>
      <c r="K417" s="1053"/>
      <c r="L417" s="1053"/>
      <c r="M417" s="1053"/>
      <c r="N417" s="1053"/>
      <c r="O417" s="1053"/>
      <c r="P417" s="112"/>
      <c r="AA417" s="1050"/>
    </row>
    <row r="418" spans="10:27" ht="13.5" customHeight="1">
      <c r="J418" s="1053"/>
      <c r="K418" s="1053"/>
      <c r="L418" s="1053"/>
      <c r="M418" s="1053"/>
      <c r="N418" s="1053"/>
      <c r="O418" s="1053"/>
      <c r="P418" s="112"/>
      <c r="AA418" s="1050"/>
    </row>
    <row r="419" spans="10:27" ht="13.5" customHeight="1">
      <c r="J419" s="1053"/>
      <c r="K419" s="1053"/>
      <c r="L419" s="1053"/>
      <c r="M419" s="1053"/>
      <c r="N419" s="1053"/>
      <c r="O419" s="1053"/>
      <c r="P419" s="112"/>
      <c r="AA419" s="1050"/>
    </row>
    <row r="420" spans="10:27" ht="13.5" customHeight="1">
      <c r="J420" s="1053"/>
      <c r="K420" s="1053"/>
      <c r="L420" s="1053"/>
      <c r="M420" s="1053"/>
      <c r="N420" s="1053"/>
      <c r="O420" s="1053"/>
      <c r="P420" s="112"/>
      <c r="AA420" s="1050"/>
    </row>
    <row r="421" spans="10:27" ht="13.5" customHeight="1">
      <c r="J421" s="1053"/>
      <c r="K421" s="1053"/>
      <c r="L421" s="1053"/>
      <c r="M421" s="1053"/>
      <c r="N421" s="1053"/>
      <c r="O421" s="1053"/>
      <c r="P421" s="112"/>
      <c r="AA421" s="1050"/>
    </row>
    <row r="422" spans="10:27" ht="13.5" customHeight="1">
      <c r="J422" s="1053"/>
      <c r="K422" s="1053"/>
      <c r="L422" s="1053"/>
      <c r="M422" s="1053"/>
      <c r="N422" s="1053"/>
      <c r="O422" s="1053"/>
      <c r="P422" s="112"/>
      <c r="AA422" s="1050"/>
    </row>
    <row r="423" spans="10:27" ht="13.5" customHeight="1">
      <c r="J423" s="1053"/>
      <c r="K423" s="1053"/>
      <c r="L423" s="1053"/>
      <c r="M423" s="1053"/>
      <c r="N423" s="1053"/>
      <c r="O423" s="1053"/>
      <c r="P423" s="112"/>
      <c r="AA423" s="1050"/>
    </row>
    <row r="424" spans="10:27" ht="13.5" customHeight="1">
      <c r="J424" s="1053"/>
      <c r="K424" s="1053"/>
      <c r="L424" s="1053"/>
      <c r="M424" s="1053"/>
      <c r="N424" s="1053"/>
      <c r="O424" s="1053"/>
      <c r="P424" s="112"/>
      <c r="AA424" s="1050"/>
    </row>
    <row r="425" spans="10:27" ht="13.5" customHeight="1">
      <c r="J425" s="1053"/>
      <c r="K425" s="1053"/>
      <c r="L425" s="1053"/>
      <c r="M425" s="1053"/>
      <c r="N425" s="1053"/>
      <c r="O425" s="1053"/>
      <c r="P425" s="112"/>
      <c r="AA425" s="1050"/>
    </row>
    <row r="426" spans="10:27" ht="13.5" customHeight="1">
      <c r="J426" s="1053"/>
      <c r="K426" s="1053"/>
      <c r="L426" s="1053"/>
      <c r="M426" s="1053"/>
      <c r="N426" s="1053"/>
      <c r="O426" s="1053"/>
      <c r="P426" s="112"/>
      <c r="AA426" s="1050"/>
    </row>
    <row r="427" spans="10:27" ht="13.5" customHeight="1">
      <c r="J427" s="1053"/>
      <c r="K427" s="1053"/>
      <c r="L427" s="1053"/>
      <c r="M427" s="1053"/>
      <c r="N427" s="1053"/>
      <c r="O427" s="1053"/>
      <c r="P427" s="112"/>
      <c r="AA427" s="1050"/>
    </row>
    <row r="428" spans="10:27" ht="13.5" customHeight="1">
      <c r="J428" s="1053"/>
      <c r="K428" s="1053"/>
      <c r="L428" s="1053"/>
      <c r="M428" s="1053"/>
      <c r="N428" s="1053"/>
      <c r="O428" s="1053"/>
      <c r="P428" s="112"/>
      <c r="AA428" s="1050"/>
    </row>
    <row r="429" spans="10:27" ht="13.5" customHeight="1">
      <c r="J429" s="1053"/>
      <c r="K429" s="1053"/>
      <c r="L429" s="1053"/>
      <c r="M429" s="1053"/>
      <c r="N429" s="1053"/>
      <c r="O429" s="1053"/>
      <c r="P429" s="112"/>
      <c r="AA429" s="1050"/>
    </row>
    <row r="430" spans="10:27" ht="13.5" customHeight="1">
      <c r="J430" s="1053"/>
      <c r="K430" s="1053"/>
      <c r="L430" s="1053"/>
      <c r="M430" s="1053"/>
      <c r="N430" s="1053"/>
      <c r="O430" s="1053"/>
      <c r="P430" s="112"/>
      <c r="AA430" s="1050"/>
    </row>
    <row r="431" spans="10:27" ht="13.5" customHeight="1">
      <c r="J431" s="1053"/>
      <c r="K431" s="1053"/>
      <c r="L431" s="1053"/>
      <c r="M431" s="1053"/>
      <c r="N431" s="1053"/>
      <c r="O431" s="1053"/>
      <c r="P431" s="112"/>
      <c r="AA431" s="1050"/>
    </row>
    <row r="432" spans="10:27" ht="13.5" customHeight="1">
      <c r="J432" s="1053"/>
      <c r="K432" s="1053"/>
      <c r="L432" s="1053"/>
      <c r="M432" s="1053"/>
      <c r="N432" s="1053"/>
      <c r="O432" s="1053"/>
      <c r="P432" s="112"/>
      <c r="AA432" s="1050"/>
    </row>
    <row r="433" spans="10:27" ht="13.5" customHeight="1">
      <c r="J433" s="1053"/>
      <c r="K433" s="1053"/>
      <c r="L433" s="1053"/>
      <c r="M433" s="1053"/>
      <c r="N433" s="1053"/>
      <c r="O433" s="1053"/>
      <c r="P433" s="112"/>
      <c r="AA433" s="1050"/>
    </row>
    <row r="434" spans="10:27" ht="13.5" customHeight="1">
      <c r="J434" s="1053"/>
      <c r="K434" s="1053"/>
      <c r="L434" s="1053"/>
      <c r="M434" s="1053"/>
      <c r="N434" s="1053"/>
      <c r="O434" s="1053"/>
      <c r="P434" s="112"/>
      <c r="AA434" s="1050"/>
    </row>
    <row r="435" spans="10:27" ht="13.5" customHeight="1">
      <c r="J435" s="1053"/>
      <c r="K435" s="1053"/>
      <c r="L435" s="1053"/>
      <c r="M435" s="1053"/>
      <c r="N435" s="1053"/>
      <c r="O435" s="1053"/>
      <c r="P435" s="112"/>
      <c r="AA435" s="1050"/>
    </row>
    <row r="436" spans="10:27" ht="13.5" customHeight="1">
      <c r="J436" s="1053"/>
      <c r="K436" s="1053"/>
      <c r="L436" s="1053"/>
      <c r="M436" s="1053"/>
      <c r="N436" s="1053"/>
      <c r="O436" s="1053"/>
      <c r="P436" s="112"/>
      <c r="AA436" s="1050"/>
    </row>
    <row r="437" spans="10:27" ht="13.5" customHeight="1">
      <c r="J437" s="1053"/>
      <c r="K437" s="1053"/>
      <c r="L437" s="1053"/>
      <c r="M437" s="1053"/>
      <c r="N437" s="1053"/>
      <c r="O437" s="1053"/>
      <c r="P437" s="112"/>
      <c r="AA437" s="1050"/>
    </row>
    <row r="438" spans="10:27" ht="13.5" customHeight="1">
      <c r="J438" s="1053"/>
      <c r="K438" s="1053"/>
      <c r="L438" s="1053"/>
      <c r="M438" s="1053"/>
      <c r="N438" s="1053"/>
      <c r="O438" s="1053"/>
      <c r="P438" s="112"/>
      <c r="AA438" s="1050"/>
    </row>
    <row r="439" spans="10:27" ht="13.5" customHeight="1">
      <c r="J439" s="1053"/>
      <c r="K439" s="1053"/>
      <c r="L439" s="1053"/>
      <c r="M439" s="1053"/>
      <c r="N439" s="1053"/>
      <c r="O439" s="1053"/>
      <c r="P439" s="112"/>
      <c r="AA439" s="1050"/>
    </row>
    <row r="440" spans="10:27" ht="13.5" customHeight="1">
      <c r="J440" s="1053"/>
      <c r="K440" s="1053"/>
      <c r="L440" s="1053"/>
      <c r="M440" s="1053"/>
      <c r="N440" s="1053"/>
      <c r="O440" s="1053"/>
      <c r="P440" s="112"/>
      <c r="AA440" s="1050"/>
    </row>
    <row r="441" spans="10:27" ht="13.5" customHeight="1">
      <c r="J441" s="1053"/>
      <c r="K441" s="1053"/>
      <c r="L441" s="1053"/>
      <c r="M441" s="1053"/>
      <c r="N441" s="1053"/>
      <c r="O441" s="1053"/>
      <c r="P441" s="112"/>
      <c r="AA441" s="1050"/>
    </row>
    <row r="442" spans="10:27" ht="13.5" customHeight="1">
      <c r="J442" s="1053"/>
      <c r="K442" s="1053"/>
      <c r="L442" s="1053"/>
      <c r="M442" s="1053"/>
      <c r="N442" s="1053"/>
      <c r="O442" s="1053"/>
      <c r="P442" s="112"/>
      <c r="AA442" s="1050"/>
    </row>
    <row r="443" spans="10:27" ht="13.5" customHeight="1">
      <c r="J443" s="1053"/>
      <c r="K443" s="1053"/>
      <c r="L443" s="1053"/>
      <c r="M443" s="1053"/>
      <c r="N443" s="1053"/>
      <c r="O443" s="1053"/>
      <c r="P443" s="112"/>
      <c r="AA443" s="1050"/>
    </row>
    <row r="444" spans="10:27" ht="13.5" customHeight="1">
      <c r="J444" s="1053"/>
      <c r="K444" s="1053"/>
      <c r="L444" s="1053"/>
      <c r="M444" s="1053"/>
      <c r="N444" s="1053"/>
      <c r="O444" s="1053"/>
      <c r="P444" s="112"/>
      <c r="AA444" s="1050"/>
    </row>
    <row r="445" spans="10:27" ht="13.5" customHeight="1">
      <c r="J445" s="1053"/>
      <c r="K445" s="1053"/>
      <c r="L445" s="1053"/>
      <c r="M445" s="1053"/>
      <c r="N445" s="1053"/>
      <c r="O445" s="1053"/>
      <c r="P445" s="112"/>
      <c r="AA445" s="1050"/>
    </row>
    <row r="446" spans="10:27" ht="13.5" customHeight="1">
      <c r="J446" s="1053"/>
      <c r="K446" s="1053"/>
      <c r="L446" s="1053"/>
      <c r="M446" s="1053"/>
      <c r="N446" s="1053"/>
      <c r="O446" s="1053"/>
      <c r="P446" s="112"/>
      <c r="AA446" s="1050"/>
    </row>
    <row r="447" spans="10:27" ht="13.5" customHeight="1">
      <c r="J447" s="1053"/>
      <c r="K447" s="1053"/>
      <c r="L447" s="1053"/>
      <c r="M447" s="1053"/>
      <c r="N447" s="1053"/>
      <c r="O447" s="1053"/>
      <c r="P447" s="112"/>
      <c r="AA447" s="1050"/>
    </row>
    <row r="448" spans="10:27" ht="13.5" customHeight="1">
      <c r="J448" s="1053"/>
      <c r="K448" s="1053"/>
      <c r="L448" s="1053"/>
      <c r="M448" s="1053"/>
      <c r="N448" s="1053"/>
      <c r="O448" s="1053"/>
      <c r="P448" s="112"/>
      <c r="AA448" s="1050"/>
    </row>
    <row r="449" spans="10:27" ht="13.5" customHeight="1">
      <c r="J449" s="1053"/>
      <c r="K449" s="1053"/>
      <c r="L449" s="1053"/>
      <c r="M449" s="1053"/>
      <c r="N449" s="1053"/>
      <c r="O449" s="1053"/>
      <c r="P449" s="112"/>
      <c r="AA449" s="1050"/>
    </row>
    <row r="450" spans="10:27" ht="13.5" customHeight="1">
      <c r="J450" s="1053"/>
      <c r="K450" s="1053"/>
      <c r="L450" s="1053"/>
      <c r="M450" s="1053"/>
      <c r="N450" s="1053"/>
      <c r="O450" s="1053"/>
      <c r="P450" s="112"/>
      <c r="AA450" s="1050"/>
    </row>
    <row r="451" spans="10:27" ht="13.5" customHeight="1">
      <c r="J451" s="1053"/>
      <c r="K451" s="1053"/>
      <c r="L451" s="1053"/>
      <c r="M451" s="1053"/>
      <c r="N451" s="1053"/>
      <c r="O451" s="1053"/>
      <c r="P451" s="112"/>
      <c r="AA451" s="1050"/>
    </row>
    <row r="452" spans="10:27" ht="13.5" customHeight="1">
      <c r="J452" s="1053"/>
      <c r="K452" s="1053"/>
      <c r="L452" s="1053"/>
      <c r="M452" s="1053"/>
      <c r="N452" s="1053"/>
      <c r="O452" s="1053"/>
      <c r="P452" s="112"/>
      <c r="AA452" s="1050"/>
    </row>
    <row r="453" spans="10:27" ht="13.5" customHeight="1">
      <c r="J453" s="1053"/>
      <c r="K453" s="1053"/>
      <c r="L453" s="1053"/>
      <c r="M453" s="1053"/>
      <c r="N453" s="1053"/>
      <c r="O453" s="1053"/>
      <c r="P453" s="112"/>
      <c r="AA453" s="1050"/>
    </row>
    <row r="454" spans="10:27" ht="13.5" customHeight="1">
      <c r="J454" s="1053"/>
      <c r="K454" s="1053"/>
      <c r="L454" s="1053"/>
      <c r="M454" s="1053"/>
      <c r="N454" s="1053"/>
      <c r="O454" s="1053"/>
      <c r="P454" s="112"/>
      <c r="AA454" s="1050"/>
    </row>
    <row r="455" spans="10:27" ht="13.5" customHeight="1">
      <c r="J455" s="1053"/>
      <c r="K455" s="1053"/>
      <c r="L455" s="1053"/>
      <c r="M455" s="1053"/>
      <c r="N455" s="1053"/>
      <c r="O455" s="1053"/>
      <c r="P455" s="112"/>
      <c r="AA455" s="1050"/>
    </row>
    <row r="456" spans="10:27" ht="13.5" customHeight="1">
      <c r="J456" s="1053"/>
      <c r="K456" s="1053"/>
      <c r="L456" s="1053"/>
      <c r="M456" s="1053"/>
      <c r="N456" s="1053"/>
      <c r="O456" s="1053"/>
      <c r="P456" s="112"/>
      <c r="AA456" s="1050"/>
    </row>
    <row r="457" spans="10:27" ht="13.5" customHeight="1">
      <c r="J457" s="1053"/>
      <c r="K457" s="1053"/>
      <c r="L457" s="1053"/>
      <c r="M457" s="1053"/>
      <c r="N457" s="1053"/>
      <c r="O457" s="1053"/>
      <c r="P457" s="112"/>
      <c r="AA457" s="1050"/>
    </row>
    <row r="458" spans="10:27" ht="13.5" customHeight="1">
      <c r="J458" s="1053"/>
      <c r="K458" s="1053"/>
      <c r="L458" s="1053"/>
      <c r="M458" s="1053"/>
      <c r="N458" s="1053"/>
      <c r="O458" s="1053"/>
      <c r="P458" s="112"/>
      <c r="AA458" s="1050"/>
    </row>
    <row r="459" spans="10:27" ht="13.5" customHeight="1">
      <c r="J459" s="1053"/>
      <c r="K459" s="1053"/>
      <c r="L459" s="1053"/>
      <c r="M459" s="1053"/>
      <c r="N459" s="1053"/>
      <c r="O459" s="1053"/>
      <c r="P459" s="112"/>
      <c r="AA459" s="1050"/>
    </row>
    <row r="460" spans="10:27" ht="13.5" customHeight="1">
      <c r="J460" s="1053"/>
      <c r="K460" s="1053"/>
      <c r="L460" s="1053"/>
      <c r="M460" s="1053"/>
      <c r="N460" s="1053"/>
      <c r="O460" s="1053"/>
      <c r="P460" s="112"/>
      <c r="AA460" s="1050"/>
    </row>
    <row r="461" spans="10:27" ht="13.5" customHeight="1">
      <c r="J461" s="1053"/>
      <c r="K461" s="1053"/>
      <c r="L461" s="1053"/>
      <c r="M461" s="1053"/>
      <c r="N461" s="1053"/>
      <c r="O461" s="1053"/>
      <c r="P461" s="112"/>
      <c r="AA461" s="1050"/>
    </row>
    <row r="462" spans="10:27" ht="13.5" customHeight="1">
      <c r="J462" s="1053"/>
      <c r="K462" s="1053"/>
      <c r="L462" s="1053"/>
      <c r="M462" s="1053"/>
      <c r="N462" s="1053"/>
      <c r="O462" s="1053"/>
      <c r="P462" s="112"/>
      <c r="AA462" s="1050"/>
    </row>
    <row r="463" spans="10:27" ht="13.5" customHeight="1">
      <c r="J463" s="1053"/>
      <c r="K463" s="1053"/>
      <c r="L463" s="1053"/>
      <c r="M463" s="1053"/>
      <c r="N463" s="1053"/>
      <c r="O463" s="1053"/>
      <c r="P463" s="112"/>
      <c r="AA463" s="1050"/>
    </row>
    <row r="464" spans="10:27" ht="13.5" customHeight="1">
      <c r="J464" s="1053"/>
      <c r="K464" s="1053"/>
      <c r="L464" s="1053"/>
      <c r="M464" s="1053"/>
      <c r="N464" s="1053"/>
      <c r="O464" s="1053"/>
      <c r="P464" s="112"/>
      <c r="AA464" s="1050"/>
    </row>
    <row r="465" spans="10:27" ht="13.5" customHeight="1">
      <c r="J465" s="1053"/>
      <c r="K465" s="1053"/>
      <c r="L465" s="1053"/>
      <c r="M465" s="1053"/>
      <c r="N465" s="1053"/>
      <c r="O465" s="1053"/>
      <c r="P465" s="112"/>
      <c r="AA465" s="1050"/>
    </row>
    <row r="466" spans="10:27" ht="13.5" customHeight="1">
      <c r="J466" s="1053"/>
      <c r="K466" s="1053"/>
      <c r="L466" s="1053"/>
      <c r="M466" s="1053"/>
      <c r="N466" s="1053"/>
      <c r="O466" s="1053"/>
      <c r="P466" s="112"/>
      <c r="AA466" s="1050"/>
    </row>
    <row r="467" spans="10:27" ht="13.5" customHeight="1">
      <c r="J467" s="1053"/>
      <c r="K467" s="1053"/>
      <c r="L467" s="1053"/>
      <c r="M467" s="1053"/>
      <c r="N467" s="1053"/>
      <c r="O467" s="1053"/>
      <c r="P467" s="112"/>
      <c r="AA467" s="1050"/>
    </row>
    <row r="468" spans="10:27" ht="13.5" customHeight="1">
      <c r="J468" s="1053"/>
      <c r="K468" s="1053"/>
      <c r="L468" s="1053"/>
      <c r="M468" s="1053"/>
      <c r="N468" s="1053"/>
      <c r="O468" s="1053"/>
      <c r="P468" s="112"/>
      <c r="AA468" s="1050"/>
    </row>
    <row r="469" spans="10:27" ht="13.5" customHeight="1">
      <c r="J469" s="1053"/>
      <c r="K469" s="1053"/>
      <c r="L469" s="1053"/>
      <c r="M469" s="1053"/>
      <c r="N469" s="1053"/>
      <c r="O469" s="1053"/>
      <c r="P469" s="112"/>
      <c r="AA469" s="1050"/>
    </row>
    <row r="470" spans="10:27" ht="13.5" customHeight="1">
      <c r="J470" s="1053"/>
      <c r="K470" s="1053"/>
      <c r="L470" s="1053"/>
      <c r="M470" s="1053"/>
      <c r="N470" s="1053"/>
      <c r="O470" s="1053"/>
      <c r="P470" s="112"/>
      <c r="AA470" s="1050"/>
    </row>
    <row r="471" spans="10:27" ht="13.5" customHeight="1">
      <c r="J471" s="1053"/>
      <c r="K471" s="1053"/>
      <c r="L471" s="1053"/>
      <c r="M471" s="1053"/>
      <c r="N471" s="1053"/>
      <c r="O471" s="1053"/>
      <c r="P471" s="112"/>
      <c r="AA471" s="1050"/>
    </row>
    <row r="472" spans="10:27" ht="13.5" customHeight="1">
      <c r="J472" s="1053"/>
      <c r="K472" s="1053"/>
      <c r="L472" s="1053"/>
      <c r="M472" s="1053"/>
      <c r="N472" s="1053"/>
      <c r="O472" s="1053"/>
      <c r="P472" s="112"/>
      <c r="AA472" s="1050"/>
    </row>
    <row r="473" spans="10:27" ht="13.5" customHeight="1">
      <c r="J473" s="1053"/>
      <c r="K473" s="1053"/>
      <c r="L473" s="1053"/>
      <c r="M473" s="1053"/>
      <c r="N473" s="1053"/>
      <c r="O473" s="1053"/>
      <c r="P473" s="112"/>
      <c r="AA473" s="1050"/>
    </row>
    <row r="474" spans="10:27" ht="13.5" customHeight="1">
      <c r="J474" s="1053"/>
      <c r="K474" s="1053"/>
      <c r="L474" s="1053"/>
      <c r="M474" s="1053"/>
      <c r="N474" s="1053"/>
      <c r="O474" s="1053"/>
      <c r="P474" s="112"/>
      <c r="AA474" s="1050"/>
    </row>
    <row r="475" spans="10:27" ht="13.5" customHeight="1">
      <c r="J475" s="1053"/>
      <c r="K475" s="1053"/>
      <c r="L475" s="1053"/>
      <c r="M475" s="1053"/>
      <c r="N475" s="1053"/>
      <c r="O475" s="1053"/>
      <c r="P475" s="112"/>
      <c r="AA475" s="1050"/>
    </row>
    <row r="476" spans="10:27" ht="13.5" customHeight="1">
      <c r="J476" s="1053"/>
      <c r="K476" s="1053"/>
      <c r="L476" s="1053"/>
      <c r="M476" s="1053"/>
      <c r="N476" s="1053"/>
      <c r="O476" s="1053"/>
      <c r="P476" s="112"/>
      <c r="AA476" s="1050"/>
    </row>
    <row r="477" spans="10:27" ht="13.5" customHeight="1">
      <c r="J477" s="1053"/>
      <c r="K477" s="1053"/>
      <c r="L477" s="1053"/>
      <c r="M477" s="1053"/>
      <c r="N477" s="1053"/>
      <c r="O477" s="1053"/>
      <c r="P477" s="112"/>
      <c r="AA477" s="1050"/>
    </row>
    <row r="478" spans="10:27" ht="13.5" customHeight="1">
      <c r="J478" s="1053"/>
      <c r="K478" s="1053"/>
      <c r="L478" s="1053"/>
      <c r="M478" s="1053"/>
      <c r="N478" s="1053"/>
      <c r="O478" s="1053"/>
      <c r="P478" s="112"/>
      <c r="AA478" s="1050"/>
    </row>
    <row r="479" spans="10:27" ht="13.5" customHeight="1">
      <c r="J479" s="1053"/>
      <c r="K479" s="1053"/>
      <c r="L479" s="1053"/>
      <c r="M479" s="1053"/>
      <c r="N479" s="1053"/>
      <c r="O479" s="1053"/>
      <c r="P479" s="112"/>
      <c r="AA479" s="1050"/>
    </row>
    <row r="480" spans="10:27" ht="13.5" customHeight="1">
      <c r="J480" s="1053"/>
      <c r="K480" s="1053"/>
      <c r="L480" s="1053"/>
      <c r="M480" s="1053"/>
      <c r="N480" s="1053"/>
      <c r="O480" s="1053"/>
      <c r="P480" s="112"/>
      <c r="AA480" s="1050"/>
    </row>
    <row r="481" spans="10:27" ht="13.5" customHeight="1">
      <c r="J481" s="1053"/>
      <c r="K481" s="1053"/>
      <c r="L481" s="1053"/>
      <c r="M481" s="1053"/>
      <c r="N481" s="1053"/>
      <c r="O481" s="1053"/>
      <c r="P481" s="112"/>
      <c r="AA481" s="1050"/>
    </row>
    <row r="482" spans="10:27" ht="13.5" customHeight="1">
      <c r="J482" s="1053"/>
      <c r="K482" s="1053"/>
      <c r="L482" s="1053"/>
      <c r="M482" s="1053"/>
      <c r="N482" s="1053"/>
      <c r="O482" s="1053"/>
      <c r="P482" s="112"/>
      <c r="AA482" s="1050"/>
    </row>
    <row r="483" spans="10:27" ht="13.5" customHeight="1">
      <c r="J483" s="1053"/>
      <c r="K483" s="1053"/>
      <c r="L483" s="1053"/>
      <c r="M483" s="1053"/>
      <c r="N483" s="1053"/>
      <c r="O483" s="1053"/>
      <c r="P483" s="112"/>
      <c r="AA483" s="1050"/>
    </row>
    <row r="484" spans="10:27" ht="13.5" customHeight="1">
      <c r="J484" s="1053"/>
      <c r="K484" s="1053"/>
      <c r="L484" s="1053"/>
      <c r="M484" s="1053"/>
      <c r="N484" s="1053"/>
      <c r="O484" s="1053"/>
      <c r="P484" s="112"/>
      <c r="AA484" s="1050"/>
    </row>
    <row r="485" spans="10:27" ht="13.5" customHeight="1">
      <c r="J485" s="1053"/>
      <c r="K485" s="1053"/>
      <c r="L485" s="1053"/>
      <c r="M485" s="1053"/>
      <c r="N485" s="1053"/>
      <c r="O485" s="1053"/>
      <c r="P485" s="112"/>
      <c r="AA485" s="1050"/>
    </row>
    <row r="486" spans="10:27" ht="13.5" customHeight="1">
      <c r="J486" s="1053"/>
      <c r="K486" s="1053"/>
      <c r="L486" s="1053"/>
      <c r="M486" s="1053"/>
      <c r="N486" s="1053"/>
      <c r="O486" s="1053"/>
      <c r="P486" s="112"/>
      <c r="AA486" s="1050"/>
    </row>
    <row r="487" spans="10:27" ht="13.5" customHeight="1">
      <c r="J487" s="1053"/>
      <c r="K487" s="1053"/>
      <c r="L487" s="1053"/>
      <c r="M487" s="1053"/>
      <c r="N487" s="1053"/>
      <c r="O487" s="1053"/>
      <c r="P487" s="112"/>
      <c r="AA487" s="1050"/>
    </row>
    <row r="488" spans="10:27" ht="13.5" customHeight="1">
      <c r="J488" s="1053"/>
      <c r="K488" s="1053"/>
      <c r="L488" s="1053"/>
      <c r="M488" s="1053"/>
      <c r="N488" s="1053"/>
      <c r="O488" s="1053"/>
      <c r="P488" s="112"/>
      <c r="AA488" s="1050"/>
    </row>
    <row r="489" spans="10:27" ht="13.5" customHeight="1">
      <c r="J489" s="1053"/>
      <c r="K489" s="1053"/>
      <c r="L489" s="1053"/>
      <c r="M489" s="1053"/>
      <c r="N489" s="1053"/>
      <c r="O489" s="1053"/>
      <c r="P489" s="112"/>
      <c r="AA489" s="1050"/>
    </row>
    <row r="490" spans="10:27" ht="13.5" customHeight="1">
      <c r="J490" s="1053"/>
      <c r="K490" s="1053"/>
      <c r="L490" s="1053"/>
      <c r="M490" s="1053"/>
      <c r="N490" s="1053"/>
      <c r="O490" s="1053"/>
      <c r="P490" s="112"/>
      <c r="AA490" s="1050"/>
    </row>
    <row r="491" spans="10:27" ht="13.5" customHeight="1">
      <c r="J491" s="1053"/>
      <c r="K491" s="1053"/>
      <c r="L491" s="1053"/>
      <c r="M491" s="1053"/>
      <c r="N491" s="1053"/>
      <c r="O491" s="1053"/>
      <c r="P491" s="112"/>
      <c r="AA491" s="1050"/>
    </row>
    <row r="492" spans="10:27" ht="13.5" customHeight="1">
      <c r="J492" s="1053"/>
      <c r="K492" s="1053"/>
      <c r="L492" s="1053"/>
      <c r="M492" s="1053"/>
      <c r="N492" s="1053"/>
      <c r="O492" s="1053"/>
      <c r="P492" s="112"/>
      <c r="AA492" s="1050"/>
    </row>
    <row r="493" spans="10:27" ht="13.5" customHeight="1">
      <c r="J493" s="1053"/>
      <c r="K493" s="1053"/>
      <c r="L493" s="1053"/>
      <c r="M493" s="1053"/>
      <c r="N493" s="1053"/>
      <c r="O493" s="1053"/>
      <c r="P493" s="112"/>
      <c r="AA493" s="1050"/>
    </row>
    <row r="494" spans="10:27" ht="13.5" customHeight="1">
      <c r="J494" s="1053"/>
      <c r="K494" s="1053"/>
      <c r="L494" s="1053"/>
      <c r="M494" s="1053"/>
      <c r="N494" s="1053"/>
      <c r="O494" s="1053"/>
      <c r="P494" s="112"/>
      <c r="AA494" s="1050"/>
    </row>
    <row r="495" spans="10:27" ht="13.5" customHeight="1">
      <c r="J495" s="1053"/>
      <c r="K495" s="1053"/>
      <c r="L495" s="1053"/>
      <c r="M495" s="1053"/>
      <c r="N495" s="1053"/>
      <c r="O495" s="1053"/>
      <c r="P495" s="112"/>
      <c r="AA495" s="1050"/>
    </row>
    <row r="496" spans="10:27" ht="13.5" customHeight="1">
      <c r="J496" s="1053"/>
      <c r="K496" s="1053"/>
      <c r="L496" s="1053"/>
      <c r="M496" s="1053"/>
      <c r="N496" s="1053"/>
      <c r="O496" s="1053"/>
      <c r="P496" s="112"/>
      <c r="AA496" s="1050"/>
    </row>
    <row r="497" spans="10:27" ht="13.5" customHeight="1">
      <c r="J497" s="1053"/>
      <c r="K497" s="1053"/>
      <c r="L497" s="1053"/>
      <c r="M497" s="1053"/>
      <c r="N497" s="1053"/>
      <c r="O497" s="1053"/>
      <c r="P497" s="112"/>
      <c r="AA497" s="1050"/>
    </row>
    <row r="498" spans="10:27" ht="13.5" customHeight="1">
      <c r="J498" s="1053"/>
      <c r="K498" s="1053"/>
      <c r="L498" s="1053"/>
      <c r="M498" s="1053"/>
      <c r="N498" s="1053"/>
      <c r="O498" s="1053"/>
      <c r="P498" s="112"/>
      <c r="AA498" s="1050"/>
    </row>
    <row r="499" spans="10:27" ht="13.5" customHeight="1">
      <c r="J499" s="1053"/>
      <c r="K499" s="1053"/>
      <c r="L499" s="1053"/>
      <c r="M499" s="1053"/>
      <c r="N499" s="1053"/>
      <c r="O499" s="1053"/>
      <c r="P499" s="112"/>
      <c r="AA499" s="1050"/>
    </row>
    <row r="500" spans="10:27" ht="13.5" customHeight="1">
      <c r="J500" s="1053"/>
      <c r="K500" s="1053"/>
      <c r="L500" s="1053"/>
      <c r="M500" s="1053"/>
      <c r="N500" s="1053"/>
      <c r="O500" s="1053"/>
      <c r="P500" s="112"/>
      <c r="AA500" s="1050"/>
    </row>
    <row r="501" spans="10:27" ht="13.5" customHeight="1">
      <c r="J501" s="1053"/>
      <c r="K501" s="1053"/>
      <c r="L501" s="1053"/>
      <c r="M501" s="1053"/>
      <c r="N501" s="1053"/>
      <c r="O501" s="1053"/>
      <c r="P501" s="112"/>
      <c r="AA501" s="1050"/>
    </row>
    <row r="502" spans="10:27" ht="13.5" customHeight="1">
      <c r="J502" s="1053"/>
      <c r="K502" s="1053"/>
      <c r="L502" s="1053"/>
      <c r="M502" s="1053"/>
      <c r="N502" s="1053"/>
      <c r="O502" s="1053"/>
      <c r="P502" s="112"/>
      <c r="AA502" s="1050"/>
    </row>
    <row r="503" spans="10:27" ht="13.5" customHeight="1">
      <c r="J503" s="1053"/>
      <c r="K503" s="1053"/>
      <c r="L503" s="1053"/>
      <c r="M503" s="1053"/>
      <c r="N503" s="1053"/>
      <c r="O503" s="1053"/>
      <c r="P503" s="112"/>
      <c r="AA503" s="1050"/>
    </row>
    <row r="504" spans="10:27" ht="13.5" customHeight="1">
      <c r="J504" s="1053"/>
      <c r="K504" s="1053"/>
      <c r="L504" s="1053"/>
      <c r="M504" s="1053"/>
      <c r="N504" s="1053"/>
      <c r="O504" s="1053"/>
      <c r="P504" s="112"/>
      <c r="AA504" s="1050"/>
    </row>
    <row r="505" spans="10:27" ht="13.5" customHeight="1">
      <c r="J505" s="1053"/>
      <c r="K505" s="1053"/>
      <c r="L505" s="1053"/>
      <c r="M505" s="1053"/>
      <c r="N505" s="1053"/>
      <c r="O505" s="1053"/>
      <c r="P505" s="112"/>
      <c r="AA505" s="1050"/>
    </row>
    <row r="506" spans="10:27" ht="13.5" customHeight="1">
      <c r="J506" s="1053"/>
      <c r="K506" s="1053"/>
      <c r="L506" s="1053"/>
      <c r="M506" s="1053"/>
      <c r="N506" s="1053"/>
      <c r="O506" s="1053"/>
      <c r="P506" s="112"/>
      <c r="AA506" s="1050"/>
    </row>
    <row r="507" spans="10:27" ht="13.5" customHeight="1">
      <c r="J507" s="1053"/>
      <c r="K507" s="1053"/>
      <c r="L507" s="1053"/>
      <c r="M507" s="1053"/>
      <c r="N507" s="1053"/>
      <c r="O507" s="1053"/>
      <c r="P507" s="112"/>
      <c r="AA507" s="1050"/>
    </row>
    <row r="508" spans="10:27" ht="13.5" customHeight="1">
      <c r="J508" s="1053"/>
      <c r="K508" s="1053"/>
      <c r="L508" s="1053"/>
      <c r="M508" s="1053"/>
      <c r="N508" s="1053"/>
      <c r="O508" s="1053"/>
      <c r="P508" s="112"/>
      <c r="AA508" s="1050"/>
    </row>
    <row r="509" spans="10:27" ht="13.5" customHeight="1">
      <c r="J509" s="1053"/>
      <c r="K509" s="1053"/>
      <c r="L509" s="1053"/>
      <c r="M509" s="1053"/>
      <c r="N509" s="1053"/>
      <c r="O509" s="1053"/>
      <c r="P509" s="112"/>
      <c r="AA509" s="1050"/>
    </row>
    <row r="510" spans="10:27" ht="13.5" customHeight="1">
      <c r="J510" s="1053"/>
      <c r="K510" s="1053"/>
      <c r="L510" s="1053"/>
      <c r="M510" s="1053"/>
      <c r="N510" s="1053"/>
      <c r="O510" s="1053"/>
      <c r="P510" s="112"/>
      <c r="AA510" s="1050"/>
    </row>
    <row r="511" spans="10:27" ht="13.5" customHeight="1">
      <c r="J511" s="1053"/>
      <c r="K511" s="1053"/>
      <c r="L511" s="1053"/>
      <c r="M511" s="1053"/>
      <c r="N511" s="1053"/>
      <c r="O511" s="1053"/>
      <c r="P511" s="112"/>
      <c r="AA511" s="1050"/>
    </row>
    <row r="512" spans="10:27" ht="13.5" customHeight="1">
      <c r="J512" s="1053"/>
      <c r="K512" s="1053"/>
      <c r="L512" s="1053"/>
      <c r="M512" s="1053"/>
      <c r="N512" s="1053"/>
      <c r="O512" s="1053"/>
      <c r="P512" s="112"/>
      <c r="AA512" s="1050"/>
    </row>
    <row r="513" spans="10:27" ht="13.5" customHeight="1">
      <c r="J513" s="1053"/>
      <c r="K513" s="1053"/>
      <c r="L513" s="1053"/>
      <c r="M513" s="1053"/>
      <c r="N513" s="1053"/>
      <c r="O513" s="1053"/>
      <c r="P513" s="112"/>
      <c r="AA513" s="1050"/>
    </row>
    <row r="514" spans="10:27" ht="13.5" customHeight="1">
      <c r="J514" s="1053"/>
      <c r="K514" s="1053"/>
      <c r="L514" s="1053"/>
      <c r="M514" s="1053"/>
      <c r="N514" s="1053"/>
      <c r="O514" s="1053"/>
      <c r="P514" s="112"/>
      <c r="AA514" s="1050"/>
    </row>
    <row r="515" spans="10:27" ht="13.5" customHeight="1">
      <c r="J515" s="1053"/>
      <c r="K515" s="1053"/>
      <c r="L515" s="1053"/>
      <c r="M515" s="1053"/>
      <c r="N515" s="1053"/>
      <c r="O515" s="1053"/>
      <c r="P515" s="112"/>
      <c r="AA515" s="1050"/>
    </row>
    <row r="516" spans="10:27" ht="13.5" customHeight="1">
      <c r="J516" s="1053"/>
      <c r="K516" s="1053"/>
      <c r="L516" s="1053"/>
      <c r="M516" s="1053"/>
      <c r="N516" s="1053"/>
      <c r="O516" s="1053"/>
      <c r="P516" s="112"/>
      <c r="AA516" s="1050"/>
    </row>
    <row r="517" spans="10:27" ht="13.5" customHeight="1">
      <c r="J517" s="1053"/>
      <c r="K517" s="1053"/>
      <c r="L517" s="1053"/>
      <c r="M517" s="1053"/>
      <c r="N517" s="1053"/>
      <c r="O517" s="1053"/>
      <c r="P517" s="112"/>
      <c r="AA517" s="1050"/>
    </row>
    <row r="518" spans="10:27" ht="13.5" customHeight="1">
      <c r="J518" s="1053"/>
      <c r="K518" s="1053"/>
      <c r="L518" s="1053"/>
      <c r="M518" s="1053"/>
      <c r="N518" s="1053"/>
      <c r="O518" s="1053"/>
      <c r="P518" s="112"/>
      <c r="AA518" s="1050"/>
    </row>
    <row r="519" spans="10:27" ht="13.5" customHeight="1">
      <c r="J519" s="1053"/>
      <c r="K519" s="1053"/>
      <c r="L519" s="1053"/>
      <c r="M519" s="1053"/>
      <c r="N519" s="1053"/>
      <c r="O519" s="1053"/>
      <c r="P519" s="112"/>
      <c r="AA519" s="1050"/>
    </row>
    <row r="520" spans="10:27" ht="13.5" customHeight="1">
      <c r="J520" s="1053"/>
      <c r="K520" s="1053"/>
      <c r="L520" s="1053"/>
      <c r="M520" s="1053"/>
      <c r="N520" s="1053"/>
      <c r="O520" s="1053"/>
      <c r="P520" s="112"/>
      <c r="AA520" s="1050"/>
    </row>
    <row r="521" spans="10:27" ht="13.5" customHeight="1">
      <c r="J521" s="1053"/>
      <c r="K521" s="1053"/>
      <c r="L521" s="1053"/>
      <c r="M521" s="1053"/>
      <c r="N521" s="1053"/>
      <c r="O521" s="1053"/>
      <c r="P521" s="112"/>
      <c r="AA521" s="1050"/>
    </row>
    <row r="522" spans="10:27" ht="13.5" customHeight="1">
      <c r="J522" s="1053"/>
      <c r="K522" s="1053"/>
      <c r="L522" s="1053"/>
      <c r="M522" s="1053"/>
      <c r="N522" s="1053"/>
      <c r="O522" s="1053"/>
      <c r="P522" s="112"/>
      <c r="AA522" s="1050"/>
    </row>
    <row r="523" spans="10:27" ht="13.5" customHeight="1">
      <c r="J523" s="1053"/>
      <c r="K523" s="1053"/>
      <c r="L523" s="1053"/>
      <c r="M523" s="1053"/>
      <c r="N523" s="1053"/>
      <c r="O523" s="1053"/>
      <c r="P523" s="112"/>
      <c r="AA523" s="1050"/>
    </row>
    <row r="524" spans="10:27" ht="13.5" customHeight="1">
      <c r="J524" s="1053"/>
      <c r="K524" s="1053"/>
      <c r="L524" s="1053"/>
      <c r="M524" s="1053"/>
      <c r="N524" s="1053"/>
      <c r="O524" s="1053"/>
      <c r="P524" s="112"/>
      <c r="AA524" s="1050"/>
    </row>
    <row r="525" spans="10:27" ht="13.5" customHeight="1">
      <c r="J525" s="1053"/>
      <c r="K525" s="1053"/>
      <c r="L525" s="1053"/>
      <c r="M525" s="1053"/>
      <c r="N525" s="1053"/>
      <c r="O525" s="1053"/>
      <c r="P525" s="112"/>
      <c r="AA525" s="1050"/>
    </row>
    <row r="526" spans="10:27" ht="13.5" customHeight="1">
      <c r="J526" s="1053"/>
      <c r="K526" s="1053"/>
      <c r="L526" s="1053"/>
      <c r="M526" s="1053"/>
      <c r="N526" s="1053"/>
      <c r="O526" s="1053"/>
      <c r="P526" s="112"/>
      <c r="AA526" s="1050"/>
    </row>
    <row r="527" spans="10:27" ht="13.5" customHeight="1">
      <c r="J527" s="1053"/>
      <c r="K527" s="1053"/>
      <c r="L527" s="1053"/>
      <c r="M527" s="1053"/>
      <c r="N527" s="1053"/>
      <c r="O527" s="1053"/>
      <c r="P527" s="112"/>
      <c r="AA527" s="1050"/>
    </row>
    <row r="528" spans="10:27" ht="13.5" customHeight="1">
      <c r="J528" s="1053"/>
      <c r="K528" s="1053"/>
      <c r="L528" s="1053"/>
      <c r="M528" s="1053"/>
      <c r="N528" s="1053"/>
      <c r="O528" s="1053"/>
      <c r="P528" s="112"/>
      <c r="AA528" s="1050"/>
    </row>
    <row r="529" spans="10:27" ht="13.5" customHeight="1">
      <c r="J529" s="1053"/>
      <c r="K529" s="1053"/>
      <c r="L529" s="1053"/>
      <c r="M529" s="1053"/>
      <c r="N529" s="1053"/>
      <c r="O529" s="1053"/>
      <c r="P529" s="112"/>
      <c r="AA529" s="1050"/>
    </row>
    <row r="530" spans="10:27" ht="13.5" customHeight="1">
      <c r="J530" s="1053"/>
      <c r="K530" s="1053"/>
      <c r="L530" s="1053"/>
      <c r="M530" s="1053"/>
      <c r="N530" s="1053"/>
      <c r="O530" s="1053"/>
      <c r="P530" s="112"/>
      <c r="AA530" s="1050"/>
    </row>
    <row r="531" spans="10:27" ht="13.5" customHeight="1">
      <c r="J531" s="1053"/>
      <c r="K531" s="1053"/>
      <c r="L531" s="1053"/>
      <c r="M531" s="1053"/>
      <c r="N531" s="1053"/>
      <c r="O531" s="1053"/>
      <c r="P531" s="112"/>
      <c r="AA531" s="1050"/>
    </row>
    <row r="532" spans="10:27" ht="13.5" customHeight="1">
      <c r="J532" s="1053"/>
      <c r="K532" s="1053"/>
      <c r="L532" s="1053"/>
      <c r="M532" s="1053"/>
      <c r="N532" s="1053"/>
      <c r="O532" s="1053"/>
      <c r="P532" s="112"/>
      <c r="AA532" s="1050"/>
    </row>
    <row r="533" spans="10:27" ht="13.5" customHeight="1">
      <c r="J533" s="1053"/>
      <c r="K533" s="1053"/>
      <c r="L533" s="1053"/>
      <c r="M533" s="1053"/>
      <c r="N533" s="1053"/>
      <c r="O533" s="1053"/>
      <c r="P533" s="112"/>
      <c r="AA533" s="1050"/>
    </row>
    <row r="534" spans="10:27" ht="13.5" customHeight="1">
      <c r="J534" s="1053"/>
      <c r="K534" s="1053"/>
      <c r="L534" s="1053"/>
      <c r="M534" s="1053"/>
      <c r="N534" s="1053"/>
      <c r="O534" s="1053"/>
      <c r="P534" s="112"/>
      <c r="AA534" s="1050"/>
    </row>
    <row r="535" spans="10:27" ht="13.5" customHeight="1">
      <c r="J535" s="1053"/>
      <c r="K535" s="1053"/>
      <c r="L535" s="1053"/>
      <c r="M535" s="1053"/>
      <c r="N535" s="1053"/>
      <c r="O535" s="1053"/>
      <c r="P535" s="112"/>
      <c r="AA535" s="1050"/>
    </row>
    <row r="536" spans="10:27" ht="13.5" customHeight="1">
      <c r="J536" s="1053"/>
      <c r="K536" s="1053"/>
      <c r="L536" s="1053"/>
      <c r="M536" s="1053"/>
      <c r="N536" s="1053"/>
      <c r="O536" s="1053"/>
      <c r="P536" s="112"/>
      <c r="AA536" s="1050"/>
    </row>
    <row r="537" spans="10:27" ht="13.5" customHeight="1">
      <c r="J537" s="1053"/>
      <c r="K537" s="1053"/>
      <c r="L537" s="1053"/>
      <c r="M537" s="1053"/>
      <c r="N537" s="1053"/>
      <c r="O537" s="1053"/>
      <c r="P537" s="112"/>
      <c r="AA537" s="1050"/>
    </row>
    <row r="538" spans="10:27" ht="13.5" customHeight="1">
      <c r="J538" s="1053"/>
      <c r="K538" s="1053"/>
      <c r="L538" s="1053"/>
      <c r="M538" s="1053"/>
      <c r="N538" s="1053"/>
      <c r="O538" s="1053"/>
      <c r="P538" s="112"/>
      <c r="AA538" s="1050"/>
    </row>
    <row r="539" spans="10:27" ht="13.5" customHeight="1">
      <c r="J539" s="1053"/>
      <c r="K539" s="1053"/>
      <c r="L539" s="1053"/>
      <c r="M539" s="1053"/>
      <c r="N539" s="1053"/>
      <c r="O539" s="1053"/>
      <c r="P539" s="112"/>
      <c r="AA539" s="1050"/>
    </row>
    <row r="540" spans="10:27" ht="13.5" customHeight="1">
      <c r="J540" s="1053"/>
      <c r="K540" s="1053"/>
      <c r="L540" s="1053"/>
      <c r="M540" s="1053"/>
      <c r="N540" s="1053"/>
      <c r="O540" s="1053"/>
      <c r="P540" s="112"/>
      <c r="AA540" s="1050"/>
    </row>
    <row r="541" spans="10:27" ht="13.5" customHeight="1">
      <c r="J541" s="1053"/>
      <c r="K541" s="1053"/>
      <c r="L541" s="1053"/>
      <c r="M541" s="1053"/>
      <c r="N541" s="1053"/>
      <c r="O541" s="1053"/>
      <c r="P541" s="112"/>
      <c r="AA541" s="1050"/>
    </row>
    <row r="542" spans="10:27" ht="13.5" customHeight="1">
      <c r="J542" s="1053"/>
      <c r="K542" s="1053"/>
      <c r="L542" s="1053"/>
      <c r="M542" s="1053"/>
      <c r="N542" s="1053"/>
      <c r="O542" s="1053"/>
      <c r="P542" s="112"/>
      <c r="AA542" s="1050"/>
    </row>
    <row r="543" spans="10:27" ht="13.5" customHeight="1">
      <c r="J543" s="1053"/>
      <c r="K543" s="1053"/>
      <c r="L543" s="1053"/>
      <c r="M543" s="1053"/>
      <c r="N543" s="1053"/>
      <c r="O543" s="1053"/>
      <c r="P543" s="112"/>
      <c r="AA543" s="1050"/>
    </row>
    <row r="544" spans="10:27" ht="13.5" customHeight="1">
      <c r="J544" s="1053"/>
      <c r="K544" s="1053"/>
      <c r="L544" s="1053"/>
      <c r="M544" s="1053"/>
      <c r="N544" s="1053"/>
      <c r="O544" s="1053"/>
      <c r="P544" s="112"/>
      <c r="AA544" s="1050"/>
    </row>
    <row r="545" spans="10:27" ht="13.5" customHeight="1">
      <c r="J545" s="1053"/>
      <c r="K545" s="1053"/>
      <c r="L545" s="1053"/>
      <c r="M545" s="1053"/>
      <c r="N545" s="1053"/>
      <c r="O545" s="1053"/>
      <c r="P545" s="112"/>
      <c r="AA545" s="1050"/>
    </row>
    <row r="546" spans="10:27" ht="13.5" customHeight="1">
      <c r="J546" s="1053"/>
      <c r="K546" s="1053"/>
      <c r="L546" s="1053"/>
      <c r="M546" s="1053"/>
      <c r="N546" s="1053"/>
      <c r="O546" s="1053"/>
      <c r="P546" s="112"/>
      <c r="AA546" s="1050"/>
    </row>
    <row r="547" spans="10:27" ht="13.5" customHeight="1">
      <c r="J547" s="1053"/>
      <c r="K547" s="1053"/>
      <c r="L547" s="1053"/>
      <c r="M547" s="1053"/>
      <c r="N547" s="1053"/>
      <c r="O547" s="1053"/>
      <c r="P547" s="112"/>
      <c r="AA547" s="1050"/>
    </row>
    <row r="548" spans="10:27" ht="13.5" customHeight="1">
      <c r="J548" s="1053"/>
      <c r="K548" s="1053"/>
      <c r="L548" s="1053"/>
      <c r="M548" s="1053"/>
      <c r="N548" s="1053"/>
      <c r="O548" s="1053"/>
      <c r="P548" s="112"/>
      <c r="AA548" s="1050"/>
    </row>
    <row r="549" spans="10:27" ht="13.5" customHeight="1">
      <c r="J549" s="1053"/>
      <c r="K549" s="1053"/>
      <c r="L549" s="1053"/>
      <c r="M549" s="1053"/>
      <c r="N549" s="1053"/>
      <c r="O549" s="1053"/>
      <c r="P549" s="112"/>
      <c r="AA549" s="1050"/>
    </row>
    <row r="550" spans="10:27" ht="13.5" customHeight="1">
      <c r="J550" s="1053"/>
      <c r="K550" s="1053"/>
      <c r="L550" s="1053"/>
      <c r="M550" s="1053"/>
      <c r="N550" s="1053"/>
      <c r="O550" s="1053"/>
      <c r="P550" s="112"/>
      <c r="AA550" s="1050"/>
    </row>
    <row r="551" spans="10:27" ht="13.5" customHeight="1">
      <c r="J551" s="1053"/>
      <c r="K551" s="1053"/>
      <c r="L551" s="1053"/>
      <c r="M551" s="1053"/>
      <c r="N551" s="1053"/>
      <c r="O551" s="1053"/>
      <c r="P551" s="112"/>
      <c r="AA551" s="1050"/>
    </row>
    <row r="552" spans="10:27" ht="13.5" customHeight="1">
      <c r="J552" s="1053"/>
      <c r="K552" s="1053"/>
      <c r="L552" s="1053"/>
      <c r="M552" s="1053"/>
      <c r="N552" s="1053"/>
      <c r="O552" s="1053"/>
      <c r="P552" s="112"/>
      <c r="AA552" s="1050"/>
    </row>
    <row r="553" spans="10:27" ht="13.5" customHeight="1">
      <c r="J553" s="1053"/>
      <c r="K553" s="1053"/>
      <c r="L553" s="1053"/>
      <c r="M553" s="1053"/>
      <c r="N553" s="1053"/>
      <c r="O553" s="1053"/>
      <c r="P553" s="112"/>
      <c r="AA553" s="1050"/>
    </row>
    <row r="554" spans="10:27" ht="13.5" customHeight="1">
      <c r="J554" s="1053"/>
      <c r="K554" s="1053"/>
      <c r="L554" s="1053"/>
      <c r="M554" s="1053"/>
      <c r="N554" s="1053"/>
      <c r="O554" s="1053"/>
      <c r="P554" s="112"/>
      <c r="AA554" s="1050"/>
    </row>
    <row r="555" spans="10:27" ht="13.5" customHeight="1">
      <c r="J555" s="1053"/>
      <c r="K555" s="1053"/>
      <c r="L555" s="1053"/>
      <c r="M555" s="1053"/>
      <c r="N555" s="1053"/>
      <c r="O555" s="1053"/>
      <c r="P555" s="112"/>
      <c r="AA555" s="1050"/>
    </row>
    <row r="556" spans="10:27" ht="13.5" customHeight="1">
      <c r="J556" s="1053"/>
      <c r="K556" s="1053"/>
      <c r="L556" s="1053"/>
      <c r="M556" s="1053"/>
      <c r="N556" s="1053"/>
      <c r="O556" s="1053"/>
      <c r="P556" s="112"/>
      <c r="AA556" s="1050"/>
    </row>
    <row r="557" spans="10:27" ht="13.5" customHeight="1">
      <c r="J557" s="1053"/>
      <c r="K557" s="1053"/>
      <c r="L557" s="1053"/>
      <c r="M557" s="1053"/>
      <c r="N557" s="1053"/>
      <c r="O557" s="1053"/>
      <c r="P557" s="112"/>
      <c r="AA557" s="1050"/>
    </row>
    <row r="558" spans="10:27" ht="13.5" customHeight="1">
      <c r="J558" s="1053"/>
      <c r="K558" s="1053"/>
      <c r="L558" s="1053"/>
      <c r="M558" s="1053"/>
      <c r="N558" s="1053"/>
      <c r="O558" s="1053"/>
      <c r="P558" s="112"/>
      <c r="AA558" s="1050"/>
    </row>
    <row r="559" spans="10:27" ht="13.5" customHeight="1">
      <c r="J559" s="1053"/>
      <c r="K559" s="1053"/>
      <c r="L559" s="1053"/>
      <c r="M559" s="1053"/>
      <c r="N559" s="1053"/>
      <c r="O559" s="1053"/>
      <c r="P559" s="112"/>
      <c r="AA559" s="1050"/>
    </row>
    <row r="560" spans="10:27" ht="13.5" customHeight="1">
      <c r="J560" s="1053"/>
      <c r="K560" s="1053"/>
      <c r="L560" s="1053"/>
      <c r="M560" s="1053"/>
      <c r="N560" s="1053"/>
      <c r="O560" s="1053"/>
      <c r="P560" s="112"/>
      <c r="AA560" s="1050"/>
    </row>
    <row r="561" spans="10:27" ht="13.5" customHeight="1">
      <c r="J561" s="1053"/>
      <c r="K561" s="1053"/>
      <c r="L561" s="1053"/>
      <c r="M561" s="1053"/>
      <c r="N561" s="1053"/>
      <c r="O561" s="1053"/>
      <c r="P561" s="112"/>
      <c r="AA561" s="1050"/>
    </row>
    <row r="562" spans="10:27" ht="13.5" customHeight="1">
      <c r="J562" s="1053"/>
      <c r="K562" s="1053"/>
      <c r="L562" s="1053"/>
      <c r="M562" s="1053"/>
      <c r="N562" s="1053"/>
      <c r="O562" s="1053"/>
      <c r="P562" s="112"/>
      <c r="AA562" s="1050"/>
    </row>
    <row r="563" spans="10:27" ht="13.5" customHeight="1">
      <c r="J563" s="1053"/>
      <c r="K563" s="1053"/>
      <c r="L563" s="1053"/>
      <c r="M563" s="1053"/>
      <c r="N563" s="1053"/>
      <c r="O563" s="1053"/>
      <c r="P563" s="112"/>
      <c r="AA563" s="1050"/>
    </row>
    <row r="564" spans="10:27" ht="13.5" customHeight="1">
      <c r="J564" s="1053"/>
      <c r="K564" s="1053"/>
      <c r="L564" s="1053"/>
      <c r="M564" s="1053"/>
      <c r="N564" s="1053"/>
      <c r="O564" s="1053"/>
      <c r="P564" s="112"/>
      <c r="AA564" s="1050"/>
    </row>
    <row r="565" spans="10:27" ht="13.5" customHeight="1">
      <c r="J565" s="1053"/>
      <c r="K565" s="1053"/>
      <c r="L565" s="1053"/>
      <c r="M565" s="1053"/>
      <c r="N565" s="1053"/>
      <c r="O565" s="1053"/>
      <c r="P565" s="112"/>
      <c r="AA565" s="1050"/>
    </row>
    <row r="566" spans="10:27" ht="13.5" customHeight="1">
      <c r="J566" s="1053"/>
      <c r="K566" s="1053"/>
      <c r="L566" s="1053"/>
      <c r="M566" s="1053"/>
      <c r="N566" s="1053"/>
      <c r="O566" s="1053"/>
      <c r="P566" s="112"/>
      <c r="AA566" s="1050"/>
    </row>
    <row r="567" spans="10:27" ht="13.5" customHeight="1">
      <c r="J567" s="1053"/>
      <c r="K567" s="1053"/>
      <c r="L567" s="1053"/>
      <c r="M567" s="1053"/>
      <c r="N567" s="1053"/>
      <c r="O567" s="1053"/>
      <c r="P567" s="112"/>
      <c r="AA567" s="1050"/>
    </row>
    <row r="568" spans="10:27" ht="13.5" customHeight="1">
      <c r="J568" s="1053"/>
      <c r="K568" s="1053"/>
      <c r="L568" s="1053"/>
      <c r="M568" s="1053"/>
      <c r="N568" s="1053"/>
      <c r="O568" s="1053"/>
      <c r="P568" s="112"/>
      <c r="AA568" s="1050"/>
    </row>
    <row r="569" spans="10:27" ht="13.5" customHeight="1">
      <c r="J569" s="1053"/>
      <c r="K569" s="1053"/>
      <c r="L569" s="1053"/>
      <c r="M569" s="1053"/>
      <c r="N569" s="1053"/>
      <c r="O569" s="1053"/>
      <c r="P569" s="112"/>
      <c r="AA569" s="1050"/>
    </row>
    <row r="570" spans="10:27" ht="13.5" customHeight="1">
      <c r="J570" s="1053"/>
      <c r="K570" s="1053"/>
      <c r="L570" s="1053"/>
      <c r="M570" s="1053"/>
      <c r="N570" s="1053"/>
      <c r="O570" s="1053"/>
      <c r="P570" s="112"/>
      <c r="AA570" s="1050"/>
    </row>
    <row r="571" spans="10:27" ht="13.5" customHeight="1">
      <c r="J571" s="1053"/>
      <c r="K571" s="1053"/>
      <c r="L571" s="1053"/>
      <c r="M571" s="1053"/>
      <c r="N571" s="1053"/>
      <c r="O571" s="1053"/>
      <c r="P571" s="112"/>
      <c r="AA571" s="1050"/>
    </row>
    <row r="572" spans="10:27" ht="13.5" customHeight="1">
      <c r="J572" s="1053"/>
      <c r="K572" s="1053"/>
      <c r="L572" s="1053"/>
      <c r="M572" s="1053"/>
      <c r="N572" s="1053"/>
      <c r="O572" s="1053"/>
      <c r="P572" s="112"/>
      <c r="AA572" s="1050"/>
    </row>
    <row r="573" spans="10:27" ht="13.5" customHeight="1">
      <c r="J573" s="1053"/>
      <c r="K573" s="1053"/>
      <c r="L573" s="1053"/>
      <c r="M573" s="1053"/>
      <c r="N573" s="1053"/>
      <c r="O573" s="1053"/>
      <c r="P573" s="112"/>
      <c r="AA573" s="1050"/>
    </row>
    <row r="574" spans="10:27" ht="13.5" customHeight="1">
      <c r="J574" s="1053"/>
      <c r="K574" s="1053"/>
      <c r="L574" s="1053"/>
      <c r="M574" s="1053"/>
      <c r="N574" s="1053"/>
      <c r="O574" s="1053"/>
      <c r="P574" s="112"/>
      <c r="AA574" s="1050"/>
    </row>
    <row r="575" spans="10:27" ht="13.5" customHeight="1">
      <c r="J575" s="1053"/>
      <c r="K575" s="1053"/>
      <c r="L575" s="1053"/>
      <c r="M575" s="1053"/>
      <c r="N575" s="1053"/>
      <c r="O575" s="1053"/>
      <c r="P575" s="112"/>
      <c r="AA575" s="1050"/>
    </row>
    <row r="576" spans="10:27" ht="13.5" customHeight="1">
      <c r="J576" s="1053"/>
      <c r="K576" s="1053"/>
      <c r="L576" s="1053"/>
      <c r="M576" s="1053"/>
      <c r="N576" s="1053"/>
      <c r="O576" s="1053"/>
      <c r="P576" s="112"/>
      <c r="AA576" s="1050"/>
    </row>
    <row r="577" spans="10:27" ht="13.5" customHeight="1">
      <c r="J577" s="1053"/>
      <c r="K577" s="1053"/>
      <c r="L577" s="1053"/>
      <c r="M577" s="1053"/>
      <c r="N577" s="1053"/>
      <c r="O577" s="1053"/>
      <c r="P577" s="112"/>
      <c r="AA577" s="1050"/>
    </row>
    <row r="578" spans="10:27" ht="13.5" customHeight="1">
      <c r="J578" s="1053"/>
      <c r="K578" s="1053"/>
      <c r="L578" s="1053"/>
      <c r="M578" s="1053"/>
      <c r="N578" s="1053"/>
      <c r="O578" s="1053"/>
      <c r="P578" s="112"/>
      <c r="AA578" s="1050"/>
    </row>
    <row r="579" spans="10:27" ht="13.5" customHeight="1">
      <c r="J579" s="1053"/>
      <c r="K579" s="1053"/>
      <c r="L579" s="1053"/>
      <c r="M579" s="1053"/>
      <c r="N579" s="1053"/>
      <c r="O579" s="1053"/>
      <c r="P579" s="112"/>
      <c r="AA579" s="1050"/>
    </row>
    <row r="580" spans="10:27" ht="13.5" customHeight="1">
      <c r="J580" s="1053"/>
      <c r="K580" s="1053"/>
      <c r="L580" s="1053"/>
      <c r="M580" s="1053"/>
      <c r="N580" s="1053"/>
      <c r="O580" s="1053"/>
      <c r="P580" s="112"/>
      <c r="AA580" s="1050"/>
    </row>
    <row r="581" spans="10:27" ht="13.5" customHeight="1">
      <c r="J581" s="1053"/>
      <c r="K581" s="1053"/>
      <c r="L581" s="1053"/>
      <c r="M581" s="1053"/>
      <c r="N581" s="1053"/>
      <c r="O581" s="1053"/>
      <c r="P581" s="112"/>
      <c r="AA581" s="1050"/>
    </row>
    <row r="582" spans="10:27" ht="13.5" customHeight="1">
      <c r="J582" s="1053"/>
      <c r="K582" s="1053"/>
      <c r="L582" s="1053"/>
      <c r="M582" s="1053"/>
      <c r="N582" s="1053"/>
      <c r="O582" s="1053"/>
      <c r="P582" s="112"/>
      <c r="AA582" s="1050"/>
    </row>
    <row r="583" spans="10:27" ht="13.5" customHeight="1">
      <c r="J583" s="1053"/>
      <c r="K583" s="1053"/>
      <c r="L583" s="1053"/>
      <c r="M583" s="1053"/>
      <c r="N583" s="1053"/>
      <c r="O583" s="1053"/>
      <c r="P583" s="112"/>
      <c r="AA583" s="1050"/>
    </row>
    <row r="584" spans="10:27" ht="13.5" customHeight="1">
      <c r="J584" s="1053"/>
      <c r="K584" s="1053"/>
      <c r="L584" s="1053"/>
      <c r="M584" s="1053"/>
      <c r="N584" s="1053"/>
      <c r="O584" s="1053"/>
      <c r="P584" s="112"/>
      <c r="AA584" s="1050"/>
    </row>
    <row r="585" spans="10:27" ht="13.5" customHeight="1">
      <c r="J585" s="1053"/>
      <c r="K585" s="1053"/>
      <c r="L585" s="1053"/>
      <c r="M585" s="1053"/>
      <c r="N585" s="1053"/>
      <c r="O585" s="1053"/>
      <c r="P585" s="112"/>
      <c r="AA585" s="1050"/>
    </row>
    <row r="586" spans="10:27" ht="13.5" customHeight="1">
      <c r="J586" s="1053"/>
      <c r="K586" s="1053"/>
      <c r="L586" s="1053"/>
      <c r="M586" s="1053"/>
      <c r="N586" s="1053"/>
      <c r="O586" s="1053"/>
      <c r="P586" s="112"/>
      <c r="AA586" s="1050"/>
    </row>
    <row r="587" spans="10:27" ht="13.5" customHeight="1">
      <c r="J587" s="1053"/>
      <c r="K587" s="1053"/>
      <c r="L587" s="1053"/>
      <c r="M587" s="1053"/>
      <c r="N587" s="1053"/>
      <c r="O587" s="1053"/>
      <c r="P587" s="112"/>
      <c r="AA587" s="1050"/>
    </row>
    <row r="588" spans="10:27" ht="13.5" customHeight="1">
      <c r="J588" s="1053"/>
      <c r="K588" s="1053"/>
      <c r="L588" s="1053"/>
      <c r="M588" s="1053"/>
      <c r="N588" s="1053"/>
      <c r="O588" s="1053"/>
      <c r="P588" s="112"/>
      <c r="AA588" s="1050"/>
    </row>
    <row r="589" spans="10:27" ht="13.5" customHeight="1">
      <c r="J589" s="1053"/>
      <c r="K589" s="1053"/>
      <c r="L589" s="1053"/>
      <c r="M589" s="1053"/>
      <c r="N589" s="1053"/>
      <c r="O589" s="1053"/>
      <c r="P589" s="112"/>
      <c r="AA589" s="1050"/>
    </row>
    <row r="590" spans="10:27" ht="13.5" customHeight="1">
      <c r="J590" s="1053"/>
      <c r="K590" s="1053"/>
      <c r="L590" s="1053"/>
      <c r="M590" s="1053"/>
      <c r="N590" s="1053"/>
      <c r="O590" s="1053"/>
      <c r="P590" s="112"/>
      <c r="AA590" s="1050"/>
    </row>
    <row r="591" spans="10:27" ht="13.5" customHeight="1">
      <c r="J591" s="1053"/>
      <c r="K591" s="1053"/>
      <c r="L591" s="1053"/>
      <c r="M591" s="1053"/>
      <c r="N591" s="1053"/>
      <c r="O591" s="1053"/>
      <c r="P591" s="112"/>
      <c r="AA591" s="1050"/>
    </row>
    <row r="592" spans="10:27" ht="13.5" customHeight="1">
      <c r="J592" s="1053"/>
      <c r="K592" s="1053"/>
      <c r="L592" s="1053"/>
      <c r="M592" s="1053"/>
      <c r="N592" s="1053"/>
      <c r="O592" s="1053"/>
      <c r="P592" s="112"/>
      <c r="AA592" s="1050"/>
    </row>
    <row r="593" spans="10:27" ht="13.5" customHeight="1">
      <c r="J593" s="1053"/>
      <c r="K593" s="1053"/>
      <c r="L593" s="1053"/>
      <c r="M593" s="1053"/>
      <c r="N593" s="1053"/>
      <c r="O593" s="1053"/>
      <c r="P593" s="112"/>
      <c r="AA593" s="1050"/>
    </row>
    <row r="594" spans="10:27" ht="13.5" customHeight="1">
      <c r="J594" s="1053"/>
      <c r="K594" s="1053"/>
      <c r="L594" s="1053"/>
      <c r="M594" s="1053"/>
      <c r="N594" s="1053"/>
      <c r="O594" s="1053"/>
      <c r="P594" s="112"/>
      <c r="AA594" s="1050"/>
    </row>
    <row r="595" spans="10:27" ht="13.5" customHeight="1">
      <c r="J595" s="1053"/>
      <c r="K595" s="1053"/>
      <c r="L595" s="1053"/>
      <c r="M595" s="1053"/>
      <c r="N595" s="1053"/>
      <c r="O595" s="1053"/>
      <c r="P595" s="112"/>
      <c r="AA595" s="1050"/>
    </row>
    <row r="596" spans="10:27" ht="13.5" customHeight="1">
      <c r="J596" s="1053"/>
      <c r="K596" s="1053"/>
      <c r="L596" s="1053"/>
      <c r="M596" s="1053"/>
      <c r="N596" s="1053"/>
      <c r="O596" s="1053"/>
      <c r="P596" s="112"/>
      <c r="AA596" s="1050"/>
    </row>
    <row r="597" spans="10:27" ht="13.5" customHeight="1">
      <c r="J597" s="1053"/>
      <c r="K597" s="1053"/>
      <c r="L597" s="1053"/>
      <c r="M597" s="1053"/>
      <c r="N597" s="1053"/>
      <c r="O597" s="1053"/>
      <c r="P597" s="112"/>
      <c r="AA597" s="1050"/>
    </row>
    <row r="598" spans="10:27" ht="13.5" customHeight="1">
      <c r="J598" s="1053"/>
      <c r="K598" s="1053"/>
      <c r="L598" s="1053"/>
      <c r="M598" s="1053"/>
      <c r="N598" s="1053"/>
      <c r="O598" s="1053"/>
      <c r="P598" s="112"/>
      <c r="AA598" s="1050"/>
    </row>
    <row r="599" spans="10:27" ht="13.5" customHeight="1">
      <c r="J599" s="1053"/>
      <c r="K599" s="1053"/>
      <c r="L599" s="1053"/>
      <c r="M599" s="1053"/>
      <c r="N599" s="1053"/>
      <c r="O599" s="1053"/>
      <c r="P599" s="112"/>
      <c r="AA599" s="1050"/>
    </row>
    <row r="600" spans="10:27" ht="13.5" customHeight="1">
      <c r="J600" s="1053"/>
      <c r="K600" s="1053"/>
      <c r="L600" s="1053"/>
      <c r="M600" s="1053"/>
      <c r="N600" s="1053"/>
      <c r="O600" s="1053"/>
      <c r="P600" s="112"/>
      <c r="AA600" s="1050"/>
    </row>
    <row r="601" spans="10:27" ht="13.5" customHeight="1">
      <c r="J601" s="1053"/>
      <c r="K601" s="1053"/>
      <c r="L601" s="1053"/>
      <c r="M601" s="1053"/>
      <c r="N601" s="1053"/>
      <c r="O601" s="1053"/>
      <c r="P601" s="112"/>
      <c r="AA601" s="1050"/>
    </row>
    <row r="602" spans="10:27" ht="13.5" customHeight="1">
      <c r="J602" s="1053"/>
      <c r="K602" s="1053"/>
      <c r="L602" s="1053"/>
      <c r="M602" s="1053"/>
      <c r="N602" s="1053"/>
      <c r="O602" s="1053"/>
      <c r="P602" s="112"/>
      <c r="AA602" s="1050"/>
    </row>
    <row r="603" spans="10:27" ht="13.5" customHeight="1">
      <c r="J603" s="1053"/>
      <c r="K603" s="1053"/>
      <c r="L603" s="1053"/>
      <c r="M603" s="1053"/>
      <c r="N603" s="1053"/>
      <c r="O603" s="1053"/>
      <c r="P603" s="112"/>
      <c r="AA603" s="1050"/>
    </row>
    <row r="604" spans="10:27" ht="13.5" customHeight="1">
      <c r="J604" s="1053"/>
      <c r="K604" s="1053"/>
      <c r="L604" s="1053"/>
      <c r="M604" s="1053"/>
      <c r="N604" s="1053"/>
      <c r="O604" s="1053"/>
      <c r="P604" s="112"/>
      <c r="AA604" s="1050"/>
    </row>
    <row r="605" spans="10:27" ht="13.5" customHeight="1">
      <c r="J605" s="1053"/>
      <c r="K605" s="1053"/>
      <c r="L605" s="1053"/>
      <c r="M605" s="1053"/>
      <c r="N605" s="1053"/>
      <c r="O605" s="1053"/>
      <c r="P605" s="112"/>
      <c r="AA605" s="1050"/>
    </row>
    <row r="606" spans="10:27" ht="13.5" customHeight="1">
      <c r="J606" s="1053"/>
      <c r="K606" s="1053"/>
      <c r="L606" s="1053"/>
      <c r="M606" s="1053"/>
      <c r="N606" s="1053"/>
      <c r="O606" s="1053"/>
      <c r="P606" s="112"/>
      <c r="AA606" s="1050"/>
    </row>
    <row r="607" spans="10:27" ht="13.5" customHeight="1">
      <c r="J607" s="1053"/>
      <c r="K607" s="1053"/>
      <c r="L607" s="1053"/>
      <c r="M607" s="1053"/>
      <c r="N607" s="1053"/>
      <c r="O607" s="1053"/>
      <c r="P607" s="112"/>
      <c r="AA607" s="1050"/>
    </row>
    <row r="608" spans="10:27" ht="13.5" customHeight="1">
      <c r="J608" s="1053"/>
      <c r="K608" s="1053"/>
      <c r="L608" s="1053"/>
      <c r="M608" s="1053"/>
      <c r="N608" s="1053"/>
      <c r="O608" s="1053"/>
      <c r="P608" s="112"/>
      <c r="AA608" s="1050"/>
    </row>
    <row r="609" spans="10:27" ht="13.5" customHeight="1">
      <c r="J609" s="1053"/>
      <c r="K609" s="1053"/>
      <c r="L609" s="1053"/>
      <c r="M609" s="1053"/>
      <c r="N609" s="1053"/>
      <c r="O609" s="1053"/>
      <c r="P609" s="112"/>
      <c r="AA609" s="1050"/>
    </row>
    <row r="610" spans="10:27" ht="13.5" customHeight="1">
      <c r="J610" s="1053"/>
      <c r="K610" s="1053"/>
      <c r="L610" s="1053"/>
      <c r="M610" s="1053"/>
      <c r="N610" s="1053"/>
      <c r="O610" s="1053"/>
      <c r="P610" s="112"/>
      <c r="AA610" s="1050"/>
    </row>
    <row r="611" spans="10:27" ht="13.5" customHeight="1">
      <c r="J611" s="1053"/>
      <c r="K611" s="1053"/>
      <c r="L611" s="1053"/>
      <c r="M611" s="1053"/>
      <c r="N611" s="1053"/>
      <c r="O611" s="1053"/>
      <c r="P611" s="112"/>
      <c r="AA611" s="1050"/>
    </row>
    <row r="612" spans="10:27" ht="13.5" customHeight="1">
      <c r="J612" s="1053"/>
      <c r="K612" s="1053"/>
      <c r="L612" s="1053"/>
      <c r="M612" s="1053"/>
      <c r="N612" s="1053"/>
      <c r="O612" s="1053"/>
      <c r="P612" s="112"/>
      <c r="AA612" s="1050"/>
    </row>
    <row r="613" spans="10:27" ht="13.5" customHeight="1">
      <c r="J613" s="1053"/>
      <c r="K613" s="1053"/>
      <c r="L613" s="1053"/>
      <c r="M613" s="1053"/>
      <c r="N613" s="1053"/>
      <c r="O613" s="1053"/>
      <c r="P613" s="112"/>
      <c r="AA613" s="1050"/>
    </row>
    <row r="614" spans="10:27" ht="13.5" customHeight="1">
      <c r="J614" s="1053"/>
      <c r="K614" s="1053"/>
      <c r="L614" s="1053"/>
      <c r="M614" s="1053"/>
      <c r="N614" s="1053"/>
      <c r="O614" s="1053"/>
      <c r="P614" s="112"/>
      <c r="AA614" s="1050"/>
    </row>
    <row r="615" spans="10:27" ht="13.5" customHeight="1">
      <c r="J615" s="1053"/>
      <c r="K615" s="1053"/>
      <c r="L615" s="1053"/>
      <c r="M615" s="1053"/>
      <c r="N615" s="1053"/>
      <c r="O615" s="1053"/>
      <c r="P615" s="112"/>
      <c r="AA615" s="1050"/>
    </row>
    <row r="616" spans="10:27" ht="13.5" customHeight="1">
      <c r="J616" s="1053"/>
      <c r="K616" s="1053"/>
      <c r="L616" s="1053"/>
      <c r="M616" s="1053"/>
      <c r="N616" s="1053"/>
      <c r="O616" s="1053"/>
      <c r="P616" s="112"/>
      <c r="AA616" s="1050"/>
    </row>
    <row r="617" spans="10:27" ht="13.5" customHeight="1">
      <c r="J617" s="1053"/>
      <c r="K617" s="1053"/>
      <c r="L617" s="1053"/>
      <c r="M617" s="1053"/>
      <c r="N617" s="1053"/>
      <c r="O617" s="1053"/>
      <c r="P617" s="112"/>
      <c r="AA617" s="1050"/>
    </row>
    <row r="618" spans="10:27" ht="13.5" customHeight="1">
      <c r="J618" s="1053"/>
      <c r="K618" s="1053"/>
      <c r="L618" s="1053"/>
      <c r="M618" s="1053"/>
      <c r="N618" s="1053"/>
      <c r="O618" s="1053"/>
      <c r="P618" s="112"/>
      <c r="AA618" s="1050"/>
    </row>
    <row r="619" spans="10:27" ht="13.5" customHeight="1">
      <c r="J619" s="1053"/>
      <c r="K619" s="1053"/>
      <c r="L619" s="1053"/>
      <c r="M619" s="1053"/>
      <c r="N619" s="1053"/>
      <c r="O619" s="1053"/>
      <c r="P619" s="112"/>
      <c r="AA619" s="1050"/>
    </row>
    <row r="620" spans="10:27" ht="13.5" customHeight="1">
      <c r="J620" s="1053"/>
      <c r="K620" s="1053"/>
      <c r="L620" s="1053"/>
      <c r="M620" s="1053"/>
      <c r="N620" s="1053"/>
      <c r="O620" s="1053"/>
      <c r="P620" s="112"/>
      <c r="AA620" s="1050"/>
    </row>
    <row r="621" spans="10:27" ht="13.5" customHeight="1">
      <c r="J621" s="1053"/>
      <c r="K621" s="1053"/>
      <c r="L621" s="1053"/>
      <c r="M621" s="1053"/>
      <c r="N621" s="1053"/>
      <c r="O621" s="1053"/>
      <c r="P621" s="112"/>
      <c r="AA621" s="1050"/>
    </row>
    <row r="622" spans="10:27" ht="13.5" customHeight="1">
      <c r="J622" s="1053"/>
      <c r="K622" s="1053"/>
      <c r="L622" s="1053"/>
      <c r="M622" s="1053"/>
      <c r="N622" s="1053"/>
      <c r="O622" s="1053"/>
      <c r="P622" s="112"/>
      <c r="AA622" s="1050"/>
    </row>
    <row r="623" spans="10:27" ht="13.5" customHeight="1">
      <c r="J623" s="1053"/>
      <c r="K623" s="1053"/>
      <c r="L623" s="1053"/>
      <c r="M623" s="1053"/>
      <c r="N623" s="1053"/>
      <c r="O623" s="1053"/>
      <c r="P623" s="112"/>
      <c r="AA623" s="1050"/>
    </row>
    <row r="624" spans="10:27" ht="13.5" customHeight="1">
      <c r="J624" s="1053"/>
      <c r="K624" s="1053"/>
      <c r="L624" s="1053"/>
      <c r="M624" s="1053"/>
      <c r="N624" s="1053"/>
      <c r="O624" s="1053"/>
      <c r="P624" s="112"/>
      <c r="AA624" s="1050"/>
    </row>
    <row r="625" spans="10:27" ht="13.5" customHeight="1">
      <c r="J625" s="1053"/>
      <c r="K625" s="1053"/>
      <c r="L625" s="1053"/>
      <c r="M625" s="1053"/>
      <c r="N625" s="1053"/>
      <c r="O625" s="1053"/>
      <c r="P625" s="112"/>
      <c r="AA625" s="1050"/>
    </row>
    <row r="626" spans="10:27" ht="13.5" customHeight="1">
      <c r="J626" s="1053"/>
      <c r="K626" s="1053"/>
      <c r="L626" s="1053"/>
      <c r="M626" s="1053"/>
      <c r="N626" s="1053"/>
      <c r="O626" s="1053"/>
      <c r="P626" s="112"/>
      <c r="AA626" s="1050"/>
    </row>
    <row r="627" spans="10:27" ht="13.5" customHeight="1">
      <c r="J627" s="1053"/>
      <c r="K627" s="1053"/>
      <c r="L627" s="1053"/>
      <c r="M627" s="1053"/>
      <c r="N627" s="1053"/>
      <c r="O627" s="1053"/>
      <c r="P627" s="112"/>
      <c r="AA627" s="1050"/>
    </row>
    <row r="628" spans="10:27" ht="13.5" customHeight="1">
      <c r="J628" s="1053"/>
      <c r="K628" s="1053"/>
      <c r="L628" s="1053"/>
      <c r="M628" s="1053"/>
      <c r="N628" s="1053"/>
      <c r="O628" s="1053"/>
      <c r="P628" s="112"/>
      <c r="AA628" s="1050"/>
    </row>
    <row r="629" spans="10:27" ht="13.5" customHeight="1">
      <c r="J629" s="1053"/>
      <c r="K629" s="1053"/>
      <c r="L629" s="1053"/>
      <c r="M629" s="1053"/>
      <c r="N629" s="1053"/>
      <c r="O629" s="1053"/>
      <c r="P629" s="112"/>
      <c r="AA629" s="1050"/>
    </row>
    <row r="630" spans="10:27" ht="13.5" customHeight="1">
      <c r="J630" s="1053"/>
      <c r="K630" s="1053"/>
      <c r="L630" s="1053"/>
      <c r="M630" s="1053"/>
      <c r="N630" s="1053"/>
      <c r="O630" s="1053"/>
      <c r="P630" s="112"/>
      <c r="AA630" s="1050"/>
    </row>
    <row r="631" spans="10:27" ht="13.5" customHeight="1">
      <c r="J631" s="1053"/>
      <c r="K631" s="1053"/>
      <c r="L631" s="1053"/>
      <c r="M631" s="1053"/>
      <c r="N631" s="1053"/>
      <c r="O631" s="1053"/>
      <c r="P631" s="112"/>
      <c r="AA631" s="1050"/>
    </row>
    <row r="632" spans="10:27" ht="13.5" customHeight="1">
      <c r="J632" s="1053"/>
      <c r="K632" s="1053"/>
      <c r="L632" s="1053"/>
      <c r="M632" s="1053"/>
      <c r="N632" s="1053"/>
      <c r="O632" s="1053"/>
      <c r="P632" s="112"/>
      <c r="AA632" s="1050"/>
    </row>
    <row r="633" spans="10:27" ht="13.5" customHeight="1">
      <c r="J633" s="1053"/>
      <c r="K633" s="1053"/>
      <c r="L633" s="1053"/>
      <c r="M633" s="1053"/>
      <c r="N633" s="1053"/>
      <c r="O633" s="1053"/>
      <c r="P633" s="112"/>
      <c r="AA633" s="1050"/>
    </row>
    <row r="634" spans="10:27" ht="13.5" customHeight="1">
      <c r="J634" s="1053"/>
      <c r="K634" s="1053"/>
      <c r="L634" s="1053"/>
      <c r="M634" s="1053"/>
      <c r="N634" s="1053"/>
      <c r="O634" s="1053"/>
      <c r="P634" s="112"/>
      <c r="AA634" s="1050"/>
    </row>
    <row r="635" spans="10:27" ht="13.5" customHeight="1">
      <c r="J635" s="1053"/>
      <c r="K635" s="1053"/>
      <c r="L635" s="1053"/>
      <c r="M635" s="1053"/>
      <c r="N635" s="1053"/>
      <c r="O635" s="1053"/>
      <c r="P635" s="112"/>
      <c r="AA635" s="1050"/>
    </row>
    <row r="636" spans="10:27" ht="13.5" customHeight="1">
      <c r="J636" s="1053"/>
      <c r="K636" s="1053"/>
      <c r="L636" s="1053"/>
      <c r="M636" s="1053"/>
      <c r="N636" s="1053"/>
      <c r="O636" s="1053"/>
      <c r="P636" s="112"/>
      <c r="AA636" s="1050"/>
    </row>
    <row r="637" spans="10:27" ht="13.5" customHeight="1">
      <c r="J637" s="1053"/>
      <c r="K637" s="1053"/>
      <c r="L637" s="1053"/>
      <c r="M637" s="1053"/>
      <c r="N637" s="1053"/>
      <c r="O637" s="1053"/>
      <c r="P637" s="112"/>
      <c r="AA637" s="1050"/>
    </row>
    <row r="638" spans="10:27" ht="13.5" customHeight="1">
      <c r="J638" s="1053"/>
      <c r="K638" s="1053"/>
      <c r="L638" s="1053"/>
      <c r="M638" s="1053"/>
      <c r="N638" s="1053"/>
      <c r="O638" s="1053"/>
      <c r="P638" s="112"/>
      <c r="AA638" s="1050"/>
    </row>
    <row r="639" spans="10:27" ht="13.5" customHeight="1">
      <c r="J639" s="1053"/>
      <c r="K639" s="1053"/>
      <c r="L639" s="1053"/>
      <c r="M639" s="1053"/>
      <c r="N639" s="1053"/>
      <c r="O639" s="1053"/>
      <c r="P639" s="112"/>
      <c r="AA639" s="1050"/>
    </row>
    <row r="640" spans="10:27" ht="13.5" customHeight="1">
      <c r="J640" s="1053"/>
      <c r="K640" s="1053"/>
      <c r="L640" s="1053"/>
      <c r="M640" s="1053"/>
      <c r="N640" s="1053"/>
      <c r="O640" s="1053"/>
      <c r="P640" s="112"/>
      <c r="AA640" s="1050"/>
    </row>
    <row r="641" spans="10:27" ht="13.5" customHeight="1">
      <c r="J641" s="1053"/>
      <c r="K641" s="1053"/>
      <c r="L641" s="1053"/>
      <c r="M641" s="1053"/>
      <c r="N641" s="1053"/>
      <c r="O641" s="1053"/>
      <c r="P641" s="112"/>
      <c r="AA641" s="1050"/>
    </row>
    <row r="642" spans="10:27" ht="13.5" customHeight="1">
      <c r="J642" s="1053"/>
      <c r="K642" s="1053"/>
      <c r="L642" s="1053"/>
      <c r="M642" s="1053"/>
      <c r="N642" s="1053"/>
      <c r="O642" s="1053"/>
      <c r="P642" s="112"/>
      <c r="AA642" s="1050"/>
    </row>
    <row r="643" spans="10:27" ht="13.5" customHeight="1">
      <c r="J643" s="1053"/>
      <c r="K643" s="1053"/>
      <c r="L643" s="1053"/>
      <c r="M643" s="1053"/>
      <c r="N643" s="1053"/>
      <c r="O643" s="1053"/>
      <c r="P643" s="112"/>
      <c r="AA643" s="1050"/>
    </row>
    <row r="644" spans="10:27" ht="13.5" customHeight="1">
      <c r="J644" s="1053"/>
      <c r="K644" s="1053"/>
      <c r="L644" s="1053"/>
      <c r="M644" s="1053"/>
      <c r="N644" s="1053"/>
      <c r="O644" s="1053"/>
      <c r="P644" s="112"/>
      <c r="AA644" s="1050"/>
    </row>
    <row r="645" spans="10:27" ht="13.5" customHeight="1">
      <c r="J645" s="1053"/>
      <c r="K645" s="1053"/>
      <c r="L645" s="1053"/>
      <c r="M645" s="1053"/>
      <c r="N645" s="1053"/>
      <c r="O645" s="1053"/>
      <c r="P645" s="112"/>
      <c r="AA645" s="1050"/>
    </row>
    <row r="646" spans="10:27" ht="13.5" customHeight="1">
      <c r="J646" s="1053"/>
      <c r="K646" s="1053"/>
      <c r="L646" s="1053"/>
      <c r="M646" s="1053"/>
      <c r="N646" s="1053"/>
      <c r="O646" s="1053"/>
      <c r="P646" s="112"/>
      <c r="AA646" s="1050"/>
    </row>
    <row r="647" spans="10:27" ht="13.5" customHeight="1">
      <c r="J647" s="1053"/>
      <c r="K647" s="1053"/>
      <c r="L647" s="1053"/>
      <c r="M647" s="1053"/>
      <c r="N647" s="1053"/>
      <c r="O647" s="1053"/>
      <c r="P647" s="112"/>
      <c r="AA647" s="1050"/>
    </row>
    <row r="648" spans="10:27" ht="13.5" customHeight="1">
      <c r="J648" s="1053"/>
      <c r="K648" s="1053"/>
      <c r="L648" s="1053"/>
      <c r="M648" s="1053"/>
      <c r="N648" s="1053"/>
      <c r="O648" s="1053"/>
      <c r="P648" s="112"/>
      <c r="AA648" s="1050"/>
    </row>
    <row r="649" spans="10:27" ht="13.5" customHeight="1">
      <c r="J649" s="1053"/>
      <c r="K649" s="1053"/>
      <c r="L649" s="1053"/>
      <c r="M649" s="1053"/>
      <c r="N649" s="1053"/>
      <c r="O649" s="1053"/>
      <c r="P649" s="112"/>
      <c r="AA649" s="1050"/>
    </row>
    <row r="650" spans="10:27" ht="13.5" customHeight="1">
      <c r="J650" s="1053"/>
      <c r="K650" s="1053"/>
      <c r="L650" s="1053"/>
      <c r="M650" s="1053"/>
      <c r="N650" s="1053"/>
      <c r="O650" s="1053"/>
      <c r="P650" s="112"/>
      <c r="AA650" s="1050"/>
    </row>
    <row r="651" spans="10:27" ht="13.5" customHeight="1">
      <c r="J651" s="1053"/>
      <c r="K651" s="1053"/>
      <c r="L651" s="1053"/>
      <c r="M651" s="1053"/>
      <c r="N651" s="1053"/>
      <c r="O651" s="1053"/>
      <c r="P651" s="112"/>
      <c r="AA651" s="1050"/>
    </row>
    <row r="652" spans="10:27" ht="13.5" customHeight="1">
      <c r="J652" s="1053"/>
      <c r="K652" s="1053"/>
      <c r="L652" s="1053"/>
      <c r="M652" s="1053"/>
      <c r="N652" s="1053"/>
      <c r="O652" s="1053"/>
      <c r="P652" s="112"/>
      <c r="AA652" s="1050"/>
    </row>
    <row r="653" spans="10:27" ht="13.5" customHeight="1">
      <c r="J653" s="1053"/>
      <c r="K653" s="1053"/>
      <c r="L653" s="1053"/>
      <c r="M653" s="1053"/>
      <c r="N653" s="1053"/>
      <c r="O653" s="1053"/>
      <c r="P653" s="112"/>
      <c r="AA653" s="1050"/>
    </row>
    <row r="654" spans="10:27" ht="13.5" customHeight="1">
      <c r="J654" s="1053"/>
      <c r="K654" s="1053"/>
      <c r="L654" s="1053"/>
      <c r="M654" s="1053"/>
      <c r="N654" s="1053"/>
      <c r="O654" s="1053"/>
      <c r="P654" s="112"/>
      <c r="AA654" s="1050"/>
    </row>
    <row r="655" spans="10:27" ht="13.5" customHeight="1">
      <c r="J655" s="1053"/>
      <c r="K655" s="1053"/>
      <c r="L655" s="1053"/>
      <c r="M655" s="1053"/>
      <c r="N655" s="1053"/>
      <c r="O655" s="1053"/>
      <c r="P655" s="112"/>
      <c r="AA655" s="1050"/>
    </row>
    <row r="656" spans="10:27" ht="13.5" customHeight="1">
      <c r="J656" s="1053"/>
      <c r="K656" s="1053"/>
      <c r="L656" s="1053"/>
      <c r="M656" s="1053"/>
      <c r="N656" s="1053"/>
      <c r="O656" s="1053"/>
      <c r="P656" s="112"/>
      <c r="AA656" s="1050"/>
    </row>
    <row r="657" spans="10:27" ht="13.5" customHeight="1">
      <c r="J657" s="1053"/>
      <c r="K657" s="1053"/>
      <c r="L657" s="1053"/>
      <c r="M657" s="1053"/>
      <c r="N657" s="1053"/>
      <c r="O657" s="1053"/>
      <c r="P657" s="112"/>
      <c r="AA657" s="1050"/>
    </row>
    <row r="658" spans="10:27" ht="13.5" customHeight="1">
      <c r="J658" s="1053"/>
      <c r="K658" s="1053"/>
      <c r="L658" s="1053"/>
      <c r="M658" s="1053"/>
      <c r="N658" s="1053"/>
      <c r="O658" s="1053"/>
      <c r="P658" s="112"/>
      <c r="AA658" s="1050"/>
    </row>
    <row r="659" spans="10:27" ht="13.5" customHeight="1">
      <c r="J659" s="1053"/>
      <c r="K659" s="1053"/>
      <c r="L659" s="1053"/>
      <c r="M659" s="1053"/>
      <c r="N659" s="1053"/>
      <c r="O659" s="1053"/>
      <c r="P659" s="112"/>
      <c r="AA659" s="1050"/>
    </row>
    <row r="660" spans="10:27" ht="13.5" customHeight="1">
      <c r="J660" s="1053"/>
      <c r="K660" s="1053"/>
      <c r="L660" s="1053"/>
      <c r="M660" s="1053"/>
      <c r="N660" s="1053"/>
      <c r="O660" s="1053"/>
      <c r="P660" s="112"/>
      <c r="AA660" s="1050"/>
    </row>
    <row r="661" spans="10:27" ht="13.5" customHeight="1">
      <c r="J661" s="1053"/>
      <c r="K661" s="1053"/>
      <c r="L661" s="1053"/>
      <c r="M661" s="1053"/>
      <c r="N661" s="1053"/>
      <c r="O661" s="1053"/>
      <c r="P661" s="112"/>
      <c r="AA661" s="1050"/>
    </row>
    <row r="662" spans="10:27" ht="13.5" customHeight="1">
      <c r="J662" s="1053"/>
      <c r="K662" s="1053"/>
      <c r="L662" s="1053"/>
      <c r="M662" s="1053"/>
      <c r="N662" s="1053"/>
      <c r="O662" s="1053"/>
      <c r="P662" s="112"/>
      <c r="AA662" s="1050"/>
    </row>
    <row r="663" spans="10:27" ht="13.5" customHeight="1">
      <c r="J663" s="1053"/>
      <c r="K663" s="1053"/>
      <c r="L663" s="1053"/>
      <c r="M663" s="1053"/>
      <c r="N663" s="1053"/>
      <c r="O663" s="1053"/>
      <c r="P663" s="112"/>
      <c r="AA663" s="1050"/>
    </row>
    <row r="664" spans="10:27" ht="13.5" customHeight="1">
      <c r="J664" s="1053"/>
      <c r="K664" s="1053"/>
      <c r="L664" s="1053"/>
      <c r="M664" s="1053"/>
      <c r="N664" s="1053"/>
      <c r="O664" s="1053"/>
      <c r="P664" s="112"/>
      <c r="AA664" s="1050"/>
    </row>
    <row r="665" spans="10:27" ht="13.5" customHeight="1">
      <c r="J665" s="1053"/>
      <c r="K665" s="1053"/>
      <c r="L665" s="1053"/>
      <c r="M665" s="1053"/>
      <c r="N665" s="1053"/>
      <c r="O665" s="1053"/>
      <c r="P665" s="112"/>
      <c r="AA665" s="1050"/>
    </row>
    <row r="666" spans="10:27" ht="13.5" customHeight="1">
      <c r="J666" s="1053"/>
      <c r="K666" s="1053"/>
      <c r="L666" s="1053"/>
      <c r="M666" s="1053"/>
      <c r="N666" s="1053"/>
      <c r="O666" s="1053"/>
      <c r="P666" s="112"/>
      <c r="AA666" s="1050"/>
    </row>
    <row r="667" spans="10:27" ht="13.5" customHeight="1">
      <c r="J667" s="1053"/>
      <c r="K667" s="1053"/>
      <c r="L667" s="1053"/>
      <c r="M667" s="1053"/>
      <c r="N667" s="1053"/>
      <c r="O667" s="1053"/>
      <c r="P667" s="112"/>
      <c r="AA667" s="1050"/>
    </row>
    <row r="668" spans="10:27" ht="13.5" customHeight="1">
      <c r="J668" s="1053"/>
      <c r="K668" s="1053"/>
      <c r="L668" s="1053"/>
      <c r="M668" s="1053"/>
      <c r="N668" s="1053"/>
      <c r="O668" s="1053"/>
      <c r="P668" s="112"/>
      <c r="AA668" s="1050"/>
    </row>
    <row r="669" spans="10:27" ht="13.5" customHeight="1">
      <c r="J669" s="1053"/>
      <c r="K669" s="1053"/>
      <c r="L669" s="1053"/>
      <c r="M669" s="1053"/>
      <c r="N669" s="1053"/>
      <c r="O669" s="1053"/>
      <c r="P669" s="112"/>
      <c r="AA669" s="1050"/>
    </row>
    <row r="670" spans="10:27" ht="13.5" customHeight="1">
      <c r="J670" s="1053"/>
      <c r="K670" s="1053"/>
      <c r="L670" s="1053"/>
      <c r="M670" s="1053"/>
      <c r="N670" s="1053"/>
      <c r="O670" s="1053"/>
      <c r="P670" s="112"/>
      <c r="AA670" s="1050"/>
    </row>
    <row r="671" spans="10:27" ht="13.5" customHeight="1">
      <c r="J671" s="1053"/>
      <c r="K671" s="1053"/>
      <c r="L671" s="1053"/>
      <c r="M671" s="1053"/>
      <c r="N671" s="1053"/>
      <c r="O671" s="1053"/>
      <c r="P671" s="112"/>
      <c r="AA671" s="1050"/>
    </row>
    <row r="672" spans="10:27" ht="13.5" customHeight="1">
      <c r="J672" s="1053"/>
      <c r="K672" s="1053"/>
      <c r="L672" s="1053"/>
      <c r="M672" s="1053"/>
      <c r="N672" s="1053"/>
      <c r="O672" s="1053"/>
      <c r="P672" s="112"/>
      <c r="AA672" s="1050"/>
    </row>
    <row r="673" spans="10:27" ht="13.5" customHeight="1">
      <c r="J673" s="1053"/>
      <c r="K673" s="1053"/>
      <c r="L673" s="1053"/>
      <c r="M673" s="1053"/>
      <c r="N673" s="1053"/>
      <c r="O673" s="1053"/>
      <c r="P673" s="112"/>
      <c r="AA673" s="1050"/>
    </row>
    <row r="674" spans="10:27" ht="13.5" customHeight="1">
      <c r="J674" s="1053"/>
      <c r="K674" s="1053"/>
      <c r="L674" s="1053"/>
      <c r="M674" s="1053"/>
      <c r="N674" s="1053"/>
      <c r="O674" s="1053"/>
      <c r="P674" s="112"/>
      <c r="AA674" s="1050"/>
    </row>
    <row r="675" spans="10:27" ht="13.5" customHeight="1">
      <c r="J675" s="1053"/>
      <c r="K675" s="1053"/>
      <c r="L675" s="1053"/>
      <c r="M675" s="1053"/>
      <c r="N675" s="1053"/>
      <c r="O675" s="1053"/>
      <c r="P675" s="112"/>
      <c r="AA675" s="1050"/>
    </row>
    <row r="676" spans="10:27" ht="13.5" customHeight="1">
      <c r="J676" s="1053"/>
      <c r="K676" s="1053"/>
      <c r="L676" s="1053"/>
      <c r="M676" s="1053"/>
      <c r="N676" s="1053"/>
      <c r="O676" s="1053"/>
      <c r="P676" s="112"/>
      <c r="AA676" s="1050"/>
    </row>
    <row r="677" spans="10:27" ht="13.5" customHeight="1">
      <c r="J677" s="1053"/>
      <c r="K677" s="1053"/>
      <c r="L677" s="1053"/>
      <c r="M677" s="1053"/>
      <c r="N677" s="1053"/>
      <c r="O677" s="1053"/>
      <c r="P677" s="112"/>
      <c r="AA677" s="1050"/>
    </row>
    <row r="678" spans="10:27" ht="13.5" customHeight="1">
      <c r="J678" s="1053"/>
      <c r="K678" s="1053"/>
      <c r="L678" s="1053"/>
      <c r="M678" s="1053"/>
      <c r="N678" s="1053"/>
      <c r="O678" s="1053"/>
      <c r="P678" s="112"/>
      <c r="AA678" s="1050"/>
    </row>
    <row r="679" spans="10:27" ht="13.5" customHeight="1">
      <c r="J679" s="1053"/>
      <c r="K679" s="1053"/>
      <c r="L679" s="1053"/>
      <c r="M679" s="1053"/>
      <c r="N679" s="1053"/>
      <c r="O679" s="1053"/>
      <c r="P679" s="112"/>
      <c r="AA679" s="1050"/>
    </row>
    <row r="680" spans="10:27" ht="13.5" customHeight="1">
      <c r="J680" s="1053"/>
      <c r="K680" s="1053"/>
      <c r="L680" s="1053"/>
      <c r="M680" s="1053"/>
      <c r="N680" s="1053"/>
      <c r="O680" s="1053"/>
      <c r="P680" s="112"/>
      <c r="AA680" s="1050"/>
    </row>
    <row r="681" spans="10:27" ht="13.5" customHeight="1">
      <c r="J681" s="1053"/>
      <c r="K681" s="1053"/>
      <c r="L681" s="1053"/>
      <c r="M681" s="1053"/>
      <c r="N681" s="1053"/>
      <c r="O681" s="1053"/>
      <c r="P681" s="112"/>
      <c r="AA681" s="1050"/>
    </row>
    <row r="682" spans="10:27" ht="13.5" customHeight="1">
      <c r="J682" s="1053"/>
      <c r="K682" s="1053"/>
      <c r="L682" s="1053"/>
      <c r="M682" s="1053"/>
      <c r="N682" s="1053"/>
      <c r="O682" s="1053"/>
      <c r="P682" s="112"/>
      <c r="AA682" s="1050"/>
    </row>
    <row r="683" spans="10:27" ht="13.5" customHeight="1">
      <c r="J683" s="1053"/>
      <c r="K683" s="1053"/>
      <c r="L683" s="1053"/>
      <c r="M683" s="1053"/>
      <c r="N683" s="1053"/>
      <c r="O683" s="1053"/>
      <c r="P683" s="112"/>
      <c r="AA683" s="1050"/>
    </row>
    <row r="684" spans="10:27" ht="13.5" customHeight="1">
      <c r="J684" s="1053"/>
      <c r="K684" s="1053"/>
      <c r="L684" s="1053"/>
      <c r="M684" s="1053"/>
      <c r="N684" s="1053"/>
      <c r="O684" s="1053"/>
      <c r="P684" s="112"/>
      <c r="AA684" s="1050"/>
    </row>
    <row r="685" spans="10:27" ht="13.5" customHeight="1">
      <c r="J685" s="1053"/>
      <c r="K685" s="1053"/>
      <c r="L685" s="1053"/>
      <c r="M685" s="1053"/>
      <c r="N685" s="1053"/>
      <c r="O685" s="1053"/>
      <c r="P685" s="112"/>
      <c r="AA685" s="1050"/>
    </row>
    <row r="686" spans="10:27" ht="13.5" customHeight="1">
      <c r="J686" s="1053"/>
      <c r="K686" s="1053"/>
      <c r="L686" s="1053"/>
      <c r="M686" s="1053"/>
      <c r="N686" s="1053"/>
      <c r="O686" s="1053"/>
      <c r="P686" s="112"/>
      <c r="AA686" s="1050"/>
    </row>
    <row r="687" spans="10:27" ht="13.5" customHeight="1">
      <c r="J687" s="1053"/>
      <c r="K687" s="1053"/>
      <c r="L687" s="1053"/>
      <c r="M687" s="1053"/>
      <c r="N687" s="1053"/>
      <c r="O687" s="1053"/>
      <c r="P687" s="112"/>
      <c r="AA687" s="1050"/>
    </row>
    <row r="688" spans="10:27" ht="13.5" customHeight="1">
      <c r="J688" s="1053"/>
      <c r="K688" s="1053"/>
      <c r="L688" s="1053"/>
      <c r="M688" s="1053"/>
      <c r="N688" s="1053"/>
      <c r="O688" s="1053"/>
      <c r="P688" s="112"/>
      <c r="AA688" s="1050"/>
    </row>
    <row r="689" spans="10:27" ht="13.5" customHeight="1">
      <c r="J689" s="1053"/>
      <c r="K689" s="1053"/>
      <c r="L689" s="1053"/>
      <c r="M689" s="1053"/>
      <c r="N689" s="1053"/>
      <c r="O689" s="1053"/>
      <c r="P689" s="112"/>
      <c r="AA689" s="1050"/>
    </row>
    <row r="690" spans="10:27" ht="13.5" customHeight="1">
      <c r="J690" s="1053"/>
      <c r="K690" s="1053"/>
      <c r="L690" s="1053"/>
      <c r="M690" s="1053"/>
      <c r="N690" s="1053"/>
      <c r="O690" s="1053"/>
      <c r="P690" s="112"/>
      <c r="AA690" s="1050"/>
    </row>
    <row r="691" spans="10:27" ht="13.5" customHeight="1">
      <c r="J691" s="1053"/>
      <c r="K691" s="1053"/>
      <c r="L691" s="1053"/>
      <c r="M691" s="1053"/>
      <c r="N691" s="1053"/>
      <c r="O691" s="1053"/>
      <c r="P691" s="112"/>
      <c r="AA691" s="1050"/>
    </row>
    <row r="692" spans="10:27" ht="13.5" customHeight="1">
      <c r="J692" s="1053"/>
      <c r="K692" s="1053"/>
      <c r="L692" s="1053"/>
      <c r="M692" s="1053"/>
      <c r="N692" s="1053"/>
      <c r="O692" s="1053"/>
      <c r="P692" s="112"/>
      <c r="AA692" s="1050"/>
    </row>
    <row r="693" spans="10:27" ht="13.5" customHeight="1">
      <c r="J693" s="1053"/>
      <c r="K693" s="1053"/>
      <c r="L693" s="1053"/>
      <c r="M693" s="1053"/>
      <c r="N693" s="1053"/>
      <c r="O693" s="1053"/>
      <c r="P693" s="112"/>
      <c r="AA693" s="1050"/>
    </row>
    <row r="694" spans="10:27" ht="13.5" customHeight="1">
      <c r="J694" s="1053"/>
      <c r="K694" s="1053"/>
      <c r="L694" s="1053"/>
      <c r="M694" s="1053"/>
      <c r="N694" s="1053"/>
      <c r="O694" s="1053"/>
      <c r="P694" s="112"/>
      <c r="AA694" s="1050"/>
    </row>
    <row r="695" spans="10:27" ht="13.5" customHeight="1">
      <c r="J695" s="1053"/>
      <c r="K695" s="1053"/>
      <c r="L695" s="1053"/>
      <c r="M695" s="1053"/>
      <c r="N695" s="1053"/>
      <c r="O695" s="1053"/>
      <c r="P695" s="112"/>
      <c r="AA695" s="1050"/>
    </row>
    <row r="696" spans="10:27" ht="13.5" customHeight="1">
      <c r="J696" s="1053"/>
      <c r="K696" s="1053"/>
      <c r="L696" s="1053"/>
      <c r="M696" s="1053"/>
      <c r="N696" s="1053"/>
      <c r="O696" s="1053"/>
      <c r="P696" s="112"/>
      <c r="AA696" s="1050"/>
    </row>
    <row r="697" spans="10:27" ht="13.5" customHeight="1">
      <c r="J697" s="1053"/>
      <c r="K697" s="1053"/>
      <c r="L697" s="1053"/>
      <c r="M697" s="1053"/>
      <c r="N697" s="1053"/>
      <c r="O697" s="1053"/>
      <c r="P697" s="112"/>
      <c r="AA697" s="1050"/>
    </row>
    <row r="698" spans="10:27" ht="13.5" customHeight="1">
      <c r="J698" s="1053"/>
      <c r="K698" s="1053"/>
      <c r="L698" s="1053"/>
      <c r="M698" s="1053"/>
      <c r="N698" s="1053"/>
      <c r="O698" s="1053"/>
      <c r="P698" s="112"/>
      <c r="AA698" s="1050"/>
    </row>
    <row r="699" spans="10:27" ht="13.5" customHeight="1">
      <c r="J699" s="1053"/>
      <c r="K699" s="1053"/>
      <c r="L699" s="1053"/>
      <c r="M699" s="1053"/>
      <c r="N699" s="1053"/>
      <c r="O699" s="1053"/>
      <c r="P699" s="112"/>
      <c r="AA699" s="1050"/>
    </row>
    <row r="700" spans="10:27" ht="13.5" customHeight="1">
      <c r="J700" s="1053"/>
      <c r="K700" s="1053"/>
      <c r="L700" s="1053"/>
      <c r="M700" s="1053"/>
      <c r="N700" s="1053"/>
      <c r="O700" s="1053"/>
      <c r="P700" s="112"/>
      <c r="AA700" s="1050"/>
    </row>
    <row r="701" spans="10:27" ht="13.5" customHeight="1">
      <c r="J701" s="1053"/>
      <c r="K701" s="1053"/>
      <c r="L701" s="1053"/>
      <c r="M701" s="1053"/>
      <c r="N701" s="1053"/>
      <c r="O701" s="1053"/>
      <c r="P701" s="112"/>
      <c r="AA701" s="1050"/>
    </row>
    <row r="702" spans="10:27" ht="13.5" customHeight="1">
      <c r="J702" s="1053"/>
      <c r="K702" s="1053"/>
      <c r="L702" s="1053"/>
      <c r="M702" s="1053"/>
      <c r="N702" s="1053"/>
      <c r="O702" s="1053"/>
      <c r="P702" s="112"/>
      <c r="AA702" s="1050"/>
    </row>
    <row r="703" spans="10:27" ht="13.5" customHeight="1">
      <c r="J703" s="1053"/>
      <c r="K703" s="1053"/>
      <c r="L703" s="1053"/>
      <c r="M703" s="1053"/>
      <c r="N703" s="1053"/>
      <c r="O703" s="1053"/>
      <c r="P703" s="112"/>
      <c r="AA703" s="1050"/>
    </row>
    <row r="704" spans="10:27" ht="13.5" customHeight="1">
      <c r="J704" s="1053"/>
      <c r="K704" s="1053"/>
      <c r="L704" s="1053"/>
      <c r="M704" s="1053"/>
      <c r="N704" s="1053"/>
      <c r="O704" s="1053"/>
      <c r="P704" s="112"/>
      <c r="AA704" s="1050"/>
    </row>
    <row r="705" spans="10:27" ht="13.5" customHeight="1">
      <c r="J705" s="1053"/>
      <c r="K705" s="1053"/>
      <c r="L705" s="1053"/>
      <c r="M705" s="1053"/>
      <c r="N705" s="1053"/>
      <c r="O705" s="1053"/>
      <c r="P705" s="112"/>
      <c r="AA705" s="1050"/>
    </row>
    <row r="706" spans="10:27" ht="13.5" customHeight="1">
      <c r="J706" s="1053"/>
      <c r="K706" s="1053"/>
      <c r="L706" s="1053"/>
      <c r="M706" s="1053"/>
      <c r="N706" s="1053"/>
      <c r="O706" s="1053"/>
      <c r="P706" s="112"/>
      <c r="AA706" s="1050"/>
    </row>
    <row r="707" spans="10:27" ht="13.5" customHeight="1">
      <c r="J707" s="1053"/>
      <c r="K707" s="1053"/>
      <c r="L707" s="1053"/>
      <c r="M707" s="1053"/>
      <c r="N707" s="1053"/>
      <c r="O707" s="1053"/>
      <c r="P707" s="112"/>
      <c r="AA707" s="1050"/>
    </row>
    <row r="708" spans="10:27" ht="13.5" customHeight="1">
      <c r="J708" s="1053"/>
      <c r="K708" s="1053"/>
      <c r="L708" s="1053"/>
      <c r="M708" s="1053"/>
      <c r="N708" s="1053"/>
      <c r="O708" s="1053"/>
      <c r="P708" s="112"/>
      <c r="AA708" s="1050"/>
    </row>
    <row r="709" spans="10:27" ht="13.5" customHeight="1">
      <c r="J709" s="1053"/>
      <c r="K709" s="1053"/>
      <c r="L709" s="1053"/>
      <c r="M709" s="1053"/>
      <c r="N709" s="1053"/>
      <c r="O709" s="1053"/>
      <c r="P709" s="112"/>
      <c r="AA709" s="1050"/>
    </row>
    <row r="710" spans="10:27" ht="13.5" customHeight="1">
      <c r="J710" s="1053"/>
      <c r="K710" s="1053"/>
      <c r="L710" s="1053"/>
      <c r="M710" s="1053"/>
      <c r="N710" s="1053"/>
      <c r="O710" s="1053"/>
      <c r="P710" s="112"/>
      <c r="AA710" s="1050"/>
    </row>
    <row r="711" spans="10:27" ht="13.5" customHeight="1">
      <c r="J711" s="1053"/>
      <c r="K711" s="1053"/>
      <c r="L711" s="1053"/>
      <c r="M711" s="1053"/>
      <c r="N711" s="1053"/>
      <c r="O711" s="1053"/>
      <c r="P711" s="112"/>
      <c r="AA711" s="1050"/>
    </row>
    <row r="712" spans="10:27" ht="13.5" customHeight="1">
      <c r="J712" s="1053"/>
      <c r="K712" s="1053"/>
      <c r="L712" s="1053"/>
      <c r="M712" s="1053"/>
      <c r="N712" s="1053"/>
      <c r="O712" s="1053"/>
      <c r="P712" s="112"/>
      <c r="AA712" s="1050"/>
    </row>
    <row r="713" spans="10:27" ht="13.5" customHeight="1">
      <c r="J713" s="1053"/>
      <c r="K713" s="1053"/>
      <c r="L713" s="1053"/>
      <c r="M713" s="1053"/>
      <c r="N713" s="1053"/>
      <c r="O713" s="1053"/>
      <c r="P713" s="112"/>
      <c r="AA713" s="1050"/>
    </row>
    <row r="714" spans="10:27" ht="13.5" customHeight="1">
      <c r="J714" s="1053"/>
      <c r="K714" s="1053"/>
      <c r="L714" s="1053"/>
      <c r="M714" s="1053"/>
      <c r="N714" s="1053"/>
      <c r="O714" s="1053"/>
      <c r="P714" s="112"/>
      <c r="AA714" s="1050"/>
    </row>
    <row r="715" spans="10:27" ht="13.5" customHeight="1">
      <c r="J715" s="1053"/>
      <c r="K715" s="1053"/>
      <c r="L715" s="1053"/>
      <c r="M715" s="1053"/>
      <c r="N715" s="1053"/>
      <c r="O715" s="1053"/>
      <c r="P715" s="112"/>
      <c r="AA715" s="1050"/>
    </row>
    <row r="716" spans="10:27" ht="13.5" customHeight="1">
      <c r="J716" s="1053"/>
      <c r="K716" s="1053"/>
      <c r="L716" s="1053"/>
      <c r="M716" s="1053"/>
      <c r="N716" s="1053"/>
      <c r="O716" s="1053"/>
      <c r="P716" s="112"/>
      <c r="AA716" s="1050"/>
    </row>
    <row r="717" spans="10:27" ht="13.5" customHeight="1">
      <c r="J717" s="1053"/>
      <c r="K717" s="1053"/>
      <c r="L717" s="1053"/>
      <c r="M717" s="1053"/>
      <c r="N717" s="1053"/>
      <c r="O717" s="1053"/>
      <c r="P717" s="112"/>
      <c r="AA717" s="1050"/>
    </row>
    <row r="718" spans="10:27" ht="13.5" customHeight="1">
      <c r="J718" s="1053"/>
      <c r="K718" s="1053"/>
      <c r="L718" s="1053"/>
      <c r="M718" s="1053"/>
      <c r="N718" s="1053"/>
      <c r="O718" s="1053"/>
      <c r="P718" s="112"/>
      <c r="AA718" s="1050"/>
    </row>
    <row r="719" spans="10:27" ht="13.5" customHeight="1">
      <c r="J719" s="1053"/>
      <c r="K719" s="1053"/>
      <c r="L719" s="1053"/>
      <c r="M719" s="1053"/>
      <c r="N719" s="1053"/>
      <c r="O719" s="1053"/>
      <c r="P719" s="112"/>
      <c r="AA719" s="1050"/>
    </row>
    <row r="720" spans="10:27" ht="13.5" customHeight="1">
      <c r="J720" s="1053"/>
      <c r="K720" s="1053"/>
      <c r="L720" s="1053"/>
      <c r="M720" s="1053"/>
      <c r="N720" s="1053"/>
      <c r="O720" s="1053"/>
      <c r="P720" s="112"/>
      <c r="AA720" s="1050"/>
    </row>
    <row r="721" spans="10:27" ht="13.5" customHeight="1">
      <c r="J721" s="1053"/>
      <c r="K721" s="1053"/>
      <c r="L721" s="1053"/>
      <c r="M721" s="1053"/>
      <c r="N721" s="1053"/>
      <c r="O721" s="1053"/>
      <c r="P721" s="112"/>
      <c r="AA721" s="1050"/>
    </row>
    <row r="722" spans="10:27" ht="13.5" customHeight="1">
      <c r="J722" s="1053"/>
      <c r="K722" s="1053"/>
      <c r="L722" s="1053"/>
      <c r="M722" s="1053"/>
      <c r="N722" s="1053"/>
      <c r="O722" s="1053"/>
      <c r="P722" s="112"/>
      <c r="AA722" s="1050"/>
    </row>
    <row r="723" spans="10:27" ht="13.5" customHeight="1">
      <c r="J723" s="1053"/>
      <c r="K723" s="1053"/>
      <c r="L723" s="1053"/>
      <c r="M723" s="1053"/>
      <c r="N723" s="1053"/>
      <c r="O723" s="1053"/>
      <c r="P723" s="112"/>
      <c r="AA723" s="1050"/>
    </row>
    <row r="724" spans="10:27" ht="13.5" customHeight="1">
      <c r="J724" s="1053"/>
      <c r="K724" s="1053"/>
      <c r="L724" s="1053"/>
      <c r="M724" s="1053"/>
      <c r="N724" s="1053"/>
      <c r="O724" s="1053"/>
      <c r="P724" s="112"/>
      <c r="AA724" s="1050"/>
    </row>
    <row r="725" spans="10:27" ht="13.5" customHeight="1">
      <c r="J725" s="1053"/>
      <c r="K725" s="1053"/>
      <c r="L725" s="1053"/>
      <c r="M725" s="1053"/>
      <c r="N725" s="1053"/>
      <c r="O725" s="1053"/>
      <c r="P725" s="112"/>
      <c r="AA725" s="1050"/>
    </row>
    <row r="726" spans="10:27" ht="13.5" customHeight="1">
      <c r="J726" s="1053"/>
      <c r="K726" s="1053"/>
      <c r="L726" s="1053"/>
      <c r="M726" s="1053"/>
      <c r="N726" s="1053"/>
      <c r="O726" s="1053"/>
      <c r="P726" s="112"/>
      <c r="AA726" s="1050"/>
    </row>
    <row r="727" spans="10:27" ht="13.5" customHeight="1">
      <c r="J727" s="1053"/>
      <c r="K727" s="1053"/>
      <c r="L727" s="1053"/>
      <c r="M727" s="1053"/>
      <c r="N727" s="1053"/>
      <c r="O727" s="1053"/>
      <c r="P727" s="112"/>
      <c r="AA727" s="1050"/>
    </row>
    <row r="728" spans="10:27" ht="13.5" customHeight="1">
      <c r="J728" s="1053"/>
      <c r="K728" s="1053"/>
      <c r="L728" s="1053"/>
      <c r="M728" s="1053"/>
      <c r="N728" s="1053"/>
      <c r="O728" s="1053"/>
      <c r="P728" s="112"/>
      <c r="AA728" s="1050"/>
    </row>
    <row r="729" spans="10:27" ht="13.5" customHeight="1">
      <c r="J729" s="1053"/>
      <c r="K729" s="1053"/>
      <c r="L729" s="1053"/>
      <c r="M729" s="1053"/>
      <c r="N729" s="1053"/>
      <c r="O729" s="1053"/>
      <c r="P729" s="112"/>
      <c r="AA729" s="1050"/>
    </row>
    <row r="730" spans="10:27" ht="13.5" customHeight="1">
      <c r="J730" s="1053"/>
      <c r="K730" s="1053"/>
      <c r="L730" s="1053"/>
      <c r="M730" s="1053"/>
      <c r="N730" s="1053"/>
      <c r="O730" s="1053"/>
      <c r="P730" s="112"/>
      <c r="AA730" s="1050"/>
    </row>
    <row r="731" spans="10:27" ht="13.5" customHeight="1">
      <c r="J731" s="1053"/>
      <c r="K731" s="1053"/>
      <c r="L731" s="1053"/>
      <c r="M731" s="1053"/>
      <c r="N731" s="1053"/>
      <c r="O731" s="1053"/>
      <c r="P731" s="112"/>
      <c r="AA731" s="1050"/>
    </row>
    <row r="732" spans="10:27" ht="13.5" customHeight="1">
      <c r="J732" s="1053"/>
      <c r="K732" s="1053"/>
      <c r="L732" s="1053"/>
      <c r="M732" s="1053"/>
      <c r="N732" s="1053"/>
      <c r="O732" s="1053"/>
      <c r="P732" s="112"/>
      <c r="AA732" s="1050"/>
    </row>
    <row r="733" spans="10:27" ht="13.5" customHeight="1">
      <c r="J733" s="1053"/>
      <c r="K733" s="1053"/>
      <c r="L733" s="1053"/>
      <c r="M733" s="1053"/>
      <c r="N733" s="1053"/>
      <c r="O733" s="1053"/>
      <c r="P733" s="112"/>
      <c r="AA733" s="1050"/>
    </row>
    <row r="734" spans="10:27" ht="13.5" customHeight="1">
      <c r="J734" s="1053"/>
      <c r="K734" s="1053"/>
      <c r="L734" s="1053"/>
      <c r="M734" s="1053"/>
      <c r="N734" s="1053"/>
      <c r="O734" s="1053"/>
      <c r="P734" s="112"/>
      <c r="AA734" s="1050"/>
    </row>
    <row r="735" spans="10:27" ht="13.5" customHeight="1">
      <c r="J735" s="1053"/>
      <c r="K735" s="1053"/>
      <c r="L735" s="1053"/>
      <c r="M735" s="1053"/>
      <c r="N735" s="1053"/>
      <c r="O735" s="1053"/>
      <c r="P735" s="112"/>
      <c r="AA735" s="1050"/>
    </row>
    <row r="736" spans="10:27" ht="13.5" customHeight="1">
      <c r="J736" s="1053"/>
      <c r="K736" s="1053"/>
      <c r="L736" s="1053"/>
      <c r="M736" s="1053"/>
      <c r="N736" s="1053"/>
      <c r="O736" s="1053"/>
      <c r="P736" s="112"/>
      <c r="AA736" s="1050"/>
    </row>
    <row r="737" spans="10:27" ht="13.5" customHeight="1">
      <c r="J737" s="1053"/>
      <c r="K737" s="1053"/>
      <c r="L737" s="1053"/>
      <c r="M737" s="1053"/>
      <c r="N737" s="1053"/>
      <c r="O737" s="1053"/>
      <c r="P737" s="112"/>
      <c r="AA737" s="1050"/>
    </row>
    <row r="738" spans="10:27" ht="13.5" customHeight="1">
      <c r="J738" s="1053"/>
      <c r="K738" s="1053"/>
      <c r="L738" s="1053"/>
      <c r="M738" s="1053"/>
      <c r="N738" s="1053"/>
      <c r="O738" s="1053"/>
      <c r="P738" s="112"/>
      <c r="AA738" s="1050"/>
    </row>
    <row r="739" spans="10:27" ht="13.5" customHeight="1">
      <c r="J739" s="1053"/>
      <c r="K739" s="1053"/>
      <c r="L739" s="1053"/>
      <c r="M739" s="1053"/>
      <c r="N739" s="1053"/>
      <c r="O739" s="1053"/>
      <c r="P739" s="112"/>
      <c r="AA739" s="1050"/>
    </row>
    <row r="740" spans="10:27" ht="13.5" customHeight="1">
      <c r="J740" s="1053"/>
      <c r="K740" s="1053"/>
      <c r="L740" s="1053"/>
      <c r="M740" s="1053"/>
      <c r="N740" s="1053"/>
      <c r="O740" s="1053"/>
      <c r="P740" s="112"/>
      <c r="AA740" s="1050"/>
    </row>
    <row r="741" spans="10:27" ht="13.5" customHeight="1">
      <c r="J741" s="1053"/>
      <c r="K741" s="1053"/>
      <c r="L741" s="1053"/>
      <c r="M741" s="1053"/>
      <c r="N741" s="1053"/>
      <c r="O741" s="1053"/>
      <c r="P741" s="112"/>
      <c r="AA741" s="1050"/>
    </row>
    <row r="742" spans="10:27" ht="13.5" customHeight="1">
      <c r="J742" s="1053"/>
      <c r="K742" s="1053"/>
      <c r="L742" s="1053"/>
      <c r="M742" s="1053"/>
      <c r="N742" s="1053"/>
      <c r="O742" s="1053"/>
      <c r="P742" s="112"/>
      <c r="AA742" s="1050"/>
    </row>
    <row r="743" spans="10:27" ht="13.5" customHeight="1">
      <c r="J743" s="1053"/>
      <c r="K743" s="1053"/>
      <c r="L743" s="1053"/>
      <c r="M743" s="1053"/>
      <c r="N743" s="1053"/>
      <c r="O743" s="1053"/>
      <c r="P743" s="112"/>
      <c r="AA743" s="1050"/>
    </row>
    <row r="744" spans="10:27" ht="13.5" customHeight="1">
      <c r="J744" s="1053"/>
      <c r="K744" s="1053"/>
      <c r="L744" s="1053"/>
      <c r="M744" s="1053"/>
      <c r="N744" s="1053"/>
      <c r="O744" s="1053"/>
      <c r="P744" s="112"/>
      <c r="AA744" s="1050"/>
    </row>
    <row r="745" spans="10:27" ht="13.5" customHeight="1">
      <c r="J745" s="1053"/>
      <c r="K745" s="1053"/>
      <c r="L745" s="1053"/>
      <c r="M745" s="1053"/>
      <c r="N745" s="1053"/>
      <c r="O745" s="1053"/>
      <c r="P745" s="112"/>
      <c r="AA745" s="1050"/>
    </row>
    <row r="746" spans="10:27" ht="13.5" customHeight="1">
      <c r="J746" s="1053"/>
      <c r="K746" s="1053"/>
      <c r="L746" s="1053"/>
      <c r="M746" s="1053"/>
      <c r="N746" s="1053"/>
      <c r="O746" s="1053"/>
      <c r="P746" s="112"/>
      <c r="AA746" s="1050"/>
    </row>
    <row r="747" spans="10:27" ht="13.5" customHeight="1">
      <c r="J747" s="1053"/>
      <c r="K747" s="1053"/>
      <c r="L747" s="1053"/>
      <c r="M747" s="1053"/>
      <c r="N747" s="1053"/>
      <c r="O747" s="1053"/>
      <c r="P747" s="112"/>
      <c r="AA747" s="1050"/>
    </row>
    <row r="748" spans="10:27" ht="13.5" customHeight="1">
      <c r="J748" s="1053"/>
      <c r="K748" s="1053"/>
      <c r="L748" s="1053"/>
      <c r="M748" s="1053"/>
      <c r="N748" s="1053"/>
      <c r="O748" s="1053"/>
      <c r="P748" s="112"/>
      <c r="AA748" s="1050"/>
    </row>
    <row r="749" spans="10:27" ht="13.5" customHeight="1">
      <c r="J749" s="1053"/>
      <c r="K749" s="1053"/>
      <c r="L749" s="1053"/>
      <c r="M749" s="1053"/>
      <c r="N749" s="1053"/>
      <c r="O749" s="1053"/>
      <c r="P749" s="112"/>
      <c r="AA749" s="1050"/>
    </row>
    <row r="750" spans="10:27" ht="13.5" customHeight="1">
      <c r="J750" s="1053"/>
      <c r="K750" s="1053"/>
      <c r="L750" s="1053"/>
      <c r="M750" s="1053"/>
      <c r="N750" s="1053"/>
      <c r="O750" s="1053"/>
      <c r="P750" s="112"/>
      <c r="AA750" s="1050"/>
    </row>
    <row r="751" spans="10:27" ht="13.5" customHeight="1">
      <c r="J751" s="1053"/>
      <c r="K751" s="1053"/>
      <c r="L751" s="1053"/>
      <c r="M751" s="1053"/>
      <c r="N751" s="1053"/>
      <c r="O751" s="1053"/>
      <c r="P751" s="112"/>
      <c r="AA751" s="1050"/>
    </row>
    <row r="752" spans="10:27" ht="13.5" customHeight="1">
      <c r="J752" s="1053"/>
      <c r="K752" s="1053"/>
      <c r="L752" s="1053"/>
      <c r="M752" s="1053"/>
      <c r="N752" s="1053"/>
      <c r="O752" s="1053"/>
      <c r="P752" s="112"/>
      <c r="AA752" s="1050"/>
    </row>
    <row r="753" spans="10:27" ht="13.5" customHeight="1">
      <c r="J753" s="1053"/>
      <c r="K753" s="1053"/>
      <c r="L753" s="1053"/>
      <c r="M753" s="1053"/>
      <c r="N753" s="1053"/>
      <c r="O753" s="1053"/>
      <c r="P753" s="112"/>
      <c r="AA753" s="1050"/>
    </row>
    <row r="754" spans="10:27" ht="13.5" customHeight="1">
      <c r="J754" s="1053"/>
      <c r="K754" s="1053"/>
      <c r="L754" s="1053"/>
      <c r="M754" s="1053"/>
      <c r="N754" s="1053"/>
      <c r="O754" s="1053"/>
      <c r="P754" s="112"/>
      <c r="AA754" s="1050"/>
    </row>
    <row r="755" spans="10:27" ht="13.5" customHeight="1">
      <c r="J755" s="1053"/>
      <c r="K755" s="1053"/>
      <c r="L755" s="1053"/>
      <c r="M755" s="1053"/>
      <c r="N755" s="1053"/>
      <c r="O755" s="1053"/>
      <c r="P755" s="112"/>
      <c r="AA755" s="1050"/>
    </row>
    <row r="756" spans="10:27" ht="13.5" customHeight="1">
      <c r="J756" s="1053"/>
      <c r="K756" s="1053"/>
      <c r="L756" s="1053"/>
      <c r="M756" s="1053"/>
      <c r="N756" s="1053"/>
      <c r="O756" s="1053"/>
      <c r="P756" s="112"/>
      <c r="AA756" s="1050"/>
    </row>
    <row r="757" spans="10:27" ht="13.5" customHeight="1">
      <c r="J757" s="1053"/>
      <c r="K757" s="1053"/>
      <c r="L757" s="1053"/>
      <c r="M757" s="1053"/>
      <c r="N757" s="1053"/>
      <c r="O757" s="1053"/>
      <c r="P757" s="112"/>
      <c r="AA757" s="1050"/>
    </row>
    <row r="758" spans="10:27" ht="13.5" customHeight="1">
      <c r="J758" s="1053"/>
      <c r="K758" s="1053"/>
      <c r="L758" s="1053"/>
      <c r="M758" s="1053"/>
      <c r="N758" s="1053"/>
      <c r="O758" s="1053"/>
      <c r="P758" s="112"/>
      <c r="AA758" s="1050"/>
    </row>
    <row r="759" spans="10:27" ht="13.5" customHeight="1">
      <c r="J759" s="1053"/>
      <c r="K759" s="1053"/>
      <c r="L759" s="1053"/>
      <c r="M759" s="1053"/>
      <c r="N759" s="1053"/>
      <c r="O759" s="1053"/>
      <c r="P759" s="112"/>
      <c r="AA759" s="1050"/>
    </row>
    <row r="760" spans="10:27" ht="13.5" customHeight="1">
      <c r="J760" s="1053"/>
      <c r="K760" s="1053"/>
      <c r="L760" s="1053"/>
      <c r="M760" s="1053"/>
      <c r="N760" s="1053"/>
      <c r="O760" s="1053"/>
      <c r="P760" s="112"/>
      <c r="AA760" s="1050"/>
    </row>
    <row r="761" spans="10:27" ht="13.5" customHeight="1">
      <c r="J761" s="1053"/>
      <c r="K761" s="1053"/>
      <c r="L761" s="1053"/>
      <c r="M761" s="1053"/>
      <c r="N761" s="1053"/>
      <c r="O761" s="1053"/>
      <c r="P761" s="112"/>
      <c r="AA761" s="1050"/>
    </row>
    <row r="762" spans="10:27" ht="13.5" customHeight="1">
      <c r="J762" s="1053"/>
      <c r="K762" s="1053"/>
      <c r="L762" s="1053"/>
      <c r="M762" s="1053"/>
      <c r="N762" s="1053"/>
      <c r="O762" s="1053"/>
      <c r="P762" s="112"/>
      <c r="AA762" s="1050"/>
    </row>
    <row r="763" spans="10:27" ht="13.5" customHeight="1">
      <c r="J763" s="1053"/>
      <c r="K763" s="1053"/>
      <c r="L763" s="1053"/>
      <c r="M763" s="1053"/>
      <c r="N763" s="1053"/>
      <c r="O763" s="1053"/>
      <c r="P763" s="112"/>
      <c r="AA763" s="1050"/>
    </row>
    <row r="764" spans="10:27" ht="13.5" customHeight="1">
      <c r="J764" s="1053"/>
      <c r="K764" s="1053"/>
      <c r="L764" s="1053"/>
      <c r="M764" s="1053"/>
      <c r="N764" s="1053"/>
      <c r="O764" s="1053"/>
      <c r="P764" s="112"/>
      <c r="AA764" s="1050"/>
    </row>
    <row r="765" spans="10:27" ht="13.5" customHeight="1">
      <c r="J765" s="1053"/>
      <c r="K765" s="1053"/>
      <c r="L765" s="1053"/>
      <c r="M765" s="1053"/>
      <c r="N765" s="1053"/>
      <c r="O765" s="1053"/>
      <c r="P765" s="112"/>
      <c r="AA765" s="1050"/>
    </row>
    <row r="766" spans="10:27" ht="13.5" customHeight="1">
      <c r="J766" s="1053"/>
      <c r="K766" s="1053"/>
      <c r="L766" s="1053"/>
      <c r="M766" s="1053"/>
      <c r="N766" s="1053"/>
      <c r="O766" s="1053"/>
      <c r="P766" s="112"/>
      <c r="AA766" s="1050"/>
    </row>
    <row r="767" spans="10:27" ht="13.5" customHeight="1">
      <c r="J767" s="1053"/>
      <c r="K767" s="1053"/>
      <c r="L767" s="1053"/>
      <c r="M767" s="1053"/>
      <c r="N767" s="1053"/>
      <c r="O767" s="1053"/>
      <c r="P767" s="112"/>
      <c r="AA767" s="1050"/>
    </row>
    <row r="768" spans="10:27" ht="13.5" customHeight="1">
      <c r="J768" s="1053"/>
      <c r="K768" s="1053"/>
      <c r="L768" s="1053"/>
      <c r="M768" s="1053"/>
      <c r="N768" s="1053"/>
      <c r="O768" s="1053"/>
      <c r="P768" s="112"/>
      <c r="AA768" s="1050"/>
    </row>
    <row r="769" spans="10:27" ht="13.5" customHeight="1">
      <c r="J769" s="1053"/>
      <c r="K769" s="1053"/>
      <c r="L769" s="1053"/>
      <c r="M769" s="1053"/>
      <c r="N769" s="1053"/>
      <c r="O769" s="1053"/>
      <c r="P769" s="112"/>
      <c r="AA769" s="1050"/>
    </row>
    <row r="770" spans="10:27" ht="13.5" customHeight="1">
      <c r="J770" s="1053"/>
      <c r="K770" s="1053"/>
      <c r="L770" s="1053"/>
      <c r="M770" s="1053"/>
      <c r="N770" s="1053"/>
      <c r="O770" s="1053"/>
      <c r="P770" s="112"/>
      <c r="AA770" s="1050"/>
    </row>
    <row r="771" spans="10:27" ht="13.5" customHeight="1">
      <c r="J771" s="1053"/>
      <c r="K771" s="1053"/>
      <c r="L771" s="1053"/>
      <c r="M771" s="1053"/>
      <c r="N771" s="1053"/>
      <c r="O771" s="1053"/>
      <c r="P771" s="112"/>
      <c r="AA771" s="1050"/>
    </row>
    <row r="772" spans="10:27" ht="13.5" customHeight="1">
      <c r="J772" s="1053"/>
      <c r="K772" s="1053"/>
      <c r="L772" s="1053"/>
      <c r="M772" s="1053"/>
      <c r="N772" s="1053"/>
      <c r="O772" s="1053"/>
      <c r="P772" s="112"/>
      <c r="AA772" s="1050"/>
    </row>
    <row r="773" spans="10:27" ht="13.5" customHeight="1">
      <c r="J773" s="1053"/>
      <c r="K773" s="1053"/>
      <c r="L773" s="1053"/>
      <c r="M773" s="1053"/>
      <c r="N773" s="1053"/>
      <c r="O773" s="1053"/>
      <c r="P773" s="112"/>
      <c r="AA773" s="1050"/>
    </row>
    <row r="774" spans="10:27" ht="13.5" customHeight="1">
      <c r="J774" s="1053"/>
      <c r="K774" s="1053"/>
      <c r="L774" s="1053"/>
      <c r="M774" s="1053"/>
      <c r="N774" s="1053"/>
      <c r="O774" s="1053"/>
      <c r="P774" s="112"/>
      <c r="AA774" s="1050"/>
    </row>
    <row r="775" spans="10:27" ht="13.5" customHeight="1">
      <c r="J775" s="1053"/>
      <c r="K775" s="1053"/>
      <c r="L775" s="1053"/>
      <c r="M775" s="1053"/>
      <c r="N775" s="1053"/>
      <c r="O775" s="1053"/>
      <c r="P775" s="112"/>
      <c r="AA775" s="1050"/>
    </row>
    <row r="776" spans="10:27" ht="13.5" customHeight="1">
      <c r="J776" s="1053"/>
      <c r="K776" s="1053"/>
      <c r="L776" s="1053"/>
      <c r="M776" s="1053"/>
      <c r="N776" s="1053"/>
      <c r="O776" s="1053"/>
      <c r="P776" s="112"/>
      <c r="AA776" s="1050"/>
    </row>
    <row r="777" spans="10:27" ht="13.5" customHeight="1">
      <c r="J777" s="1053"/>
      <c r="K777" s="1053"/>
      <c r="L777" s="1053"/>
      <c r="M777" s="1053"/>
      <c r="N777" s="1053"/>
      <c r="O777" s="1053"/>
      <c r="P777" s="112"/>
      <c r="AA777" s="1050"/>
    </row>
    <row r="778" spans="10:27" ht="13.5" customHeight="1">
      <c r="J778" s="1053"/>
      <c r="K778" s="1053"/>
      <c r="L778" s="1053"/>
      <c r="M778" s="1053"/>
      <c r="N778" s="1053"/>
      <c r="O778" s="1053"/>
      <c r="P778" s="112"/>
      <c r="AA778" s="1050"/>
    </row>
    <row r="779" spans="10:27" ht="13.5" customHeight="1">
      <c r="J779" s="1053"/>
      <c r="K779" s="1053"/>
      <c r="L779" s="1053"/>
      <c r="M779" s="1053"/>
      <c r="N779" s="1053"/>
      <c r="O779" s="1053"/>
      <c r="P779" s="112"/>
      <c r="AA779" s="1050"/>
    </row>
    <row r="780" spans="10:27" ht="13.5" customHeight="1">
      <c r="J780" s="1053"/>
      <c r="K780" s="1053"/>
      <c r="L780" s="1053"/>
      <c r="M780" s="1053"/>
      <c r="N780" s="1053"/>
      <c r="O780" s="1053"/>
      <c r="P780" s="112"/>
      <c r="AA780" s="1050"/>
    </row>
    <row r="781" spans="10:27" ht="13.5" customHeight="1">
      <c r="J781" s="1053"/>
      <c r="K781" s="1053"/>
      <c r="L781" s="1053"/>
      <c r="M781" s="1053"/>
      <c r="N781" s="1053"/>
      <c r="O781" s="1053"/>
      <c r="P781" s="112"/>
      <c r="AA781" s="1050"/>
    </row>
    <row r="782" spans="10:27" ht="13.5" customHeight="1">
      <c r="J782" s="1053"/>
      <c r="K782" s="1053"/>
      <c r="L782" s="1053"/>
      <c r="M782" s="1053"/>
      <c r="N782" s="1053"/>
      <c r="O782" s="1053"/>
      <c r="P782" s="112"/>
      <c r="AA782" s="1050"/>
    </row>
    <row r="783" spans="10:27" ht="13.5" customHeight="1">
      <c r="J783" s="1053"/>
      <c r="K783" s="1053"/>
      <c r="L783" s="1053"/>
      <c r="M783" s="1053"/>
      <c r="N783" s="1053"/>
      <c r="O783" s="1053"/>
      <c r="P783" s="112"/>
      <c r="AA783" s="1050"/>
    </row>
    <row r="784" spans="10:27" ht="13.5" customHeight="1">
      <c r="J784" s="1053"/>
      <c r="K784" s="1053"/>
      <c r="L784" s="1053"/>
      <c r="M784" s="1053"/>
      <c r="N784" s="1053"/>
      <c r="O784" s="1053"/>
      <c r="P784" s="112"/>
      <c r="AA784" s="1050"/>
    </row>
    <row r="785" spans="10:27" ht="13.5" customHeight="1">
      <c r="J785" s="1053"/>
      <c r="K785" s="1053"/>
      <c r="L785" s="1053"/>
      <c r="M785" s="1053"/>
      <c r="N785" s="1053"/>
      <c r="O785" s="1053"/>
      <c r="P785" s="112"/>
      <c r="AA785" s="1050"/>
    </row>
    <row r="786" spans="10:27" ht="13.5" customHeight="1">
      <c r="J786" s="1053"/>
      <c r="K786" s="1053"/>
      <c r="L786" s="1053"/>
      <c r="M786" s="1053"/>
      <c r="N786" s="1053"/>
      <c r="O786" s="1053"/>
      <c r="P786" s="112"/>
      <c r="AA786" s="1050"/>
    </row>
    <row r="787" spans="10:27" ht="13.5" customHeight="1">
      <c r="J787" s="1053"/>
      <c r="K787" s="1053"/>
      <c r="L787" s="1053"/>
      <c r="M787" s="1053"/>
      <c r="N787" s="1053"/>
      <c r="O787" s="1053"/>
      <c r="P787" s="112"/>
      <c r="AA787" s="1050"/>
    </row>
    <row r="788" spans="10:27" ht="13.5" customHeight="1">
      <c r="J788" s="1053"/>
      <c r="K788" s="1053"/>
      <c r="L788" s="1053"/>
      <c r="M788" s="1053"/>
      <c r="N788" s="1053"/>
      <c r="O788" s="1053"/>
      <c r="P788" s="112"/>
      <c r="AA788" s="1050"/>
    </row>
    <row r="789" spans="10:27" ht="13.5" customHeight="1">
      <c r="J789" s="1053"/>
      <c r="K789" s="1053"/>
      <c r="L789" s="1053"/>
      <c r="M789" s="1053"/>
      <c r="N789" s="1053"/>
      <c r="O789" s="1053"/>
      <c r="P789" s="112"/>
      <c r="AA789" s="1050"/>
    </row>
    <row r="790" spans="10:27" ht="13.5" customHeight="1">
      <c r="J790" s="1053"/>
      <c r="K790" s="1053"/>
      <c r="L790" s="1053"/>
      <c r="M790" s="1053"/>
      <c r="N790" s="1053"/>
      <c r="O790" s="1053"/>
      <c r="P790" s="112"/>
      <c r="AA790" s="1050"/>
    </row>
    <row r="791" spans="10:27" ht="13.5" customHeight="1">
      <c r="J791" s="1053"/>
      <c r="K791" s="1053"/>
      <c r="L791" s="1053"/>
      <c r="M791" s="1053"/>
      <c r="N791" s="1053"/>
      <c r="O791" s="1053"/>
      <c r="P791" s="112"/>
      <c r="AA791" s="1050"/>
    </row>
    <row r="792" spans="10:27" ht="13.5" customHeight="1">
      <c r="J792" s="1053"/>
      <c r="K792" s="1053"/>
      <c r="L792" s="1053"/>
      <c r="M792" s="1053"/>
      <c r="N792" s="1053"/>
      <c r="O792" s="1053"/>
      <c r="P792" s="112"/>
      <c r="AA792" s="1050"/>
    </row>
    <row r="793" spans="10:27" ht="13.5" customHeight="1">
      <c r="J793" s="1053"/>
      <c r="K793" s="1053"/>
      <c r="L793" s="1053"/>
      <c r="M793" s="1053"/>
      <c r="N793" s="1053"/>
      <c r="O793" s="1053"/>
      <c r="P793" s="112"/>
      <c r="AA793" s="1050"/>
    </row>
    <row r="794" spans="10:27" ht="13.5" customHeight="1">
      <c r="J794" s="1053"/>
      <c r="K794" s="1053"/>
      <c r="L794" s="1053"/>
      <c r="M794" s="1053"/>
      <c r="N794" s="1053"/>
      <c r="O794" s="1053"/>
      <c r="P794" s="112"/>
      <c r="AA794" s="1050"/>
    </row>
    <row r="795" spans="10:27" ht="13.5" customHeight="1">
      <c r="J795" s="1053"/>
      <c r="K795" s="1053"/>
      <c r="L795" s="1053"/>
      <c r="M795" s="1053"/>
      <c r="N795" s="1053"/>
      <c r="O795" s="1053"/>
      <c r="P795" s="112"/>
      <c r="AA795" s="1050"/>
    </row>
    <row r="796" spans="10:27" ht="13.5" customHeight="1">
      <c r="J796" s="1053"/>
      <c r="K796" s="1053"/>
      <c r="L796" s="1053"/>
      <c r="M796" s="1053"/>
      <c r="N796" s="1053"/>
      <c r="O796" s="1053"/>
      <c r="P796" s="112"/>
      <c r="AA796" s="1050"/>
    </row>
    <row r="797" spans="10:27" ht="13.5" customHeight="1">
      <c r="J797" s="1053"/>
      <c r="K797" s="1053"/>
      <c r="L797" s="1053"/>
      <c r="M797" s="1053"/>
      <c r="N797" s="1053"/>
      <c r="O797" s="1053"/>
      <c r="P797" s="112"/>
      <c r="AA797" s="1050"/>
    </row>
    <row r="798" spans="10:27" ht="13.5" customHeight="1">
      <c r="J798" s="1053"/>
      <c r="K798" s="1053"/>
      <c r="L798" s="1053"/>
      <c r="M798" s="1053"/>
      <c r="N798" s="1053"/>
      <c r="O798" s="1053"/>
      <c r="P798" s="112"/>
      <c r="AA798" s="1050"/>
    </row>
    <row r="799" spans="10:27" ht="13.5" customHeight="1">
      <c r="J799" s="1053"/>
      <c r="K799" s="1053"/>
      <c r="L799" s="1053"/>
      <c r="M799" s="1053"/>
      <c r="N799" s="1053"/>
      <c r="O799" s="1053"/>
      <c r="P799" s="112"/>
      <c r="AA799" s="1050"/>
    </row>
    <row r="800" spans="10:27" ht="13.5" customHeight="1">
      <c r="J800" s="1053"/>
      <c r="K800" s="1053"/>
      <c r="L800" s="1053"/>
      <c r="M800" s="1053"/>
      <c r="N800" s="1053"/>
      <c r="O800" s="1053"/>
      <c r="P800" s="112"/>
      <c r="AA800" s="1050"/>
    </row>
    <row r="801" spans="10:27" ht="13.5" customHeight="1">
      <c r="J801" s="1053"/>
      <c r="K801" s="1053"/>
      <c r="L801" s="1053"/>
      <c r="M801" s="1053"/>
      <c r="N801" s="1053"/>
      <c r="O801" s="1053"/>
      <c r="P801" s="112"/>
      <c r="AA801" s="1050"/>
    </row>
    <row r="802" spans="10:27" ht="13.5" customHeight="1">
      <c r="J802" s="1053"/>
      <c r="K802" s="1053"/>
      <c r="L802" s="1053"/>
      <c r="M802" s="1053"/>
      <c r="N802" s="1053"/>
      <c r="O802" s="1053"/>
      <c r="P802" s="112"/>
      <c r="AA802" s="1050"/>
    </row>
    <row r="803" spans="10:27" ht="13.5" customHeight="1">
      <c r="J803" s="1053"/>
      <c r="K803" s="1053"/>
      <c r="L803" s="1053"/>
      <c r="M803" s="1053"/>
      <c r="N803" s="1053"/>
      <c r="O803" s="1053"/>
      <c r="P803" s="112"/>
      <c r="AA803" s="1050"/>
    </row>
    <row r="804" spans="10:27" ht="13.5" customHeight="1">
      <c r="J804" s="1053"/>
      <c r="K804" s="1053"/>
      <c r="L804" s="1053"/>
      <c r="M804" s="1053"/>
      <c r="N804" s="1053"/>
      <c r="O804" s="1053"/>
      <c r="P804" s="112"/>
      <c r="AA804" s="1050"/>
    </row>
    <row r="805" spans="10:27" ht="13.5" customHeight="1">
      <c r="J805" s="1053"/>
      <c r="K805" s="1053"/>
      <c r="L805" s="1053"/>
      <c r="M805" s="1053"/>
      <c r="N805" s="1053"/>
      <c r="O805" s="1053"/>
      <c r="P805" s="112"/>
      <c r="AA805" s="1050"/>
    </row>
    <row r="806" spans="10:27" ht="13.5" customHeight="1">
      <c r="J806" s="1053"/>
      <c r="K806" s="1053"/>
      <c r="L806" s="1053"/>
      <c r="M806" s="1053"/>
      <c r="N806" s="1053"/>
      <c r="O806" s="1053"/>
      <c r="P806" s="112"/>
      <c r="AA806" s="1050"/>
    </row>
    <row r="807" spans="10:27" ht="13.5" customHeight="1">
      <c r="J807" s="1053"/>
      <c r="K807" s="1053"/>
      <c r="L807" s="1053"/>
      <c r="M807" s="1053"/>
      <c r="N807" s="1053"/>
      <c r="O807" s="1053"/>
      <c r="P807" s="112"/>
      <c r="AA807" s="1050"/>
    </row>
    <row r="808" spans="10:27" ht="13.5" customHeight="1">
      <c r="J808" s="1053"/>
      <c r="K808" s="1053"/>
      <c r="L808" s="1053"/>
      <c r="M808" s="1053"/>
      <c r="N808" s="1053"/>
      <c r="O808" s="1053"/>
      <c r="P808" s="112"/>
      <c r="AA808" s="1050"/>
    </row>
    <row r="809" spans="10:27" ht="13.5" customHeight="1">
      <c r="J809" s="1053"/>
      <c r="K809" s="1053"/>
      <c r="L809" s="1053"/>
      <c r="M809" s="1053"/>
      <c r="N809" s="1053"/>
      <c r="O809" s="1053"/>
      <c r="P809" s="112"/>
      <c r="AA809" s="1050"/>
    </row>
    <row r="810" spans="10:27" ht="13.5" customHeight="1">
      <c r="J810" s="1053"/>
      <c r="K810" s="1053"/>
      <c r="L810" s="1053"/>
      <c r="M810" s="1053"/>
      <c r="N810" s="1053"/>
      <c r="O810" s="1053"/>
      <c r="P810" s="112"/>
      <c r="AA810" s="1050"/>
    </row>
    <row r="811" spans="10:27" ht="13.5" customHeight="1">
      <c r="J811" s="1053"/>
      <c r="K811" s="1053"/>
      <c r="L811" s="1053"/>
      <c r="M811" s="1053"/>
      <c r="N811" s="1053"/>
      <c r="O811" s="1053"/>
      <c r="P811" s="112"/>
      <c r="AA811" s="1050"/>
    </row>
    <row r="812" spans="10:27" ht="13.5" customHeight="1">
      <c r="J812" s="1053"/>
      <c r="K812" s="1053"/>
      <c r="L812" s="1053"/>
      <c r="M812" s="1053"/>
      <c r="N812" s="1053"/>
      <c r="O812" s="1053"/>
      <c r="P812" s="112"/>
      <c r="AA812" s="1050"/>
    </row>
    <row r="813" spans="10:27" ht="13.5" customHeight="1">
      <c r="J813" s="1053"/>
      <c r="K813" s="1053"/>
      <c r="L813" s="1053"/>
      <c r="M813" s="1053"/>
      <c r="N813" s="1053"/>
      <c r="O813" s="1053"/>
      <c r="P813" s="112"/>
      <c r="AA813" s="1050"/>
    </row>
    <row r="814" spans="10:27" ht="13.5" customHeight="1">
      <c r="J814" s="1053"/>
      <c r="K814" s="1053"/>
      <c r="L814" s="1053"/>
      <c r="M814" s="1053"/>
      <c r="N814" s="1053"/>
      <c r="O814" s="1053"/>
      <c r="P814" s="112"/>
      <c r="AA814" s="1050"/>
    </row>
    <row r="815" spans="10:27" ht="13.5" customHeight="1">
      <c r="J815" s="1053"/>
      <c r="K815" s="1053"/>
      <c r="L815" s="1053"/>
      <c r="M815" s="1053"/>
      <c r="N815" s="1053"/>
      <c r="O815" s="1053"/>
      <c r="P815" s="112"/>
      <c r="AA815" s="1050"/>
    </row>
    <row r="816" spans="10:27" ht="13.5" customHeight="1">
      <c r="J816" s="1053"/>
      <c r="K816" s="1053"/>
      <c r="L816" s="1053"/>
      <c r="M816" s="1053"/>
      <c r="N816" s="1053"/>
      <c r="O816" s="1053"/>
      <c r="P816" s="112"/>
      <c r="AA816" s="1050"/>
    </row>
    <row r="817" spans="10:27" ht="13.5" customHeight="1">
      <c r="J817" s="1053"/>
      <c r="K817" s="1053"/>
      <c r="L817" s="1053"/>
      <c r="M817" s="1053"/>
      <c r="N817" s="1053"/>
      <c r="O817" s="1053"/>
      <c r="P817" s="112"/>
      <c r="AA817" s="1050"/>
    </row>
    <row r="818" spans="10:27" ht="13.5" customHeight="1">
      <c r="J818" s="1053"/>
      <c r="K818" s="1053"/>
      <c r="L818" s="1053"/>
      <c r="M818" s="1053"/>
      <c r="N818" s="1053"/>
      <c r="O818" s="1053"/>
      <c r="P818" s="112"/>
      <c r="AA818" s="1050"/>
    </row>
    <row r="819" spans="10:27" ht="13.5" customHeight="1">
      <c r="J819" s="1053"/>
      <c r="K819" s="1053"/>
      <c r="L819" s="1053"/>
      <c r="M819" s="1053"/>
      <c r="N819" s="1053"/>
      <c r="O819" s="1053"/>
      <c r="P819" s="112"/>
      <c r="AA819" s="1050"/>
    </row>
    <row r="820" spans="10:27" ht="13.5" customHeight="1">
      <c r="J820" s="1053"/>
      <c r="K820" s="1053"/>
      <c r="L820" s="1053"/>
      <c r="M820" s="1053"/>
      <c r="N820" s="1053"/>
      <c r="O820" s="1053"/>
      <c r="P820" s="112"/>
      <c r="AA820" s="1050"/>
    </row>
    <row r="821" spans="10:27" ht="13.5" customHeight="1">
      <c r="J821" s="1053"/>
      <c r="K821" s="1053"/>
      <c r="L821" s="1053"/>
      <c r="M821" s="1053"/>
      <c r="N821" s="1053"/>
      <c r="O821" s="1053"/>
      <c r="P821" s="112"/>
      <c r="AA821" s="1050"/>
    </row>
    <row r="822" spans="10:27" ht="13.5" customHeight="1">
      <c r="J822" s="1053"/>
      <c r="K822" s="1053"/>
      <c r="L822" s="1053"/>
      <c r="M822" s="1053"/>
      <c r="N822" s="1053"/>
      <c r="O822" s="1053"/>
      <c r="P822" s="112"/>
      <c r="AA822" s="1050"/>
    </row>
    <row r="823" spans="10:27" ht="13.5" customHeight="1">
      <c r="J823" s="1053"/>
      <c r="K823" s="1053"/>
      <c r="L823" s="1053"/>
      <c r="M823" s="1053"/>
      <c r="N823" s="1053"/>
      <c r="O823" s="1053"/>
      <c r="P823" s="112"/>
      <c r="AA823" s="1050"/>
    </row>
    <row r="824" spans="10:27" ht="13.5" customHeight="1">
      <c r="J824" s="1053"/>
      <c r="K824" s="1053"/>
      <c r="L824" s="1053"/>
      <c r="M824" s="1053"/>
      <c r="N824" s="1053"/>
      <c r="O824" s="1053"/>
      <c r="P824" s="112"/>
      <c r="AA824" s="1050"/>
    </row>
    <row r="825" spans="10:27" ht="13.5" customHeight="1">
      <c r="J825" s="1053"/>
      <c r="K825" s="1053"/>
      <c r="L825" s="1053"/>
      <c r="M825" s="1053"/>
      <c r="N825" s="1053"/>
      <c r="O825" s="1053"/>
      <c r="P825" s="112"/>
      <c r="AA825" s="1050"/>
    </row>
    <row r="826" spans="10:27" ht="13.5" customHeight="1">
      <c r="J826" s="1053"/>
      <c r="K826" s="1053"/>
      <c r="L826" s="1053"/>
      <c r="M826" s="1053"/>
      <c r="N826" s="1053"/>
      <c r="O826" s="1053"/>
      <c r="P826" s="112"/>
      <c r="AA826" s="1050"/>
    </row>
    <row r="827" spans="10:27" ht="13.5" customHeight="1">
      <c r="J827" s="1053"/>
      <c r="K827" s="1053"/>
      <c r="L827" s="1053"/>
      <c r="M827" s="1053"/>
      <c r="N827" s="1053"/>
      <c r="O827" s="1053"/>
      <c r="P827" s="112"/>
      <c r="AA827" s="1050"/>
    </row>
    <row r="828" spans="10:27" ht="13.5" customHeight="1">
      <c r="J828" s="1053"/>
      <c r="K828" s="1053"/>
      <c r="L828" s="1053"/>
      <c r="M828" s="1053"/>
      <c r="N828" s="1053"/>
      <c r="O828" s="1053"/>
      <c r="P828" s="112"/>
      <c r="AA828" s="1050"/>
    </row>
    <row r="829" spans="10:27" ht="13.5" customHeight="1">
      <c r="J829" s="1053"/>
      <c r="K829" s="1053"/>
      <c r="L829" s="1053"/>
      <c r="M829" s="1053"/>
      <c r="N829" s="1053"/>
      <c r="O829" s="1053"/>
      <c r="P829" s="112"/>
      <c r="AA829" s="1050"/>
    </row>
    <row r="830" spans="10:27" ht="13.5" customHeight="1">
      <c r="J830" s="1053"/>
      <c r="K830" s="1053"/>
      <c r="L830" s="1053"/>
      <c r="M830" s="1053"/>
      <c r="N830" s="1053"/>
      <c r="O830" s="1053"/>
      <c r="P830" s="112"/>
      <c r="AA830" s="1050"/>
    </row>
    <row r="831" spans="10:27" ht="13.5" customHeight="1">
      <c r="J831" s="1053"/>
      <c r="K831" s="1053"/>
      <c r="L831" s="1053"/>
      <c r="M831" s="1053"/>
      <c r="N831" s="1053"/>
      <c r="O831" s="1053"/>
      <c r="P831" s="112"/>
      <c r="AA831" s="1050"/>
    </row>
    <row r="832" spans="10:27" ht="13.5" customHeight="1">
      <c r="J832" s="1053"/>
      <c r="K832" s="1053"/>
      <c r="L832" s="1053"/>
      <c r="M832" s="1053"/>
      <c r="N832" s="1053"/>
      <c r="O832" s="1053"/>
      <c r="P832" s="112"/>
      <c r="AA832" s="1050"/>
    </row>
    <row r="833" spans="10:27" ht="13.5" customHeight="1">
      <c r="J833" s="1053"/>
      <c r="K833" s="1053"/>
      <c r="L833" s="1053"/>
      <c r="M833" s="1053"/>
      <c r="N833" s="1053"/>
      <c r="O833" s="1053"/>
      <c r="P833" s="112"/>
      <c r="AA833" s="1050"/>
    </row>
    <row r="834" spans="10:27" ht="13.5" customHeight="1">
      <c r="J834" s="1053"/>
      <c r="K834" s="1053"/>
      <c r="L834" s="1053"/>
      <c r="M834" s="1053"/>
      <c r="N834" s="1053"/>
      <c r="O834" s="1053"/>
      <c r="P834" s="112"/>
      <c r="AA834" s="1050"/>
    </row>
    <row r="835" spans="10:27" ht="13.5" customHeight="1">
      <c r="J835" s="1053"/>
      <c r="K835" s="1053"/>
      <c r="L835" s="1053"/>
      <c r="M835" s="1053"/>
      <c r="N835" s="1053"/>
      <c r="O835" s="1053"/>
      <c r="P835" s="112"/>
      <c r="AA835" s="1050"/>
    </row>
    <row r="836" spans="10:27" ht="13.5" customHeight="1">
      <c r="J836" s="1053"/>
      <c r="K836" s="1053"/>
      <c r="L836" s="1053"/>
      <c r="M836" s="1053"/>
      <c r="N836" s="1053"/>
      <c r="O836" s="1053"/>
      <c r="P836" s="112"/>
      <c r="AA836" s="1050"/>
    </row>
    <row r="837" spans="10:27" ht="13.5" customHeight="1">
      <c r="J837" s="1053"/>
      <c r="K837" s="1053"/>
      <c r="L837" s="1053"/>
      <c r="M837" s="1053"/>
      <c r="N837" s="1053"/>
      <c r="O837" s="1053"/>
      <c r="P837" s="112"/>
      <c r="AA837" s="1050"/>
    </row>
    <row r="838" spans="10:27" ht="13.5" customHeight="1">
      <c r="J838" s="1053"/>
      <c r="K838" s="1053"/>
      <c r="L838" s="1053"/>
      <c r="M838" s="1053"/>
      <c r="N838" s="1053"/>
      <c r="O838" s="1053"/>
      <c r="P838" s="112"/>
      <c r="AA838" s="1050"/>
    </row>
    <row r="839" spans="10:27" ht="13.5" customHeight="1">
      <c r="J839" s="1053"/>
      <c r="K839" s="1053"/>
      <c r="L839" s="1053"/>
      <c r="M839" s="1053"/>
      <c r="N839" s="1053"/>
      <c r="O839" s="1053"/>
      <c r="P839" s="112"/>
      <c r="AA839" s="1050"/>
    </row>
    <row r="840" spans="10:27" ht="13.5" customHeight="1">
      <c r="J840" s="1053"/>
      <c r="K840" s="1053"/>
      <c r="L840" s="1053"/>
      <c r="M840" s="1053"/>
      <c r="N840" s="1053"/>
      <c r="O840" s="1053"/>
      <c r="P840" s="112"/>
      <c r="AA840" s="1050"/>
    </row>
    <row r="841" spans="10:27" ht="13.5" customHeight="1">
      <c r="J841" s="1053"/>
      <c r="K841" s="1053"/>
      <c r="L841" s="1053"/>
      <c r="M841" s="1053"/>
      <c r="N841" s="1053"/>
      <c r="O841" s="1053"/>
      <c r="P841" s="112"/>
      <c r="AA841" s="1050"/>
    </row>
    <row r="842" spans="10:27" ht="13.5" customHeight="1">
      <c r="J842" s="1053"/>
      <c r="K842" s="1053"/>
      <c r="L842" s="1053"/>
      <c r="M842" s="1053"/>
      <c r="N842" s="1053"/>
      <c r="O842" s="1053"/>
      <c r="P842" s="112"/>
      <c r="AA842" s="1050"/>
    </row>
    <row r="843" spans="10:27" ht="13.5" customHeight="1">
      <c r="J843" s="1053"/>
      <c r="K843" s="1053"/>
      <c r="L843" s="1053"/>
      <c r="M843" s="1053"/>
      <c r="N843" s="1053"/>
      <c r="O843" s="1053"/>
      <c r="P843" s="112"/>
      <c r="AA843" s="1050"/>
    </row>
    <row r="844" spans="10:27" ht="13.5" customHeight="1">
      <c r="J844" s="1053"/>
      <c r="K844" s="1053"/>
      <c r="L844" s="1053"/>
      <c r="M844" s="1053"/>
      <c r="N844" s="1053"/>
      <c r="O844" s="1053"/>
      <c r="P844" s="112"/>
      <c r="AA844" s="1050"/>
    </row>
    <row r="845" spans="10:27" ht="13.5" customHeight="1">
      <c r="J845" s="1053"/>
      <c r="K845" s="1053"/>
      <c r="L845" s="1053"/>
      <c r="M845" s="1053"/>
      <c r="N845" s="1053"/>
      <c r="O845" s="1053"/>
      <c r="P845" s="112"/>
      <c r="AA845" s="1050"/>
    </row>
    <row r="846" spans="10:27" ht="13.5" customHeight="1">
      <c r="J846" s="1053"/>
      <c r="K846" s="1053"/>
      <c r="L846" s="1053"/>
      <c r="M846" s="1053"/>
      <c r="N846" s="1053"/>
      <c r="O846" s="1053"/>
      <c r="P846" s="112"/>
      <c r="AA846" s="1050"/>
    </row>
    <row r="847" spans="10:27" ht="13.5" customHeight="1">
      <c r="J847" s="1053"/>
      <c r="K847" s="1053"/>
      <c r="L847" s="1053"/>
      <c r="M847" s="1053"/>
      <c r="N847" s="1053"/>
      <c r="O847" s="1053"/>
      <c r="P847" s="112"/>
      <c r="AA847" s="1050"/>
    </row>
    <row r="848" spans="10:27" ht="13.5" customHeight="1">
      <c r="J848" s="1053"/>
      <c r="K848" s="1053"/>
      <c r="L848" s="1053"/>
      <c r="M848" s="1053"/>
      <c r="N848" s="1053"/>
      <c r="O848" s="1053"/>
      <c r="P848" s="112"/>
      <c r="AA848" s="1050"/>
    </row>
    <row r="849" spans="10:27" ht="13.5" customHeight="1">
      <c r="J849" s="1053"/>
      <c r="K849" s="1053"/>
      <c r="L849" s="1053"/>
      <c r="M849" s="1053"/>
      <c r="N849" s="1053"/>
      <c r="O849" s="1053"/>
      <c r="P849" s="112"/>
      <c r="AA849" s="1050"/>
    </row>
    <row r="850" spans="10:27" ht="13.5" customHeight="1">
      <c r="J850" s="1053"/>
      <c r="K850" s="1053"/>
      <c r="L850" s="1053"/>
      <c r="M850" s="1053"/>
      <c r="N850" s="1053"/>
      <c r="O850" s="1053"/>
      <c r="P850" s="112"/>
      <c r="AA850" s="1050"/>
    </row>
    <row r="851" spans="10:27" ht="13.5" customHeight="1">
      <c r="J851" s="1053"/>
      <c r="K851" s="1053"/>
      <c r="L851" s="1053"/>
      <c r="M851" s="1053"/>
      <c r="N851" s="1053"/>
      <c r="O851" s="1053"/>
      <c r="P851" s="112"/>
      <c r="AA851" s="1050"/>
    </row>
    <row r="852" spans="10:27" ht="13.5" customHeight="1">
      <c r="J852" s="1053"/>
      <c r="K852" s="1053"/>
      <c r="L852" s="1053"/>
      <c r="M852" s="1053"/>
      <c r="N852" s="1053"/>
      <c r="O852" s="1053"/>
      <c r="P852" s="112"/>
      <c r="AA852" s="1050"/>
    </row>
    <row r="853" spans="10:27" ht="13.5" customHeight="1">
      <c r="J853" s="1053"/>
      <c r="K853" s="1053"/>
      <c r="L853" s="1053"/>
      <c r="M853" s="1053"/>
      <c r="N853" s="1053"/>
      <c r="O853" s="1053"/>
      <c r="P853" s="112"/>
      <c r="AA853" s="1050"/>
    </row>
    <row r="854" spans="10:27" ht="13.5" customHeight="1">
      <c r="J854" s="1053"/>
      <c r="K854" s="1053"/>
      <c r="L854" s="1053"/>
      <c r="M854" s="1053"/>
      <c r="N854" s="1053"/>
      <c r="O854" s="1053"/>
      <c r="P854" s="112"/>
      <c r="AA854" s="1050"/>
    </row>
    <row r="855" spans="10:27" ht="13.5" customHeight="1">
      <c r="J855" s="1053"/>
      <c r="K855" s="1053"/>
      <c r="L855" s="1053"/>
      <c r="M855" s="1053"/>
      <c r="N855" s="1053"/>
      <c r="O855" s="1053"/>
      <c r="P855" s="112"/>
      <c r="AA855" s="1050"/>
    </row>
    <row r="856" spans="10:27" ht="13.5" customHeight="1">
      <c r="J856" s="1053"/>
      <c r="K856" s="1053"/>
      <c r="L856" s="1053"/>
      <c r="M856" s="1053"/>
      <c r="N856" s="1053"/>
      <c r="O856" s="1053"/>
      <c r="P856" s="112"/>
      <c r="AA856" s="1050"/>
    </row>
    <row r="857" spans="10:27" ht="13.5" customHeight="1">
      <c r="J857" s="1053"/>
      <c r="K857" s="1053"/>
      <c r="L857" s="1053"/>
      <c r="M857" s="1053"/>
      <c r="N857" s="1053"/>
      <c r="O857" s="1053"/>
      <c r="P857" s="112"/>
      <c r="AA857" s="1050"/>
    </row>
    <row r="858" spans="10:27" ht="13.5" customHeight="1">
      <c r="J858" s="1053"/>
      <c r="K858" s="1053"/>
      <c r="L858" s="1053"/>
      <c r="M858" s="1053"/>
      <c r="N858" s="1053"/>
      <c r="O858" s="1053"/>
      <c r="P858" s="112"/>
      <c r="AA858" s="1050"/>
    </row>
    <row r="859" spans="10:27" ht="13.5" customHeight="1">
      <c r="J859" s="1053"/>
      <c r="K859" s="1053"/>
      <c r="L859" s="1053"/>
      <c r="M859" s="1053"/>
      <c r="N859" s="1053"/>
      <c r="O859" s="1053"/>
      <c r="P859" s="112"/>
      <c r="AA859" s="1050"/>
    </row>
    <row r="860" spans="10:27" ht="13.5" customHeight="1">
      <c r="J860" s="1053"/>
      <c r="K860" s="1053"/>
      <c r="L860" s="1053"/>
      <c r="M860" s="1053"/>
      <c r="N860" s="1053"/>
      <c r="O860" s="1053"/>
      <c r="P860" s="112"/>
      <c r="AA860" s="1050"/>
    </row>
    <row r="861" spans="10:27" ht="13.5" customHeight="1">
      <c r="J861" s="1053"/>
      <c r="K861" s="1053"/>
      <c r="L861" s="1053"/>
      <c r="M861" s="1053"/>
      <c r="N861" s="1053"/>
      <c r="O861" s="1053"/>
      <c r="P861" s="112"/>
      <c r="AA861" s="1050"/>
    </row>
    <row r="862" spans="10:27" ht="13.5" customHeight="1">
      <c r="J862" s="1053"/>
      <c r="K862" s="1053"/>
      <c r="L862" s="1053"/>
      <c r="M862" s="1053"/>
      <c r="N862" s="1053"/>
      <c r="O862" s="1053"/>
      <c r="P862" s="112"/>
      <c r="AA862" s="1050"/>
    </row>
    <row r="863" spans="10:27" ht="13.5" customHeight="1">
      <c r="J863" s="1053"/>
      <c r="K863" s="1053"/>
      <c r="L863" s="1053"/>
      <c r="M863" s="1053"/>
      <c r="N863" s="1053"/>
      <c r="O863" s="1053"/>
      <c r="P863" s="112"/>
      <c r="AA863" s="1050"/>
    </row>
    <row r="864" spans="10:27" ht="13.5" customHeight="1">
      <c r="J864" s="1053"/>
      <c r="K864" s="1053"/>
      <c r="L864" s="1053"/>
      <c r="M864" s="1053"/>
      <c r="N864" s="1053"/>
      <c r="O864" s="1053"/>
      <c r="P864" s="112"/>
      <c r="AA864" s="1050"/>
    </row>
    <row r="865" spans="10:27" ht="13.5" customHeight="1">
      <c r="J865" s="1053"/>
      <c r="K865" s="1053"/>
      <c r="L865" s="1053"/>
      <c r="M865" s="1053"/>
      <c r="N865" s="1053"/>
      <c r="O865" s="1053"/>
      <c r="P865" s="112"/>
      <c r="AA865" s="1050"/>
    </row>
    <row r="866" spans="10:27" ht="13.5" customHeight="1">
      <c r="J866" s="1053"/>
      <c r="K866" s="1053"/>
      <c r="L866" s="1053"/>
      <c r="M866" s="1053"/>
      <c r="N866" s="1053"/>
      <c r="O866" s="1053"/>
      <c r="P866" s="112"/>
      <c r="AA866" s="1050"/>
    </row>
    <row r="867" spans="10:27" ht="13.5" customHeight="1">
      <c r="J867" s="1053"/>
      <c r="K867" s="1053"/>
      <c r="L867" s="1053"/>
      <c r="M867" s="1053"/>
      <c r="N867" s="1053"/>
      <c r="O867" s="1053"/>
      <c r="P867" s="112"/>
      <c r="AA867" s="1050"/>
    </row>
    <row r="868" spans="10:27" ht="13.5" customHeight="1">
      <c r="J868" s="1053"/>
      <c r="K868" s="1053"/>
      <c r="L868" s="1053"/>
      <c r="M868" s="1053"/>
      <c r="N868" s="1053"/>
      <c r="O868" s="1053"/>
      <c r="P868" s="112"/>
      <c r="AA868" s="1050"/>
    </row>
    <row r="869" spans="10:27" ht="13.5" customHeight="1">
      <c r="J869" s="1053"/>
      <c r="K869" s="1053"/>
      <c r="L869" s="1053"/>
      <c r="M869" s="1053"/>
      <c r="N869" s="1053"/>
      <c r="O869" s="1053"/>
      <c r="P869" s="112"/>
      <c r="AA869" s="1050"/>
    </row>
    <row r="870" spans="10:27" ht="13.5" customHeight="1">
      <c r="J870" s="1053"/>
      <c r="K870" s="1053"/>
      <c r="L870" s="1053"/>
      <c r="M870" s="1053"/>
      <c r="N870" s="1053"/>
      <c r="O870" s="1053"/>
      <c r="P870" s="112"/>
      <c r="AA870" s="1050"/>
    </row>
    <row r="871" spans="10:27" ht="13.5" customHeight="1">
      <c r="J871" s="1053"/>
      <c r="K871" s="1053"/>
      <c r="L871" s="1053"/>
      <c r="M871" s="1053"/>
      <c r="N871" s="1053"/>
      <c r="O871" s="1053"/>
      <c r="P871" s="112"/>
      <c r="AA871" s="1050"/>
    </row>
    <row r="872" spans="10:27" ht="13.5" customHeight="1">
      <c r="J872" s="1053"/>
      <c r="K872" s="1053"/>
      <c r="L872" s="1053"/>
      <c r="M872" s="1053"/>
      <c r="N872" s="1053"/>
      <c r="O872" s="1053"/>
      <c r="P872" s="112"/>
      <c r="AA872" s="1050"/>
    </row>
    <row r="873" spans="10:27" ht="13.5" customHeight="1">
      <c r="J873" s="1053"/>
      <c r="K873" s="1053"/>
      <c r="L873" s="1053"/>
      <c r="M873" s="1053"/>
      <c r="N873" s="1053"/>
      <c r="O873" s="1053"/>
      <c r="P873" s="112"/>
      <c r="AA873" s="1050"/>
    </row>
    <row r="874" spans="10:27" ht="13.5" customHeight="1">
      <c r="J874" s="1053"/>
      <c r="K874" s="1053"/>
      <c r="L874" s="1053"/>
      <c r="M874" s="1053"/>
      <c r="N874" s="1053"/>
      <c r="O874" s="1053"/>
      <c r="P874" s="112"/>
      <c r="AA874" s="1050"/>
    </row>
    <row r="875" spans="10:27" ht="13.5" customHeight="1">
      <c r="J875" s="1053"/>
      <c r="K875" s="1053"/>
      <c r="L875" s="1053"/>
      <c r="M875" s="1053"/>
      <c r="N875" s="1053"/>
      <c r="O875" s="1053"/>
      <c r="P875" s="112"/>
      <c r="AA875" s="1050"/>
    </row>
    <row r="876" spans="10:27" ht="13.5" customHeight="1">
      <c r="J876" s="1053"/>
      <c r="K876" s="1053"/>
      <c r="L876" s="1053"/>
      <c r="M876" s="1053"/>
      <c r="N876" s="1053"/>
      <c r="O876" s="1053"/>
      <c r="P876" s="112"/>
      <c r="AA876" s="1050"/>
    </row>
    <row r="877" spans="10:27" ht="13.5" customHeight="1">
      <c r="J877" s="1053"/>
      <c r="K877" s="1053"/>
      <c r="L877" s="1053"/>
      <c r="M877" s="1053"/>
      <c r="N877" s="1053"/>
      <c r="O877" s="1053"/>
      <c r="P877" s="112"/>
      <c r="AA877" s="1050"/>
    </row>
    <row r="878" spans="10:27" ht="13.5" customHeight="1">
      <c r="J878" s="1053"/>
      <c r="K878" s="1053"/>
      <c r="L878" s="1053"/>
      <c r="M878" s="1053"/>
      <c r="N878" s="1053"/>
      <c r="O878" s="1053"/>
      <c r="P878" s="112"/>
      <c r="AA878" s="1050"/>
    </row>
    <row r="879" spans="10:27" ht="13.5" customHeight="1">
      <c r="J879" s="1053"/>
      <c r="K879" s="1053"/>
      <c r="L879" s="1053"/>
      <c r="M879" s="1053"/>
      <c r="N879" s="1053"/>
      <c r="O879" s="1053"/>
      <c r="P879" s="112"/>
      <c r="AA879" s="1050"/>
    </row>
    <row r="880" spans="10:27" ht="13.5" customHeight="1">
      <c r="J880" s="1053"/>
      <c r="K880" s="1053"/>
      <c r="L880" s="1053"/>
      <c r="M880" s="1053"/>
      <c r="N880" s="1053"/>
      <c r="O880" s="1053"/>
      <c r="P880" s="112"/>
      <c r="AA880" s="1050"/>
    </row>
    <row r="881" spans="10:27" ht="13.5" customHeight="1">
      <c r="J881" s="1053"/>
      <c r="K881" s="1053"/>
      <c r="L881" s="1053"/>
      <c r="M881" s="1053"/>
      <c r="N881" s="1053"/>
      <c r="O881" s="1053"/>
      <c r="P881" s="112"/>
      <c r="AA881" s="1050"/>
    </row>
    <row r="882" spans="10:27" ht="13.5" customHeight="1">
      <c r="J882" s="1053"/>
      <c r="K882" s="1053"/>
      <c r="L882" s="1053"/>
      <c r="M882" s="1053"/>
      <c r="N882" s="1053"/>
      <c r="O882" s="1053"/>
      <c r="P882" s="112"/>
      <c r="AA882" s="1050"/>
    </row>
    <row r="883" spans="10:27" ht="13.5" customHeight="1"/>
    <row r="884" spans="10:27" ht="13.5" customHeight="1"/>
    <row r="885" spans="10:27" ht="13.5" customHeight="1"/>
    <row r="886" spans="10:27" ht="13.5" customHeight="1"/>
    <row r="887" spans="10:27" ht="13.5" customHeight="1"/>
    <row r="888" spans="10:27" ht="13.5" customHeight="1"/>
    <row r="889" spans="10:27" ht="13.5" customHeight="1"/>
    <row r="890" spans="10:27" ht="13.5" customHeight="1"/>
    <row r="891" spans="10:27" ht="13.5" customHeight="1"/>
    <row r="892" spans="10:27" ht="13.5" customHeight="1"/>
    <row r="893" spans="10:27" ht="13.5" customHeight="1"/>
    <row r="894" spans="10:27" ht="13.5" customHeight="1"/>
    <row r="895" spans="10:27" ht="13.5" customHeight="1"/>
    <row r="896" spans="10:27"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sheetData>
  <autoFilter ref="A1:AP46" xr:uid="{00000000-0009-0000-0000-000005000000}">
    <filterColumn colId="1">
      <filters>
        <filter val="Rifah Shaikh"/>
      </filters>
    </filterColumn>
    <sortState xmlns:xlrd2="http://schemas.microsoft.com/office/spreadsheetml/2017/richdata2" ref="A2:AP44">
      <sortCondition ref="B1:B44"/>
    </sortState>
  </autoFilter>
  <phoneticPr fontId="62" type="noConversion"/>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FB6C-610C-47EE-97A5-C3507AAE19D9}">
  <dimension ref="A1:XBT978"/>
  <sheetViews>
    <sheetView zoomScale="90" workbookViewId="0">
      <pane xSplit="5" ySplit="1" topLeftCell="F2" activePane="bottomRight" state="frozen"/>
      <selection pane="topRight" activeCell="F1" sqref="F1"/>
      <selection pane="bottomLeft" activeCell="A2" sqref="A2"/>
      <selection pane="bottomRight" activeCell="P25" sqref="P25"/>
    </sheetView>
  </sheetViews>
  <sheetFormatPr defaultColWidth="12" defaultRowHeight="13.8"/>
  <cols>
    <col min="1" max="1" width="6" style="1000" customWidth="1"/>
    <col min="2" max="2" width="25.5" style="1000" customWidth="1"/>
    <col min="3" max="3" width="12.59765625" style="1000" customWidth="1"/>
    <col min="4" max="4" width="10.69921875" style="1000" customWidth="1"/>
    <col min="5" max="5" width="9.59765625" style="1000" customWidth="1"/>
    <col min="6" max="6" width="12.69921875" style="1000" customWidth="1"/>
    <col min="7" max="7" width="11.8984375" style="1000" customWidth="1"/>
    <col min="8" max="9" width="10.69921875" style="1000" customWidth="1"/>
    <col min="10" max="12" width="9.59765625" style="1000" customWidth="1"/>
    <col min="13" max="13" width="22.59765625" style="1000" customWidth="1"/>
    <col min="14" max="14" width="9.69921875" style="1000" customWidth="1"/>
    <col min="15" max="15" width="8.69921875" style="1000" customWidth="1"/>
    <col min="16" max="16" width="14.8984375" style="1000" customWidth="1"/>
    <col min="17" max="17" width="11.5" style="1000" customWidth="1"/>
    <col min="18" max="18" width="17" style="1000" customWidth="1"/>
    <col min="19" max="19" width="15.19921875" style="1000" customWidth="1"/>
    <col min="20" max="20" width="13.19921875" style="1000" customWidth="1"/>
    <col min="21" max="21" width="21.69921875" style="1000" customWidth="1"/>
    <col min="22" max="22" width="18.3984375" style="1000" customWidth="1"/>
    <col min="23" max="23" width="9.8984375" style="1000" customWidth="1"/>
    <col min="24" max="24" width="9.69921875" style="1000" customWidth="1"/>
    <col min="25" max="16384" width="12" style="1000"/>
  </cols>
  <sheetData>
    <row r="1" spans="1:16296" ht="75" customHeight="1">
      <c r="A1" s="699" t="s">
        <v>0</v>
      </c>
      <c r="B1" s="700" t="s">
        <v>1</v>
      </c>
      <c r="C1" s="700" t="s">
        <v>48</v>
      </c>
      <c r="D1" s="700" t="s">
        <v>2</v>
      </c>
      <c r="E1" s="700" t="s">
        <v>3</v>
      </c>
      <c r="F1" s="700" t="s">
        <v>265</v>
      </c>
      <c r="G1" s="700" t="s">
        <v>266</v>
      </c>
      <c r="H1" s="700" t="s">
        <v>4</v>
      </c>
      <c r="I1" s="700" t="s">
        <v>49</v>
      </c>
      <c r="J1" s="700" t="s">
        <v>50</v>
      </c>
      <c r="K1" s="700" t="s">
        <v>589</v>
      </c>
      <c r="L1" s="700" t="s">
        <v>6</v>
      </c>
      <c r="M1" s="707" t="s">
        <v>971</v>
      </c>
      <c r="N1" s="707" t="s">
        <v>318</v>
      </c>
      <c r="O1" s="707" t="s">
        <v>1044</v>
      </c>
      <c r="P1" s="707" t="s">
        <v>1045</v>
      </c>
      <c r="Q1" s="707" t="s">
        <v>1046</v>
      </c>
      <c r="R1" s="707" t="s">
        <v>1047</v>
      </c>
      <c r="S1" s="707" t="s">
        <v>1048</v>
      </c>
      <c r="T1" s="707" t="s">
        <v>1049</v>
      </c>
      <c r="U1" s="707" t="s">
        <v>1050</v>
      </c>
      <c r="V1" s="707" t="s">
        <v>1051</v>
      </c>
      <c r="W1" s="707" t="s">
        <v>1052</v>
      </c>
      <c r="X1" s="707" t="s">
        <v>1053</v>
      </c>
      <c r="Y1" s="707" t="s">
        <v>1054</v>
      </c>
      <c r="Z1" s="707" t="s">
        <v>1055</v>
      </c>
      <c r="AA1" s="707" t="s">
        <v>1056</v>
      </c>
      <c r="AB1" s="707" t="s">
        <v>1057</v>
      </c>
      <c r="AC1" s="707" t="s">
        <v>1058</v>
      </c>
      <c r="AD1" s="707" t="s">
        <v>1059</v>
      </c>
      <c r="AE1" s="707" t="s">
        <v>281</v>
      </c>
      <c r="AF1" s="707" t="s">
        <v>194</v>
      </c>
      <c r="AG1" s="707" t="s">
        <v>195</v>
      </c>
      <c r="AH1" s="707" t="s">
        <v>196</v>
      </c>
      <c r="AI1" s="707" t="s">
        <v>197</v>
      </c>
    </row>
    <row r="2" spans="1:16296" ht="21" customHeight="1">
      <c r="A2" s="139">
        <v>1</v>
      </c>
      <c r="B2" s="52" t="s">
        <v>285</v>
      </c>
      <c r="C2" s="52" t="s">
        <v>958</v>
      </c>
      <c r="D2" s="52">
        <v>6000</v>
      </c>
      <c r="E2" s="52">
        <v>6000</v>
      </c>
      <c r="F2" s="52"/>
      <c r="G2" s="52"/>
      <c r="H2" s="52" t="s">
        <v>282</v>
      </c>
      <c r="I2" s="712">
        <f>E2/23*22.5</f>
        <v>5869.5652173913049</v>
      </c>
      <c r="J2" s="712">
        <f>E2/21*19</f>
        <v>5428.5714285714284</v>
      </c>
      <c r="K2" s="712">
        <f>E2/20*20</f>
        <v>6000</v>
      </c>
      <c r="L2" s="712">
        <f>E2/23*23</f>
        <v>6000</v>
      </c>
      <c r="M2" s="52"/>
      <c r="N2" s="716"/>
      <c r="O2" s="1138">
        <f>SUM(I2:K2)</f>
        <v>17298.136645962732</v>
      </c>
      <c r="P2" s="1014">
        <v>12000</v>
      </c>
      <c r="Q2" s="1014">
        <f>I2</f>
        <v>5869.5652173913049</v>
      </c>
      <c r="R2" s="1014">
        <f>J2</f>
        <v>5428.5714285714284</v>
      </c>
      <c r="S2" s="1014">
        <f>K2</f>
        <v>6000</v>
      </c>
      <c r="T2" s="1015"/>
      <c r="U2" s="1016"/>
      <c r="V2" s="1016"/>
      <c r="W2" s="880"/>
      <c r="X2" s="880"/>
      <c r="Y2" s="1014"/>
      <c r="Z2" s="1014"/>
      <c r="AA2" s="1014"/>
      <c r="AB2" s="1014"/>
      <c r="AC2" s="1014">
        <f>SUM(Q2:AB2)</f>
        <v>17298.136645962732</v>
      </c>
      <c r="AD2" s="1014">
        <v>0</v>
      </c>
      <c r="AE2" s="1014">
        <f>SUM('2023'!O5:P5)</f>
        <v>12000</v>
      </c>
      <c r="AF2" s="1014">
        <v>0</v>
      </c>
      <c r="AG2" s="1014">
        <v>0</v>
      </c>
      <c r="AH2" s="1014">
        <v>0</v>
      </c>
      <c r="AI2" s="1014">
        <f>SUM(AD2:AH2)</f>
        <v>12000</v>
      </c>
    </row>
    <row r="3" spans="1:16296" ht="21" customHeight="1">
      <c r="A3" s="139">
        <v>2</v>
      </c>
      <c r="B3" s="52" t="s">
        <v>1036</v>
      </c>
      <c r="C3" s="52" t="s">
        <v>199</v>
      </c>
      <c r="D3" s="52">
        <v>6000</v>
      </c>
      <c r="E3" s="52">
        <v>6000</v>
      </c>
      <c r="F3" s="119">
        <v>45712</v>
      </c>
      <c r="G3" s="52"/>
      <c r="H3" s="52" t="s">
        <v>282</v>
      </c>
      <c r="I3" s="712" t="s">
        <v>30</v>
      </c>
      <c r="J3" s="712" t="s">
        <v>30</v>
      </c>
      <c r="K3" s="712">
        <f>E3/20*20</f>
        <v>6000</v>
      </c>
      <c r="L3" s="712">
        <f>E3/23*23</f>
        <v>6000</v>
      </c>
      <c r="M3" s="52"/>
      <c r="N3" s="716"/>
      <c r="O3" s="716"/>
      <c r="P3" s="1014"/>
      <c r="Q3" s="1014"/>
      <c r="R3" s="1014"/>
      <c r="S3" s="1014"/>
      <c r="T3" s="1015"/>
      <c r="U3" s="1016"/>
      <c r="V3" s="1016"/>
      <c r="W3" s="880"/>
      <c r="X3" s="880"/>
      <c r="Y3" s="1014"/>
      <c r="Z3" s="1014"/>
      <c r="AA3" s="1014"/>
      <c r="AB3" s="1014"/>
      <c r="AC3" s="1014"/>
      <c r="AD3" s="1014"/>
      <c r="AE3" s="1014"/>
      <c r="AF3" s="1014"/>
      <c r="AG3" s="1014"/>
      <c r="AH3" s="1014"/>
      <c r="AI3" s="1014"/>
    </row>
    <row r="4" spans="1:16296" ht="15.6">
      <c r="A4" s="139">
        <v>3</v>
      </c>
      <c r="B4" s="52" t="s">
        <v>129</v>
      </c>
      <c r="C4" s="52" t="s">
        <v>199</v>
      </c>
      <c r="D4" s="52">
        <v>13000</v>
      </c>
      <c r="E4" s="52">
        <v>8000</v>
      </c>
      <c r="F4" s="52"/>
      <c r="G4" s="52"/>
      <c r="H4" s="52" t="s">
        <v>282</v>
      </c>
      <c r="I4" s="52">
        <f>E4/23*23</f>
        <v>8000</v>
      </c>
      <c r="J4" s="52">
        <v>3000</v>
      </c>
      <c r="K4" s="52">
        <f>E4/20*20</f>
        <v>8000</v>
      </c>
      <c r="L4" s="52">
        <f>E4/23*23</f>
        <v>8000</v>
      </c>
      <c r="M4" s="52"/>
      <c r="N4" s="52"/>
      <c r="O4" s="716">
        <f>SUM(I4:K4)</f>
        <v>19000</v>
      </c>
      <c r="P4" s="1014">
        <f>SUM(M4:N4)</f>
        <v>0</v>
      </c>
      <c r="Q4" s="1014">
        <f>I4</f>
        <v>8000</v>
      </c>
      <c r="R4" s="1014">
        <f t="shared" ref="R4:R6" si="0">J4</f>
        <v>3000</v>
      </c>
      <c r="S4" s="1014">
        <f t="shared" ref="S4:S6" si="1">K4</f>
        <v>8000</v>
      </c>
      <c r="T4" s="1015"/>
      <c r="U4" s="1016"/>
      <c r="V4" s="1016"/>
      <c r="W4" s="880"/>
      <c r="X4" s="880"/>
      <c r="Y4" s="1014"/>
      <c r="Z4" s="1014"/>
      <c r="AA4" s="1014"/>
      <c r="AB4" s="1014"/>
      <c r="AC4" s="1014">
        <f>SUM(T4:AB4)</f>
        <v>0</v>
      </c>
      <c r="AD4" s="1014">
        <v>0</v>
      </c>
      <c r="AE4" s="1014">
        <v>0</v>
      </c>
      <c r="AF4" s="1014">
        <f>'2022'!G3</f>
        <v>5000</v>
      </c>
      <c r="AG4" s="1014">
        <f>SUM('2021'!O3:R3)</f>
        <v>15045.454545454546</v>
      </c>
      <c r="AH4" s="1014">
        <v>0</v>
      </c>
      <c r="AI4" s="1014">
        <f>SUM(AD4:AH4)</f>
        <v>20045.454545454544</v>
      </c>
    </row>
    <row r="5" spans="1:16296" ht="30.75" customHeight="1">
      <c r="A5" s="139">
        <v>4</v>
      </c>
      <c r="B5" s="52" t="s">
        <v>331</v>
      </c>
      <c r="C5" s="52" t="s">
        <v>332</v>
      </c>
      <c r="D5" s="52">
        <v>6000</v>
      </c>
      <c r="E5" s="52">
        <v>6000</v>
      </c>
      <c r="F5" s="119">
        <v>45476</v>
      </c>
      <c r="G5" s="119"/>
      <c r="H5" s="52" t="s">
        <v>282</v>
      </c>
      <c r="I5" s="52">
        <v>5500</v>
      </c>
      <c r="J5" s="52">
        <f>E5/21*21</f>
        <v>6000</v>
      </c>
      <c r="K5" s="52">
        <f>E5/20*18.5</f>
        <v>5550</v>
      </c>
      <c r="L5" s="712">
        <f>E5/23*20</f>
        <v>5217.391304347826</v>
      </c>
      <c r="M5" s="52" t="s">
        <v>1089</v>
      </c>
      <c r="N5" s="716"/>
      <c r="O5" s="716"/>
      <c r="P5" s="1014"/>
      <c r="Q5" s="1014">
        <f>I5</f>
        <v>5500</v>
      </c>
      <c r="R5" s="1014">
        <f t="shared" si="0"/>
        <v>6000</v>
      </c>
      <c r="S5" s="1014">
        <f t="shared" si="1"/>
        <v>5550</v>
      </c>
      <c r="T5" s="1016"/>
      <c r="U5" s="1016"/>
      <c r="V5" s="1016"/>
      <c r="W5" s="1014"/>
      <c r="X5" s="1014"/>
      <c r="Y5" s="1014"/>
      <c r="Z5" s="1014"/>
      <c r="AA5" s="1020"/>
      <c r="AB5" s="1014"/>
      <c r="AC5" s="1014"/>
      <c r="AD5" s="1014"/>
      <c r="AE5" s="1014"/>
      <c r="AF5" s="1014"/>
      <c r="AG5" s="1014"/>
      <c r="AH5" s="1014"/>
      <c r="AI5" s="1014"/>
    </row>
    <row r="6" spans="1:16296" ht="21.6" customHeight="1">
      <c r="A6" s="139">
        <v>5</v>
      </c>
      <c r="B6" s="52" t="s">
        <v>198</v>
      </c>
      <c r="C6" s="52" t="s">
        <v>332</v>
      </c>
      <c r="D6" s="52">
        <v>12000</v>
      </c>
      <c r="E6" s="52">
        <v>9000</v>
      </c>
      <c r="F6" s="52"/>
      <c r="G6" s="52"/>
      <c r="H6" s="52" t="s">
        <v>282</v>
      </c>
      <c r="I6" s="712">
        <f>E6/23*22</f>
        <v>8608.6956521739121</v>
      </c>
      <c r="J6" s="712">
        <f>E6/21*11</f>
        <v>4714.2857142857138</v>
      </c>
      <c r="K6" s="712">
        <f>E6/20*16.5</f>
        <v>7425</v>
      </c>
      <c r="L6" s="712">
        <f>E6/23*20</f>
        <v>7826.086956521739</v>
      </c>
      <c r="M6" s="52" t="s">
        <v>1089</v>
      </c>
      <c r="N6" s="52"/>
      <c r="O6" s="52"/>
      <c r="P6" s="880">
        <f>SUM(M6:N6)</f>
        <v>0</v>
      </c>
      <c r="Q6" s="1014">
        <f>I6</f>
        <v>8608.6956521739121</v>
      </c>
      <c r="R6" s="1014">
        <f t="shared" si="0"/>
        <v>4714.2857142857138</v>
      </c>
      <c r="S6" s="1014">
        <f t="shared" si="1"/>
        <v>7425</v>
      </c>
      <c r="T6" s="1022"/>
      <c r="U6" s="1016"/>
      <c r="V6" s="64"/>
      <c r="W6" s="880"/>
      <c r="X6" s="880"/>
      <c r="Y6" s="1014"/>
      <c r="Z6" s="880"/>
      <c r="AA6" s="1014"/>
      <c r="AB6" s="1014"/>
      <c r="AC6" s="880"/>
      <c r="AD6" s="880"/>
      <c r="AE6" s="1014"/>
      <c r="AF6" s="1014"/>
      <c r="AG6" s="1014"/>
      <c r="AH6" s="1014"/>
      <c r="AI6" s="1014"/>
    </row>
    <row r="7" spans="1:16296" ht="22.5" customHeight="1">
      <c r="A7" s="139">
        <v>6</v>
      </c>
      <c r="B7" s="128" t="s">
        <v>203</v>
      </c>
      <c r="C7" s="128" t="s">
        <v>333</v>
      </c>
      <c r="D7" s="128">
        <v>40000</v>
      </c>
      <c r="E7" s="128">
        <v>10000</v>
      </c>
      <c r="F7" s="118">
        <v>44798</v>
      </c>
      <c r="G7" s="118">
        <v>45163</v>
      </c>
      <c r="H7" s="128" t="s">
        <v>282</v>
      </c>
      <c r="I7" s="128">
        <f>E7/23*23</f>
        <v>10000</v>
      </c>
      <c r="J7" s="991">
        <f>E7/21*20.5</f>
        <v>9761.9047619047615</v>
      </c>
      <c r="K7" s="991">
        <v>10000</v>
      </c>
      <c r="L7" s="991">
        <f>E7/23*23</f>
        <v>10000</v>
      </c>
      <c r="M7" s="991"/>
      <c r="N7" s="170"/>
      <c r="O7" s="170"/>
      <c r="P7" s="1018">
        <f>SUM(M7:N7)</f>
        <v>0</v>
      </c>
      <c r="Q7" s="1018"/>
      <c r="R7" s="1018"/>
      <c r="S7" s="1018"/>
      <c r="T7" s="1019"/>
      <c r="U7" s="1019"/>
      <c r="V7" s="1019"/>
      <c r="W7" s="1018"/>
      <c r="X7" s="1018"/>
      <c r="Y7" s="1018"/>
      <c r="Z7" s="1018"/>
      <c r="AA7" s="1018"/>
      <c r="AB7" s="1018"/>
      <c r="AC7" s="1018"/>
      <c r="AD7" s="1018"/>
      <c r="AE7" s="1018"/>
      <c r="AF7" s="1018"/>
      <c r="AG7" s="1018"/>
      <c r="AH7" s="1018"/>
      <c r="AI7" s="1018"/>
    </row>
    <row r="8" spans="1:16296" ht="33" customHeight="1">
      <c r="A8" s="139">
        <v>7</v>
      </c>
      <c r="B8" s="128" t="s">
        <v>334</v>
      </c>
      <c r="C8" s="128" t="s">
        <v>333</v>
      </c>
      <c r="D8" s="128">
        <v>30000</v>
      </c>
      <c r="E8" s="128">
        <v>5000</v>
      </c>
      <c r="F8" s="118">
        <v>44806</v>
      </c>
      <c r="G8" s="118">
        <v>45171</v>
      </c>
      <c r="H8" s="128" t="s">
        <v>282</v>
      </c>
      <c r="I8" s="991">
        <f>E8/23*23-500</f>
        <v>4500</v>
      </c>
      <c r="J8" s="991">
        <v>4500</v>
      </c>
      <c r="K8" s="991">
        <v>4500</v>
      </c>
      <c r="L8" s="991">
        <f>E8/23*23</f>
        <v>5000</v>
      </c>
      <c r="M8" s="170"/>
      <c r="N8" s="170"/>
      <c r="O8" s="739"/>
      <c r="P8" s="1018">
        <f>SUM(M8:N8)</f>
        <v>0</v>
      </c>
      <c r="Q8" s="1018"/>
      <c r="R8" s="1018"/>
      <c r="S8" s="1018"/>
      <c r="T8" s="1019"/>
      <c r="U8" s="1019"/>
      <c r="V8" s="1019"/>
      <c r="W8" s="1018"/>
      <c r="X8" s="1018"/>
      <c r="Y8" s="1018"/>
      <c r="Z8" s="1018"/>
      <c r="AA8" s="1018"/>
      <c r="AB8" s="1018"/>
      <c r="AC8" s="1018"/>
      <c r="AD8" s="1018"/>
      <c r="AE8" s="1018"/>
      <c r="AF8" s="1018"/>
      <c r="AG8" s="1018"/>
      <c r="AH8" s="1018"/>
      <c r="AI8" s="280"/>
    </row>
    <row r="9" spans="1:16296" ht="25.95" customHeight="1">
      <c r="A9" s="139">
        <v>8</v>
      </c>
      <c r="B9" s="52" t="s">
        <v>241</v>
      </c>
      <c r="C9" s="52" t="s">
        <v>333</v>
      </c>
      <c r="D9" s="52">
        <v>30000</v>
      </c>
      <c r="E9" s="52">
        <v>5000</v>
      </c>
      <c r="F9" s="119">
        <v>45317</v>
      </c>
      <c r="G9" s="119">
        <v>45683</v>
      </c>
      <c r="H9" s="52" t="s">
        <v>282</v>
      </c>
      <c r="I9" s="52">
        <f>E9/23*23</f>
        <v>5000</v>
      </c>
      <c r="J9" s="52">
        <f>E9/21*21</f>
        <v>5000</v>
      </c>
      <c r="K9" s="52">
        <f t="shared" ref="K9:K18" si="2">E9/20*20</f>
        <v>5000</v>
      </c>
      <c r="L9" s="712">
        <f>E9/23*15</f>
        <v>3260.8695652173915</v>
      </c>
      <c r="M9" s="52" t="s">
        <v>1090</v>
      </c>
      <c r="N9" s="716"/>
      <c r="O9" s="716"/>
      <c r="P9" s="1014">
        <f>SUM(M9:N9)</f>
        <v>0</v>
      </c>
      <c r="Q9" s="1014">
        <f t="shared" ref="Q9:S10" si="3">I9</f>
        <v>5000</v>
      </c>
      <c r="R9" s="1014">
        <f t="shared" si="3"/>
        <v>5000</v>
      </c>
      <c r="S9" s="1014">
        <f t="shared" si="3"/>
        <v>5000</v>
      </c>
      <c r="T9" s="1015"/>
      <c r="U9" s="1016"/>
      <c r="V9" s="1016"/>
      <c r="W9" s="880"/>
      <c r="X9" s="880"/>
      <c r="Y9" s="1014"/>
      <c r="Z9" s="880"/>
      <c r="AA9" s="1014"/>
      <c r="AB9" s="1014"/>
      <c r="AC9" s="1014"/>
      <c r="AD9" s="1014"/>
      <c r="AE9" s="1014"/>
      <c r="AF9" s="1014"/>
      <c r="AG9" s="1014"/>
      <c r="AH9" s="1014"/>
      <c r="AI9" s="1014"/>
    </row>
    <row r="10" spans="1:16296" ht="29.4" customHeight="1">
      <c r="A10" s="139">
        <v>9</v>
      </c>
      <c r="B10" s="52" t="s">
        <v>20</v>
      </c>
      <c r="C10" s="52" t="s">
        <v>333</v>
      </c>
      <c r="D10" s="52">
        <v>27000</v>
      </c>
      <c r="E10" s="52">
        <v>10000</v>
      </c>
      <c r="F10" s="52"/>
      <c r="G10" s="52"/>
      <c r="H10" s="52" t="s">
        <v>282</v>
      </c>
      <c r="I10" s="712">
        <f>E10/23*23</f>
        <v>10000</v>
      </c>
      <c r="J10" s="712">
        <f>E10/21*21</f>
        <v>10000</v>
      </c>
      <c r="K10" s="712">
        <f t="shared" si="2"/>
        <v>10000</v>
      </c>
      <c r="L10" s="712">
        <f>E10/23*23</f>
        <v>10000</v>
      </c>
      <c r="M10" s="52"/>
      <c r="N10" s="52"/>
      <c r="O10" s="716"/>
      <c r="P10" s="1014">
        <f>SUM(M10:N10)</f>
        <v>0</v>
      </c>
      <c r="Q10" s="1014">
        <f t="shared" si="3"/>
        <v>10000</v>
      </c>
      <c r="R10" s="1014">
        <f t="shared" si="3"/>
        <v>10000</v>
      </c>
      <c r="S10" s="1014">
        <f t="shared" si="3"/>
        <v>10000</v>
      </c>
      <c r="T10" s="1023"/>
      <c r="U10" s="1016"/>
      <c r="V10" s="1016"/>
      <c r="W10" s="880"/>
      <c r="X10" s="880"/>
      <c r="Y10" s="1014"/>
      <c r="Z10" s="880"/>
      <c r="AA10" s="1014"/>
      <c r="AB10" s="1014"/>
      <c r="AC10" s="1014">
        <f>N10</f>
        <v>0</v>
      </c>
      <c r="AD10" s="1014"/>
      <c r="AE10" s="1018"/>
      <c r="AF10" s="1018"/>
      <c r="AG10" s="1018"/>
      <c r="AH10" s="1018"/>
      <c r="AI10" s="1018"/>
    </row>
    <row r="11" spans="1:16296" ht="29.4" customHeight="1">
      <c r="A11" s="139">
        <v>10</v>
      </c>
      <c r="B11" s="128" t="s">
        <v>916</v>
      </c>
      <c r="C11" s="128" t="s">
        <v>333</v>
      </c>
      <c r="D11" s="128">
        <v>10000</v>
      </c>
      <c r="E11" s="128">
        <v>6000</v>
      </c>
      <c r="F11" s="118">
        <v>45420</v>
      </c>
      <c r="G11" s="128">
        <v>46150</v>
      </c>
      <c r="H11" s="128" t="s">
        <v>282</v>
      </c>
      <c r="I11" s="991">
        <v>3000</v>
      </c>
      <c r="J11" s="991">
        <v>0</v>
      </c>
      <c r="K11" s="991">
        <f t="shared" si="2"/>
        <v>6000</v>
      </c>
      <c r="L11" s="991">
        <v>0</v>
      </c>
      <c r="M11" s="170" t="s">
        <v>999</v>
      </c>
      <c r="N11" s="170" t="s">
        <v>1101</v>
      </c>
      <c r="O11" s="170"/>
      <c r="P11" s="1018"/>
      <c r="Q11" s="1018"/>
      <c r="R11" s="1018"/>
      <c r="S11" s="1018"/>
      <c r="T11" s="1019"/>
      <c r="U11" s="1019"/>
      <c r="V11" s="1019"/>
      <c r="W11" s="1018"/>
      <c r="X11" s="1018"/>
      <c r="Y11" s="1018"/>
      <c r="Z11" s="1018"/>
      <c r="AA11" s="1018"/>
      <c r="AB11" s="1018"/>
      <c r="AC11" s="139"/>
      <c r="AD11" s="139"/>
      <c r="AE11" s="128"/>
      <c r="AF11" s="128"/>
      <c r="AG11" s="128"/>
      <c r="AH11" s="128"/>
      <c r="AI11" s="118"/>
      <c r="AJ11" s="1049"/>
      <c r="AK11" s="1049"/>
      <c r="AL11" s="1115"/>
      <c r="AM11" s="1116"/>
      <c r="AN11" s="1116"/>
      <c r="AO11" s="1116"/>
      <c r="AP11" s="1116"/>
      <c r="AQ11" s="1117"/>
      <c r="AR11" s="1116"/>
      <c r="AS11" s="1116"/>
      <c r="AT11" s="1118"/>
      <c r="AU11" s="1116"/>
      <c r="AV11" s="485"/>
      <c r="AW11" s="1114"/>
      <c r="AX11" s="1018"/>
      <c r="AY11" s="1018"/>
      <c r="AZ11" s="1018"/>
      <c r="BA11" s="1018"/>
      <c r="BB11" s="1019"/>
      <c r="BC11" s="1019"/>
      <c r="BD11" s="1019"/>
      <c r="BE11" s="1018"/>
      <c r="BF11" s="1018"/>
      <c r="BG11" s="1018"/>
      <c r="BH11" s="1018"/>
      <c r="BI11" s="1018"/>
      <c r="BJ11" s="1018"/>
      <c r="BK11" s="139"/>
      <c r="BL11" s="128"/>
      <c r="BM11" s="128"/>
      <c r="BN11" s="128"/>
      <c r="BO11" s="128"/>
      <c r="BP11" s="118"/>
      <c r="BQ11" s="128"/>
      <c r="BR11" s="128"/>
      <c r="BS11" s="991"/>
      <c r="BT11" s="128"/>
      <c r="BU11" s="170"/>
      <c r="BV11" s="170"/>
      <c r="BW11" s="1018"/>
      <c r="BX11" s="1018"/>
      <c r="BY11" s="1018"/>
      <c r="BZ11" s="1018"/>
      <c r="CA11" s="1019"/>
      <c r="CB11" s="1019"/>
      <c r="CC11" s="1019"/>
      <c r="CD11" s="1018"/>
      <c r="CE11" s="1018"/>
      <c r="CF11" s="1018"/>
      <c r="CG11" s="1018"/>
      <c r="CH11" s="1018"/>
      <c r="CI11" s="1018"/>
      <c r="CJ11" s="139"/>
      <c r="CK11" s="128"/>
      <c r="CL11" s="128"/>
      <c r="CM11" s="128"/>
      <c r="CN11" s="128"/>
      <c r="CO11" s="118"/>
      <c r="CP11" s="128"/>
      <c r="CQ11" s="128"/>
      <c r="CR11" s="991"/>
      <c r="CS11" s="128"/>
      <c r="CT11" s="170"/>
      <c r="CU11" s="170"/>
      <c r="CV11" s="1018"/>
      <c r="CW11" s="1018"/>
      <c r="CX11" s="1018"/>
      <c r="CY11" s="1018"/>
      <c r="CZ11" s="1019"/>
      <c r="DA11" s="1019"/>
      <c r="DB11" s="1019"/>
      <c r="DC11" s="1018"/>
      <c r="DD11" s="1018"/>
      <c r="DE11" s="1018"/>
      <c r="DF11" s="1018"/>
      <c r="DG11" s="1018"/>
      <c r="DH11" s="1018"/>
      <c r="DI11" s="139"/>
      <c r="DJ11" s="128"/>
      <c r="DK11" s="128"/>
      <c r="DL11" s="128"/>
      <c r="DM11" s="128"/>
      <c r="DN11" s="118"/>
      <c r="DO11" s="128"/>
      <c r="DP11" s="128"/>
      <c r="DQ11" s="991"/>
      <c r="DR11" s="128"/>
      <c r="DS11" s="170"/>
      <c r="DT11" s="170"/>
      <c r="DU11" s="1018"/>
      <c r="DV11" s="1018"/>
      <c r="DW11" s="1018"/>
      <c r="DX11" s="1018"/>
      <c r="DY11" s="1019"/>
      <c r="DZ11" s="1019"/>
      <c r="EA11" s="1019"/>
      <c r="EB11" s="1018"/>
      <c r="EC11" s="1018"/>
      <c r="ED11" s="1018"/>
      <c r="EE11" s="1018"/>
      <c r="EF11" s="1018"/>
      <c r="EG11" s="1018"/>
      <c r="EH11" s="139"/>
      <c r="EI11" s="128"/>
      <c r="EJ11" s="128"/>
      <c r="EK11" s="128"/>
      <c r="EL11" s="128"/>
      <c r="EM11" s="118"/>
      <c r="EN11" s="128"/>
      <c r="EO11" s="128"/>
      <c r="EP11" s="991"/>
      <c r="EQ11" s="128"/>
      <c r="ER11" s="170"/>
      <c r="ES11" s="170"/>
      <c r="ET11" s="1018"/>
      <c r="EU11" s="1018"/>
      <c r="EV11" s="1018"/>
      <c r="EW11" s="1018"/>
      <c r="EX11" s="1019"/>
      <c r="EY11" s="1019"/>
      <c r="EZ11" s="1019"/>
      <c r="FA11" s="1018"/>
      <c r="FB11" s="1018"/>
      <c r="FC11" s="1018"/>
      <c r="FD11" s="1018"/>
      <c r="FE11" s="1018"/>
      <c r="FF11" s="1018"/>
      <c r="FG11" s="139"/>
      <c r="FH11" s="128"/>
      <c r="FI11" s="128"/>
      <c r="FJ11" s="128"/>
      <c r="FK11" s="128"/>
      <c r="FL11" s="118"/>
      <c r="FM11" s="128"/>
      <c r="FN11" s="128"/>
      <c r="FO11" s="991"/>
      <c r="FP11" s="128"/>
      <c r="FQ11" s="170"/>
      <c r="FR11" s="170"/>
      <c r="FS11" s="1018"/>
      <c r="FT11" s="1018"/>
      <c r="FU11" s="1018"/>
      <c r="FV11" s="1018"/>
      <c r="FW11" s="1019"/>
      <c r="FX11" s="1019"/>
      <c r="FY11" s="1019"/>
      <c r="FZ11" s="1018"/>
      <c r="GA11" s="1018"/>
      <c r="GB11" s="1018"/>
      <c r="GC11" s="1018"/>
      <c r="GD11" s="1018"/>
      <c r="GE11" s="1018"/>
      <c r="GF11" s="139"/>
      <c r="GG11" s="128"/>
      <c r="GH11" s="128"/>
      <c r="GI11" s="128"/>
      <c r="GJ11" s="128"/>
      <c r="GK11" s="118"/>
      <c r="GL11" s="128"/>
      <c r="GM11" s="128"/>
      <c r="GN11" s="991"/>
      <c r="GO11" s="128"/>
      <c r="GP11" s="170"/>
      <c r="GQ11" s="170"/>
      <c r="GR11" s="1018"/>
      <c r="GS11" s="1018"/>
      <c r="GT11" s="1018"/>
      <c r="GU11" s="1018"/>
      <c r="GV11" s="1019"/>
      <c r="GW11" s="1019"/>
      <c r="GX11" s="1019"/>
      <c r="GY11" s="1018"/>
      <c r="GZ11" s="1018"/>
      <c r="HA11" s="1018"/>
      <c r="HB11" s="1018"/>
      <c r="HC11" s="1018"/>
      <c r="HD11" s="1018"/>
      <c r="HE11" s="139"/>
      <c r="HF11" s="128"/>
      <c r="HG11" s="128"/>
      <c r="HH11" s="128"/>
      <c r="HI11" s="128"/>
      <c r="HJ11" s="118"/>
      <c r="HK11" s="128"/>
      <c r="HL11" s="128"/>
      <c r="HM11" s="991"/>
      <c r="HN11" s="128"/>
      <c r="HO11" s="170"/>
      <c r="HP11" s="170"/>
      <c r="HQ11" s="1018"/>
      <c r="HR11" s="1018"/>
      <c r="HS11" s="1018"/>
      <c r="HT11" s="1018"/>
      <c r="HU11" s="1019"/>
      <c r="HV11" s="1019"/>
      <c r="HW11" s="1019"/>
      <c r="HX11" s="1018"/>
      <c r="HY11" s="1018"/>
      <c r="HZ11" s="1018"/>
      <c r="IA11" s="1018"/>
      <c r="IB11" s="1018"/>
      <c r="IC11" s="1018"/>
      <c r="ID11" s="139"/>
      <c r="IE11" s="128"/>
      <c r="IF11" s="128"/>
      <c r="IG11" s="128"/>
      <c r="IH11" s="128"/>
      <c r="II11" s="118"/>
      <c r="IJ11" s="128"/>
      <c r="IK11" s="128"/>
      <c r="IL11" s="991"/>
      <c r="IM11" s="128"/>
      <c r="IN11" s="170"/>
      <c r="IO11" s="170"/>
      <c r="IP11" s="1018"/>
      <c r="IQ11" s="1018"/>
      <c r="IR11" s="1018"/>
      <c r="IS11" s="1018"/>
      <c r="IT11" s="1019"/>
      <c r="IU11" s="1019"/>
      <c r="IV11" s="1019"/>
      <c r="IW11" s="1018"/>
      <c r="IX11" s="1018"/>
      <c r="IY11" s="1018"/>
      <c r="IZ11" s="1018"/>
      <c r="JA11" s="1018"/>
      <c r="JB11" s="1018"/>
      <c r="JC11" s="139"/>
      <c r="JD11" s="128"/>
      <c r="JE11" s="128"/>
      <c r="JF11" s="128"/>
      <c r="JG11" s="128"/>
      <c r="JH11" s="118"/>
      <c r="JI11" s="128"/>
      <c r="JJ11" s="128"/>
      <c r="JK11" s="991"/>
      <c r="JL11" s="128"/>
      <c r="JM11" s="170"/>
      <c r="JN11" s="170"/>
      <c r="JO11" s="1018"/>
      <c r="JP11" s="1018"/>
      <c r="JQ11" s="1018"/>
      <c r="JR11" s="1018"/>
      <c r="JS11" s="1019"/>
      <c r="JT11" s="1019"/>
      <c r="JU11" s="1019"/>
      <c r="JV11" s="1018"/>
      <c r="JW11" s="1018"/>
      <c r="JX11" s="1018"/>
      <c r="JY11" s="1018"/>
      <c r="JZ11" s="1018"/>
      <c r="KA11" s="1018"/>
      <c r="KB11" s="139"/>
      <c r="KC11" s="128"/>
      <c r="KD11" s="128"/>
      <c r="KE11" s="128"/>
      <c r="KF11" s="128"/>
      <c r="KG11" s="118"/>
      <c r="KH11" s="128"/>
      <c r="KI11" s="128"/>
      <c r="KJ11" s="991"/>
      <c r="KK11" s="128"/>
      <c r="KL11" s="170"/>
      <c r="KM11" s="170"/>
      <c r="KN11" s="1018"/>
      <c r="KO11" s="1018"/>
      <c r="KP11" s="1018"/>
      <c r="KQ11" s="1018"/>
      <c r="KR11" s="1019"/>
      <c r="KS11" s="1019"/>
      <c r="KT11" s="1019"/>
      <c r="KU11" s="1018"/>
      <c r="KV11" s="1018"/>
      <c r="KW11" s="1018"/>
      <c r="KX11" s="1018"/>
      <c r="KY11" s="1018"/>
      <c r="KZ11" s="1018"/>
      <c r="LA11" s="139"/>
      <c r="LB11" s="128"/>
      <c r="LC11" s="128"/>
      <c r="LD11" s="128"/>
      <c r="LE11" s="128"/>
      <c r="LF11" s="118"/>
      <c r="LG11" s="128"/>
      <c r="LH11" s="128"/>
      <c r="LI11" s="991"/>
      <c r="LJ11" s="128"/>
      <c r="LK11" s="170"/>
      <c r="LL11" s="170"/>
      <c r="LM11" s="1018"/>
      <c r="LN11" s="1018"/>
      <c r="LO11" s="1018"/>
      <c r="LP11" s="1018"/>
      <c r="LQ11" s="1019"/>
      <c r="LR11" s="1019"/>
      <c r="LS11" s="1019"/>
      <c r="LT11" s="1018"/>
      <c r="LU11" s="1018"/>
      <c r="LV11" s="1018"/>
      <c r="LW11" s="1018"/>
      <c r="LX11" s="1018"/>
      <c r="LY11" s="1018"/>
      <c r="LZ11" s="139"/>
      <c r="MA11" s="128"/>
      <c r="MB11" s="128"/>
      <c r="MC11" s="128"/>
      <c r="MD11" s="128"/>
      <c r="ME11" s="118"/>
      <c r="MF11" s="128"/>
      <c r="MG11" s="128"/>
      <c r="MH11" s="991"/>
      <c r="MI11" s="128"/>
      <c r="MJ11" s="170"/>
      <c r="MK11" s="170"/>
      <c r="ML11" s="1018"/>
      <c r="MM11" s="1018"/>
      <c r="MN11" s="1018"/>
      <c r="MO11" s="1018"/>
      <c r="MP11" s="1019"/>
      <c r="MQ11" s="1019"/>
      <c r="MR11" s="1019"/>
      <c r="MS11" s="1018"/>
      <c r="MT11" s="1018"/>
      <c r="MU11" s="1018"/>
      <c r="MV11" s="1018"/>
      <c r="MW11" s="1018"/>
      <c r="MX11" s="1018"/>
      <c r="MY11" s="139"/>
      <c r="MZ11" s="128"/>
      <c r="NA11" s="128"/>
      <c r="NB11" s="128"/>
      <c r="NC11" s="128"/>
      <c r="ND11" s="118"/>
      <c r="NE11" s="128"/>
      <c r="NF11" s="128"/>
      <c r="NG11" s="991"/>
      <c r="NH11" s="128"/>
      <c r="NI11" s="170"/>
      <c r="NJ11" s="170"/>
      <c r="NK11" s="1018"/>
      <c r="NL11" s="1018"/>
      <c r="NM11" s="1018"/>
      <c r="NN11" s="1018"/>
      <c r="NO11" s="1019"/>
      <c r="NP11" s="1019"/>
      <c r="NQ11" s="1019"/>
      <c r="NR11" s="1018"/>
      <c r="NS11" s="1018"/>
      <c r="NT11" s="1018"/>
      <c r="NU11" s="1018"/>
      <c r="NV11" s="1018"/>
      <c r="NW11" s="1018"/>
      <c r="NX11" s="139"/>
      <c r="NY11" s="128"/>
      <c r="NZ11" s="128"/>
      <c r="OA11" s="128"/>
      <c r="OB11" s="128"/>
      <c r="OC11" s="118"/>
      <c r="OD11" s="128"/>
      <c r="OE11" s="128"/>
      <c r="OF11" s="991"/>
      <c r="OG11" s="128"/>
      <c r="OH11" s="170"/>
      <c r="OI11" s="170"/>
      <c r="OJ11" s="1018"/>
      <c r="OK11" s="1018"/>
      <c r="OL11" s="1018"/>
      <c r="OM11" s="1018"/>
      <c r="ON11" s="1019"/>
      <c r="OO11" s="1019"/>
      <c r="OP11" s="1019"/>
      <c r="OQ11" s="1018"/>
      <c r="OR11" s="1018"/>
      <c r="OS11" s="1018"/>
      <c r="OT11" s="1018"/>
      <c r="OU11" s="1018"/>
      <c r="OV11" s="1018"/>
      <c r="OW11" s="139"/>
      <c r="OX11" s="128"/>
      <c r="OY11" s="128"/>
      <c r="OZ11" s="128"/>
      <c r="PA11" s="128"/>
      <c r="PB11" s="118"/>
      <c r="PC11" s="128"/>
      <c r="PD11" s="128"/>
      <c r="PE11" s="991"/>
      <c r="PF11" s="128"/>
      <c r="PG11" s="170"/>
      <c r="PH11" s="170"/>
      <c r="PI11" s="1018"/>
      <c r="PJ11" s="1018"/>
      <c r="PK11" s="1018"/>
      <c r="PL11" s="1018"/>
      <c r="PM11" s="1019"/>
      <c r="PN11" s="1019"/>
      <c r="PO11" s="1019"/>
      <c r="PP11" s="1018"/>
      <c r="PQ11" s="1018"/>
      <c r="PR11" s="1018"/>
      <c r="PS11" s="1018"/>
      <c r="PT11" s="1018"/>
      <c r="PU11" s="1018"/>
      <c r="PV11" s="139"/>
      <c r="PW11" s="128"/>
      <c r="PX11" s="128"/>
      <c r="PY11" s="128"/>
      <c r="PZ11" s="128"/>
      <c r="QA11" s="118"/>
      <c r="QB11" s="128"/>
      <c r="QC11" s="128"/>
      <c r="QD11" s="991"/>
      <c r="QE11" s="128"/>
      <c r="QF11" s="170"/>
      <c r="QG11" s="170"/>
      <c r="QH11" s="1018"/>
      <c r="QI11" s="1018"/>
      <c r="QJ11" s="1018"/>
      <c r="QK11" s="1018"/>
      <c r="QL11" s="1019"/>
      <c r="QM11" s="1019"/>
      <c r="QN11" s="1019"/>
      <c r="QO11" s="1018"/>
      <c r="QP11" s="1018"/>
      <c r="QQ11" s="1018"/>
      <c r="QR11" s="1018"/>
      <c r="QS11" s="1018"/>
      <c r="QT11" s="1018"/>
      <c r="QU11" s="139"/>
      <c r="QV11" s="128"/>
      <c r="QW11" s="128"/>
      <c r="QX11" s="128"/>
      <c r="QY11" s="128"/>
      <c r="QZ11" s="118"/>
      <c r="RA11" s="128"/>
      <c r="RB11" s="128"/>
      <c r="RC11" s="991"/>
      <c r="RD11" s="128"/>
      <c r="RE11" s="170"/>
      <c r="RF11" s="170"/>
      <c r="RG11" s="1018"/>
      <c r="RH11" s="1018"/>
      <c r="RI11" s="1018"/>
      <c r="RJ11" s="1018"/>
      <c r="RK11" s="1019"/>
      <c r="RL11" s="1019"/>
      <c r="RM11" s="1019"/>
      <c r="RN11" s="1018"/>
      <c r="RO11" s="1018"/>
      <c r="RP11" s="1018"/>
      <c r="RQ11" s="1018"/>
      <c r="RR11" s="1018"/>
      <c r="RS11" s="1018"/>
      <c r="RT11" s="139"/>
      <c r="RU11" s="128"/>
      <c r="RV11" s="128"/>
      <c r="RW11" s="128"/>
      <c r="RX11" s="128"/>
      <c r="RY11" s="118"/>
      <c r="RZ11" s="128"/>
      <c r="SA11" s="128"/>
      <c r="SB11" s="991"/>
      <c r="SC11" s="128"/>
      <c r="SD11" s="170"/>
      <c r="SE11" s="170"/>
      <c r="SF11" s="1018"/>
      <c r="SG11" s="1018"/>
      <c r="SH11" s="1018"/>
      <c r="SI11" s="1018"/>
      <c r="SJ11" s="1019"/>
      <c r="SK11" s="1019"/>
      <c r="SL11" s="1019"/>
      <c r="SM11" s="1018"/>
      <c r="SN11" s="1018"/>
      <c r="SO11" s="1018"/>
      <c r="SP11" s="1018"/>
      <c r="SQ11" s="1018"/>
      <c r="SR11" s="1018"/>
      <c r="SS11" s="139"/>
      <c r="ST11" s="128"/>
      <c r="SU11" s="128"/>
      <c r="SV11" s="128"/>
      <c r="SW11" s="128"/>
      <c r="SX11" s="118"/>
      <c r="SY11" s="128"/>
      <c r="SZ11" s="128"/>
      <c r="TA11" s="991"/>
      <c r="TB11" s="128"/>
      <c r="TC11" s="170"/>
      <c r="TD11" s="170"/>
      <c r="TE11" s="1018"/>
      <c r="TF11" s="1018"/>
      <c r="TG11" s="1018"/>
      <c r="TH11" s="1018"/>
      <c r="TI11" s="1019"/>
      <c r="TJ11" s="1019"/>
      <c r="TK11" s="1019"/>
      <c r="TL11" s="1018"/>
      <c r="TM11" s="1018"/>
      <c r="TN11" s="1018"/>
      <c r="TO11" s="1018"/>
      <c r="TP11" s="1018"/>
      <c r="TQ11" s="1018"/>
      <c r="TR11" s="139"/>
      <c r="TS11" s="128"/>
      <c r="TT11" s="128"/>
      <c r="TU11" s="128"/>
      <c r="TV11" s="128"/>
      <c r="TW11" s="118"/>
      <c r="TX11" s="128"/>
      <c r="TY11" s="128"/>
      <c r="TZ11" s="991"/>
      <c r="UA11" s="128"/>
      <c r="UB11" s="170"/>
      <c r="UC11" s="170"/>
      <c r="UD11" s="1018"/>
      <c r="UE11" s="1018"/>
      <c r="UF11" s="1018"/>
      <c r="UG11" s="1018"/>
      <c r="UH11" s="1019"/>
      <c r="UI11" s="1019"/>
      <c r="UJ11" s="1019"/>
      <c r="UK11" s="1018"/>
      <c r="UL11" s="1018"/>
      <c r="UM11" s="1018"/>
      <c r="UN11" s="1018"/>
      <c r="UO11" s="1018"/>
      <c r="UP11" s="1018"/>
      <c r="UQ11" s="139"/>
      <c r="UR11" s="128"/>
      <c r="US11" s="128"/>
      <c r="UT11" s="128"/>
      <c r="UU11" s="128"/>
      <c r="UV11" s="118"/>
      <c r="UW11" s="128"/>
      <c r="UX11" s="128"/>
      <c r="UY11" s="991"/>
      <c r="UZ11" s="128"/>
      <c r="VA11" s="170"/>
      <c r="VB11" s="170"/>
      <c r="VC11" s="1018"/>
      <c r="VD11" s="1018"/>
      <c r="VE11" s="1018"/>
      <c r="VF11" s="1018"/>
      <c r="VG11" s="1019"/>
      <c r="VH11" s="1019"/>
      <c r="VI11" s="1019"/>
      <c r="VJ11" s="1018"/>
      <c r="VK11" s="1018"/>
      <c r="VL11" s="1018"/>
      <c r="VM11" s="1018"/>
      <c r="VN11" s="1018"/>
      <c r="VO11" s="1018"/>
      <c r="VP11" s="139"/>
      <c r="VQ11" s="128"/>
      <c r="VR11" s="128"/>
      <c r="VS11" s="128"/>
      <c r="VT11" s="128"/>
      <c r="VU11" s="118"/>
      <c r="VV11" s="128"/>
      <c r="VW11" s="128"/>
      <c r="VX11" s="991"/>
      <c r="VY11" s="128"/>
      <c r="VZ11" s="170"/>
      <c r="WA11" s="170"/>
      <c r="WB11" s="1018"/>
      <c r="WC11" s="1018"/>
      <c r="WD11" s="1018"/>
      <c r="WE11" s="1018"/>
      <c r="WF11" s="1019"/>
      <c r="WG11" s="1019"/>
      <c r="WH11" s="1019"/>
      <c r="WI11" s="1018"/>
      <c r="WJ11" s="1018"/>
      <c r="WK11" s="1018"/>
      <c r="WL11" s="1018"/>
      <c r="WM11" s="1018"/>
      <c r="WN11" s="1018"/>
      <c r="WO11" s="139"/>
      <c r="WP11" s="128"/>
      <c r="WQ11" s="128"/>
      <c r="WR11" s="128"/>
      <c r="WS11" s="128"/>
      <c r="WT11" s="118"/>
      <c r="WU11" s="128"/>
      <c r="WV11" s="128"/>
      <c r="WW11" s="991"/>
      <c r="WX11" s="128"/>
      <c r="WY11" s="170"/>
      <c r="WZ11" s="170"/>
      <c r="XA11" s="1018"/>
      <c r="XB11" s="1018"/>
      <c r="XC11" s="1018"/>
      <c r="XD11" s="1018"/>
      <c r="XE11" s="1019"/>
      <c r="XF11" s="1019"/>
      <c r="XG11" s="1019"/>
      <c r="XH11" s="1018"/>
      <c r="XI11" s="1018"/>
      <c r="XJ11" s="1018"/>
      <c r="XK11" s="1018"/>
      <c r="XL11" s="1018"/>
      <c r="XM11" s="1018"/>
      <c r="XN11" s="139"/>
      <c r="XO11" s="128"/>
      <c r="XP11" s="128"/>
      <c r="XQ11" s="128"/>
      <c r="XR11" s="128"/>
      <c r="XS11" s="118"/>
      <c r="XT11" s="128"/>
      <c r="XU11" s="128"/>
      <c r="XV11" s="991"/>
      <c r="XW11" s="128"/>
      <c r="XX11" s="170"/>
      <c r="XY11" s="170"/>
      <c r="XZ11" s="1018"/>
      <c r="YA11" s="1018"/>
      <c r="YB11" s="1018"/>
      <c r="YC11" s="1018"/>
      <c r="YD11" s="1019"/>
      <c r="YE11" s="1019"/>
      <c r="YF11" s="1019"/>
      <c r="YG11" s="1018"/>
      <c r="YH11" s="1018"/>
      <c r="YI11" s="1018"/>
      <c r="YJ11" s="1018"/>
      <c r="YK11" s="1018"/>
      <c r="YL11" s="1018"/>
      <c r="YM11" s="139"/>
      <c r="YN11" s="128"/>
      <c r="YO11" s="128"/>
      <c r="YP11" s="128"/>
      <c r="YQ11" s="128"/>
      <c r="YR11" s="118"/>
      <c r="YS11" s="128"/>
      <c r="YT11" s="128"/>
      <c r="YU11" s="991"/>
      <c r="YV11" s="128"/>
      <c r="YW11" s="170"/>
      <c r="YX11" s="170"/>
      <c r="YY11" s="1018"/>
      <c r="YZ11" s="1018"/>
      <c r="ZA11" s="1018"/>
      <c r="ZB11" s="1018"/>
      <c r="ZC11" s="1019"/>
      <c r="ZD11" s="1019"/>
      <c r="ZE11" s="1019"/>
      <c r="ZF11" s="1018"/>
      <c r="ZG11" s="1018"/>
      <c r="ZH11" s="1018"/>
      <c r="ZI11" s="1018"/>
      <c r="ZJ11" s="1018"/>
      <c r="ZK11" s="1018"/>
      <c r="ZL11" s="139"/>
      <c r="ZM11" s="128"/>
      <c r="ZN11" s="128"/>
      <c r="ZO11" s="128"/>
      <c r="ZP11" s="128"/>
      <c r="ZQ11" s="118"/>
      <c r="ZR11" s="128"/>
      <c r="ZS11" s="128"/>
      <c r="ZT11" s="991"/>
      <c r="ZU11" s="128"/>
      <c r="ZV11" s="170"/>
      <c r="ZW11" s="170"/>
      <c r="ZX11" s="1018"/>
      <c r="ZY11" s="1018"/>
      <c r="ZZ11" s="1018"/>
      <c r="AAA11" s="1018"/>
      <c r="AAB11" s="1019"/>
      <c r="AAC11" s="1019"/>
      <c r="AAD11" s="1019"/>
      <c r="AAE11" s="1018"/>
      <c r="AAF11" s="1018"/>
      <c r="AAG11" s="1018"/>
      <c r="AAH11" s="1018"/>
      <c r="AAI11" s="1018"/>
      <c r="AAJ11" s="1018"/>
      <c r="AAK11" s="139"/>
      <c r="AAL11" s="128"/>
      <c r="AAM11" s="128"/>
      <c r="AAN11" s="128"/>
      <c r="AAO11" s="128"/>
      <c r="AAP11" s="118"/>
      <c r="AAQ11" s="128"/>
      <c r="AAR11" s="128"/>
      <c r="AAS11" s="991"/>
      <c r="AAT11" s="128"/>
      <c r="AAU11" s="170"/>
      <c r="AAV11" s="170"/>
      <c r="AAW11" s="1018"/>
      <c r="AAX11" s="1018"/>
      <c r="AAY11" s="1018"/>
      <c r="AAZ11" s="1018"/>
      <c r="ABA11" s="1019"/>
      <c r="ABB11" s="1019"/>
      <c r="ABC11" s="1019"/>
      <c r="ABD11" s="1018"/>
      <c r="ABE11" s="1018"/>
      <c r="ABF11" s="1018"/>
      <c r="ABG11" s="1018"/>
      <c r="ABH11" s="1018"/>
      <c r="ABI11" s="1018"/>
      <c r="ABJ11" s="139"/>
      <c r="ABK11" s="128"/>
      <c r="ABL11" s="128"/>
      <c r="ABM11" s="128"/>
      <c r="ABN11" s="128"/>
      <c r="ABO11" s="118"/>
      <c r="ABP11" s="128"/>
      <c r="ABQ11" s="128"/>
      <c r="ABR11" s="991"/>
      <c r="ABS11" s="128"/>
      <c r="ABT11" s="170"/>
      <c r="ABU11" s="170"/>
      <c r="ABV11" s="1018"/>
      <c r="ABW11" s="1018"/>
      <c r="ABX11" s="1018"/>
      <c r="ABY11" s="1018"/>
      <c r="ABZ11" s="1019"/>
      <c r="ACA11" s="1019"/>
      <c r="ACB11" s="1019"/>
      <c r="ACC11" s="1018"/>
      <c r="ACD11" s="1018"/>
      <c r="ACE11" s="1018"/>
      <c r="ACF11" s="1018"/>
      <c r="ACG11" s="1018"/>
      <c r="ACH11" s="1018"/>
      <c r="ACI11" s="139"/>
      <c r="ACJ11" s="128"/>
      <c r="ACK11" s="128"/>
      <c r="ACL11" s="128"/>
      <c r="ACM11" s="128"/>
      <c r="ACN11" s="118"/>
      <c r="ACO11" s="128"/>
      <c r="ACP11" s="128"/>
      <c r="ACQ11" s="991"/>
      <c r="ACR11" s="128"/>
      <c r="ACS11" s="170"/>
      <c r="ACT11" s="170"/>
      <c r="ACU11" s="1018"/>
      <c r="ACV11" s="1018"/>
      <c r="ACW11" s="1018"/>
      <c r="ACX11" s="1018"/>
      <c r="ACY11" s="1019"/>
      <c r="ACZ11" s="1019"/>
      <c r="ADA11" s="1019"/>
      <c r="ADB11" s="1018"/>
      <c r="ADC11" s="1018"/>
      <c r="ADD11" s="1018"/>
      <c r="ADE11" s="1018"/>
      <c r="ADF11" s="1018"/>
      <c r="ADG11" s="1018"/>
      <c r="ADH11" s="139"/>
      <c r="ADI11" s="128"/>
      <c r="ADJ11" s="128"/>
      <c r="ADK11" s="128"/>
      <c r="ADL11" s="128"/>
      <c r="ADM11" s="118"/>
      <c r="ADN11" s="128"/>
      <c r="ADO11" s="128"/>
      <c r="ADP11" s="991"/>
      <c r="ADQ11" s="128"/>
      <c r="ADR11" s="170"/>
      <c r="ADS11" s="170"/>
      <c r="ADT11" s="1018"/>
      <c r="ADU11" s="1018"/>
      <c r="ADV11" s="1018"/>
      <c r="ADW11" s="1018"/>
      <c r="ADX11" s="1019"/>
      <c r="ADY11" s="1019"/>
      <c r="ADZ11" s="1019"/>
      <c r="AEA11" s="1018"/>
      <c r="AEB11" s="1018"/>
      <c r="AEC11" s="1018"/>
      <c r="AED11" s="1018"/>
      <c r="AEE11" s="1018"/>
      <c r="AEF11" s="1018"/>
      <c r="AEG11" s="139"/>
      <c r="AEH11" s="128"/>
      <c r="AEI11" s="128"/>
      <c r="AEJ11" s="128"/>
      <c r="AEK11" s="128"/>
      <c r="AEL11" s="118"/>
      <c r="AEM11" s="128"/>
      <c r="AEN11" s="128"/>
      <c r="AEO11" s="991"/>
      <c r="AEP11" s="128"/>
      <c r="AEQ11" s="170"/>
      <c r="AER11" s="170"/>
      <c r="AES11" s="1018"/>
      <c r="AET11" s="1018"/>
      <c r="AEU11" s="1018"/>
      <c r="AEV11" s="1018"/>
      <c r="AEW11" s="1019"/>
      <c r="AEX11" s="1019"/>
      <c r="AEY11" s="1019"/>
      <c r="AEZ11" s="1018"/>
      <c r="AFA11" s="1018"/>
      <c r="AFB11" s="1018"/>
      <c r="AFC11" s="1018"/>
      <c r="AFD11" s="1018"/>
      <c r="AFE11" s="1018"/>
      <c r="AFF11" s="139"/>
      <c r="AFG11" s="128"/>
      <c r="AFH11" s="128"/>
      <c r="AFI11" s="128"/>
      <c r="AFJ11" s="128"/>
      <c r="AFK11" s="118"/>
      <c r="AFL11" s="128"/>
      <c r="AFM11" s="128"/>
      <c r="AFN11" s="991"/>
      <c r="AFO11" s="128"/>
      <c r="AFP11" s="170"/>
      <c r="AFQ11" s="170"/>
      <c r="AFR11" s="1018"/>
      <c r="AFS11" s="1018"/>
      <c r="AFT11" s="1018"/>
      <c r="AFU11" s="1018"/>
      <c r="AFV11" s="1019"/>
      <c r="AFW11" s="1019"/>
      <c r="AFX11" s="1019"/>
      <c r="AFY11" s="1018"/>
      <c r="AFZ11" s="1018"/>
      <c r="AGA11" s="1018"/>
      <c r="AGB11" s="1018"/>
      <c r="AGC11" s="1018"/>
      <c r="AGD11" s="1018"/>
      <c r="AGE11" s="139"/>
      <c r="AGF11" s="128"/>
      <c r="AGG11" s="128"/>
      <c r="AGH11" s="128"/>
      <c r="AGI11" s="128"/>
      <c r="AGJ11" s="118"/>
      <c r="AGK11" s="128"/>
      <c r="AGL11" s="128"/>
      <c r="AGM11" s="991"/>
      <c r="AGN11" s="128"/>
      <c r="AGO11" s="170"/>
      <c r="AGP11" s="170"/>
      <c r="AGQ11" s="1018"/>
      <c r="AGR11" s="1018"/>
      <c r="AGS11" s="1018"/>
      <c r="AGT11" s="1018"/>
      <c r="AGU11" s="1019"/>
      <c r="AGV11" s="1019"/>
      <c r="AGW11" s="1019"/>
      <c r="AGX11" s="1018"/>
      <c r="AGY11" s="1018"/>
      <c r="AGZ11" s="1018"/>
      <c r="AHA11" s="1018"/>
      <c r="AHB11" s="1018"/>
      <c r="AHC11" s="1018"/>
      <c r="AHD11" s="139"/>
      <c r="AHE11" s="128"/>
      <c r="AHF11" s="128"/>
      <c r="AHG11" s="128"/>
      <c r="AHH11" s="128"/>
      <c r="AHI11" s="118"/>
      <c r="AHJ11" s="128"/>
      <c r="AHK11" s="128"/>
      <c r="AHL11" s="991"/>
      <c r="AHM11" s="128"/>
      <c r="AHN11" s="170"/>
      <c r="AHO11" s="170"/>
      <c r="AHP11" s="1018"/>
      <c r="AHQ11" s="1018"/>
      <c r="AHR11" s="1018"/>
      <c r="AHS11" s="1018"/>
      <c r="AHT11" s="1019"/>
      <c r="AHU11" s="1019"/>
      <c r="AHV11" s="1019"/>
      <c r="AHW11" s="1018"/>
      <c r="AHX11" s="1018"/>
      <c r="AHY11" s="1018"/>
      <c r="AHZ11" s="1018"/>
      <c r="AIA11" s="1018"/>
      <c r="AIB11" s="1018"/>
      <c r="AIC11" s="139"/>
      <c r="AID11" s="128"/>
      <c r="AIE11" s="128"/>
      <c r="AIF11" s="128"/>
      <c r="AIG11" s="128"/>
      <c r="AIH11" s="118"/>
      <c r="AII11" s="128"/>
      <c r="AIJ11" s="128"/>
      <c r="AIK11" s="991"/>
      <c r="AIL11" s="128"/>
      <c r="AIM11" s="170"/>
      <c r="AIN11" s="170"/>
      <c r="AIO11" s="1018"/>
      <c r="AIP11" s="1018"/>
      <c r="AIQ11" s="1018"/>
      <c r="AIR11" s="1018"/>
      <c r="AIS11" s="1019"/>
      <c r="AIT11" s="1019"/>
      <c r="AIU11" s="1019"/>
      <c r="AIV11" s="1018"/>
      <c r="AIW11" s="1018"/>
      <c r="AIX11" s="1018"/>
      <c r="AIY11" s="1018"/>
      <c r="AIZ11" s="1018"/>
      <c r="AJA11" s="1018"/>
      <c r="AJB11" s="139"/>
      <c r="AJC11" s="128"/>
      <c r="AJD11" s="128"/>
      <c r="AJE11" s="128"/>
      <c r="AJF11" s="128"/>
      <c r="AJG11" s="118"/>
      <c r="AJH11" s="128"/>
      <c r="AJI11" s="128"/>
      <c r="AJJ11" s="991"/>
      <c r="AJK11" s="128"/>
      <c r="AJL11" s="170"/>
      <c r="AJM11" s="170"/>
      <c r="AJN11" s="1018"/>
      <c r="AJO11" s="1018"/>
      <c r="AJP11" s="1018"/>
      <c r="AJQ11" s="1018"/>
      <c r="AJR11" s="1019"/>
      <c r="AJS11" s="1019"/>
      <c r="AJT11" s="1019"/>
      <c r="AJU11" s="1018"/>
      <c r="AJV11" s="1018"/>
      <c r="AJW11" s="1018"/>
      <c r="AJX11" s="1018"/>
      <c r="AJY11" s="1018"/>
      <c r="AJZ11" s="1018"/>
      <c r="AKA11" s="139"/>
      <c r="AKB11" s="128"/>
      <c r="AKC11" s="128"/>
      <c r="AKD11" s="128"/>
      <c r="AKE11" s="128"/>
      <c r="AKF11" s="118"/>
      <c r="AKG11" s="128"/>
      <c r="AKH11" s="128"/>
      <c r="AKI11" s="991"/>
      <c r="AKJ11" s="128"/>
      <c r="AKK11" s="170"/>
      <c r="AKL11" s="170"/>
      <c r="AKM11" s="1018"/>
      <c r="AKN11" s="1018"/>
      <c r="AKO11" s="1018"/>
      <c r="AKP11" s="1018"/>
      <c r="AKQ11" s="1019"/>
      <c r="AKR11" s="1019"/>
      <c r="AKS11" s="1019"/>
      <c r="AKT11" s="1018"/>
      <c r="AKU11" s="1018"/>
      <c r="AKV11" s="1018"/>
      <c r="AKW11" s="1018"/>
      <c r="AKX11" s="1018"/>
      <c r="AKY11" s="1018"/>
      <c r="AKZ11" s="139"/>
      <c r="ALA11" s="128"/>
      <c r="ALB11" s="128"/>
      <c r="ALC11" s="128"/>
      <c r="ALD11" s="128"/>
      <c r="ALE11" s="118"/>
      <c r="ALF11" s="128"/>
      <c r="ALG11" s="128"/>
      <c r="ALH11" s="991"/>
      <c r="ALI11" s="128"/>
      <c r="ALJ11" s="170"/>
      <c r="ALK11" s="170"/>
      <c r="ALL11" s="1018"/>
      <c r="ALM11" s="1018"/>
      <c r="ALN11" s="1018"/>
      <c r="ALO11" s="1018"/>
      <c r="ALP11" s="1019"/>
      <c r="ALQ11" s="1019"/>
      <c r="ALR11" s="1019"/>
      <c r="ALS11" s="1018"/>
      <c r="ALT11" s="1018"/>
      <c r="ALU11" s="1018"/>
      <c r="ALV11" s="1018"/>
      <c r="ALW11" s="1018"/>
      <c r="ALX11" s="1018"/>
      <c r="ALY11" s="139"/>
      <c r="ALZ11" s="128"/>
      <c r="AMA11" s="128"/>
      <c r="AMB11" s="128"/>
      <c r="AMC11" s="128"/>
      <c r="AMD11" s="118"/>
      <c r="AME11" s="128"/>
      <c r="AMF11" s="128"/>
      <c r="AMG11" s="991"/>
      <c r="AMH11" s="128"/>
      <c r="AMI11" s="170"/>
      <c r="AMJ11" s="170"/>
      <c r="AMK11" s="1018"/>
      <c r="AML11" s="1018"/>
      <c r="AMM11" s="1018"/>
      <c r="AMN11" s="1018"/>
      <c r="AMO11" s="1019"/>
      <c r="AMP11" s="1019"/>
      <c r="AMQ11" s="1019"/>
      <c r="AMR11" s="1018"/>
      <c r="AMS11" s="1018"/>
      <c r="AMT11" s="1018"/>
      <c r="AMU11" s="1018"/>
      <c r="AMV11" s="1018"/>
      <c r="AMW11" s="1018"/>
      <c r="AMX11" s="139"/>
      <c r="AMY11" s="128"/>
      <c r="AMZ11" s="128"/>
      <c r="ANA11" s="128"/>
      <c r="ANB11" s="128"/>
      <c r="ANC11" s="118"/>
      <c r="AND11" s="128"/>
      <c r="ANE11" s="128"/>
      <c r="ANF11" s="991"/>
      <c r="ANG11" s="128"/>
      <c r="ANH11" s="170"/>
      <c r="ANI11" s="170"/>
      <c r="ANJ11" s="1018"/>
      <c r="ANK11" s="1018"/>
      <c r="ANL11" s="1018"/>
      <c r="ANM11" s="1018"/>
      <c r="ANN11" s="1019"/>
      <c r="ANO11" s="1019"/>
      <c r="ANP11" s="1019"/>
      <c r="ANQ11" s="1018"/>
      <c r="ANR11" s="1018"/>
      <c r="ANS11" s="1018"/>
      <c r="ANT11" s="1018"/>
      <c r="ANU11" s="1018"/>
      <c r="ANV11" s="1018"/>
      <c r="ANW11" s="139"/>
      <c r="ANX11" s="128"/>
      <c r="ANY11" s="128"/>
      <c r="ANZ11" s="128"/>
      <c r="AOA11" s="128"/>
      <c r="AOB11" s="118"/>
      <c r="AOC11" s="128"/>
      <c r="AOD11" s="128"/>
      <c r="AOE11" s="991"/>
      <c r="AOF11" s="128"/>
      <c r="AOG11" s="170"/>
      <c r="AOH11" s="170"/>
      <c r="AOI11" s="1018"/>
      <c r="AOJ11" s="1018"/>
      <c r="AOK11" s="1018"/>
      <c r="AOL11" s="1018"/>
      <c r="AOM11" s="1019"/>
      <c r="AON11" s="1019"/>
      <c r="AOO11" s="1019"/>
      <c r="AOP11" s="1018"/>
      <c r="AOQ11" s="1018"/>
      <c r="AOR11" s="1018"/>
      <c r="AOS11" s="1018"/>
      <c r="AOT11" s="1018"/>
      <c r="AOU11" s="1018"/>
      <c r="AOV11" s="139"/>
      <c r="AOW11" s="128"/>
      <c r="AOX11" s="128"/>
      <c r="AOY11" s="128"/>
      <c r="AOZ11" s="128"/>
      <c r="APA11" s="118"/>
      <c r="APB11" s="128"/>
      <c r="APC11" s="128"/>
      <c r="APD11" s="991"/>
      <c r="APE11" s="128"/>
      <c r="APF11" s="170"/>
      <c r="APG11" s="170"/>
      <c r="APH11" s="1018"/>
      <c r="API11" s="1018"/>
      <c r="APJ11" s="1018"/>
      <c r="APK11" s="1018"/>
      <c r="APL11" s="1019"/>
      <c r="APM11" s="1019"/>
      <c r="APN11" s="1019"/>
      <c r="APO11" s="1018"/>
      <c r="APP11" s="1018"/>
      <c r="APQ11" s="1018"/>
      <c r="APR11" s="1018"/>
      <c r="APS11" s="1018"/>
      <c r="APT11" s="1018"/>
      <c r="APU11" s="139"/>
      <c r="APV11" s="128"/>
      <c r="APW11" s="128"/>
      <c r="APX11" s="128"/>
      <c r="APY11" s="128"/>
      <c r="APZ11" s="118"/>
      <c r="AQA11" s="128"/>
      <c r="AQB11" s="128"/>
      <c r="AQC11" s="991"/>
      <c r="AQD11" s="128"/>
      <c r="AQE11" s="170"/>
      <c r="AQF11" s="170"/>
      <c r="AQG11" s="1018"/>
      <c r="AQH11" s="1018"/>
      <c r="AQI11" s="1018"/>
      <c r="AQJ11" s="1018"/>
      <c r="AQK11" s="1019"/>
      <c r="AQL11" s="1019"/>
      <c r="AQM11" s="1019"/>
      <c r="AQN11" s="1018"/>
      <c r="AQO11" s="1018"/>
      <c r="AQP11" s="1018"/>
      <c r="AQQ11" s="1018"/>
      <c r="AQR11" s="1018"/>
      <c r="AQS11" s="1018"/>
      <c r="AQT11" s="139"/>
      <c r="AQU11" s="128"/>
      <c r="AQV11" s="128"/>
      <c r="AQW11" s="128"/>
      <c r="AQX11" s="128"/>
      <c r="AQY11" s="118"/>
      <c r="AQZ11" s="128"/>
      <c r="ARA11" s="128"/>
      <c r="ARB11" s="991"/>
      <c r="ARC11" s="128"/>
      <c r="ARD11" s="170"/>
      <c r="ARE11" s="170"/>
      <c r="ARF11" s="1018"/>
      <c r="ARG11" s="1018"/>
      <c r="ARH11" s="1018"/>
      <c r="ARI11" s="1018"/>
      <c r="ARJ11" s="1019"/>
      <c r="ARK11" s="1019"/>
      <c r="ARL11" s="1019"/>
      <c r="ARM11" s="1018"/>
      <c r="ARN11" s="1018"/>
      <c r="ARO11" s="1018"/>
      <c r="ARP11" s="1018"/>
      <c r="ARQ11" s="1018"/>
      <c r="ARR11" s="1018"/>
      <c r="ARS11" s="139"/>
      <c r="ART11" s="128"/>
      <c r="ARU11" s="128"/>
      <c r="ARV11" s="128"/>
      <c r="ARW11" s="128"/>
      <c r="ARX11" s="118"/>
      <c r="ARY11" s="128"/>
      <c r="ARZ11" s="128"/>
      <c r="ASA11" s="991"/>
      <c r="ASB11" s="128"/>
      <c r="ASC11" s="170"/>
      <c r="ASD11" s="170"/>
      <c r="ASE11" s="1018"/>
      <c r="ASF11" s="1018"/>
      <c r="ASG11" s="1018"/>
      <c r="ASH11" s="1018"/>
      <c r="ASI11" s="1019"/>
      <c r="ASJ11" s="1019"/>
      <c r="ASK11" s="1019"/>
      <c r="ASL11" s="1018"/>
      <c r="ASM11" s="1018"/>
      <c r="ASN11" s="1018"/>
      <c r="ASO11" s="1018"/>
      <c r="ASP11" s="1018"/>
      <c r="ASQ11" s="1018"/>
      <c r="ASR11" s="139"/>
      <c r="ASS11" s="128"/>
      <c r="AST11" s="128"/>
      <c r="ASU11" s="128"/>
      <c r="ASV11" s="128"/>
      <c r="ASW11" s="118"/>
      <c r="ASX11" s="128"/>
      <c r="ASY11" s="128"/>
      <c r="ASZ11" s="991"/>
      <c r="ATA11" s="128"/>
      <c r="ATB11" s="170"/>
      <c r="ATC11" s="170"/>
      <c r="ATD11" s="1018"/>
      <c r="ATE11" s="1018"/>
      <c r="ATF11" s="1018"/>
      <c r="ATG11" s="1018"/>
      <c r="ATH11" s="1019"/>
      <c r="ATI11" s="1019"/>
      <c r="ATJ11" s="1019"/>
      <c r="ATK11" s="1018"/>
      <c r="ATL11" s="1018"/>
      <c r="ATM11" s="1018"/>
      <c r="ATN11" s="1018"/>
      <c r="ATO11" s="1018"/>
      <c r="ATP11" s="1018"/>
      <c r="ATQ11" s="139"/>
      <c r="ATR11" s="128"/>
      <c r="ATS11" s="128"/>
      <c r="ATT11" s="128"/>
      <c r="ATU11" s="128"/>
      <c r="ATV11" s="118"/>
      <c r="ATW11" s="128"/>
      <c r="ATX11" s="128"/>
      <c r="ATY11" s="991"/>
      <c r="ATZ11" s="128"/>
      <c r="AUA11" s="170"/>
      <c r="AUB11" s="170"/>
      <c r="AUC11" s="1018"/>
      <c r="AUD11" s="1018"/>
      <c r="AUE11" s="1018"/>
      <c r="AUF11" s="1018"/>
      <c r="AUG11" s="1019"/>
      <c r="AUH11" s="1019"/>
      <c r="AUI11" s="1019"/>
      <c r="AUJ11" s="1018"/>
      <c r="AUK11" s="1018"/>
      <c r="AUL11" s="1018"/>
      <c r="AUM11" s="1018"/>
      <c r="AUN11" s="1018"/>
      <c r="AUO11" s="1018"/>
      <c r="AUP11" s="139"/>
      <c r="AUQ11" s="128"/>
      <c r="AUR11" s="128"/>
      <c r="AUS11" s="128"/>
      <c r="AUT11" s="128"/>
      <c r="AUU11" s="118"/>
      <c r="AUV11" s="128"/>
      <c r="AUW11" s="128"/>
      <c r="AUX11" s="991"/>
      <c r="AUY11" s="128"/>
      <c r="AUZ11" s="170"/>
      <c r="AVA11" s="170"/>
      <c r="AVB11" s="1018"/>
      <c r="AVC11" s="1018"/>
      <c r="AVD11" s="1018"/>
      <c r="AVE11" s="1018"/>
      <c r="AVF11" s="1019"/>
      <c r="AVG11" s="1019"/>
      <c r="AVH11" s="1019"/>
      <c r="AVI11" s="1018"/>
      <c r="AVJ11" s="1018"/>
      <c r="AVK11" s="1018"/>
      <c r="AVL11" s="1018"/>
      <c r="AVM11" s="1018"/>
      <c r="AVN11" s="1018"/>
      <c r="AVO11" s="139"/>
      <c r="AVP11" s="128"/>
      <c r="AVQ11" s="128"/>
      <c r="AVR11" s="128"/>
      <c r="AVS11" s="128"/>
      <c r="AVT11" s="118"/>
      <c r="AVU11" s="128"/>
      <c r="AVV11" s="128"/>
      <c r="AVW11" s="991"/>
      <c r="AVX11" s="128"/>
      <c r="AVY11" s="170"/>
      <c r="AVZ11" s="170"/>
      <c r="AWA11" s="1018"/>
      <c r="AWB11" s="1018"/>
      <c r="AWC11" s="1018"/>
      <c r="AWD11" s="1018"/>
      <c r="AWE11" s="1019"/>
      <c r="AWF11" s="1019"/>
      <c r="AWG11" s="1019"/>
      <c r="AWH11" s="1018"/>
      <c r="AWI11" s="1018"/>
      <c r="AWJ11" s="1018"/>
      <c r="AWK11" s="1018"/>
      <c r="AWL11" s="1018"/>
      <c r="AWM11" s="1018"/>
      <c r="AWN11" s="139"/>
      <c r="AWO11" s="128"/>
      <c r="AWP11" s="128"/>
      <c r="AWQ11" s="128"/>
      <c r="AWR11" s="128"/>
      <c r="AWS11" s="118"/>
      <c r="AWT11" s="128"/>
      <c r="AWU11" s="128"/>
      <c r="AWV11" s="991"/>
      <c r="AWW11" s="128"/>
      <c r="AWX11" s="170"/>
      <c r="AWY11" s="170"/>
      <c r="AWZ11" s="1018"/>
      <c r="AXA11" s="1018"/>
      <c r="AXB11" s="1018"/>
      <c r="AXC11" s="1018"/>
      <c r="AXD11" s="1019"/>
      <c r="AXE11" s="1019"/>
      <c r="AXF11" s="1019"/>
      <c r="AXG11" s="1018"/>
      <c r="AXH11" s="1018"/>
      <c r="AXI11" s="1018"/>
      <c r="AXJ11" s="1018"/>
      <c r="AXK11" s="1018"/>
      <c r="AXL11" s="1018"/>
      <c r="AXM11" s="139"/>
      <c r="AXN11" s="128"/>
      <c r="AXO11" s="128"/>
      <c r="AXP11" s="128"/>
      <c r="AXQ11" s="128"/>
      <c r="AXR11" s="118"/>
      <c r="AXS11" s="128"/>
      <c r="AXT11" s="128"/>
      <c r="AXU11" s="991"/>
      <c r="AXV11" s="128"/>
      <c r="AXW11" s="170"/>
      <c r="AXX11" s="170"/>
      <c r="AXY11" s="1018"/>
      <c r="AXZ11" s="1018"/>
      <c r="AYA11" s="1018"/>
      <c r="AYB11" s="1018"/>
      <c r="AYC11" s="1019"/>
      <c r="AYD11" s="1019"/>
      <c r="AYE11" s="1019"/>
      <c r="AYF11" s="1018"/>
      <c r="AYG11" s="1018"/>
      <c r="AYH11" s="1018"/>
      <c r="AYI11" s="1018"/>
      <c r="AYJ11" s="1018"/>
      <c r="AYK11" s="1018"/>
      <c r="AYL11" s="139"/>
      <c r="AYM11" s="128"/>
      <c r="AYN11" s="128"/>
      <c r="AYO11" s="128"/>
      <c r="AYP11" s="128"/>
      <c r="AYQ11" s="118"/>
      <c r="AYR11" s="128"/>
      <c r="AYS11" s="128"/>
      <c r="AYT11" s="991"/>
      <c r="AYU11" s="128"/>
      <c r="AYV11" s="170"/>
      <c r="AYW11" s="170"/>
      <c r="AYX11" s="1018"/>
      <c r="AYY11" s="1018"/>
      <c r="AYZ11" s="1018"/>
      <c r="AZA11" s="1018"/>
      <c r="AZB11" s="1019"/>
      <c r="AZC11" s="1019"/>
      <c r="AZD11" s="1019"/>
      <c r="AZE11" s="1018"/>
      <c r="AZF11" s="1018"/>
      <c r="AZG11" s="1018"/>
      <c r="AZH11" s="1018"/>
      <c r="AZI11" s="1018"/>
      <c r="AZJ11" s="1018"/>
      <c r="AZK11" s="139"/>
      <c r="AZL11" s="128"/>
      <c r="AZM11" s="128"/>
      <c r="AZN11" s="128"/>
      <c r="AZO11" s="128"/>
      <c r="AZP11" s="118"/>
      <c r="AZQ11" s="128"/>
      <c r="AZR11" s="128"/>
      <c r="AZS11" s="991"/>
      <c r="AZT11" s="128"/>
      <c r="AZU11" s="170"/>
      <c r="AZV11" s="170"/>
      <c r="AZW11" s="1018"/>
      <c r="AZX11" s="1018"/>
      <c r="AZY11" s="1018"/>
      <c r="AZZ11" s="1018"/>
      <c r="BAA11" s="1019"/>
      <c r="BAB11" s="1019"/>
      <c r="BAC11" s="1019"/>
      <c r="BAD11" s="1018"/>
      <c r="BAE11" s="1018"/>
      <c r="BAF11" s="1018"/>
      <c r="BAG11" s="1018"/>
      <c r="BAH11" s="1018"/>
      <c r="BAI11" s="1018"/>
      <c r="BAJ11" s="139"/>
      <c r="BAK11" s="128"/>
      <c r="BAL11" s="128"/>
      <c r="BAM11" s="128"/>
      <c r="BAN11" s="128"/>
      <c r="BAO11" s="118"/>
      <c r="BAP11" s="128"/>
      <c r="BAQ11" s="128"/>
      <c r="BAR11" s="991"/>
      <c r="BAS11" s="128"/>
      <c r="BAT11" s="170"/>
      <c r="BAU11" s="170"/>
      <c r="BAV11" s="1018"/>
      <c r="BAW11" s="1018"/>
      <c r="BAX11" s="1018"/>
      <c r="BAY11" s="1018"/>
      <c r="BAZ11" s="1019"/>
      <c r="BBA11" s="1019"/>
      <c r="BBB11" s="1019"/>
      <c r="BBC11" s="1018"/>
      <c r="BBD11" s="1018"/>
      <c r="BBE11" s="1018"/>
      <c r="BBF11" s="1018"/>
      <c r="BBG11" s="1018"/>
      <c r="BBH11" s="1018"/>
      <c r="BBI11" s="139"/>
      <c r="BBJ11" s="128"/>
      <c r="BBK11" s="128"/>
      <c r="BBL11" s="128"/>
      <c r="BBM11" s="128"/>
      <c r="BBN11" s="118"/>
      <c r="BBO11" s="128"/>
      <c r="BBP11" s="128"/>
      <c r="BBQ11" s="991"/>
      <c r="BBR11" s="128"/>
      <c r="BBS11" s="170"/>
      <c r="BBT11" s="170"/>
      <c r="BBU11" s="1018"/>
      <c r="BBV11" s="1018"/>
      <c r="BBW11" s="1018"/>
      <c r="BBX11" s="1018"/>
      <c r="BBY11" s="1019"/>
      <c r="BBZ11" s="1019"/>
      <c r="BCA11" s="1019"/>
      <c r="BCB11" s="1018"/>
      <c r="BCC11" s="1018"/>
      <c r="BCD11" s="1018"/>
      <c r="BCE11" s="1018"/>
      <c r="BCF11" s="1018"/>
      <c r="BCG11" s="1018"/>
      <c r="BCH11" s="139"/>
      <c r="BCI11" s="128"/>
      <c r="BCJ11" s="128"/>
      <c r="BCK11" s="128"/>
      <c r="BCL11" s="128"/>
      <c r="BCM11" s="118"/>
      <c r="BCN11" s="128"/>
      <c r="BCO11" s="128"/>
      <c r="BCP11" s="991"/>
      <c r="BCQ11" s="128"/>
      <c r="BCR11" s="170"/>
      <c r="BCS11" s="170"/>
      <c r="BCT11" s="1018"/>
      <c r="BCU11" s="1018"/>
      <c r="BCV11" s="1018"/>
      <c r="BCW11" s="1018"/>
      <c r="BCX11" s="1019"/>
      <c r="BCY11" s="1019"/>
      <c r="BCZ11" s="1019"/>
      <c r="BDA11" s="1018"/>
      <c r="BDB11" s="1018"/>
      <c r="BDC11" s="1018"/>
      <c r="BDD11" s="1018"/>
      <c r="BDE11" s="1018"/>
      <c r="BDF11" s="1018"/>
      <c r="BDG11" s="139"/>
      <c r="BDH11" s="128"/>
      <c r="BDI11" s="128"/>
      <c r="BDJ11" s="128"/>
      <c r="BDK11" s="128"/>
      <c r="BDL11" s="118"/>
      <c r="BDM11" s="128"/>
      <c r="BDN11" s="128"/>
      <c r="BDO11" s="991"/>
      <c r="BDP11" s="128"/>
      <c r="BDQ11" s="170"/>
      <c r="BDR11" s="170"/>
      <c r="BDS11" s="1018"/>
      <c r="BDT11" s="1018"/>
      <c r="BDU11" s="1018"/>
      <c r="BDV11" s="1018"/>
      <c r="BDW11" s="1019"/>
      <c r="BDX11" s="1019"/>
      <c r="BDY11" s="1019"/>
      <c r="BDZ11" s="1018"/>
      <c r="BEA11" s="1018"/>
      <c r="BEB11" s="1018"/>
      <c r="BEC11" s="1018"/>
      <c r="BED11" s="1018"/>
      <c r="BEE11" s="1018"/>
      <c r="BEF11" s="139"/>
      <c r="BEG11" s="128"/>
      <c r="BEH11" s="128"/>
      <c r="BEI11" s="128"/>
      <c r="BEJ11" s="128"/>
      <c r="BEK11" s="118"/>
      <c r="BEL11" s="128"/>
      <c r="BEM11" s="128"/>
      <c r="BEN11" s="991"/>
      <c r="BEO11" s="128"/>
      <c r="BEP11" s="170"/>
      <c r="BEQ11" s="170"/>
      <c r="BER11" s="1018"/>
      <c r="BES11" s="1018"/>
      <c r="BET11" s="1018"/>
      <c r="BEU11" s="1018"/>
      <c r="BEV11" s="1019"/>
      <c r="BEW11" s="1019"/>
      <c r="BEX11" s="1019"/>
      <c r="BEY11" s="1018"/>
      <c r="BEZ11" s="1018"/>
      <c r="BFA11" s="1018"/>
      <c r="BFB11" s="1018"/>
      <c r="BFC11" s="1018"/>
      <c r="BFD11" s="1018"/>
      <c r="BFE11" s="139"/>
      <c r="BFF11" s="128"/>
      <c r="BFG11" s="128"/>
      <c r="BFH11" s="128"/>
      <c r="BFI11" s="128"/>
      <c r="BFJ11" s="118"/>
      <c r="BFK11" s="128"/>
      <c r="BFL11" s="128"/>
      <c r="BFM11" s="991"/>
      <c r="BFN11" s="128"/>
      <c r="BFO11" s="170"/>
      <c r="BFP11" s="170"/>
      <c r="BFQ11" s="1018"/>
      <c r="BFR11" s="1018"/>
      <c r="BFS11" s="1018"/>
      <c r="BFT11" s="1018"/>
      <c r="BFU11" s="1019"/>
      <c r="BFV11" s="1019"/>
      <c r="BFW11" s="1019"/>
      <c r="BFX11" s="1018"/>
      <c r="BFY11" s="1018"/>
      <c r="BFZ11" s="1018"/>
      <c r="BGA11" s="1018"/>
      <c r="BGB11" s="1018"/>
      <c r="BGC11" s="1018"/>
      <c r="BGD11" s="139"/>
      <c r="BGE11" s="128"/>
      <c r="BGF11" s="128"/>
      <c r="BGG11" s="128"/>
      <c r="BGH11" s="128"/>
      <c r="BGI11" s="118"/>
      <c r="BGJ11" s="128"/>
      <c r="BGK11" s="128"/>
      <c r="BGL11" s="991"/>
      <c r="BGM11" s="128"/>
      <c r="BGN11" s="170"/>
      <c r="BGO11" s="170"/>
      <c r="BGP11" s="1018"/>
      <c r="BGQ11" s="1018"/>
      <c r="BGR11" s="1018"/>
      <c r="BGS11" s="1018"/>
      <c r="BGT11" s="1019"/>
      <c r="BGU11" s="1019"/>
      <c r="BGV11" s="1019"/>
      <c r="BGW11" s="1018"/>
      <c r="BGX11" s="1018"/>
      <c r="BGY11" s="1018"/>
      <c r="BGZ11" s="1018"/>
      <c r="BHA11" s="1018"/>
      <c r="BHB11" s="1018"/>
      <c r="BHC11" s="139"/>
      <c r="BHD11" s="128"/>
      <c r="BHE11" s="128"/>
      <c r="BHF11" s="128"/>
      <c r="BHG11" s="128"/>
      <c r="BHH11" s="118"/>
      <c r="BHI11" s="128"/>
      <c r="BHJ11" s="128"/>
      <c r="BHK11" s="991"/>
      <c r="BHL11" s="128"/>
      <c r="BHM11" s="170"/>
      <c r="BHN11" s="170"/>
      <c r="BHO11" s="1018"/>
      <c r="BHP11" s="1018"/>
      <c r="BHQ11" s="1018"/>
      <c r="BHR11" s="1018"/>
      <c r="BHS11" s="1019"/>
      <c r="BHT11" s="1019"/>
      <c r="BHU11" s="1019"/>
      <c r="BHV11" s="1018"/>
      <c r="BHW11" s="1018"/>
      <c r="BHX11" s="1018"/>
      <c r="BHY11" s="1018"/>
      <c r="BHZ11" s="1018"/>
      <c r="BIA11" s="1018"/>
      <c r="BIB11" s="139"/>
      <c r="BIC11" s="128"/>
      <c r="BID11" s="128"/>
      <c r="BIE11" s="128"/>
      <c r="BIF11" s="128"/>
      <c r="BIG11" s="118"/>
      <c r="BIH11" s="128"/>
      <c r="BII11" s="128"/>
      <c r="BIJ11" s="991"/>
      <c r="BIK11" s="128"/>
      <c r="BIL11" s="170"/>
      <c r="BIM11" s="170"/>
      <c r="BIN11" s="1018"/>
      <c r="BIO11" s="1018"/>
      <c r="BIP11" s="1018"/>
      <c r="BIQ11" s="1018"/>
      <c r="BIR11" s="1019"/>
      <c r="BIS11" s="1019"/>
      <c r="BIT11" s="1019"/>
      <c r="BIU11" s="1018"/>
      <c r="BIV11" s="1018"/>
      <c r="BIW11" s="1018"/>
      <c r="BIX11" s="1018"/>
      <c r="BIY11" s="1018"/>
      <c r="BIZ11" s="1018"/>
      <c r="BJA11" s="139"/>
      <c r="BJB11" s="128"/>
      <c r="BJC11" s="128"/>
      <c r="BJD11" s="128"/>
      <c r="BJE11" s="128"/>
      <c r="BJF11" s="118"/>
      <c r="BJG11" s="128"/>
      <c r="BJH11" s="128"/>
      <c r="BJI11" s="991"/>
      <c r="BJJ11" s="128"/>
      <c r="BJK11" s="170"/>
      <c r="BJL11" s="170"/>
      <c r="BJM11" s="1018"/>
      <c r="BJN11" s="1018"/>
      <c r="BJO11" s="1018"/>
      <c r="BJP11" s="1018"/>
      <c r="BJQ11" s="1019"/>
      <c r="BJR11" s="1019"/>
      <c r="BJS11" s="1019"/>
      <c r="BJT11" s="1018"/>
      <c r="BJU11" s="1018"/>
      <c r="BJV11" s="1018"/>
      <c r="BJW11" s="1018"/>
      <c r="BJX11" s="1018"/>
      <c r="BJY11" s="1018"/>
      <c r="BJZ11" s="139"/>
      <c r="BKA11" s="128"/>
      <c r="BKB11" s="128"/>
      <c r="BKC11" s="128"/>
      <c r="BKD11" s="128"/>
      <c r="BKE11" s="118"/>
      <c r="BKF11" s="128"/>
      <c r="BKG11" s="128"/>
      <c r="BKH11" s="991"/>
      <c r="BKI11" s="128"/>
      <c r="BKJ11" s="170"/>
      <c r="BKK11" s="170"/>
      <c r="BKL11" s="1018"/>
      <c r="BKM11" s="1018"/>
      <c r="BKN11" s="1018"/>
      <c r="BKO11" s="1018"/>
      <c r="BKP11" s="1019"/>
      <c r="BKQ11" s="1019"/>
      <c r="BKR11" s="1019"/>
      <c r="BKS11" s="1018"/>
      <c r="BKT11" s="1018"/>
      <c r="BKU11" s="1018"/>
      <c r="BKV11" s="1018"/>
      <c r="BKW11" s="1018"/>
      <c r="BKX11" s="1018"/>
      <c r="BKY11" s="139"/>
      <c r="BKZ11" s="128"/>
      <c r="BLA11" s="128"/>
      <c r="BLB11" s="128"/>
      <c r="BLC11" s="128"/>
      <c r="BLD11" s="118"/>
      <c r="BLE11" s="128"/>
      <c r="BLF11" s="128"/>
      <c r="BLG11" s="991"/>
      <c r="BLH11" s="128"/>
      <c r="BLI11" s="170"/>
      <c r="BLJ11" s="170"/>
      <c r="BLK11" s="1018"/>
      <c r="BLL11" s="1018"/>
      <c r="BLM11" s="1018"/>
      <c r="BLN11" s="1018"/>
      <c r="BLO11" s="1019"/>
      <c r="BLP11" s="1019"/>
      <c r="BLQ11" s="1019"/>
      <c r="BLR11" s="1018"/>
      <c r="BLS11" s="1018"/>
      <c r="BLT11" s="1018"/>
      <c r="BLU11" s="1018"/>
      <c r="BLV11" s="1018"/>
      <c r="BLW11" s="1018"/>
      <c r="BLX11" s="139"/>
      <c r="BLY11" s="128"/>
      <c r="BLZ11" s="128"/>
      <c r="BMA11" s="128"/>
      <c r="BMB11" s="128"/>
      <c r="BMC11" s="118"/>
      <c r="BMD11" s="128"/>
      <c r="BME11" s="128"/>
      <c r="BMF11" s="991"/>
      <c r="BMG11" s="128"/>
      <c r="BMH11" s="170"/>
      <c r="BMI11" s="170"/>
      <c r="BMJ11" s="1018"/>
      <c r="BMK11" s="1018"/>
      <c r="BML11" s="1018"/>
      <c r="BMM11" s="1018"/>
      <c r="BMN11" s="1019"/>
      <c r="BMO11" s="1019"/>
      <c r="BMP11" s="1019"/>
      <c r="BMQ11" s="1018"/>
      <c r="BMR11" s="1018"/>
      <c r="BMS11" s="1018"/>
      <c r="BMT11" s="1018"/>
      <c r="BMU11" s="1018"/>
      <c r="BMV11" s="1018"/>
      <c r="BMW11" s="139"/>
      <c r="BMX11" s="128"/>
      <c r="BMY11" s="128"/>
      <c r="BMZ11" s="128"/>
      <c r="BNA11" s="128"/>
      <c r="BNB11" s="118"/>
      <c r="BNC11" s="128"/>
      <c r="BND11" s="128"/>
      <c r="BNE11" s="991"/>
      <c r="BNF11" s="128"/>
      <c r="BNG11" s="170"/>
      <c r="BNH11" s="170"/>
      <c r="BNI11" s="1018"/>
      <c r="BNJ11" s="1018"/>
      <c r="BNK11" s="1018"/>
      <c r="BNL11" s="1018"/>
      <c r="BNM11" s="1019"/>
      <c r="BNN11" s="1019"/>
      <c r="BNO11" s="1019"/>
      <c r="BNP11" s="1018"/>
      <c r="BNQ11" s="1018"/>
      <c r="BNR11" s="1018"/>
      <c r="BNS11" s="1018"/>
      <c r="BNT11" s="1018"/>
      <c r="BNU11" s="1018"/>
      <c r="BNV11" s="139"/>
      <c r="BNW11" s="128"/>
      <c r="BNX11" s="128"/>
      <c r="BNY11" s="128"/>
      <c r="BNZ11" s="128"/>
      <c r="BOA11" s="118"/>
      <c r="BOB11" s="128"/>
      <c r="BOC11" s="128"/>
      <c r="BOD11" s="991"/>
      <c r="BOE11" s="128"/>
      <c r="BOF11" s="170"/>
      <c r="BOG11" s="170"/>
      <c r="BOH11" s="1018"/>
      <c r="BOI11" s="1018"/>
      <c r="BOJ11" s="1018"/>
      <c r="BOK11" s="1018"/>
      <c r="BOL11" s="1019"/>
      <c r="BOM11" s="1019"/>
      <c r="BON11" s="1019"/>
      <c r="BOO11" s="1018"/>
      <c r="BOP11" s="1018"/>
      <c r="BOQ11" s="1018"/>
      <c r="BOR11" s="1018"/>
      <c r="BOS11" s="1018"/>
      <c r="BOT11" s="1018"/>
      <c r="BOU11" s="139"/>
      <c r="BOV11" s="128"/>
      <c r="BOW11" s="128"/>
      <c r="BOX11" s="128"/>
      <c r="BOY11" s="128"/>
      <c r="BOZ11" s="118"/>
      <c r="BPA11" s="128"/>
      <c r="BPB11" s="128"/>
      <c r="BPC11" s="991"/>
      <c r="BPD11" s="128"/>
      <c r="BPE11" s="170"/>
      <c r="BPF11" s="170"/>
      <c r="BPG11" s="1018"/>
      <c r="BPH11" s="1018"/>
      <c r="BPI11" s="1018"/>
      <c r="BPJ11" s="1018"/>
      <c r="BPK11" s="1019"/>
      <c r="BPL11" s="1019"/>
      <c r="BPM11" s="1019"/>
      <c r="BPN11" s="1018"/>
      <c r="BPO11" s="1018"/>
      <c r="BPP11" s="1018"/>
      <c r="BPQ11" s="1018"/>
      <c r="BPR11" s="1018"/>
      <c r="BPS11" s="1018"/>
      <c r="BPT11" s="139"/>
      <c r="BPU11" s="128"/>
      <c r="BPV11" s="128"/>
      <c r="BPW11" s="128"/>
      <c r="BPX11" s="128"/>
      <c r="BPY11" s="118"/>
      <c r="BPZ11" s="128"/>
      <c r="BQA11" s="128"/>
      <c r="BQB11" s="991"/>
      <c r="BQC11" s="128"/>
      <c r="BQD11" s="170"/>
      <c r="BQE11" s="170"/>
      <c r="BQF11" s="1018"/>
      <c r="BQG11" s="1018"/>
      <c r="BQH11" s="1018"/>
      <c r="BQI11" s="1018"/>
      <c r="BQJ11" s="1019"/>
      <c r="BQK11" s="1019"/>
      <c r="BQL11" s="1019"/>
      <c r="BQM11" s="1018"/>
      <c r="BQN11" s="1018"/>
      <c r="BQO11" s="1018"/>
      <c r="BQP11" s="1018"/>
      <c r="BQQ11" s="1018"/>
      <c r="BQR11" s="1018"/>
      <c r="BQS11" s="139"/>
      <c r="BQT11" s="128"/>
      <c r="BQU11" s="128"/>
      <c r="BQV11" s="128"/>
      <c r="BQW11" s="128"/>
      <c r="BQX11" s="118"/>
      <c r="BQY11" s="128"/>
      <c r="BQZ11" s="128"/>
      <c r="BRA11" s="991"/>
      <c r="BRB11" s="128"/>
      <c r="BRC11" s="170"/>
      <c r="BRD11" s="170"/>
      <c r="BRE11" s="1018"/>
      <c r="BRF11" s="1018"/>
      <c r="BRG11" s="1018"/>
      <c r="BRH11" s="1018"/>
      <c r="BRI11" s="1019"/>
      <c r="BRJ11" s="1019"/>
      <c r="BRK11" s="1019"/>
      <c r="BRL11" s="1018"/>
      <c r="BRM11" s="1018"/>
      <c r="BRN11" s="1018"/>
      <c r="BRO11" s="1018"/>
      <c r="BRP11" s="1018"/>
      <c r="BRQ11" s="1018"/>
      <c r="BRR11" s="139"/>
      <c r="BRS11" s="128"/>
      <c r="BRT11" s="128"/>
      <c r="BRU11" s="128"/>
      <c r="BRV11" s="128"/>
      <c r="BRW11" s="118"/>
      <c r="BRX11" s="128"/>
      <c r="BRY11" s="128"/>
      <c r="BRZ11" s="991"/>
      <c r="BSA11" s="128"/>
      <c r="BSB11" s="170"/>
      <c r="BSC11" s="170"/>
      <c r="BSD11" s="1018"/>
      <c r="BSE11" s="1018"/>
      <c r="BSF11" s="1018"/>
      <c r="BSG11" s="1018"/>
      <c r="BSH11" s="1019"/>
      <c r="BSI11" s="1019"/>
      <c r="BSJ11" s="1019"/>
      <c r="BSK11" s="1018"/>
      <c r="BSL11" s="1018"/>
      <c r="BSM11" s="1018"/>
      <c r="BSN11" s="1018"/>
      <c r="BSO11" s="1018"/>
      <c r="BSP11" s="1018"/>
      <c r="BSQ11" s="139"/>
      <c r="BSR11" s="128"/>
      <c r="BSS11" s="128"/>
      <c r="BST11" s="128"/>
      <c r="BSU11" s="128"/>
      <c r="BSV11" s="118"/>
      <c r="BSW11" s="128"/>
      <c r="BSX11" s="128"/>
      <c r="BSY11" s="991"/>
      <c r="BSZ11" s="128"/>
      <c r="BTA11" s="170"/>
      <c r="BTB11" s="170"/>
      <c r="BTC11" s="1018"/>
      <c r="BTD11" s="1018"/>
      <c r="BTE11" s="1018"/>
      <c r="BTF11" s="1018"/>
      <c r="BTG11" s="1019"/>
      <c r="BTH11" s="1019"/>
      <c r="BTI11" s="1019"/>
      <c r="BTJ11" s="1018"/>
      <c r="BTK11" s="1018"/>
      <c r="BTL11" s="1018"/>
      <c r="BTM11" s="1018"/>
      <c r="BTN11" s="1018"/>
      <c r="BTO11" s="1018"/>
      <c r="BTP11" s="139"/>
      <c r="BTQ11" s="128"/>
      <c r="BTR11" s="128"/>
      <c r="BTS11" s="128"/>
      <c r="BTT11" s="128"/>
      <c r="BTU11" s="118"/>
      <c r="BTV11" s="128"/>
      <c r="BTW11" s="128"/>
      <c r="BTX11" s="991"/>
      <c r="BTY11" s="128"/>
      <c r="BTZ11" s="170"/>
      <c r="BUA11" s="170"/>
      <c r="BUB11" s="1018"/>
      <c r="BUC11" s="1018"/>
      <c r="BUD11" s="1018"/>
      <c r="BUE11" s="1018"/>
      <c r="BUF11" s="1019"/>
      <c r="BUG11" s="1019"/>
      <c r="BUH11" s="1019"/>
      <c r="BUI11" s="1018"/>
      <c r="BUJ11" s="1018"/>
      <c r="BUK11" s="1018"/>
      <c r="BUL11" s="1018"/>
      <c r="BUM11" s="1018"/>
      <c r="BUN11" s="1018"/>
      <c r="BUO11" s="139"/>
      <c r="BUP11" s="128"/>
      <c r="BUQ11" s="128"/>
      <c r="BUR11" s="128"/>
      <c r="BUS11" s="128"/>
      <c r="BUT11" s="118"/>
      <c r="BUU11" s="128"/>
      <c r="BUV11" s="128"/>
      <c r="BUW11" s="991"/>
      <c r="BUX11" s="128"/>
      <c r="BUY11" s="170"/>
      <c r="BUZ11" s="170"/>
      <c r="BVA11" s="1018"/>
      <c r="BVB11" s="1018"/>
      <c r="BVC11" s="1018"/>
      <c r="BVD11" s="1018"/>
      <c r="BVE11" s="1019"/>
      <c r="BVF11" s="1019"/>
      <c r="BVG11" s="1019"/>
      <c r="BVH11" s="1018"/>
      <c r="BVI11" s="1018"/>
      <c r="BVJ11" s="1018"/>
      <c r="BVK11" s="1018"/>
      <c r="BVL11" s="1018"/>
      <c r="BVM11" s="1018"/>
      <c r="BVN11" s="139"/>
      <c r="BVO11" s="128"/>
      <c r="BVP11" s="128"/>
      <c r="BVQ11" s="128"/>
      <c r="BVR11" s="128"/>
      <c r="BVS11" s="118"/>
      <c r="BVT11" s="128"/>
      <c r="BVU11" s="128"/>
      <c r="BVV11" s="991"/>
      <c r="BVW11" s="128"/>
      <c r="BVX11" s="170"/>
      <c r="BVY11" s="170"/>
      <c r="BVZ11" s="1018"/>
      <c r="BWA11" s="1018"/>
      <c r="BWB11" s="1018"/>
      <c r="BWC11" s="1018"/>
      <c r="BWD11" s="1019"/>
      <c r="BWE11" s="1019"/>
      <c r="BWF11" s="1019"/>
      <c r="BWG11" s="1018"/>
      <c r="BWH11" s="1018"/>
      <c r="BWI11" s="1018"/>
      <c r="BWJ11" s="1018"/>
      <c r="BWK11" s="1018"/>
      <c r="BWL11" s="1018"/>
      <c r="BWM11" s="139"/>
      <c r="BWN11" s="128"/>
      <c r="BWO11" s="128"/>
      <c r="BWP11" s="128"/>
      <c r="BWQ11" s="128"/>
      <c r="BWR11" s="118"/>
      <c r="BWS11" s="128"/>
      <c r="BWT11" s="128"/>
      <c r="BWU11" s="991"/>
      <c r="BWV11" s="128"/>
      <c r="BWW11" s="170"/>
      <c r="BWX11" s="170"/>
      <c r="BWY11" s="1018"/>
      <c r="BWZ11" s="1018"/>
      <c r="BXA11" s="1018"/>
      <c r="BXB11" s="1018"/>
      <c r="BXC11" s="1019"/>
      <c r="BXD11" s="1019"/>
      <c r="BXE11" s="1019"/>
      <c r="BXF11" s="1018"/>
      <c r="BXG11" s="1018"/>
      <c r="BXH11" s="1018"/>
      <c r="BXI11" s="1018"/>
      <c r="BXJ11" s="1018"/>
      <c r="BXK11" s="1018"/>
      <c r="BXL11" s="139"/>
      <c r="BXM11" s="128"/>
      <c r="BXN11" s="128"/>
      <c r="BXO11" s="128"/>
      <c r="BXP11" s="128"/>
      <c r="BXQ11" s="118"/>
      <c r="BXR11" s="128"/>
      <c r="BXS11" s="128"/>
      <c r="BXT11" s="991"/>
      <c r="BXU11" s="128"/>
      <c r="BXV11" s="170"/>
      <c r="BXW11" s="170"/>
      <c r="BXX11" s="1018"/>
      <c r="BXY11" s="1018"/>
      <c r="BXZ11" s="1018"/>
      <c r="BYA11" s="1018"/>
      <c r="BYB11" s="1019"/>
      <c r="BYC11" s="1019"/>
      <c r="BYD11" s="1019"/>
      <c r="BYE11" s="1018"/>
      <c r="BYF11" s="1018"/>
      <c r="BYG11" s="1018"/>
      <c r="BYH11" s="1018"/>
      <c r="BYI11" s="1018"/>
      <c r="BYJ11" s="1018"/>
      <c r="BYK11" s="139"/>
      <c r="BYL11" s="128"/>
      <c r="BYM11" s="128"/>
      <c r="BYN11" s="128"/>
      <c r="BYO11" s="128"/>
      <c r="BYP11" s="118"/>
      <c r="BYQ11" s="128"/>
      <c r="BYR11" s="128"/>
      <c r="BYS11" s="991"/>
      <c r="BYT11" s="128"/>
      <c r="BYU11" s="170"/>
      <c r="BYV11" s="170"/>
      <c r="BYW11" s="1018"/>
      <c r="BYX11" s="1018"/>
      <c r="BYY11" s="1018"/>
      <c r="BYZ11" s="1018"/>
      <c r="BZA11" s="1019"/>
      <c r="BZB11" s="1019"/>
      <c r="BZC11" s="1019"/>
      <c r="BZD11" s="1018"/>
      <c r="BZE11" s="1018"/>
      <c r="BZF11" s="1018"/>
      <c r="BZG11" s="1018"/>
      <c r="BZH11" s="1018"/>
      <c r="BZI11" s="1018"/>
      <c r="BZJ11" s="139"/>
      <c r="BZK11" s="128"/>
      <c r="BZL11" s="128"/>
      <c r="BZM11" s="128"/>
      <c r="BZN11" s="128"/>
      <c r="BZO11" s="118"/>
      <c r="BZP11" s="128"/>
      <c r="BZQ11" s="128"/>
      <c r="BZR11" s="991"/>
      <c r="BZS11" s="128"/>
      <c r="BZT11" s="170"/>
      <c r="BZU11" s="170"/>
      <c r="BZV11" s="1018"/>
      <c r="BZW11" s="1018"/>
      <c r="BZX11" s="1018"/>
      <c r="BZY11" s="1018"/>
      <c r="BZZ11" s="1019"/>
      <c r="CAA11" s="1019"/>
      <c r="CAB11" s="1019"/>
      <c r="CAC11" s="1018"/>
      <c r="CAD11" s="1018"/>
      <c r="CAE11" s="1018"/>
      <c r="CAF11" s="1018"/>
      <c r="CAG11" s="1018"/>
      <c r="CAH11" s="1018"/>
      <c r="CAI11" s="139"/>
      <c r="CAJ11" s="128"/>
      <c r="CAK11" s="128"/>
      <c r="CAL11" s="128"/>
      <c r="CAM11" s="128"/>
      <c r="CAN11" s="118"/>
      <c r="CAO11" s="128"/>
      <c r="CAP11" s="128"/>
      <c r="CAQ11" s="991"/>
      <c r="CAR11" s="128"/>
      <c r="CAS11" s="170"/>
      <c r="CAT11" s="170"/>
      <c r="CAU11" s="1018"/>
      <c r="CAV11" s="1018"/>
      <c r="CAW11" s="1018"/>
      <c r="CAX11" s="1018"/>
      <c r="CAY11" s="1019"/>
      <c r="CAZ11" s="1019"/>
      <c r="CBA11" s="1019"/>
      <c r="CBB11" s="1018"/>
      <c r="CBC11" s="1018"/>
      <c r="CBD11" s="1018"/>
      <c r="CBE11" s="1018"/>
      <c r="CBF11" s="1018"/>
      <c r="CBG11" s="1018"/>
      <c r="CBH11" s="139"/>
      <c r="CBI11" s="128"/>
      <c r="CBJ11" s="128"/>
      <c r="CBK11" s="128"/>
      <c r="CBL11" s="128"/>
      <c r="CBM11" s="118"/>
      <c r="CBN11" s="128"/>
      <c r="CBO11" s="128"/>
      <c r="CBP11" s="991"/>
      <c r="CBQ11" s="128"/>
      <c r="CBR11" s="170"/>
      <c r="CBS11" s="170"/>
      <c r="CBT11" s="1018"/>
      <c r="CBU11" s="1018"/>
      <c r="CBV11" s="1018"/>
      <c r="CBW11" s="1018"/>
      <c r="CBX11" s="1019"/>
      <c r="CBY11" s="1019"/>
      <c r="CBZ11" s="1019"/>
      <c r="CCA11" s="1018"/>
      <c r="CCB11" s="1018"/>
      <c r="CCC11" s="1018"/>
      <c r="CCD11" s="1018"/>
      <c r="CCE11" s="1018"/>
      <c r="CCF11" s="1018"/>
      <c r="CCG11" s="139"/>
      <c r="CCH11" s="128"/>
      <c r="CCI11" s="128"/>
      <c r="CCJ11" s="128"/>
      <c r="CCK11" s="128"/>
      <c r="CCL11" s="118"/>
      <c r="CCM11" s="128"/>
      <c r="CCN11" s="128"/>
      <c r="CCO11" s="991"/>
      <c r="CCP11" s="128"/>
      <c r="CCQ11" s="170"/>
      <c r="CCR11" s="170"/>
      <c r="CCS11" s="1018"/>
      <c r="CCT11" s="1018"/>
      <c r="CCU11" s="1018"/>
      <c r="CCV11" s="1018"/>
      <c r="CCW11" s="1019"/>
      <c r="CCX11" s="1019"/>
      <c r="CCY11" s="1019"/>
      <c r="CCZ11" s="1018"/>
      <c r="CDA11" s="1018"/>
      <c r="CDB11" s="1018"/>
      <c r="CDC11" s="1018"/>
      <c r="CDD11" s="1018"/>
      <c r="CDE11" s="1018"/>
      <c r="CDF11" s="139"/>
      <c r="CDG11" s="128"/>
      <c r="CDH11" s="128"/>
      <c r="CDI11" s="128"/>
      <c r="CDJ11" s="128"/>
      <c r="CDK11" s="118"/>
      <c r="CDL11" s="128"/>
      <c r="CDM11" s="128"/>
      <c r="CDN11" s="991"/>
      <c r="CDO11" s="128"/>
      <c r="CDP11" s="170"/>
      <c r="CDQ11" s="170"/>
      <c r="CDR11" s="1018"/>
      <c r="CDS11" s="1018"/>
      <c r="CDT11" s="1018"/>
      <c r="CDU11" s="1018"/>
      <c r="CDV11" s="1019"/>
      <c r="CDW11" s="1019"/>
      <c r="CDX11" s="1019"/>
      <c r="CDY11" s="1018"/>
      <c r="CDZ11" s="1018"/>
      <c r="CEA11" s="1018"/>
      <c r="CEB11" s="1018"/>
      <c r="CEC11" s="1018"/>
      <c r="CED11" s="1018"/>
      <c r="CEE11" s="139"/>
      <c r="CEF11" s="128"/>
      <c r="CEG11" s="128"/>
      <c r="CEH11" s="128"/>
      <c r="CEI11" s="128"/>
      <c r="CEJ11" s="118"/>
      <c r="CEK11" s="128"/>
      <c r="CEL11" s="128"/>
      <c r="CEM11" s="991"/>
      <c r="CEN11" s="128"/>
      <c r="CEO11" s="170"/>
      <c r="CEP11" s="170"/>
      <c r="CEQ11" s="1018"/>
      <c r="CER11" s="1018"/>
      <c r="CES11" s="1018"/>
      <c r="CET11" s="1018"/>
      <c r="CEU11" s="1019"/>
      <c r="CEV11" s="1019"/>
      <c r="CEW11" s="1019"/>
      <c r="CEX11" s="1018"/>
      <c r="CEY11" s="1018"/>
      <c r="CEZ11" s="1018"/>
      <c r="CFA11" s="1018"/>
      <c r="CFB11" s="1018"/>
      <c r="CFC11" s="1018"/>
      <c r="CFD11" s="139"/>
      <c r="CFE11" s="128"/>
      <c r="CFF11" s="128"/>
      <c r="CFG11" s="128"/>
      <c r="CFH11" s="128"/>
      <c r="CFI11" s="118"/>
      <c r="CFJ11" s="128"/>
      <c r="CFK11" s="128"/>
      <c r="CFL11" s="991"/>
      <c r="CFM11" s="128"/>
      <c r="CFN11" s="170"/>
      <c r="CFO11" s="170"/>
      <c r="CFP11" s="1018"/>
      <c r="CFQ11" s="1018"/>
      <c r="CFR11" s="1018"/>
      <c r="CFS11" s="1018"/>
      <c r="CFT11" s="1019"/>
      <c r="CFU11" s="1019"/>
      <c r="CFV11" s="1019"/>
      <c r="CFW11" s="1018"/>
      <c r="CFX11" s="1018"/>
      <c r="CFY11" s="1018"/>
      <c r="CFZ11" s="1018"/>
      <c r="CGA11" s="1018"/>
      <c r="CGB11" s="1018"/>
      <c r="CGC11" s="139"/>
      <c r="CGD11" s="128"/>
      <c r="CGE11" s="128"/>
      <c r="CGF11" s="128"/>
      <c r="CGG11" s="128"/>
      <c r="CGH11" s="118"/>
      <c r="CGI11" s="128"/>
      <c r="CGJ11" s="128"/>
      <c r="CGK11" s="991"/>
      <c r="CGL11" s="128"/>
      <c r="CGM11" s="170"/>
      <c r="CGN11" s="170"/>
      <c r="CGO11" s="1018"/>
      <c r="CGP11" s="1018"/>
      <c r="CGQ11" s="1018"/>
      <c r="CGR11" s="1018"/>
      <c r="CGS11" s="1019"/>
      <c r="CGT11" s="1019"/>
      <c r="CGU11" s="1019"/>
      <c r="CGV11" s="1018"/>
      <c r="CGW11" s="1018"/>
      <c r="CGX11" s="1018"/>
      <c r="CGY11" s="1018"/>
      <c r="CGZ11" s="1018"/>
      <c r="CHA11" s="1018"/>
      <c r="CHB11" s="139"/>
      <c r="CHC11" s="128"/>
      <c r="CHD11" s="128"/>
      <c r="CHE11" s="128"/>
      <c r="CHF11" s="128"/>
      <c r="CHG11" s="118"/>
      <c r="CHH11" s="128"/>
      <c r="CHI11" s="128"/>
      <c r="CHJ11" s="991"/>
      <c r="CHK11" s="128"/>
      <c r="CHL11" s="170"/>
      <c r="CHM11" s="170"/>
      <c r="CHN11" s="1018"/>
      <c r="CHO11" s="1018"/>
      <c r="CHP11" s="1018"/>
      <c r="CHQ11" s="1018"/>
      <c r="CHR11" s="1019"/>
      <c r="CHS11" s="1019"/>
      <c r="CHT11" s="1019"/>
      <c r="CHU11" s="1018"/>
      <c r="CHV11" s="1018"/>
      <c r="CHW11" s="1018"/>
      <c r="CHX11" s="1018"/>
      <c r="CHY11" s="1018"/>
      <c r="CHZ11" s="1018"/>
      <c r="CIA11" s="139"/>
      <c r="CIB11" s="128"/>
      <c r="CIC11" s="128"/>
      <c r="CID11" s="128"/>
      <c r="CIE11" s="128"/>
      <c r="CIF11" s="118"/>
      <c r="CIG11" s="128"/>
      <c r="CIH11" s="128"/>
      <c r="CII11" s="991"/>
      <c r="CIJ11" s="128"/>
      <c r="CIK11" s="170"/>
      <c r="CIL11" s="170"/>
      <c r="CIM11" s="1018"/>
      <c r="CIN11" s="1018"/>
      <c r="CIO11" s="1018"/>
      <c r="CIP11" s="1018"/>
      <c r="CIQ11" s="1019"/>
      <c r="CIR11" s="1019"/>
      <c r="CIS11" s="1019"/>
      <c r="CIT11" s="1018"/>
      <c r="CIU11" s="1018"/>
      <c r="CIV11" s="1018"/>
      <c r="CIW11" s="1018"/>
      <c r="CIX11" s="1018"/>
      <c r="CIY11" s="1018"/>
      <c r="CIZ11" s="139"/>
      <c r="CJA11" s="128"/>
      <c r="CJB11" s="128"/>
      <c r="CJC11" s="128"/>
      <c r="CJD11" s="128"/>
      <c r="CJE11" s="118"/>
      <c r="CJF11" s="128"/>
      <c r="CJG11" s="128"/>
      <c r="CJH11" s="991"/>
      <c r="CJI11" s="128"/>
      <c r="CJJ11" s="170"/>
      <c r="CJK11" s="170"/>
      <c r="CJL11" s="1018"/>
      <c r="CJM11" s="1018"/>
      <c r="CJN11" s="1018"/>
      <c r="CJO11" s="1018"/>
      <c r="CJP11" s="1019"/>
      <c r="CJQ11" s="1019"/>
      <c r="CJR11" s="1019"/>
      <c r="CJS11" s="1018"/>
      <c r="CJT11" s="1018"/>
      <c r="CJU11" s="1018"/>
      <c r="CJV11" s="1018"/>
      <c r="CJW11" s="1018"/>
      <c r="CJX11" s="1018"/>
      <c r="CJY11" s="139"/>
      <c r="CJZ11" s="128"/>
      <c r="CKA11" s="128"/>
      <c r="CKB11" s="128"/>
      <c r="CKC11" s="128"/>
      <c r="CKD11" s="118"/>
      <c r="CKE11" s="128"/>
      <c r="CKF11" s="128"/>
      <c r="CKG11" s="991"/>
      <c r="CKH11" s="128"/>
      <c r="CKI11" s="170"/>
      <c r="CKJ11" s="170"/>
      <c r="CKK11" s="1018"/>
      <c r="CKL11" s="1018"/>
      <c r="CKM11" s="1018"/>
      <c r="CKN11" s="1018"/>
      <c r="CKO11" s="1019"/>
      <c r="CKP11" s="1019"/>
      <c r="CKQ11" s="1019"/>
      <c r="CKR11" s="1018"/>
      <c r="CKS11" s="1018"/>
      <c r="CKT11" s="1018"/>
      <c r="CKU11" s="1018"/>
      <c r="CKV11" s="1018"/>
      <c r="CKW11" s="1018"/>
      <c r="CKX11" s="139"/>
      <c r="CKY11" s="128"/>
      <c r="CKZ11" s="128"/>
      <c r="CLA11" s="128"/>
      <c r="CLB11" s="128"/>
      <c r="CLC11" s="118"/>
      <c r="CLD11" s="128"/>
      <c r="CLE11" s="128"/>
      <c r="CLF11" s="991"/>
      <c r="CLG11" s="128"/>
      <c r="CLH11" s="170"/>
      <c r="CLI11" s="170"/>
      <c r="CLJ11" s="1018"/>
      <c r="CLK11" s="1018"/>
      <c r="CLL11" s="1018"/>
      <c r="CLM11" s="1018"/>
      <c r="CLN11" s="1019"/>
      <c r="CLO11" s="1019"/>
      <c r="CLP11" s="1019"/>
      <c r="CLQ11" s="1018"/>
      <c r="CLR11" s="1018"/>
      <c r="CLS11" s="1018"/>
      <c r="CLT11" s="1018"/>
      <c r="CLU11" s="1018"/>
      <c r="CLV11" s="1018"/>
      <c r="CLW11" s="139"/>
      <c r="CLX11" s="128"/>
      <c r="CLY11" s="128"/>
      <c r="CLZ11" s="128"/>
      <c r="CMA11" s="128"/>
      <c r="CMB11" s="118"/>
      <c r="CMC11" s="128"/>
      <c r="CMD11" s="128"/>
      <c r="CME11" s="991"/>
      <c r="CMF11" s="128"/>
      <c r="CMG11" s="170"/>
      <c r="CMH11" s="170"/>
      <c r="CMI11" s="1018"/>
      <c r="CMJ11" s="1018"/>
      <c r="CMK11" s="1018"/>
      <c r="CML11" s="1018"/>
      <c r="CMM11" s="1019"/>
      <c r="CMN11" s="1019"/>
      <c r="CMO11" s="1019"/>
      <c r="CMP11" s="1018"/>
      <c r="CMQ11" s="1018"/>
      <c r="CMR11" s="1018"/>
      <c r="CMS11" s="1018"/>
      <c r="CMT11" s="1018"/>
      <c r="CMU11" s="1018"/>
      <c r="CMV11" s="139"/>
      <c r="CMW11" s="128"/>
      <c r="CMX11" s="128"/>
      <c r="CMY11" s="128"/>
      <c r="CMZ11" s="128"/>
      <c r="CNA11" s="118"/>
      <c r="CNB11" s="128"/>
      <c r="CNC11" s="128"/>
      <c r="CND11" s="991"/>
      <c r="CNE11" s="128"/>
      <c r="CNF11" s="170"/>
      <c r="CNG11" s="170"/>
      <c r="CNH11" s="1018"/>
      <c r="CNI11" s="1018"/>
      <c r="CNJ11" s="1018"/>
      <c r="CNK11" s="1018"/>
      <c r="CNL11" s="1019"/>
      <c r="CNM11" s="1019"/>
      <c r="CNN11" s="1019"/>
      <c r="CNO11" s="1018"/>
      <c r="CNP11" s="1018"/>
      <c r="CNQ11" s="1018"/>
      <c r="CNR11" s="1018"/>
      <c r="CNS11" s="1018"/>
      <c r="CNT11" s="1018"/>
      <c r="CNU11" s="139"/>
      <c r="CNV11" s="128"/>
      <c r="CNW11" s="128"/>
      <c r="CNX11" s="128"/>
      <c r="CNY11" s="128"/>
      <c r="CNZ11" s="118"/>
      <c r="COA11" s="128"/>
      <c r="COB11" s="128"/>
      <c r="COC11" s="991"/>
      <c r="COD11" s="128"/>
      <c r="COE11" s="170"/>
      <c r="COF11" s="170"/>
      <c r="COG11" s="1018"/>
      <c r="COH11" s="1018"/>
      <c r="COI11" s="1018"/>
      <c r="COJ11" s="1018"/>
      <c r="COK11" s="1019"/>
      <c r="COL11" s="1019"/>
      <c r="COM11" s="1019"/>
      <c r="CON11" s="1018"/>
      <c r="COO11" s="1018"/>
      <c r="COP11" s="1018"/>
      <c r="COQ11" s="1018"/>
      <c r="COR11" s="1018"/>
      <c r="COS11" s="1018"/>
      <c r="COT11" s="139"/>
      <c r="COU11" s="128"/>
      <c r="COV11" s="128"/>
      <c r="COW11" s="128"/>
      <c r="COX11" s="128"/>
      <c r="COY11" s="118"/>
      <c r="COZ11" s="128"/>
      <c r="CPA11" s="128"/>
      <c r="CPB11" s="991"/>
      <c r="CPC11" s="128"/>
      <c r="CPD11" s="170"/>
      <c r="CPE11" s="170"/>
      <c r="CPF11" s="1018"/>
      <c r="CPG11" s="1018"/>
      <c r="CPH11" s="1018"/>
      <c r="CPI11" s="1018"/>
      <c r="CPJ11" s="1019"/>
      <c r="CPK11" s="1019"/>
      <c r="CPL11" s="1019"/>
      <c r="CPM11" s="1018"/>
      <c r="CPN11" s="1018"/>
      <c r="CPO11" s="1018"/>
      <c r="CPP11" s="1018"/>
      <c r="CPQ11" s="1018"/>
      <c r="CPR11" s="1018"/>
      <c r="CPS11" s="139"/>
      <c r="CPT11" s="128"/>
      <c r="CPU11" s="128"/>
      <c r="CPV11" s="128"/>
      <c r="CPW11" s="128"/>
      <c r="CPX11" s="118"/>
      <c r="CPY11" s="128"/>
      <c r="CPZ11" s="128"/>
      <c r="CQA11" s="991"/>
      <c r="CQB11" s="128"/>
      <c r="CQC11" s="170"/>
      <c r="CQD11" s="170"/>
      <c r="CQE11" s="1018"/>
      <c r="CQF11" s="1018"/>
      <c r="CQG11" s="1018"/>
      <c r="CQH11" s="1018"/>
      <c r="CQI11" s="1019"/>
      <c r="CQJ11" s="1019"/>
      <c r="CQK11" s="1019"/>
      <c r="CQL11" s="1018"/>
      <c r="CQM11" s="1018"/>
      <c r="CQN11" s="1018"/>
      <c r="CQO11" s="1018"/>
      <c r="CQP11" s="1018"/>
      <c r="CQQ11" s="1018"/>
      <c r="CQR11" s="139"/>
      <c r="CQS11" s="128"/>
      <c r="CQT11" s="128"/>
      <c r="CQU11" s="128"/>
      <c r="CQV11" s="128"/>
      <c r="CQW11" s="118"/>
      <c r="CQX11" s="128"/>
      <c r="CQY11" s="128"/>
      <c r="CQZ11" s="991"/>
      <c r="CRA11" s="128"/>
      <c r="CRB11" s="170"/>
      <c r="CRC11" s="170"/>
      <c r="CRD11" s="1018"/>
      <c r="CRE11" s="1018"/>
      <c r="CRF11" s="1018"/>
      <c r="CRG11" s="1018"/>
      <c r="CRH11" s="1019"/>
      <c r="CRI11" s="1019"/>
      <c r="CRJ11" s="1019"/>
      <c r="CRK11" s="1018"/>
      <c r="CRL11" s="1018"/>
      <c r="CRM11" s="1018"/>
      <c r="CRN11" s="1018"/>
      <c r="CRO11" s="1018"/>
      <c r="CRP11" s="1018"/>
      <c r="CRQ11" s="139"/>
      <c r="CRR11" s="128"/>
      <c r="CRS11" s="128"/>
      <c r="CRT11" s="128"/>
      <c r="CRU11" s="128"/>
      <c r="CRV11" s="118"/>
      <c r="CRW11" s="128"/>
      <c r="CRX11" s="128"/>
      <c r="CRY11" s="991"/>
      <c r="CRZ11" s="128"/>
      <c r="CSA11" s="170"/>
      <c r="CSB11" s="170"/>
      <c r="CSC11" s="1018"/>
      <c r="CSD11" s="1018"/>
      <c r="CSE11" s="1018"/>
      <c r="CSF11" s="1018"/>
      <c r="CSG11" s="1019"/>
      <c r="CSH11" s="1019"/>
      <c r="CSI11" s="1019"/>
      <c r="CSJ11" s="1018"/>
      <c r="CSK11" s="1018"/>
      <c r="CSL11" s="1018"/>
      <c r="CSM11" s="1018"/>
      <c r="CSN11" s="1018"/>
      <c r="CSO11" s="1018"/>
      <c r="CSP11" s="139"/>
      <c r="CSQ11" s="128"/>
      <c r="CSR11" s="128"/>
      <c r="CSS11" s="128"/>
      <c r="CST11" s="128"/>
      <c r="CSU11" s="118"/>
      <c r="CSV11" s="128"/>
      <c r="CSW11" s="128"/>
      <c r="CSX11" s="991"/>
      <c r="CSY11" s="128"/>
      <c r="CSZ11" s="170"/>
      <c r="CTA11" s="170"/>
      <c r="CTB11" s="1018"/>
      <c r="CTC11" s="1018"/>
      <c r="CTD11" s="1018"/>
      <c r="CTE11" s="1018"/>
      <c r="CTF11" s="1019"/>
      <c r="CTG11" s="1019"/>
      <c r="CTH11" s="1019"/>
      <c r="CTI11" s="1018"/>
      <c r="CTJ11" s="1018"/>
      <c r="CTK11" s="1018"/>
      <c r="CTL11" s="1018"/>
      <c r="CTM11" s="1018"/>
      <c r="CTN11" s="1018"/>
      <c r="CTO11" s="139"/>
      <c r="CTP11" s="128"/>
      <c r="CTQ11" s="128"/>
      <c r="CTR11" s="128"/>
      <c r="CTS11" s="128"/>
      <c r="CTT11" s="118"/>
      <c r="CTU11" s="128"/>
      <c r="CTV11" s="128"/>
      <c r="CTW11" s="991"/>
      <c r="CTX11" s="128"/>
      <c r="CTY11" s="170"/>
      <c r="CTZ11" s="170"/>
      <c r="CUA11" s="1018"/>
      <c r="CUB11" s="1018"/>
      <c r="CUC11" s="1018"/>
      <c r="CUD11" s="1018"/>
      <c r="CUE11" s="1019"/>
      <c r="CUF11" s="1019"/>
      <c r="CUG11" s="1019"/>
      <c r="CUH11" s="1018"/>
      <c r="CUI11" s="1018"/>
      <c r="CUJ11" s="1018"/>
      <c r="CUK11" s="1018"/>
      <c r="CUL11" s="1018"/>
      <c r="CUM11" s="1018"/>
      <c r="CUN11" s="139"/>
      <c r="CUO11" s="128"/>
      <c r="CUP11" s="128"/>
      <c r="CUQ11" s="128"/>
      <c r="CUR11" s="128"/>
      <c r="CUS11" s="118"/>
      <c r="CUT11" s="128"/>
      <c r="CUU11" s="128"/>
      <c r="CUV11" s="991"/>
      <c r="CUW11" s="128"/>
      <c r="CUX11" s="170"/>
      <c r="CUY11" s="170"/>
      <c r="CUZ11" s="1018"/>
      <c r="CVA11" s="1018"/>
      <c r="CVB11" s="1018"/>
      <c r="CVC11" s="1018"/>
      <c r="CVD11" s="1019"/>
      <c r="CVE11" s="1019"/>
      <c r="CVF11" s="1019"/>
      <c r="CVG11" s="1018"/>
      <c r="CVH11" s="1018"/>
      <c r="CVI11" s="1018"/>
      <c r="CVJ11" s="1018"/>
      <c r="CVK11" s="1018"/>
      <c r="CVL11" s="1018"/>
      <c r="CVM11" s="139"/>
      <c r="CVN11" s="128"/>
      <c r="CVO11" s="128"/>
      <c r="CVP11" s="128"/>
      <c r="CVQ11" s="128"/>
      <c r="CVR11" s="118"/>
      <c r="CVS11" s="128"/>
      <c r="CVT11" s="128"/>
      <c r="CVU11" s="991"/>
      <c r="CVV11" s="128"/>
      <c r="CVW11" s="170"/>
      <c r="CVX11" s="170"/>
      <c r="CVY11" s="1018"/>
      <c r="CVZ11" s="1018"/>
      <c r="CWA11" s="1018"/>
      <c r="CWB11" s="1018"/>
      <c r="CWC11" s="1019"/>
      <c r="CWD11" s="1019"/>
      <c r="CWE11" s="1019"/>
      <c r="CWF11" s="1018"/>
      <c r="CWG11" s="1018"/>
      <c r="CWH11" s="1018"/>
      <c r="CWI11" s="1018"/>
      <c r="CWJ11" s="1018"/>
      <c r="CWK11" s="1018"/>
      <c r="CWL11" s="139"/>
      <c r="CWM11" s="128"/>
      <c r="CWN11" s="128"/>
      <c r="CWO11" s="128"/>
      <c r="CWP11" s="128"/>
      <c r="CWQ11" s="118"/>
      <c r="CWR11" s="128"/>
      <c r="CWS11" s="128"/>
      <c r="CWT11" s="991"/>
      <c r="CWU11" s="128"/>
      <c r="CWV11" s="170"/>
      <c r="CWW11" s="170"/>
      <c r="CWX11" s="1018"/>
      <c r="CWY11" s="1018"/>
      <c r="CWZ11" s="1018"/>
      <c r="CXA11" s="1018"/>
      <c r="CXB11" s="1019"/>
      <c r="CXC11" s="1019"/>
      <c r="CXD11" s="1019"/>
      <c r="CXE11" s="1018"/>
      <c r="CXF11" s="1018"/>
      <c r="CXG11" s="1018"/>
      <c r="CXH11" s="1018"/>
      <c r="CXI11" s="1018"/>
      <c r="CXJ11" s="1018"/>
      <c r="CXK11" s="139"/>
      <c r="CXL11" s="128"/>
      <c r="CXM11" s="128"/>
      <c r="CXN11" s="128"/>
      <c r="CXO11" s="128"/>
      <c r="CXP11" s="118"/>
      <c r="CXQ11" s="128"/>
      <c r="CXR11" s="128"/>
      <c r="CXS11" s="991"/>
      <c r="CXT11" s="128"/>
      <c r="CXU11" s="170"/>
      <c r="CXV11" s="170"/>
      <c r="CXW11" s="1018"/>
      <c r="CXX11" s="1018"/>
      <c r="CXY11" s="1018"/>
      <c r="CXZ11" s="1018"/>
      <c r="CYA11" s="1019"/>
      <c r="CYB11" s="1019"/>
      <c r="CYC11" s="1019"/>
      <c r="CYD11" s="1018"/>
      <c r="CYE11" s="1018"/>
      <c r="CYF11" s="1018"/>
      <c r="CYG11" s="1018"/>
      <c r="CYH11" s="1018"/>
      <c r="CYI11" s="1018"/>
      <c r="CYJ11" s="139"/>
      <c r="CYK11" s="128"/>
      <c r="CYL11" s="128"/>
      <c r="CYM11" s="128"/>
      <c r="CYN11" s="128"/>
      <c r="CYO11" s="118"/>
      <c r="CYP11" s="128"/>
      <c r="CYQ11" s="128"/>
      <c r="CYR11" s="991"/>
      <c r="CYS11" s="128"/>
      <c r="CYT11" s="170"/>
      <c r="CYU11" s="170"/>
      <c r="CYV11" s="1018"/>
      <c r="CYW11" s="1018"/>
      <c r="CYX11" s="1018"/>
      <c r="CYY11" s="1018"/>
      <c r="CYZ11" s="1019"/>
      <c r="CZA11" s="1019"/>
      <c r="CZB11" s="1019"/>
      <c r="CZC11" s="1018"/>
      <c r="CZD11" s="1018"/>
      <c r="CZE11" s="1018"/>
      <c r="CZF11" s="1018"/>
      <c r="CZG11" s="1018"/>
      <c r="CZH11" s="1018"/>
      <c r="CZI11" s="139"/>
      <c r="CZJ11" s="128"/>
      <c r="CZK11" s="128"/>
      <c r="CZL11" s="128"/>
      <c r="CZM11" s="128"/>
      <c r="CZN11" s="118"/>
      <c r="CZO11" s="128"/>
      <c r="CZP11" s="128"/>
      <c r="CZQ11" s="991"/>
      <c r="CZR11" s="128"/>
      <c r="CZS11" s="170"/>
      <c r="CZT11" s="170"/>
      <c r="CZU11" s="1018"/>
      <c r="CZV11" s="1018"/>
      <c r="CZW11" s="1018"/>
      <c r="CZX11" s="1018"/>
      <c r="CZY11" s="1019"/>
      <c r="CZZ11" s="1019"/>
      <c r="DAA11" s="1019"/>
      <c r="DAB11" s="1018"/>
      <c r="DAC11" s="1018"/>
      <c r="DAD11" s="1018"/>
      <c r="DAE11" s="1018"/>
      <c r="DAF11" s="1018"/>
      <c r="DAG11" s="1018"/>
      <c r="DAH11" s="139"/>
      <c r="DAI11" s="128"/>
      <c r="DAJ11" s="128"/>
      <c r="DAK11" s="128"/>
      <c r="DAL11" s="128"/>
      <c r="DAM11" s="118"/>
      <c r="DAN11" s="128"/>
      <c r="DAO11" s="128"/>
      <c r="DAP11" s="991"/>
      <c r="DAQ11" s="128"/>
      <c r="DAR11" s="170"/>
      <c r="DAS11" s="170"/>
      <c r="DAT11" s="1018"/>
      <c r="DAU11" s="1018"/>
      <c r="DAV11" s="1018"/>
      <c r="DAW11" s="1018"/>
      <c r="DAX11" s="1019"/>
      <c r="DAY11" s="1019"/>
      <c r="DAZ11" s="1019"/>
      <c r="DBA11" s="1018"/>
      <c r="DBB11" s="1018"/>
      <c r="DBC11" s="1018"/>
      <c r="DBD11" s="1018"/>
      <c r="DBE11" s="1018"/>
      <c r="DBF11" s="1018"/>
      <c r="DBG11" s="139"/>
      <c r="DBH11" s="128"/>
      <c r="DBI11" s="128"/>
      <c r="DBJ11" s="128"/>
      <c r="DBK11" s="128"/>
      <c r="DBL11" s="118"/>
      <c r="DBM11" s="128"/>
      <c r="DBN11" s="128"/>
      <c r="DBO11" s="991"/>
      <c r="DBP11" s="128"/>
      <c r="DBQ11" s="170"/>
      <c r="DBR11" s="170"/>
      <c r="DBS11" s="1018"/>
      <c r="DBT11" s="1018"/>
      <c r="DBU11" s="1018"/>
      <c r="DBV11" s="1018"/>
      <c r="DBW11" s="1019"/>
      <c r="DBX11" s="1019"/>
      <c r="DBY11" s="1019"/>
      <c r="DBZ11" s="1018"/>
      <c r="DCA11" s="1018"/>
      <c r="DCB11" s="1018"/>
      <c r="DCC11" s="1018"/>
      <c r="DCD11" s="1018"/>
      <c r="DCE11" s="1018"/>
      <c r="DCF11" s="139"/>
      <c r="DCG11" s="128"/>
      <c r="DCH11" s="128"/>
      <c r="DCI11" s="128"/>
      <c r="DCJ11" s="128"/>
      <c r="DCK11" s="118"/>
      <c r="DCL11" s="128"/>
      <c r="DCM11" s="128"/>
      <c r="DCN11" s="991"/>
      <c r="DCO11" s="128"/>
      <c r="DCP11" s="170"/>
      <c r="DCQ11" s="170"/>
      <c r="DCR11" s="1018"/>
      <c r="DCS11" s="1018"/>
      <c r="DCT11" s="1018"/>
      <c r="DCU11" s="1018"/>
      <c r="DCV11" s="1019"/>
      <c r="DCW11" s="1019"/>
      <c r="DCX11" s="1019"/>
      <c r="DCY11" s="1018"/>
      <c r="DCZ11" s="1018"/>
      <c r="DDA11" s="1018"/>
      <c r="DDB11" s="1018"/>
      <c r="DDC11" s="1018"/>
      <c r="DDD11" s="1018"/>
      <c r="DDE11" s="139"/>
      <c r="DDF11" s="128"/>
      <c r="DDG11" s="128"/>
      <c r="DDH11" s="128"/>
      <c r="DDI11" s="128"/>
      <c r="DDJ11" s="118"/>
      <c r="DDK11" s="128"/>
      <c r="DDL11" s="128"/>
      <c r="DDM11" s="991"/>
      <c r="DDN11" s="128"/>
      <c r="DDO11" s="170"/>
      <c r="DDP11" s="170"/>
      <c r="DDQ11" s="1018"/>
      <c r="DDR11" s="1018"/>
      <c r="DDS11" s="1018"/>
      <c r="DDT11" s="1018"/>
      <c r="DDU11" s="1019"/>
      <c r="DDV11" s="1019"/>
      <c r="DDW11" s="1019"/>
      <c r="DDX11" s="1018"/>
      <c r="DDY11" s="1018"/>
      <c r="DDZ11" s="1018"/>
      <c r="DEA11" s="1018"/>
      <c r="DEB11" s="1018"/>
      <c r="DEC11" s="1018"/>
      <c r="DED11" s="139"/>
      <c r="DEE11" s="128"/>
      <c r="DEF11" s="128"/>
      <c r="DEG11" s="128"/>
      <c r="DEH11" s="128"/>
      <c r="DEI11" s="118"/>
      <c r="DEJ11" s="128"/>
      <c r="DEK11" s="128"/>
      <c r="DEL11" s="991"/>
      <c r="DEM11" s="128"/>
      <c r="DEN11" s="170"/>
      <c r="DEO11" s="170"/>
      <c r="DEP11" s="1018"/>
      <c r="DEQ11" s="1018"/>
      <c r="DER11" s="1018"/>
      <c r="DES11" s="1018"/>
      <c r="DET11" s="1019"/>
      <c r="DEU11" s="1019"/>
      <c r="DEV11" s="1019"/>
      <c r="DEW11" s="1018"/>
      <c r="DEX11" s="1018"/>
      <c r="DEY11" s="1018"/>
      <c r="DEZ11" s="1018"/>
      <c r="DFA11" s="1018"/>
      <c r="DFB11" s="1018"/>
      <c r="DFC11" s="139"/>
      <c r="DFD11" s="128"/>
      <c r="DFE11" s="128"/>
      <c r="DFF11" s="128"/>
      <c r="DFG11" s="128"/>
      <c r="DFH11" s="118"/>
      <c r="DFI11" s="128"/>
      <c r="DFJ11" s="128"/>
      <c r="DFK11" s="991"/>
      <c r="DFL11" s="128"/>
      <c r="DFM11" s="170"/>
      <c r="DFN11" s="170"/>
      <c r="DFO11" s="1018"/>
      <c r="DFP11" s="1018"/>
      <c r="DFQ11" s="1018"/>
      <c r="DFR11" s="1018"/>
      <c r="DFS11" s="1019"/>
      <c r="DFT11" s="1019"/>
      <c r="DFU11" s="1019"/>
      <c r="DFV11" s="1018"/>
      <c r="DFW11" s="1018"/>
      <c r="DFX11" s="1018"/>
      <c r="DFY11" s="1018"/>
      <c r="DFZ11" s="1018"/>
      <c r="DGA11" s="1018"/>
      <c r="DGB11" s="139"/>
      <c r="DGC11" s="128"/>
      <c r="DGD11" s="128"/>
      <c r="DGE11" s="128"/>
      <c r="DGF11" s="128"/>
      <c r="DGG11" s="118"/>
      <c r="DGH11" s="128"/>
      <c r="DGI11" s="128"/>
      <c r="DGJ11" s="991"/>
      <c r="DGK11" s="128"/>
      <c r="DGL11" s="170"/>
      <c r="DGM11" s="170"/>
      <c r="DGN11" s="1018"/>
      <c r="DGO11" s="1018"/>
      <c r="DGP11" s="1018"/>
      <c r="DGQ11" s="1018"/>
      <c r="DGR11" s="1019"/>
      <c r="DGS11" s="1019"/>
      <c r="DGT11" s="1019"/>
      <c r="DGU11" s="1018"/>
      <c r="DGV11" s="1018"/>
      <c r="DGW11" s="1018"/>
      <c r="DGX11" s="1018"/>
      <c r="DGY11" s="1018"/>
      <c r="DGZ11" s="1018"/>
      <c r="DHA11" s="139"/>
      <c r="DHB11" s="128"/>
      <c r="DHC11" s="128"/>
      <c r="DHD11" s="128"/>
      <c r="DHE11" s="128"/>
      <c r="DHF11" s="118"/>
      <c r="DHG11" s="128"/>
      <c r="DHH11" s="128"/>
      <c r="DHI11" s="991"/>
      <c r="DHJ11" s="128"/>
      <c r="DHK11" s="170"/>
      <c r="DHL11" s="170"/>
      <c r="DHM11" s="1018"/>
      <c r="DHN11" s="1018"/>
      <c r="DHO11" s="1018"/>
      <c r="DHP11" s="1018"/>
      <c r="DHQ11" s="1019"/>
      <c r="DHR11" s="1019"/>
      <c r="DHS11" s="1019"/>
      <c r="DHT11" s="1018"/>
      <c r="DHU11" s="1018"/>
      <c r="DHV11" s="1018"/>
      <c r="DHW11" s="1018"/>
      <c r="DHX11" s="1018"/>
      <c r="DHY11" s="1018"/>
      <c r="DHZ11" s="139"/>
      <c r="DIA11" s="128"/>
      <c r="DIB11" s="128"/>
      <c r="DIC11" s="128"/>
      <c r="DID11" s="128"/>
      <c r="DIE11" s="118"/>
      <c r="DIF11" s="128"/>
      <c r="DIG11" s="128"/>
      <c r="DIH11" s="991"/>
      <c r="DII11" s="128"/>
      <c r="DIJ11" s="170"/>
      <c r="DIK11" s="170"/>
      <c r="DIL11" s="1018"/>
      <c r="DIM11" s="1018"/>
      <c r="DIN11" s="1018"/>
      <c r="DIO11" s="1018"/>
      <c r="DIP11" s="1019"/>
      <c r="DIQ11" s="1019"/>
      <c r="DIR11" s="1019"/>
      <c r="DIS11" s="1018"/>
      <c r="DIT11" s="1018"/>
      <c r="DIU11" s="1018"/>
      <c r="DIV11" s="1018"/>
      <c r="DIW11" s="1018"/>
      <c r="DIX11" s="1018"/>
      <c r="DIY11" s="139"/>
      <c r="DIZ11" s="128"/>
      <c r="DJA11" s="128"/>
      <c r="DJB11" s="128"/>
      <c r="DJC11" s="128"/>
      <c r="DJD11" s="118"/>
      <c r="DJE11" s="128"/>
      <c r="DJF11" s="128"/>
      <c r="DJG11" s="991"/>
      <c r="DJH11" s="128"/>
      <c r="DJI11" s="170"/>
      <c r="DJJ11" s="170"/>
      <c r="DJK11" s="1018"/>
      <c r="DJL11" s="1018"/>
      <c r="DJM11" s="1018"/>
      <c r="DJN11" s="1018"/>
      <c r="DJO11" s="1019"/>
      <c r="DJP11" s="1019"/>
      <c r="DJQ11" s="1019"/>
      <c r="DJR11" s="1018"/>
      <c r="DJS11" s="1018"/>
      <c r="DJT11" s="1018"/>
      <c r="DJU11" s="1018"/>
      <c r="DJV11" s="1018"/>
      <c r="DJW11" s="1018"/>
      <c r="DJX11" s="139"/>
      <c r="DJY11" s="128"/>
      <c r="DJZ11" s="128"/>
      <c r="DKA11" s="128"/>
      <c r="DKB11" s="128"/>
      <c r="DKC11" s="118"/>
      <c r="DKD11" s="128"/>
      <c r="DKE11" s="128"/>
      <c r="DKF11" s="991"/>
      <c r="DKG11" s="128"/>
      <c r="DKH11" s="170"/>
      <c r="DKI11" s="170"/>
      <c r="DKJ11" s="1018"/>
      <c r="DKK11" s="1018"/>
      <c r="DKL11" s="1018"/>
      <c r="DKM11" s="1018"/>
      <c r="DKN11" s="1019"/>
      <c r="DKO11" s="1019"/>
      <c r="DKP11" s="1019"/>
      <c r="DKQ11" s="1018"/>
      <c r="DKR11" s="1018"/>
      <c r="DKS11" s="1018"/>
      <c r="DKT11" s="1018"/>
      <c r="DKU11" s="1018"/>
      <c r="DKV11" s="1018"/>
      <c r="DKW11" s="139"/>
      <c r="DKX11" s="128"/>
      <c r="DKY11" s="128"/>
      <c r="DKZ11" s="128"/>
      <c r="DLA11" s="128"/>
      <c r="DLB11" s="118"/>
      <c r="DLC11" s="128"/>
      <c r="DLD11" s="128"/>
      <c r="DLE11" s="991"/>
      <c r="DLF11" s="128"/>
      <c r="DLG11" s="170"/>
      <c r="DLH11" s="170"/>
      <c r="DLI11" s="1018"/>
      <c r="DLJ11" s="1018"/>
      <c r="DLK11" s="1018"/>
      <c r="DLL11" s="1018"/>
      <c r="DLM11" s="1019"/>
      <c r="DLN11" s="1019"/>
      <c r="DLO11" s="1019"/>
      <c r="DLP11" s="1018"/>
      <c r="DLQ11" s="1018"/>
      <c r="DLR11" s="1018"/>
      <c r="DLS11" s="1018"/>
      <c r="DLT11" s="1018"/>
      <c r="DLU11" s="1018"/>
      <c r="DLV11" s="139"/>
      <c r="DLW11" s="128"/>
      <c r="DLX11" s="128"/>
      <c r="DLY11" s="128"/>
      <c r="DLZ11" s="128"/>
      <c r="DMA11" s="118"/>
      <c r="DMB11" s="128"/>
      <c r="DMC11" s="128"/>
      <c r="DMD11" s="991"/>
      <c r="DME11" s="128"/>
      <c r="DMF11" s="170"/>
      <c r="DMG11" s="170"/>
      <c r="DMH11" s="1018"/>
      <c r="DMI11" s="1018"/>
      <c r="DMJ11" s="1018"/>
      <c r="DMK11" s="1018"/>
      <c r="DML11" s="1019"/>
      <c r="DMM11" s="1019"/>
      <c r="DMN11" s="1019"/>
      <c r="DMO11" s="1018"/>
      <c r="DMP11" s="1018"/>
      <c r="DMQ11" s="1018"/>
      <c r="DMR11" s="1018"/>
      <c r="DMS11" s="1018"/>
      <c r="DMT11" s="1018"/>
      <c r="DMU11" s="139"/>
      <c r="DMV11" s="128"/>
      <c r="DMW11" s="128"/>
      <c r="DMX11" s="128"/>
      <c r="DMY11" s="128"/>
      <c r="DMZ11" s="118"/>
      <c r="DNA11" s="128"/>
      <c r="DNB11" s="128"/>
      <c r="DNC11" s="991"/>
      <c r="DND11" s="128"/>
      <c r="DNE11" s="170"/>
      <c r="DNF11" s="170"/>
      <c r="DNG11" s="1018"/>
      <c r="DNH11" s="1018"/>
      <c r="DNI11" s="1018"/>
      <c r="DNJ11" s="1018"/>
      <c r="DNK11" s="1019"/>
      <c r="DNL11" s="1019"/>
      <c r="DNM11" s="1019"/>
      <c r="DNN11" s="1018"/>
      <c r="DNO11" s="1018"/>
      <c r="DNP11" s="1018"/>
      <c r="DNQ11" s="1018"/>
      <c r="DNR11" s="1018"/>
      <c r="DNS11" s="1018"/>
      <c r="DNT11" s="139"/>
      <c r="DNU11" s="128"/>
      <c r="DNV11" s="128"/>
      <c r="DNW11" s="128"/>
      <c r="DNX11" s="128"/>
      <c r="DNY11" s="118"/>
      <c r="DNZ11" s="128"/>
      <c r="DOA11" s="128"/>
      <c r="DOB11" s="991"/>
      <c r="DOC11" s="128"/>
      <c r="DOD11" s="170"/>
      <c r="DOE11" s="170"/>
      <c r="DOF11" s="1018"/>
      <c r="DOG11" s="1018"/>
      <c r="DOH11" s="1018"/>
      <c r="DOI11" s="1018"/>
      <c r="DOJ11" s="1019"/>
      <c r="DOK11" s="1019"/>
      <c r="DOL11" s="1019"/>
      <c r="DOM11" s="1018"/>
      <c r="DON11" s="1018"/>
      <c r="DOO11" s="1018"/>
      <c r="DOP11" s="1018"/>
      <c r="DOQ11" s="1018"/>
      <c r="DOR11" s="1018"/>
      <c r="DOS11" s="139"/>
      <c r="DOT11" s="128"/>
      <c r="DOU11" s="128"/>
      <c r="DOV11" s="128"/>
      <c r="DOW11" s="128"/>
      <c r="DOX11" s="118"/>
      <c r="DOY11" s="128"/>
      <c r="DOZ11" s="128"/>
      <c r="DPA11" s="991"/>
      <c r="DPB11" s="128"/>
      <c r="DPC11" s="170"/>
      <c r="DPD11" s="170"/>
      <c r="DPE11" s="1018"/>
      <c r="DPF11" s="1018"/>
      <c r="DPG11" s="1018"/>
      <c r="DPH11" s="1018"/>
      <c r="DPI11" s="1019"/>
      <c r="DPJ11" s="1019"/>
      <c r="DPK11" s="1019"/>
      <c r="DPL11" s="1018"/>
      <c r="DPM11" s="1018"/>
      <c r="DPN11" s="1018"/>
      <c r="DPO11" s="1018"/>
      <c r="DPP11" s="1018"/>
      <c r="DPQ11" s="1018"/>
      <c r="DPR11" s="139"/>
      <c r="DPS11" s="128"/>
      <c r="DPT11" s="128"/>
      <c r="DPU11" s="128"/>
      <c r="DPV11" s="128"/>
      <c r="DPW11" s="118"/>
      <c r="DPX11" s="128"/>
      <c r="DPY11" s="128"/>
      <c r="DPZ11" s="991"/>
      <c r="DQA11" s="128"/>
      <c r="DQB11" s="170"/>
      <c r="DQC11" s="170"/>
      <c r="DQD11" s="1018"/>
      <c r="DQE11" s="1018"/>
      <c r="DQF11" s="1018"/>
      <c r="DQG11" s="1018"/>
      <c r="DQH11" s="1019"/>
      <c r="DQI11" s="1019"/>
      <c r="DQJ11" s="1019"/>
      <c r="DQK11" s="1018"/>
      <c r="DQL11" s="1018"/>
      <c r="DQM11" s="1018"/>
      <c r="DQN11" s="1018"/>
      <c r="DQO11" s="1018"/>
      <c r="DQP11" s="1018"/>
      <c r="DQQ11" s="139"/>
      <c r="DQR11" s="128"/>
      <c r="DQS11" s="128"/>
      <c r="DQT11" s="128"/>
      <c r="DQU11" s="128"/>
      <c r="DQV11" s="118"/>
      <c r="DQW11" s="128"/>
      <c r="DQX11" s="128"/>
      <c r="DQY11" s="991"/>
      <c r="DQZ11" s="128"/>
      <c r="DRA11" s="170"/>
      <c r="DRB11" s="170"/>
      <c r="DRC11" s="1018"/>
      <c r="DRD11" s="1018"/>
      <c r="DRE11" s="1018"/>
      <c r="DRF11" s="1018"/>
      <c r="DRG11" s="1019"/>
      <c r="DRH11" s="1019"/>
      <c r="DRI11" s="1019"/>
      <c r="DRJ11" s="1018"/>
      <c r="DRK11" s="1018"/>
      <c r="DRL11" s="1018"/>
      <c r="DRM11" s="1018"/>
      <c r="DRN11" s="1018"/>
      <c r="DRO11" s="1018"/>
      <c r="DRP11" s="139"/>
      <c r="DRQ11" s="128"/>
      <c r="DRR11" s="128"/>
      <c r="DRS11" s="128"/>
      <c r="DRT11" s="128"/>
      <c r="DRU11" s="118"/>
      <c r="DRV11" s="128"/>
      <c r="DRW11" s="128"/>
      <c r="DRX11" s="991"/>
      <c r="DRY11" s="128"/>
      <c r="DRZ11" s="170"/>
      <c r="DSA11" s="170"/>
      <c r="DSB11" s="1018"/>
      <c r="DSC11" s="1018"/>
      <c r="DSD11" s="1018"/>
      <c r="DSE11" s="1018"/>
      <c r="DSF11" s="1019"/>
      <c r="DSG11" s="1019"/>
      <c r="DSH11" s="1019"/>
      <c r="DSI11" s="1018"/>
      <c r="DSJ11" s="1018"/>
      <c r="DSK11" s="1018"/>
      <c r="DSL11" s="1018"/>
      <c r="DSM11" s="1018"/>
      <c r="DSN11" s="1018"/>
      <c r="DSO11" s="139"/>
      <c r="DSP11" s="128"/>
      <c r="DSQ11" s="128"/>
      <c r="DSR11" s="128"/>
      <c r="DSS11" s="128"/>
      <c r="DST11" s="118"/>
      <c r="DSU11" s="128"/>
      <c r="DSV11" s="128"/>
      <c r="DSW11" s="991"/>
      <c r="DSX11" s="128"/>
      <c r="DSY11" s="170"/>
      <c r="DSZ11" s="170"/>
      <c r="DTA11" s="1018"/>
      <c r="DTB11" s="1018"/>
      <c r="DTC11" s="1018"/>
      <c r="DTD11" s="1018"/>
      <c r="DTE11" s="1019"/>
      <c r="DTF11" s="1019"/>
      <c r="DTG11" s="1019"/>
      <c r="DTH11" s="1018"/>
      <c r="DTI11" s="1018"/>
      <c r="DTJ11" s="1018"/>
      <c r="DTK11" s="1018"/>
      <c r="DTL11" s="1018"/>
      <c r="DTM11" s="1018"/>
      <c r="DTN11" s="139"/>
      <c r="DTO11" s="128"/>
      <c r="DTP11" s="128"/>
      <c r="DTQ11" s="128"/>
      <c r="DTR11" s="128"/>
      <c r="DTS11" s="118"/>
      <c r="DTT11" s="128"/>
      <c r="DTU11" s="128"/>
      <c r="DTV11" s="991"/>
      <c r="DTW11" s="128"/>
      <c r="DTX11" s="170"/>
      <c r="DTY11" s="170"/>
      <c r="DTZ11" s="1018"/>
      <c r="DUA11" s="1018"/>
      <c r="DUB11" s="1018"/>
      <c r="DUC11" s="1018"/>
      <c r="DUD11" s="1019"/>
      <c r="DUE11" s="1019"/>
      <c r="DUF11" s="1019"/>
      <c r="DUG11" s="1018"/>
      <c r="DUH11" s="1018"/>
      <c r="DUI11" s="1018"/>
      <c r="DUJ11" s="1018"/>
      <c r="DUK11" s="1018"/>
      <c r="DUL11" s="1018"/>
      <c r="DUM11" s="139"/>
      <c r="DUN11" s="128"/>
      <c r="DUO11" s="128"/>
      <c r="DUP11" s="128"/>
      <c r="DUQ11" s="128"/>
      <c r="DUR11" s="118"/>
      <c r="DUS11" s="128"/>
      <c r="DUT11" s="128"/>
      <c r="DUU11" s="991"/>
      <c r="DUV11" s="128"/>
      <c r="DUW11" s="170"/>
      <c r="DUX11" s="170"/>
      <c r="DUY11" s="1018"/>
      <c r="DUZ11" s="1018"/>
      <c r="DVA11" s="1018"/>
      <c r="DVB11" s="1018"/>
      <c r="DVC11" s="1019"/>
      <c r="DVD11" s="1019"/>
      <c r="DVE11" s="1019"/>
      <c r="DVF11" s="1018"/>
      <c r="DVG11" s="1018"/>
      <c r="DVH11" s="1018"/>
      <c r="DVI11" s="1018"/>
      <c r="DVJ11" s="1018"/>
      <c r="DVK11" s="1018"/>
      <c r="DVL11" s="139"/>
      <c r="DVM11" s="128"/>
      <c r="DVN11" s="128"/>
      <c r="DVO11" s="128"/>
      <c r="DVP11" s="128"/>
      <c r="DVQ11" s="118"/>
      <c r="DVR11" s="128"/>
      <c r="DVS11" s="128"/>
      <c r="DVT11" s="991"/>
      <c r="DVU11" s="128"/>
      <c r="DVV11" s="170"/>
      <c r="DVW11" s="170"/>
      <c r="DVX11" s="1018"/>
      <c r="DVY11" s="1018"/>
      <c r="DVZ11" s="1018"/>
      <c r="DWA11" s="1018"/>
      <c r="DWB11" s="1019"/>
      <c r="DWC11" s="1019"/>
      <c r="DWD11" s="1019"/>
      <c r="DWE11" s="1018"/>
      <c r="DWF11" s="1018"/>
      <c r="DWG11" s="1018"/>
      <c r="DWH11" s="1018"/>
      <c r="DWI11" s="1018"/>
      <c r="DWJ11" s="1018"/>
      <c r="DWK11" s="139"/>
      <c r="DWL11" s="128"/>
      <c r="DWM11" s="128"/>
      <c r="DWN11" s="128"/>
      <c r="DWO11" s="128"/>
      <c r="DWP11" s="118"/>
      <c r="DWQ11" s="128"/>
      <c r="DWR11" s="128"/>
      <c r="DWS11" s="991"/>
      <c r="DWT11" s="128"/>
      <c r="DWU11" s="170"/>
      <c r="DWV11" s="170"/>
      <c r="DWW11" s="1018"/>
      <c r="DWX11" s="1018"/>
      <c r="DWY11" s="1018"/>
      <c r="DWZ11" s="1018"/>
      <c r="DXA11" s="1019"/>
      <c r="DXB11" s="1019"/>
      <c r="DXC11" s="1019"/>
      <c r="DXD11" s="1018"/>
      <c r="DXE11" s="1018"/>
      <c r="DXF11" s="1018"/>
      <c r="DXG11" s="1018"/>
      <c r="DXH11" s="1018"/>
      <c r="DXI11" s="1018"/>
      <c r="DXJ11" s="139"/>
      <c r="DXK11" s="128"/>
      <c r="DXL11" s="128"/>
      <c r="DXM11" s="128"/>
      <c r="DXN11" s="128"/>
      <c r="DXO11" s="118"/>
      <c r="DXP11" s="128"/>
      <c r="DXQ11" s="128"/>
      <c r="DXR11" s="991"/>
      <c r="DXS11" s="128"/>
      <c r="DXT11" s="170"/>
      <c r="DXU11" s="170"/>
      <c r="DXV11" s="1018"/>
      <c r="DXW11" s="1018"/>
      <c r="DXX11" s="1018"/>
      <c r="DXY11" s="1018"/>
      <c r="DXZ11" s="1019"/>
      <c r="DYA11" s="1019"/>
      <c r="DYB11" s="1019"/>
      <c r="DYC11" s="1018"/>
      <c r="DYD11" s="1018"/>
      <c r="DYE11" s="1018"/>
      <c r="DYF11" s="1018"/>
      <c r="DYG11" s="1018"/>
      <c r="DYH11" s="1018"/>
      <c r="DYI11" s="139"/>
      <c r="DYJ11" s="128"/>
      <c r="DYK11" s="128"/>
      <c r="DYL11" s="128"/>
      <c r="DYM11" s="128"/>
      <c r="DYN11" s="118"/>
      <c r="DYO11" s="128"/>
      <c r="DYP11" s="128"/>
      <c r="DYQ11" s="991"/>
      <c r="DYR11" s="128"/>
      <c r="DYS11" s="170"/>
      <c r="DYT11" s="170"/>
      <c r="DYU11" s="1018"/>
      <c r="DYV11" s="1018"/>
      <c r="DYW11" s="1018"/>
      <c r="DYX11" s="1018"/>
      <c r="DYY11" s="1019"/>
      <c r="DYZ11" s="1019"/>
      <c r="DZA11" s="1019"/>
      <c r="DZB11" s="1018"/>
      <c r="DZC11" s="1018"/>
      <c r="DZD11" s="1018"/>
      <c r="DZE11" s="1018"/>
      <c r="DZF11" s="1018"/>
      <c r="DZG11" s="1018"/>
      <c r="DZH11" s="139"/>
      <c r="DZI11" s="128"/>
      <c r="DZJ11" s="128"/>
      <c r="DZK11" s="128"/>
      <c r="DZL11" s="128"/>
      <c r="DZM11" s="118"/>
      <c r="DZN11" s="128"/>
      <c r="DZO11" s="128"/>
      <c r="DZP11" s="991"/>
      <c r="DZQ11" s="128"/>
      <c r="DZR11" s="170"/>
      <c r="DZS11" s="170"/>
      <c r="DZT11" s="1018"/>
      <c r="DZU11" s="1018"/>
      <c r="DZV11" s="1018"/>
      <c r="DZW11" s="1018"/>
      <c r="DZX11" s="1019"/>
      <c r="DZY11" s="1019"/>
      <c r="DZZ11" s="1019"/>
      <c r="EAA11" s="1018"/>
      <c r="EAB11" s="1018"/>
      <c r="EAC11" s="1018"/>
      <c r="EAD11" s="1018"/>
      <c r="EAE11" s="1018"/>
      <c r="EAF11" s="1018"/>
      <c r="EAG11" s="139"/>
      <c r="EAH11" s="128"/>
      <c r="EAI11" s="128"/>
      <c r="EAJ11" s="128"/>
      <c r="EAK11" s="128"/>
      <c r="EAL11" s="118"/>
      <c r="EAM11" s="128"/>
      <c r="EAN11" s="128"/>
      <c r="EAO11" s="991"/>
      <c r="EAP11" s="128"/>
      <c r="EAQ11" s="170"/>
      <c r="EAR11" s="170"/>
      <c r="EAS11" s="1018"/>
      <c r="EAT11" s="1018"/>
      <c r="EAU11" s="1018"/>
      <c r="EAV11" s="1018"/>
      <c r="EAW11" s="1019"/>
      <c r="EAX11" s="1019"/>
      <c r="EAY11" s="1019"/>
      <c r="EAZ11" s="1018"/>
      <c r="EBA11" s="1018"/>
      <c r="EBB11" s="1018"/>
      <c r="EBC11" s="1018"/>
      <c r="EBD11" s="1018"/>
      <c r="EBE11" s="1018"/>
      <c r="EBF11" s="139"/>
      <c r="EBG11" s="128"/>
      <c r="EBH11" s="128"/>
      <c r="EBI11" s="128"/>
      <c r="EBJ11" s="128"/>
      <c r="EBK11" s="118"/>
      <c r="EBL11" s="128"/>
      <c r="EBM11" s="128"/>
      <c r="EBN11" s="991"/>
      <c r="EBO11" s="128"/>
      <c r="EBP11" s="170"/>
      <c r="EBQ11" s="170"/>
      <c r="EBR11" s="1018"/>
      <c r="EBS11" s="1018"/>
      <c r="EBT11" s="1018"/>
      <c r="EBU11" s="1018"/>
      <c r="EBV11" s="1019"/>
      <c r="EBW11" s="1019"/>
      <c r="EBX11" s="1019"/>
      <c r="EBY11" s="1018"/>
      <c r="EBZ11" s="1018"/>
      <c r="ECA11" s="1018"/>
      <c r="ECB11" s="1018"/>
      <c r="ECC11" s="1018"/>
      <c r="ECD11" s="1018"/>
      <c r="ECE11" s="139"/>
      <c r="ECF11" s="128"/>
      <c r="ECG11" s="128"/>
      <c r="ECH11" s="128"/>
      <c r="ECI11" s="128"/>
      <c r="ECJ11" s="118"/>
      <c r="ECK11" s="128"/>
      <c r="ECL11" s="128"/>
      <c r="ECM11" s="991"/>
      <c r="ECN11" s="128"/>
      <c r="ECO11" s="170"/>
      <c r="ECP11" s="170"/>
      <c r="ECQ11" s="1018"/>
      <c r="ECR11" s="1018"/>
      <c r="ECS11" s="1018"/>
      <c r="ECT11" s="1018"/>
      <c r="ECU11" s="1019"/>
      <c r="ECV11" s="1019"/>
      <c r="ECW11" s="1019"/>
      <c r="ECX11" s="1018"/>
      <c r="ECY11" s="1018"/>
      <c r="ECZ11" s="1018"/>
      <c r="EDA11" s="1018"/>
      <c r="EDB11" s="1018"/>
      <c r="EDC11" s="1018"/>
      <c r="EDD11" s="139"/>
      <c r="EDE11" s="128"/>
      <c r="EDF11" s="128"/>
      <c r="EDG11" s="128"/>
      <c r="EDH11" s="128"/>
      <c r="EDI11" s="118"/>
      <c r="EDJ11" s="128"/>
      <c r="EDK11" s="128"/>
      <c r="EDL11" s="991"/>
      <c r="EDM11" s="128"/>
      <c r="EDN11" s="170"/>
      <c r="EDO11" s="170"/>
      <c r="EDP11" s="1018"/>
      <c r="EDQ11" s="1018"/>
      <c r="EDR11" s="1018"/>
      <c r="EDS11" s="1018"/>
      <c r="EDT11" s="1019"/>
      <c r="EDU11" s="1019"/>
      <c r="EDV11" s="1019"/>
      <c r="EDW11" s="1018"/>
      <c r="EDX11" s="1018"/>
      <c r="EDY11" s="1018"/>
      <c r="EDZ11" s="1018"/>
      <c r="EEA11" s="1018"/>
      <c r="EEB11" s="1018"/>
      <c r="EEC11" s="139"/>
      <c r="EED11" s="128"/>
      <c r="EEE11" s="128"/>
      <c r="EEF11" s="128"/>
      <c r="EEG11" s="128"/>
      <c r="EEH11" s="118"/>
      <c r="EEI11" s="128"/>
      <c r="EEJ11" s="128"/>
      <c r="EEK11" s="991"/>
      <c r="EEL11" s="128"/>
      <c r="EEM11" s="170"/>
      <c r="EEN11" s="170"/>
      <c r="EEO11" s="1018"/>
      <c r="EEP11" s="1018"/>
      <c r="EEQ11" s="1018"/>
      <c r="EER11" s="1018"/>
      <c r="EES11" s="1019"/>
      <c r="EET11" s="1019"/>
      <c r="EEU11" s="1019"/>
      <c r="EEV11" s="1018"/>
      <c r="EEW11" s="1018"/>
      <c r="EEX11" s="1018"/>
      <c r="EEY11" s="1018"/>
      <c r="EEZ11" s="1018"/>
      <c r="EFA11" s="1018"/>
      <c r="EFB11" s="139"/>
      <c r="EFC11" s="128"/>
      <c r="EFD11" s="128"/>
      <c r="EFE11" s="128"/>
      <c r="EFF11" s="128"/>
      <c r="EFG11" s="118"/>
      <c r="EFH11" s="128"/>
      <c r="EFI11" s="128"/>
      <c r="EFJ11" s="991"/>
      <c r="EFK11" s="128"/>
      <c r="EFL11" s="170"/>
      <c r="EFM11" s="170"/>
      <c r="EFN11" s="1018"/>
      <c r="EFO11" s="1018"/>
      <c r="EFP11" s="1018"/>
      <c r="EFQ11" s="1018"/>
      <c r="EFR11" s="1019"/>
      <c r="EFS11" s="1019"/>
      <c r="EFT11" s="1019"/>
      <c r="EFU11" s="1018"/>
      <c r="EFV11" s="1018"/>
      <c r="EFW11" s="1018"/>
      <c r="EFX11" s="1018"/>
      <c r="EFY11" s="1018"/>
      <c r="EFZ11" s="1018"/>
      <c r="EGA11" s="139"/>
      <c r="EGB11" s="128"/>
      <c r="EGC11" s="128"/>
      <c r="EGD11" s="128"/>
      <c r="EGE11" s="128"/>
      <c r="EGF11" s="118"/>
      <c r="EGG11" s="128"/>
      <c r="EGH11" s="128"/>
      <c r="EGI11" s="991"/>
      <c r="EGJ11" s="128"/>
      <c r="EGK11" s="170"/>
      <c r="EGL11" s="170"/>
      <c r="EGM11" s="1018"/>
      <c r="EGN11" s="1018"/>
      <c r="EGO11" s="1018"/>
      <c r="EGP11" s="1018"/>
      <c r="EGQ11" s="1019"/>
      <c r="EGR11" s="1019"/>
      <c r="EGS11" s="1019"/>
      <c r="EGT11" s="1018"/>
      <c r="EGU11" s="1018"/>
      <c r="EGV11" s="1018"/>
      <c r="EGW11" s="1018"/>
      <c r="EGX11" s="1018"/>
      <c r="EGY11" s="1018"/>
      <c r="EGZ11" s="139"/>
      <c r="EHA11" s="128"/>
      <c r="EHB11" s="128"/>
      <c r="EHC11" s="128"/>
      <c r="EHD11" s="128"/>
      <c r="EHE11" s="118"/>
      <c r="EHF11" s="128"/>
      <c r="EHG11" s="128"/>
      <c r="EHH11" s="991"/>
      <c r="EHI11" s="128"/>
      <c r="EHJ11" s="170"/>
      <c r="EHK11" s="170"/>
      <c r="EHL11" s="1018"/>
      <c r="EHM11" s="1018"/>
      <c r="EHN11" s="1018"/>
      <c r="EHO11" s="1018"/>
      <c r="EHP11" s="1019"/>
      <c r="EHQ11" s="1019"/>
      <c r="EHR11" s="1019"/>
      <c r="EHS11" s="1018"/>
      <c r="EHT11" s="1018"/>
      <c r="EHU11" s="1018"/>
      <c r="EHV11" s="1018"/>
      <c r="EHW11" s="1018"/>
      <c r="EHX11" s="1018"/>
      <c r="EHY11" s="139"/>
      <c r="EHZ11" s="128"/>
      <c r="EIA11" s="128"/>
      <c r="EIB11" s="128"/>
      <c r="EIC11" s="128"/>
      <c r="EID11" s="118"/>
      <c r="EIE11" s="128"/>
      <c r="EIF11" s="128"/>
      <c r="EIG11" s="991"/>
      <c r="EIH11" s="128"/>
      <c r="EII11" s="170"/>
      <c r="EIJ11" s="170"/>
      <c r="EIK11" s="1018"/>
      <c r="EIL11" s="1018"/>
      <c r="EIM11" s="1018"/>
      <c r="EIN11" s="1018"/>
      <c r="EIO11" s="1019"/>
      <c r="EIP11" s="1019"/>
      <c r="EIQ11" s="1019"/>
      <c r="EIR11" s="1018"/>
      <c r="EIS11" s="1018"/>
      <c r="EIT11" s="1018"/>
      <c r="EIU11" s="1018"/>
      <c r="EIV11" s="1018"/>
      <c r="EIW11" s="1018"/>
      <c r="EIX11" s="139"/>
      <c r="EIY11" s="128"/>
      <c r="EIZ11" s="128"/>
      <c r="EJA11" s="128"/>
      <c r="EJB11" s="128"/>
      <c r="EJC11" s="118"/>
      <c r="EJD11" s="128"/>
      <c r="EJE11" s="128"/>
      <c r="EJF11" s="991"/>
      <c r="EJG11" s="128"/>
      <c r="EJH11" s="170"/>
      <c r="EJI11" s="170"/>
      <c r="EJJ11" s="1018"/>
      <c r="EJK11" s="1018"/>
      <c r="EJL11" s="1018"/>
      <c r="EJM11" s="1018"/>
      <c r="EJN11" s="1019"/>
      <c r="EJO11" s="1019"/>
      <c r="EJP11" s="1019"/>
      <c r="EJQ11" s="1018"/>
      <c r="EJR11" s="1018"/>
      <c r="EJS11" s="1018"/>
      <c r="EJT11" s="1018"/>
      <c r="EJU11" s="1018"/>
      <c r="EJV11" s="1018"/>
      <c r="EJW11" s="139"/>
      <c r="EJX11" s="128"/>
      <c r="EJY11" s="128"/>
      <c r="EJZ11" s="128"/>
      <c r="EKA11" s="128"/>
      <c r="EKB11" s="118"/>
      <c r="EKC11" s="128"/>
      <c r="EKD11" s="128"/>
      <c r="EKE11" s="991"/>
      <c r="EKF11" s="128"/>
      <c r="EKG11" s="170"/>
      <c r="EKH11" s="170"/>
      <c r="EKI11" s="1018"/>
      <c r="EKJ11" s="1018"/>
      <c r="EKK11" s="1018"/>
      <c r="EKL11" s="1018"/>
      <c r="EKM11" s="1019"/>
      <c r="EKN11" s="1019"/>
      <c r="EKO11" s="1019"/>
      <c r="EKP11" s="1018"/>
      <c r="EKQ11" s="1018"/>
      <c r="EKR11" s="1018"/>
      <c r="EKS11" s="1018"/>
      <c r="EKT11" s="1018"/>
      <c r="EKU11" s="1018"/>
      <c r="EKV11" s="139"/>
      <c r="EKW11" s="128"/>
      <c r="EKX11" s="128"/>
      <c r="EKY11" s="128"/>
      <c r="EKZ11" s="128"/>
      <c r="ELA11" s="118"/>
      <c r="ELB11" s="128"/>
      <c r="ELC11" s="128"/>
      <c r="ELD11" s="991"/>
      <c r="ELE11" s="128"/>
      <c r="ELF11" s="170"/>
      <c r="ELG11" s="170"/>
      <c r="ELH11" s="1018"/>
      <c r="ELI11" s="1018"/>
      <c r="ELJ11" s="1018"/>
      <c r="ELK11" s="1018"/>
      <c r="ELL11" s="1019"/>
      <c r="ELM11" s="1019"/>
      <c r="ELN11" s="1019"/>
      <c r="ELO11" s="1018"/>
      <c r="ELP11" s="1018"/>
      <c r="ELQ11" s="1018"/>
      <c r="ELR11" s="1018"/>
      <c r="ELS11" s="1018"/>
      <c r="ELT11" s="1018"/>
      <c r="ELU11" s="139"/>
      <c r="ELV11" s="128"/>
      <c r="ELW11" s="128"/>
      <c r="ELX11" s="128"/>
      <c r="ELY11" s="128"/>
      <c r="ELZ11" s="118"/>
      <c r="EMA11" s="128"/>
      <c r="EMB11" s="128"/>
      <c r="EMC11" s="991"/>
      <c r="EMD11" s="128"/>
      <c r="EME11" s="170"/>
      <c r="EMF11" s="170"/>
      <c r="EMG11" s="1018"/>
      <c r="EMH11" s="1018"/>
      <c r="EMI11" s="1018"/>
      <c r="EMJ11" s="1018"/>
      <c r="EMK11" s="1019"/>
      <c r="EML11" s="1019"/>
      <c r="EMM11" s="1019"/>
      <c r="EMN11" s="1018"/>
      <c r="EMO11" s="1018"/>
      <c r="EMP11" s="1018"/>
      <c r="EMQ11" s="1018"/>
      <c r="EMR11" s="1018"/>
      <c r="EMS11" s="1018"/>
      <c r="EMT11" s="139"/>
      <c r="EMU11" s="128"/>
      <c r="EMV11" s="128"/>
      <c r="EMW11" s="128"/>
      <c r="EMX11" s="128"/>
      <c r="EMY11" s="118"/>
      <c r="EMZ11" s="128"/>
      <c r="ENA11" s="128"/>
      <c r="ENB11" s="991"/>
      <c r="ENC11" s="128"/>
      <c r="END11" s="170"/>
      <c r="ENE11" s="170"/>
      <c r="ENF11" s="1018"/>
      <c r="ENG11" s="1018"/>
      <c r="ENH11" s="1018"/>
      <c r="ENI11" s="1018"/>
      <c r="ENJ11" s="1019"/>
      <c r="ENK11" s="1019"/>
      <c r="ENL11" s="1019"/>
      <c r="ENM11" s="1018"/>
      <c r="ENN11" s="1018"/>
      <c r="ENO11" s="1018"/>
      <c r="ENP11" s="1018"/>
      <c r="ENQ11" s="1018"/>
      <c r="ENR11" s="1018"/>
      <c r="ENS11" s="139"/>
      <c r="ENT11" s="128"/>
      <c r="ENU11" s="128"/>
      <c r="ENV11" s="128"/>
      <c r="ENW11" s="128"/>
      <c r="ENX11" s="118"/>
      <c r="ENY11" s="128"/>
      <c r="ENZ11" s="128"/>
      <c r="EOA11" s="991"/>
      <c r="EOB11" s="128"/>
      <c r="EOC11" s="170"/>
      <c r="EOD11" s="170"/>
      <c r="EOE11" s="1018"/>
      <c r="EOF11" s="1018"/>
      <c r="EOG11" s="1018"/>
      <c r="EOH11" s="1018"/>
      <c r="EOI11" s="1019"/>
      <c r="EOJ11" s="1019"/>
      <c r="EOK11" s="1019"/>
      <c r="EOL11" s="1018"/>
      <c r="EOM11" s="1018"/>
      <c r="EON11" s="1018"/>
      <c r="EOO11" s="1018"/>
      <c r="EOP11" s="1018"/>
      <c r="EOQ11" s="1018"/>
      <c r="EOR11" s="139"/>
      <c r="EOS11" s="128"/>
      <c r="EOT11" s="128"/>
      <c r="EOU11" s="128"/>
      <c r="EOV11" s="128"/>
      <c r="EOW11" s="118"/>
      <c r="EOX11" s="128"/>
      <c r="EOY11" s="128"/>
      <c r="EOZ11" s="991"/>
      <c r="EPA11" s="128"/>
      <c r="EPB11" s="170"/>
      <c r="EPC11" s="170"/>
      <c r="EPD11" s="1018"/>
      <c r="EPE11" s="1018"/>
      <c r="EPF11" s="1018"/>
      <c r="EPG11" s="1018"/>
      <c r="EPH11" s="1019"/>
      <c r="EPI11" s="1019"/>
      <c r="EPJ11" s="1019"/>
      <c r="EPK11" s="1018"/>
      <c r="EPL11" s="1018"/>
      <c r="EPM11" s="1018"/>
      <c r="EPN11" s="1018"/>
      <c r="EPO11" s="1018"/>
      <c r="EPP11" s="1018"/>
      <c r="EPQ11" s="139"/>
      <c r="EPR11" s="128"/>
      <c r="EPS11" s="128"/>
      <c r="EPT11" s="128"/>
      <c r="EPU11" s="128"/>
      <c r="EPV11" s="118"/>
      <c r="EPW11" s="128"/>
      <c r="EPX11" s="128"/>
      <c r="EPY11" s="991"/>
      <c r="EPZ11" s="128"/>
      <c r="EQA11" s="170"/>
      <c r="EQB11" s="170"/>
      <c r="EQC11" s="1018"/>
      <c r="EQD11" s="1018"/>
      <c r="EQE11" s="1018"/>
      <c r="EQF11" s="1018"/>
      <c r="EQG11" s="1019"/>
      <c r="EQH11" s="1019"/>
      <c r="EQI11" s="1019"/>
      <c r="EQJ11" s="1018"/>
      <c r="EQK11" s="1018"/>
      <c r="EQL11" s="1018"/>
      <c r="EQM11" s="1018"/>
      <c r="EQN11" s="1018"/>
      <c r="EQO11" s="1018"/>
      <c r="EQP11" s="139"/>
      <c r="EQQ11" s="128"/>
      <c r="EQR11" s="128"/>
      <c r="EQS11" s="128"/>
      <c r="EQT11" s="128"/>
      <c r="EQU11" s="118"/>
      <c r="EQV11" s="128"/>
      <c r="EQW11" s="128"/>
      <c r="EQX11" s="991"/>
      <c r="EQY11" s="128"/>
      <c r="EQZ11" s="170"/>
      <c r="ERA11" s="170"/>
      <c r="ERB11" s="1018"/>
      <c r="ERC11" s="1018"/>
      <c r="ERD11" s="1018"/>
      <c r="ERE11" s="1018"/>
      <c r="ERF11" s="1019"/>
      <c r="ERG11" s="1019"/>
      <c r="ERH11" s="1019"/>
      <c r="ERI11" s="1018"/>
      <c r="ERJ11" s="1018"/>
      <c r="ERK11" s="1018"/>
      <c r="ERL11" s="1018"/>
      <c r="ERM11" s="1018"/>
      <c r="ERN11" s="1018"/>
      <c r="ERO11" s="139"/>
      <c r="ERP11" s="128"/>
      <c r="ERQ11" s="128"/>
      <c r="ERR11" s="128"/>
      <c r="ERS11" s="128"/>
      <c r="ERT11" s="118"/>
      <c r="ERU11" s="128"/>
      <c r="ERV11" s="128"/>
      <c r="ERW11" s="991"/>
      <c r="ERX11" s="128"/>
      <c r="ERY11" s="170"/>
      <c r="ERZ11" s="170"/>
      <c r="ESA11" s="1018"/>
      <c r="ESB11" s="1018"/>
      <c r="ESC11" s="1018"/>
      <c r="ESD11" s="1018"/>
      <c r="ESE11" s="1019"/>
      <c r="ESF11" s="1019"/>
      <c r="ESG11" s="1019"/>
      <c r="ESH11" s="1018"/>
      <c r="ESI11" s="1018"/>
      <c r="ESJ11" s="1018"/>
      <c r="ESK11" s="1018"/>
      <c r="ESL11" s="1018"/>
      <c r="ESM11" s="1018"/>
      <c r="ESN11" s="139"/>
      <c r="ESO11" s="128"/>
      <c r="ESP11" s="128"/>
      <c r="ESQ11" s="128"/>
      <c r="ESR11" s="128"/>
      <c r="ESS11" s="118"/>
      <c r="EST11" s="128"/>
      <c r="ESU11" s="128"/>
      <c r="ESV11" s="991"/>
      <c r="ESW11" s="128"/>
      <c r="ESX11" s="170"/>
      <c r="ESY11" s="170"/>
      <c r="ESZ11" s="1018"/>
      <c r="ETA11" s="1018"/>
      <c r="ETB11" s="1018"/>
      <c r="ETC11" s="1018"/>
      <c r="ETD11" s="1019"/>
      <c r="ETE11" s="1019"/>
      <c r="ETF11" s="1019"/>
      <c r="ETG11" s="1018"/>
      <c r="ETH11" s="1018"/>
      <c r="ETI11" s="1018"/>
      <c r="ETJ11" s="1018"/>
      <c r="ETK11" s="1018"/>
      <c r="ETL11" s="1018"/>
      <c r="ETM11" s="139"/>
      <c r="ETN11" s="128"/>
      <c r="ETO11" s="128"/>
      <c r="ETP11" s="128"/>
      <c r="ETQ11" s="128"/>
      <c r="ETR11" s="118"/>
      <c r="ETS11" s="128"/>
      <c r="ETT11" s="128"/>
      <c r="ETU11" s="991"/>
      <c r="ETV11" s="128"/>
      <c r="ETW11" s="170"/>
      <c r="ETX11" s="170"/>
      <c r="ETY11" s="1018"/>
      <c r="ETZ11" s="1018"/>
      <c r="EUA11" s="1018"/>
      <c r="EUB11" s="1018"/>
      <c r="EUC11" s="1019"/>
      <c r="EUD11" s="1019"/>
      <c r="EUE11" s="1019"/>
      <c r="EUF11" s="1018"/>
      <c r="EUG11" s="1018"/>
      <c r="EUH11" s="1018"/>
      <c r="EUI11" s="1018"/>
      <c r="EUJ11" s="1018"/>
      <c r="EUK11" s="1018"/>
      <c r="EUL11" s="139"/>
      <c r="EUM11" s="128"/>
      <c r="EUN11" s="128"/>
      <c r="EUO11" s="128"/>
      <c r="EUP11" s="128"/>
      <c r="EUQ11" s="118"/>
      <c r="EUR11" s="128"/>
      <c r="EUS11" s="128"/>
      <c r="EUT11" s="991"/>
      <c r="EUU11" s="128"/>
      <c r="EUV11" s="170"/>
      <c r="EUW11" s="170"/>
      <c r="EUX11" s="1018"/>
      <c r="EUY11" s="1018"/>
      <c r="EUZ11" s="1018"/>
      <c r="EVA11" s="1018"/>
      <c r="EVB11" s="1019"/>
      <c r="EVC11" s="1019"/>
      <c r="EVD11" s="1019"/>
      <c r="EVE11" s="1018"/>
      <c r="EVF11" s="1018"/>
      <c r="EVG11" s="1018"/>
      <c r="EVH11" s="1018"/>
      <c r="EVI11" s="1018"/>
      <c r="EVJ11" s="1018"/>
      <c r="EVK11" s="139"/>
      <c r="EVL11" s="128"/>
      <c r="EVM11" s="128"/>
      <c r="EVN11" s="128"/>
      <c r="EVO11" s="128"/>
      <c r="EVP11" s="118"/>
      <c r="EVQ11" s="128"/>
      <c r="EVR11" s="128"/>
      <c r="EVS11" s="991"/>
      <c r="EVT11" s="128"/>
      <c r="EVU11" s="170"/>
      <c r="EVV11" s="170"/>
      <c r="EVW11" s="1018"/>
      <c r="EVX11" s="1018"/>
      <c r="EVY11" s="1018"/>
      <c r="EVZ11" s="1018"/>
      <c r="EWA11" s="1019"/>
      <c r="EWB11" s="1019"/>
      <c r="EWC11" s="1019"/>
      <c r="EWD11" s="1018"/>
      <c r="EWE11" s="1018"/>
      <c r="EWF11" s="1018"/>
      <c r="EWG11" s="1018"/>
      <c r="EWH11" s="1018"/>
      <c r="EWI11" s="1018"/>
      <c r="EWJ11" s="139"/>
      <c r="EWK11" s="128"/>
      <c r="EWL11" s="128"/>
      <c r="EWM11" s="128"/>
      <c r="EWN11" s="128"/>
      <c r="EWO11" s="118"/>
      <c r="EWP11" s="128"/>
      <c r="EWQ11" s="128"/>
      <c r="EWR11" s="991"/>
      <c r="EWS11" s="128"/>
      <c r="EWT11" s="170"/>
      <c r="EWU11" s="170"/>
      <c r="EWV11" s="1018"/>
      <c r="EWW11" s="1018"/>
      <c r="EWX11" s="1018"/>
      <c r="EWY11" s="1018"/>
      <c r="EWZ11" s="1019"/>
      <c r="EXA11" s="1019"/>
      <c r="EXB11" s="1019"/>
      <c r="EXC11" s="1018"/>
      <c r="EXD11" s="1018"/>
      <c r="EXE11" s="1018"/>
      <c r="EXF11" s="1018"/>
      <c r="EXG11" s="1018"/>
      <c r="EXH11" s="1018"/>
      <c r="EXI11" s="139"/>
      <c r="EXJ11" s="128"/>
      <c r="EXK11" s="128"/>
      <c r="EXL11" s="128"/>
      <c r="EXM11" s="128"/>
      <c r="EXN11" s="118"/>
      <c r="EXO11" s="128"/>
      <c r="EXP11" s="128"/>
      <c r="EXQ11" s="991"/>
      <c r="EXR11" s="128"/>
      <c r="EXS11" s="170"/>
      <c r="EXT11" s="170"/>
      <c r="EXU11" s="1018"/>
      <c r="EXV11" s="1018"/>
      <c r="EXW11" s="1018"/>
      <c r="EXX11" s="1018"/>
      <c r="EXY11" s="1019"/>
      <c r="EXZ11" s="1019"/>
      <c r="EYA11" s="1019"/>
      <c r="EYB11" s="1018"/>
      <c r="EYC11" s="1018"/>
      <c r="EYD11" s="1018"/>
      <c r="EYE11" s="1018"/>
      <c r="EYF11" s="1018"/>
      <c r="EYG11" s="1018"/>
      <c r="EYH11" s="139"/>
      <c r="EYI11" s="128"/>
      <c r="EYJ11" s="128"/>
      <c r="EYK11" s="128"/>
      <c r="EYL11" s="128"/>
      <c r="EYM11" s="118"/>
      <c r="EYN11" s="128"/>
      <c r="EYO11" s="128"/>
      <c r="EYP11" s="991"/>
      <c r="EYQ11" s="128"/>
      <c r="EYR11" s="170"/>
      <c r="EYS11" s="170"/>
      <c r="EYT11" s="1018"/>
      <c r="EYU11" s="1018"/>
      <c r="EYV11" s="1018"/>
      <c r="EYW11" s="1018"/>
      <c r="EYX11" s="1019"/>
      <c r="EYY11" s="1019"/>
      <c r="EYZ11" s="1019"/>
      <c r="EZA11" s="1018"/>
      <c r="EZB11" s="1018"/>
      <c r="EZC11" s="1018"/>
      <c r="EZD11" s="1018"/>
      <c r="EZE11" s="1018"/>
      <c r="EZF11" s="1018"/>
      <c r="EZG11" s="139"/>
      <c r="EZH11" s="128"/>
      <c r="EZI11" s="128"/>
      <c r="EZJ11" s="128"/>
      <c r="EZK11" s="128"/>
      <c r="EZL11" s="118"/>
      <c r="EZM11" s="128"/>
      <c r="EZN11" s="128"/>
      <c r="EZO11" s="991"/>
      <c r="EZP11" s="128"/>
      <c r="EZQ11" s="170"/>
      <c r="EZR11" s="170"/>
      <c r="EZS11" s="1018"/>
      <c r="EZT11" s="1018"/>
      <c r="EZU11" s="1018"/>
      <c r="EZV11" s="1018"/>
      <c r="EZW11" s="1019"/>
      <c r="EZX11" s="1019"/>
      <c r="EZY11" s="1019"/>
      <c r="EZZ11" s="1018"/>
      <c r="FAA11" s="1018"/>
      <c r="FAB11" s="1018"/>
      <c r="FAC11" s="1018"/>
      <c r="FAD11" s="1018"/>
      <c r="FAE11" s="1018"/>
      <c r="FAF11" s="139"/>
      <c r="FAG11" s="128"/>
      <c r="FAH11" s="128"/>
      <c r="FAI11" s="128"/>
      <c r="FAJ11" s="128"/>
      <c r="FAK11" s="118"/>
      <c r="FAL11" s="128"/>
      <c r="FAM11" s="128"/>
      <c r="FAN11" s="991"/>
      <c r="FAO11" s="128"/>
      <c r="FAP11" s="170"/>
      <c r="FAQ11" s="170"/>
      <c r="FAR11" s="1018"/>
      <c r="FAS11" s="1018"/>
      <c r="FAT11" s="1018"/>
      <c r="FAU11" s="1018"/>
      <c r="FAV11" s="1019"/>
      <c r="FAW11" s="1019"/>
      <c r="FAX11" s="1019"/>
      <c r="FAY11" s="1018"/>
      <c r="FAZ11" s="1018"/>
      <c r="FBA11" s="1018"/>
      <c r="FBB11" s="1018"/>
      <c r="FBC11" s="1018"/>
      <c r="FBD11" s="1018"/>
      <c r="FBE11" s="139"/>
      <c r="FBF11" s="128"/>
      <c r="FBG11" s="128"/>
      <c r="FBH11" s="128"/>
      <c r="FBI11" s="128"/>
      <c r="FBJ11" s="118"/>
      <c r="FBK11" s="128"/>
      <c r="FBL11" s="128"/>
      <c r="FBM11" s="991"/>
      <c r="FBN11" s="128"/>
      <c r="FBO11" s="170"/>
      <c r="FBP11" s="170"/>
      <c r="FBQ11" s="1018"/>
      <c r="FBR11" s="1018"/>
      <c r="FBS11" s="1018"/>
      <c r="FBT11" s="1018"/>
      <c r="FBU11" s="1019"/>
      <c r="FBV11" s="1019"/>
      <c r="FBW11" s="1019"/>
      <c r="FBX11" s="1018"/>
      <c r="FBY11" s="1018"/>
      <c r="FBZ11" s="1018"/>
      <c r="FCA11" s="1018"/>
      <c r="FCB11" s="1018"/>
      <c r="FCC11" s="1018"/>
      <c r="FCD11" s="139"/>
      <c r="FCE11" s="128"/>
      <c r="FCF11" s="128"/>
      <c r="FCG11" s="128"/>
      <c r="FCH11" s="128"/>
      <c r="FCI11" s="118"/>
      <c r="FCJ11" s="128"/>
      <c r="FCK11" s="128"/>
      <c r="FCL11" s="991"/>
      <c r="FCM11" s="128"/>
      <c r="FCN11" s="170"/>
      <c r="FCO11" s="170"/>
      <c r="FCP11" s="1018"/>
      <c r="FCQ11" s="1018"/>
      <c r="FCR11" s="1018"/>
      <c r="FCS11" s="1018"/>
      <c r="FCT11" s="1019"/>
      <c r="FCU11" s="1019"/>
      <c r="FCV11" s="1019"/>
      <c r="FCW11" s="1018"/>
      <c r="FCX11" s="1018"/>
      <c r="FCY11" s="1018"/>
      <c r="FCZ11" s="1018"/>
      <c r="FDA11" s="1018"/>
      <c r="FDB11" s="1018"/>
      <c r="FDC11" s="139"/>
      <c r="FDD11" s="128"/>
      <c r="FDE11" s="128"/>
      <c r="FDF11" s="128"/>
      <c r="FDG11" s="128"/>
      <c r="FDH11" s="118"/>
      <c r="FDI11" s="128"/>
      <c r="FDJ11" s="128"/>
      <c r="FDK11" s="991"/>
      <c r="FDL11" s="128"/>
      <c r="FDM11" s="170"/>
      <c r="FDN11" s="170"/>
      <c r="FDO11" s="1018"/>
      <c r="FDP11" s="1018"/>
      <c r="FDQ11" s="1018"/>
      <c r="FDR11" s="1018"/>
      <c r="FDS11" s="1019"/>
      <c r="FDT11" s="1019"/>
      <c r="FDU11" s="1019"/>
      <c r="FDV11" s="1018"/>
      <c r="FDW11" s="1018"/>
      <c r="FDX11" s="1018"/>
      <c r="FDY11" s="1018"/>
      <c r="FDZ11" s="1018"/>
      <c r="FEA11" s="1018"/>
      <c r="FEB11" s="139"/>
      <c r="FEC11" s="128"/>
      <c r="FED11" s="128"/>
      <c r="FEE11" s="128"/>
      <c r="FEF11" s="128"/>
      <c r="FEG11" s="118"/>
      <c r="FEH11" s="128"/>
      <c r="FEI11" s="128"/>
      <c r="FEJ11" s="991"/>
      <c r="FEK11" s="128"/>
      <c r="FEL11" s="170"/>
      <c r="FEM11" s="170"/>
      <c r="FEN11" s="1018"/>
      <c r="FEO11" s="1018"/>
      <c r="FEP11" s="1018"/>
      <c r="FEQ11" s="1018"/>
      <c r="FER11" s="1019"/>
      <c r="FES11" s="1019"/>
      <c r="FET11" s="1019"/>
      <c r="FEU11" s="1018"/>
      <c r="FEV11" s="1018"/>
      <c r="FEW11" s="1018"/>
      <c r="FEX11" s="1018"/>
      <c r="FEY11" s="1018"/>
      <c r="FEZ11" s="1018"/>
      <c r="FFA11" s="139"/>
      <c r="FFB11" s="128"/>
      <c r="FFC11" s="128"/>
      <c r="FFD11" s="128"/>
      <c r="FFE11" s="128"/>
      <c r="FFF11" s="118"/>
      <c r="FFG11" s="128"/>
      <c r="FFH11" s="128"/>
      <c r="FFI11" s="991"/>
      <c r="FFJ11" s="128"/>
      <c r="FFK11" s="170"/>
      <c r="FFL11" s="170"/>
      <c r="FFM11" s="1018"/>
      <c r="FFN11" s="1018"/>
      <c r="FFO11" s="1018"/>
      <c r="FFP11" s="1018"/>
      <c r="FFQ11" s="1019"/>
      <c r="FFR11" s="1019"/>
      <c r="FFS11" s="1019"/>
      <c r="FFT11" s="1018"/>
      <c r="FFU11" s="1018"/>
      <c r="FFV11" s="1018"/>
      <c r="FFW11" s="1018"/>
      <c r="FFX11" s="1018"/>
      <c r="FFY11" s="1018"/>
      <c r="FFZ11" s="139"/>
      <c r="FGA11" s="128"/>
      <c r="FGB11" s="128"/>
      <c r="FGC11" s="128"/>
      <c r="FGD11" s="128"/>
      <c r="FGE11" s="118"/>
      <c r="FGF11" s="128"/>
      <c r="FGG11" s="128"/>
      <c r="FGH11" s="991"/>
      <c r="FGI11" s="128"/>
      <c r="FGJ11" s="170"/>
      <c r="FGK11" s="170"/>
      <c r="FGL11" s="1018"/>
      <c r="FGM11" s="1018"/>
      <c r="FGN11" s="1018"/>
      <c r="FGO11" s="1018"/>
      <c r="FGP11" s="1019"/>
      <c r="FGQ11" s="1019"/>
      <c r="FGR11" s="1019"/>
      <c r="FGS11" s="1018"/>
      <c r="FGT11" s="1018"/>
      <c r="FGU11" s="1018"/>
      <c r="FGV11" s="1018"/>
      <c r="FGW11" s="1018"/>
      <c r="FGX11" s="1018"/>
      <c r="FGY11" s="139"/>
      <c r="FGZ11" s="128"/>
      <c r="FHA11" s="128"/>
      <c r="FHB11" s="128"/>
      <c r="FHC11" s="128"/>
      <c r="FHD11" s="118"/>
      <c r="FHE11" s="128"/>
      <c r="FHF11" s="128"/>
      <c r="FHG11" s="991"/>
      <c r="FHH11" s="128"/>
      <c r="FHI11" s="170"/>
      <c r="FHJ11" s="170"/>
      <c r="FHK11" s="1018"/>
      <c r="FHL11" s="1018"/>
      <c r="FHM11" s="1018"/>
      <c r="FHN11" s="1018"/>
      <c r="FHO11" s="1019"/>
      <c r="FHP11" s="1019"/>
      <c r="FHQ11" s="1019"/>
      <c r="FHR11" s="1018"/>
      <c r="FHS11" s="1018"/>
      <c r="FHT11" s="1018"/>
      <c r="FHU11" s="1018"/>
      <c r="FHV11" s="1018"/>
      <c r="FHW11" s="1018"/>
      <c r="FHX11" s="139"/>
      <c r="FHY11" s="128"/>
      <c r="FHZ11" s="128"/>
      <c r="FIA11" s="128"/>
      <c r="FIB11" s="128"/>
      <c r="FIC11" s="118"/>
      <c r="FID11" s="128"/>
      <c r="FIE11" s="128"/>
      <c r="FIF11" s="991"/>
      <c r="FIG11" s="128"/>
      <c r="FIH11" s="170"/>
      <c r="FII11" s="170"/>
      <c r="FIJ11" s="1018"/>
      <c r="FIK11" s="1018"/>
      <c r="FIL11" s="1018"/>
      <c r="FIM11" s="1018"/>
      <c r="FIN11" s="1019"/>
      <c r="FIO11" s="1019"/>
      <c r="FIP11" s="1019"/>
      <c r="FIQ11" s="1018"/>
      <c r="FIR11" s="1018"/>
      <c r="FIS11" s="1018"/>
      <c r="FIT11" s="1018"/>
      <c r="FIU11" s="1018"/>
      <c r="FIV11" s="1018"/>
      <c r="FIW11" s="139"/>
      <c r="FIX11" s="128"/>
      <c r="FIY11" s="128"/>
      <c r="FIZ11" s="128"/>
      <c r="FJA11" s="128"/>
      <c r="FJB11" s="118"/>
      <c r="FJC11" s="128"/>
      <c r="FJD11" s="128"/>
      <c r="FJE11" s="991"/>
      <c r="FJF11" s="128"/>
      <c r="FJG11" s="170"/>
      <c r="FJH11" s="170"/>
      <c r="FJI11" s="1018"/>
      <c r="FJJ11" s="1018"/>
      <c r="FJK11" s="1018"/>
      <c r="FJL11" s="1018"/>
      <c r="FJM11" s="1019"/>
      <c r="FJN11" s="1019"/>
      <c r="FJO11" s="1019"/>
      <c r="FJP11" s="1018"/>
      <c r="FJQ11" s="1018"/>
      <c r="FJR11" s="1018"/>
      <c r="FJS11" s="1018"/>
      <c r="FJT11" s="1018"/>
      <c r="FJU11" s="1018"/>
      <c r="FJV11" s="139"/>
      <c r="FJW11" s="128"/>
      <c r="FJX11" s="128"/>
      <c r="FJY11" s="128"/>
      <c r="FJZ11" s="128"/>
      <c r="FKA11" s="118"/>
      <c r="FKB11" s="128"/>
      <c r="FKC11" s="128"/>
      <c r="FKD11" s="991"/>
      <c r="FKE11" s="128"/>
      <c r="FKF11" s="170"/>
      <c r="FKG11" s="170"/>
      <c r="FKH11" s="1018"/>
      <c r="FKI11" s="1018"/>
      <c r="FKJ11" s="1018"/>
      <c r="FKK11" s="1018"/>
      <c r="FKL11" s="1019"/>
      <c r="FKM11" s="1019"/>
      <c r="FKN11" s="1019"/>
      <c r="FKO11" s="1018"/>
      <c r="FKP11" s="1018"/>
      <c r="FKQ11" s="1018"/>
      <c r="FKR11" s="1018"/>
      <c r="FKS11" s="1018"/>
      <c r="FKT11" s="1018"/>
      <c r="FKU11" s="139"/>
      <c r="FKV11" s="128"/>
      <c r="FKW11" s="128"/>
      <c r="FKX11" s="128"/>
      <c r="FKY11" s="128"/>
      <c r="FKZ11" s="118"/>
      <c r="FLA11" s="128"/>
      <c r="FLB11" s="128"/>
      <c r="FLC11" s="991"/>
      <c r="FLD11" s="128"/>
      <c r="FLE11" s="170"/>
      <c r="FLF11" s="170"/>
      <c r="FLG11" s="1018"/>
      <c r="FLH11" s="1018"/>
      <c r="FLI11" s="1018"/>
      <c r="FLJ11" s="1018"/>
      <c r="FLK11" s="1019"/>
      <c r="FLL11" s="1019"/>
      <c r="FLM11" s="1019"/>
      <c r="FLN11" s="1018"/>
      <c r="FLO11" s="1018"/>
      <c r="FLP11" s="1018"/>
      <c r="FLQ11" s="1018"/>
      <c r="FLR11" s="1018"/>
      <c r="FLS11" s="1018"/>
      <c r="FLT11" s="139"/>
      <c r="FLU11" s="128"/>
      <c r="FLV11" s="128"/>
      <c r="FLW11" s="128"/>
      <c r="FLX11" s="128"/>
      <c r="FLY11" s="118"/>
      <c r="FLZ11" s="128"/>
      <c r="FMA11" s="128"/>
      <c r="FMB11" s="991"/>
      <c r="FMC11" s="128"/>
      <c r="FMD11" s="170"/>
      <c r="FME11" s="170"/>
      <c r="FMF11" s="1018"/>
      <c r="FMG11" s="1018"/>
      <c r="FMH11" s="1018"/>
      <c r="FMI11" s="1018"/>
      <c r="FMJ11" s="1019"/>
      <c r="FMK11" s="1019"/>
      <c r="FML11" s="1019"/>
      <c r="FMM11" s="1018"/>
      <c r="FMN11" s="1018"/>
      <c r="FMO11" s="1018"/>
      <c r="FMP11" s="1018"/>
      <c r="FMQ11" s="1018"/>
      <c r="FMR11" s="1018"/>
      <c r="FMS11" s="139"/>
      <c r="FMT11" s="128"/>
      <c r="FMU11" s="128"/>
      <c r="FMV11" s="128"/>
      <c r="FMW11" s="128"/>
      <c r="FMX11" s="118"/>
      <c r="FMY11" s="128"/>
      <c r="FMZ11" s="128"/>
      <c r="FNA11" s="991"/>
      <c r="FNB11" s="128"/>
      <c r="FNC11" s="170"/>
      <c r="FND11" s="170"/>
      <c r="FNE11" s="1018"/>
      <c r="FNF11" s="1018"/>
      <c r="FNG11" s="1018"/>
      <c r="FNH11" s="1018"/>
      <c r="FNI11" s="1019"/>
      <c r="FNJ11" s="1019"/>
      <c r="FNK11" s="1019"/>
      <c r="FNL11" s="1018"/>
      <c r="FNM11" s="1018"/>
      <c r="FNN11" s="1018"/>
      <c r="FNO11" s="1018"/>
      <c r="FNP11" s="1018"/>
      <c r="FNQ11" s="1018"/>
      <c r="FNR11" s="139"/>
      <c r="FNS11" s="128"/>
      <c r="FNT11" s="128"/>
      <c r="FNU11" s="128"/>
      <c r="FNV11" s="128"/>
      <c r="FNW11" s="118"/>
      <c r="FNX11" s="128"/>
      <c r="FNY11" s="128"/>
      <c r="FNZ11" s="991"/>
      <c r="FOA11" s="128"/>
      <c r="FOB11" s="170"/>
      <c r="FOC11" s="170"/>
      <c r="FOD11" s="1018"/>
      <c r="FOE11" s="1018"/>
      <c r="FOF11" s="1018"/>
      <c r="FOG11" s="1018"/>
      <c r="FOH11" s="1019"/>
      <c r="FOI11" s="1019"/>
      <c r="FOJ11" s="1019"/>
      <c r="FOK11" s="1018"/>
      <c r="FOL11" s="1018"/>
      <c r="FOM11" s="1018"/>
      <c r="FON11" s="1018"/>
      <c r="FOO11" s="1018"/>
      <c r="FOP11" s="1018"/>
      <c r="FOQ11" s="139"/>
      <c r="FOR11" s="128"/>
      <c r="FOS11" s="128"/>
      <c r="FOT11" s="128"/>
      <c r="FOU11" s="128"/>
      <c r="FOV11" s="118"/>
      <c r="FOW11" s="128"/>
      <c r="FOX11" s="128"/>
      <c r="FOY11" s="991"/>
      <c r="FOZ11" s="128"/>
      <c r="FPA11" s="170"/>
      <c r="FPB11" s="170"/>
      <c r="FPC11" s="1018"/>
      <c r="FPD11" s="1018"/>
      <c r="FPE11" s="1018"/>
      <c r="FPF11" s="1018"/>
      <c r="FPG11" s="1019"/>
      <c r="FPH11" s="1019"/>
      <c r="FPI11" s="1019"/>
      <c r="FPJ11" s="1018"/>
      <c r="FPK11" s="1018"/>
      <c r="FPL11" s="1018"/>
      <c r="FPM11" s="1018"/>
      <c r="FPN11" s="1018"/>
      <c r="FPO11" s="1018"/>
      <c r="FPP11" s="139"/>
      <c r="FPQ11" s="128"/>
      <c r="FPR11" s="128"/>
      <c r="FPS11" s="128"/>
      <c r="FPT11" s="128"/>
      <c r="FPU11" s="118"/>
      <c r="FPV11" s="128"/>
      <c r="FPW11" s="128"/>
      <c r="FPX11" s="991"/>
      <c r="FPY11" s="128"/>
      <c r="FPZ11" s="170"/>
      <c r="FQA11" s="170"/>
      <c r="FQB11" s="1018"/>
      <c r="FQC11" s="1018"/>
      <c r="FQD11" s="1018"/>
      <c r="FQE11" s="1018"/>
      <c r="FQF11" s="1019"/>
      <c r="FQG11" s="1019"/>
      <c r="FQH11" s="1019"/>
      <c r="FQI11" s="1018"/>
      <c r="FQJ11" s="1018"/>
      <c r="FQK11" s="1018"/>
      <c r="FQL11" s="1018"/>
      <c r="FQM11" s="1018"/>
      <c r="FQN11" s="1018"/>
      <c r="FQO11" s="139"/>
      <c r="FQP11" s="128"/>
      <c r="FQQ11" s="128"/>
      <c r="FQR11" s="128"/>
      <c r="FQS11" s="128"/>
      <c r="FQT11" s="118"/>
      <c r="FQU11" s="128"/>
      <c r="FQV11" s="128"/>
      <c r="FQW11" s="991"/>
      <c r="FQX11" s="128"/>
      <c r="FQY11" s="170"/>
      <c r="FQZ11" s="170"/>
      <c r="FRA11" s="1018"/>
      <c r="FRB11" s="1018"/>
      <c r="FRC11" s="1018"/>
      <c r="FRD11" s="1018"/>
      <c r="FRE11" s="1019"/>
      <c r="FRF11" s="1019"/>
      <c r="FRG11" s="1019"/>
      <c r="FRH11" s="1018"/>
      <c r="FRI11" s="1018"/>
      <c r="FRJ11" s="1018"/>
      <c r="FRK11" s="1018"/>
      <c r="FRL11" s="1018"/>
      <c r="FRM11" s="1018"/>
      <c r="FRN11" s="139"/>
      <c r="FRO11" s="128"/>
      <c r="FRP11" s="128"/>
      <c r="FRQ11" s="128"/>
      <c r="FRR11" s="128"/>
      <c r="FRS11" s="118"/>
      <c r="FRT11" s="128"/>
      <c r="FRU11" s="128"/>
      <c r="FRV11" s="991"/>
      <c r="FRW11" s="128"/>
      <c r="FRX11" s="170"/>
      <c r="FRY11" s="170"/>
      <c r="FRZ11" s="1018"/>
      <c r="FSA11" s="1018"/>
      <c r="FSB11" s="1018"/>
      <c r="FSC11" s="1018"/>
      <c r="FSD11" s="1019"/>
      <c r="FSE11" s="1019"/>
      <c r="FSF11" s="1019"/>
      <c r="FSG11" s="1018"/>
      <c r="FSH11" s="1018"/>
      <c r="FSI11" s="1018"/>
      <c r="FSJ11" s="1018"/>
      <c r="FSK11" s="1018"/>
      <c r="FSL11" s="1018"/>
      <c r="FSM11" s="139"/>
      <c r="FSN11" s="128"/>
      <c r="FSO11" s="128"/>
      <c r="FSP11" s="128"/>
      <c r="FSQ11" s="128"/>
      <c r="FSR11" s="118"/>
      <c r="FSS11" s="128"/>
      <c r="FST11" s="128"/>
      <c r="FSU11" s="991"/>
      <c r="FSV11" s="128"/>
      <c r="FSW11" s="170"/>
      <c r="FSX11" s="170"/>
      <c r="FSY11" s="1018"/>
      <c r="FSZ11" s="1018"/>
      <c r="FTA11" s="1018"/>
      <c r="FTB11" s="1018"/>
      <c r="FTC11" s="1019"/>
      <c r="FTD11" s="1019"/>
      <c r="FTE11" s="1019"/>
      <c r="FTF11" s="1018"/>
      <c r="FTG11" s="1018"/>
      <c r="FTH11" s="1018"/>
      <c r="FTI11" s="1018"/>
      <c r="FTJ11" s="1018"/>
      <c r="FTK11" s="1018"/>
      <c r="FTL11" s="139"/>
      <c r="FTM11" s="128"/>
      <c r="FTN11" s="128"/>
      <c r="FTO11" s="128"/>
      <c r="FTP11" s="128"/>
      <c r="FTQ11" s="118"/>
      <c r="FTR11" s="128"/>
      <c r="FTS11" s="128"/>
      <c r="FTT11" s="991"/>
      <c r="FTU11" s="128"/>
      <c r="FTV11" s="170"/>
      <c r="FTW11" s="170"/>
      <c r="FTX11" s="1018"/>
      <c r="FTY11" s="1018"/>
      <c r="FTZ11" s="1018"/>
      <c r="FUA11" s="1018"/>
      <c r="FUB11" s="1019"/>
      <c r="FUC11" s="1019"/>
      <c r="FUD11" s="1019"/>
      <c r="FUE11" s="1018"/>
      <c r="FUF11" s="1018"/>
      <c r="FUG11" s="1018"/>
      <c r="FUH11" s="1018"/>
      <c r="FUI11" s="1018"/>
      <c r="FUJ11" s="1018"/>
      <c r="FUK11" s="139"/>
      <c r="FUL11" s="128"/>
      <c r="FUM11" s="128"/>
      <c r="FUN11" s="128"/>
      <c r="FUO11" s="128"/>
      <c r="FUP11" s="118"/>
      <c r="FUQ11" s="128"/>
      <c r="FUR11" s="128"/>
      <c r="FUS11" s="991"/>
      <c r="FUT11" s="128"/>
      <c r="FUU11" s="170"/>
      <c r="FUV11" s="170"/>
      <c r="FUW11" s="1018"/>
      <c r="FUX11" s="1018"/>
      <c r="FUY11" s="1018"/>
      <c r="FUZ11" s="1018"/>
      <c r="FVA11" s="1019"/>
      <c r="FVB11" s="1019"/>
      <c r="FVC11" s="1019"/>
      <c r="FVD11" s="1018"/>
      <c r="FVE11" s="1018"/>
      <c r="FVF11" s="1018"/>
      <c r="FVG11" s="1018"/>
      <c r="FVH11" s="1018"/>
      <c r="FVI11" s="1018"/>
      <c r="FVJ11" s="139"/>
      <c r="FVK11" s="128"/>
      <c r="FVL11" s="128"/>
      <c r="FVM11" s="128"/>
      <c r="FVN11" s="128"/>
      <c r="FVO11" s="118"/>
      <c r="FVP11" s="128"/>
      <c r="FVQ11" s="128"/>
      <c r="FVR11" s="991"/>
      <c r="FVS11" s="128"/>
      <c r="FVT11" s="170"/>
      <c r="FVU11" s="170"/>
      <c r="FVV11" s="1018"/>
      <c r="FVW11" s="1018"/>
      <c r="FVX11" s="1018"/>
      <c r="FVY11" s="1018"/>
      <c r="FVZ11" s="1019"/>
      <c r="FWA11" s="1019"/>
      <c r="FWB11" s="1019"/>
      <c r="FWC11" s="1018"/>
      <c r="FWD11" s="1018"/>
      <c r="FWE11" s="1018"/>
      <c r="FWF11" s="1018"/>
      <c r="FWG11" s="1018"/>
      <c r="FWH11" s="1018"/>
      <c r="FWI11" s="139"/>
      <c r="FWJ11" s="128"/>
      <c r="FWK11" s="128"/>
      <c r="FWL11" s="128"/>
      <c r="FWM11" s="128"/>
      <c r="FWN11" s="118"/>
      <c r="FWO11" s="128"/>
      <c r="FWP11" s="128"/>
      <c r="FWQ11" s="991"/>
      <c r="FWR11" s="128"/>
      <c r="FWS11" s="170"/>
      <c r="FWT11" s="170"/>
      <c r="FWU11" s="1018"/>
      <c r="FWV11" s="1018"/>
      <c r="FWW11" s="1018"/>
      <c r="FWX11" s="1018"/>
      <c r="FWY11" s="1019"/>
      <c r="FWZ11" s="1019"/>
      <c r="FXA11" s="1019"/>
      <c r="FXB11" s="1018"/>
      <c r="FXC11" s="1018"/>
      <c r="FXD11" s="1018"/>
      <c r="FXE11" s="1018"/>
      <c r="FXF11" s="1018"/>
      <c r="FXG11" s="1018"/>
      <c r="FXH11" s="139"/>
      <c r="FXI11" s="128"/>
      <c r="FXJ11" s="128"/>
      <c r="FXK11" s="128"/>
      <c r="FXL11" s="128"/>
      <c r="FXM11" s="118"/>
      <c r="FXN11" s="128"/>
      <c r="FXO11" s="128"/>
      <c r="FXP11" s="991"/>
      <c r="FXQ11" s="128"/>
      <c r="FXR11" s="170"/>
      <c r="FXS11" s="170"/>
      <c r="FXT11" s="1018"/>
      <c r="FXU11" s="1018"/>
      <c r="FXV11" s="1018"/>
      <c r="FXW11" s="1018"/>
      <c r="FXX11" s="1019"/>
      <c r="FXY11" s="1019"/>
      <c r="FXZ11" s="1019"/>
      <c r="FYA11" s="1018"/>
      <c r="FYB11" s="1018"/>
      <c r="FYC11" s="1018"/>
      <c r="FYD11" s="1018"/>
      <c r="FYE11" s="1018"/>
      <c r="FYF11" s="1018"/>
      <c r="FYG11" s="139"/>
      <c r="FYH11" s="128"/>
      <c r="FYI11" s="128"/>
      <c r="FYJ11" s="128"/>
      <c r="FYK11" s="128"/>
      <c r="FYL11" s="118"/>
      <c r="FYM11" s="128"/>
      <c r="FYN11" s="128"/>
      <c r="FYO11" s="991"/>
      <c r="FYP11" s="128"/>
      <c r="FYQ11" s="170"/>
      <c r="FYR11" s="170"/>
      <c r="FYS11" s="1018"/>
      <c r="FYT11" s="1018"/>
      <c r="FYU11" s="1018"/>
      <c r="FYV11" s="1018"/>
      <c r="FYW11" s="1019"/>
      <c r="FYX11" s="1019"/>
      <c r="FYY11" s="1019"/>
      <c r="FYZ11" s="1018"/>
      <c r="FZA11" s="1018"/>
      <c r="FZB11" s="1018"/>
      <c r="FZC11" s="1018"/>
      <c r="FZD11" s="1018"/>
      <c r="FZE11" s="1018"/>
      <c r="FZF11" s="139"/>
      <c r="FZG11" s="128"/>
      <c r="FZH11" s="128"/>
      <c r="FZI11" s="128"/>
      <c r="FZJ11" s="128"/>
      <c r="FZK11" s="118"/>
      <c r="FZL11" s="128"/>
      <c r="FZM11" s="128"/>
      <c r="FZN11" s="991"/>
      <c r="FZO11" s="128"/>
      <c r="FZP11" s="170"/>
      <c r="FZQ11" s="170"/>
      <c r="FZR11" s="1018"/>
      <c r="FZS11" s="1018"/>
      <c r="FZT11" s="1018"/>
      <c r="FZU11" s="1018"/>
      <c r="FZV11" s="1019"/>
      <c r="FZW11" s="1019"/>
      <c r="FZX11" s="1019"/>
      <c r="FZY11" s="1018"/>
      <c r="FZZ11" s="1018"/>
      <c r="GAA11" s="1018"/>
      <c r="GAB11" s="1018"/>
      <c r="GAC11" s="1018"/>
      <c r="GAD11" s="1018"/>
      <c r="GAE11" s="139"/>
      <c r="GAF11" s="128"/>
      <c r="GAG11" s="128"/>
      <c r="GAH11" s="128"/>
      <c r="GAI11" s="128"/>
      <c r="GAJ11" s="118"/>
      <c r="GAK11" s="128"/>
      <c r="GAL11" s="128"/>
      <c r="GAM11" s="991"/>
      <c r="GAN11" s="128"/>
      <c r="GAO11" s="170"/>
      <c r="GAP11" s="170"/>
      <c r="GAQ11" s="1018"/>
      <c r="GAR11" s="1018"/>
      <c r="GAS11" s="1018"/>
      <c r="GAT11" s="1018"/>
      <c r="GAU11" s="1019"/>
      <c r="GAV11" s="1019"/>
      <c r="GAW11" s="1019"/>
      <c r="GAX11" s="1018"/>
      <c r="GAY11" s="1018"/>
      <c r="GAZ11" s="1018"/>
      <c r="GBA11" s="1018"/>
      <c r="GBB11" s="1018"/>
      <c r="GBC11" s="1018"/>
      <c r="GBD11" s="139"/>
      <c r="GBE11" s="128"/>
      <c r="GBF11" s="128"/>
      <c r="GBG11" s="128"/>
      <c r="GBH11" s="128"/>
      <c r="GBI11" s="118"/>
      <c r="GBJ11" s="128"/>
      <c r="GBK11" s="128"/>
      <c r="GBL11" s="991"/>
      <c r="GBM11" s="128"/>
      <c r="GBN11" s="170"/>
      <c r="GBO11" s="170"/>
      <c r="GBP11" s="1018"/>
      <c r="GBQ11" s="1018"/>
      <c r="GBR11" s="1018"/>
      <c r="GBS11" s="1018"/>
      <c r="GBT11" s="1019"/>
      <c r="GBU11" s="1019"/>
      <c r="GBV11" s="1019"/>
      <c r="GBW11" s="1018"/>
      <c r="GBX11" s="1018"/>
      <c r="GBY11" s="1018"/>
      <c r="GBZ11" s="1018"/>
      <c r="GCA11" s="1018"/>
      <c r="GCB11" s="1018"/>
      <c r="GCC11" s="139"/>
      <c r="GCD11" s="128"/>
      <c r="GCE11" s="128"/>
      <c r="GCF11" s="128"/>
      <c r="GCG11" s="128"/>
      <c r="GCH11" s="118"/>
      <c r="GCI11" s="128"/>
      <c r="GCJ11" s="128"/>
      <c r="GCK11" s="991"/>
      <c r="GCL11" s="128"/>
      <c r="GCM11" s="170"/>
      <c r="GCN11" s="170"/>
      <c r="GCO11" s="1018"/>
      <c r="GCP11" s="1018"/>
      <c r="GCQ11" s="1018"/>
      <c r="GCR11" s="1018"/>
      <c r="GCS11" s="1019"/>
      <c r="GCT11" s="1019"/>
      <c r="GCU11" s="1019"/>
      <c r="GCV11" s="1018"/>
      <c r="GCW11" s="1018"/>
      <c r="GCX11" s="1018"/>
      <c r="GCY11" s="1018"/>
      <c r="GCZ11" s="1018"/>
      <c r="GDA11" s="1018"/>
      <c r="GDB11" s="139"/>
      <c r="GDC11" s="128"/>
      <c r="GDD11" s="128"/>
      <c r="GDE11" s="128"/>
      <c r="GDF11" s="128"/>
      <c r="GDG11" s="118"/>
      <c r="GDH11" s="128"/>
      <c r="GDI11" s="128"/>
      <c r="GDJ11" s="991"/>
      <c r="GDK11" s="128"/>
      <c r="GDL11" s="170"/>
      <c r="GDM11" s="170"/>
      <c r="GDN11" s="1018"/>
      <c r="GDO11" s="1018"/>
      <c r="GDP11" s="1018"/>
      <c r="GDQ11" s="1018"/>
      <c r="GDR11" s="1019"/>
      <c r="GDS11" s="1019"/>
      <c r="GDT11" s="1019"/>
      <c r="GDU11" s="1018"/>
      <c r="GDV11" s="1018"/>
      <c r="GDW11" s="1018"/>
      <c r="GDX11" s="1018"/>
      <c r="GDY11" s="1018"/>
      <c r="GDZ11" s="1018"/>
      <c r="GEA11" s="139"/>
      <c r="GEB11" s="128"/>
      <c r="GEC11" s="128"/>
      <c r="GED11" s="128"/>
      <c r="GEE11" s="128"/>
      <c r="GEF11" s="118"/>
      <c r="GEG11" s="128"/>
      <c r="GEH11" s="128"/>
      <c r="GEI11" s="991"/>
      <c r="GEJ11" s="128"/>
      <c r="GEK11" s="170"/>
      <c r="GEL11" s="170"/>
      <c r="GEM11" s="1018"/>
      <c r="GEN11" s="1018"/>
      <c r="GEO11" s="1018"/>
      <c r="GEP11" s="1018"/>
      <c r="GEQ11" s="1019"/>
      <c r="GER11" s="1019"/>
      <c r="GES11" s="1019"/>
      <c r="GET11" s="1018"/>
      <c r="GEU11" s="1018"/>
      <c r="GEV11" s="1018"/>
      <c r="GEW11" s="1018"/>
      <c r="GEX11" s="1018"/>
      <c r="GEY11" s="1018"/>
      <c r="GEZ11" s="139"/>
      <c r="GFA11" s="128"/>
      <c r="GFB11" s="128"/>
      <c r="GFC11" s="128"/>
      <c r="GFD11" s="128"/>
      <c r="GFE11" s="118"/>
      <c r="GFF11" s="128"/>
      <c r="GFG11" s="128"/>
      <c r="GFH11" s="991"/>
      <c r="GFI11" s="128"/>
      <c r="GFJ11" s="170"/>
      <c r="GFK11" s="170"/>
      <c r="GFL11" s="1018"/>
      <c r="GFM11" s="1018"/>
      <c r="GFN11" s="1018"/>
      <c r="GFO11" s="1018"/>
      <c r="GFP11" s="1019"/>
      <c r="GFQ11" s="1019"/>
      <c r="GFR11" s="1019"/>
      <c r="GFS11" s="1018"/>
      <c r="GFT11" s="1018"/>
      <c r="GFU11" s="1018"/>
      <c r="GFV11" s="1018"/>
      <c r="GFW11" s="1018"/>
      <c r="GFX11" s="1018"/>
      <c r="GFY11" s="139"/>
      <c r="GFZ11" s="128"/>
      <c r="GGA11" s="128"/>
      <c r="GGB11" s="128"/>
      <c r="GGC11" s="128"/>
      <c r="GGD11" s="118"/>
      <c r="GGE11" s="128"/>
      <c r="GGF11" s="128"/>
      <c r="GGG11" s="991"/>
      <c r="GGH11" s="128"/>
      <c r="GGI11" s="170"/>
      <c r="GGJ11" s="170"/>
      <c r="GGK11" s="1018"/>
      <c r="GGL11" s="1018"/>
      <c r="GGM11" s="1018"/>
      <c r="GGN11" s="1018"/>
      <c r="GGO11" s="1019"/>
      <c r="GGP11" s="1019"/>
      <c r="GGQ11" s="1019"/>
      <c r="GGR11" s="1018"/>
      <c r="GGS11" s="1018"/>
      <c r="GGT11" s="1018"/>
      <c r="GGU11" s="1018"/>
      <c r="GGV11" s="1018"/>
      <c r="GGW11" s="1018"/>
      <c r="GGX11" s="139"/>
      <c r="GGY11" s="128"/>
      <c r="GGZ11" s="128"/>
      <c r="GHA11" s="128"/>
      <c r="GHB11" s="128"/>
      <c r="GHC11" s="118"/>
      <c r="GHD11" s="128"/>
      <c r="GHE11" s="128"/>
      <c r="GHF11" s="991"/>
      <c r="GHG11" s="128"/>
      <c r="GHH11" s="170"/>
      <c r="GHI11" s="170"/>
      <c r="GHJ11" s="1018"/>
      <c r="GHK11" s="1018"/>
      <c r="GHL11" s="1018"/>
      <c r="GHM11" s="1018"/>
      <c r="GHN11" s="1019"/>
      <c r="GHO11" s="1019"/>
      <c r="GHP11" s="1019"/>
      <c r="GHQ11" s="1018"/>
      <c r="GHR11" s="1018"/>
      <c r="GHS11" s="1018"/>
      <c r="GHT11" s="1018"/>
      <c r="GHU11" s="1018"/>
      <c r="GHV11" s="1018"/>
      <c r="GHW11" s="139"/>
      <c r="GHX11" s="128"/>
      <c r="GHY11" s="128"/>
      <c r="GHZ11" s="128"/>
      <c r="GIA11" s="128"/>
      <c r="GIB11" s="118"/>
      <c r="GIC11" s="128"/>
      <c r="GID11" s="128"/>
      <c r="GIE11" s="991"/>
      <c r="GIF11" s="128"/>
      <c r="GIG11" s="170"/>
      <c r="GIH11" s="170"/>
      <c r="GII11" s="1018"/>
      <c r="GIJ11" s="1018"/>
      <c r="GIK11" s="1018"/>
      <c r="GIL11" s="1018"/>
      <c r="GIM11" s="1019"/>
      <c r="GIN11" s="1019"/>
      <c r="GIO11" s="1019"/>
      <c r="GIP11" s="1018"/>
      <c r="GIQ11" s="1018"/>
      <c r="GIR11" s="1018"/>
      <c r="GIS11" s="1018"/>
      <c r="GIT11" s="1018"/>
      <c r="GIU11" s="1018"/>
      <c r="GIV11" s="139"/>
      <c r="GIW11" s="128"/>
      <c r="GIX11" s="128"/>
      <c r="GIY11" s="128"/>
      <c r="GIZ11" s="128"/>
      <c r="GJA11" s="118"/>
      <c r="GJB11" s="128"/>
      <c r="GJC11" s="128"/>
      <c r="GJD11" s="991"/>
      <c r="GJE11" s="128"/>
      <c r="GJF11" s="170"/>
      <c r="GJG11" s="170"/>
      <c r="GJH11" s="1018"/>
      <c r="GJI11" s="1018"/>
      <c r="GJJ11" s="1018"/>
      <c r="GJK11" s="1018"/>
      <c r="GJL11" s="1019"/>
      <c r="GJM11" s="1019"/>
      <c r="GJN11" s="1019"/>
      <c r="GJO11" s="1018"/>
      <c r="GJP11" s="1018"/>
      <c r="GJQ11" s="1018"/>
      <c r="GJR11" s="1018"/>
      <c r="GJS11" s="1018"/>
      <c r="GJT11" s="1018"/>
      <c r="GJU11" s="139"/>
      <c r="GJV11" s="128"/>
      <c r="GJW11" s="128"/>
      <c r="GJX11" s="128"/>
      <c r="GJY11" s="128"/>
      <c r="GJZ11" s="118"/>
      <c r="GKA11" s="128"/>
      <c r="GKB11" s="128"/>
      <c r="GKC11" s="991"/>
      <c r="GKD11" s="128"/>
      <c r="GKE11" s="170"/>
      <c r="GKF11" s="170"/>
      <c r="GKG11" s="1018"/>
      <c r="GKH11" s="1018"/>
      <c r="GKI11" s="1018"/>
      <c r="GKJ11" s="1018"/>
      <c r="GKK11" s="1019"/>
      <c r="GKL11" s="1019"/>
      <c r="GKM11" s="1019"/>
      <c r="GKN11" s="1018"/>
      <c r="GKO11" s="1018"/>
      <c r="GKP11" s="1018"/>
      <c r="GKQ11" s="1018"/>
      <c r="GKR11" s="1018"/>
      <c r="GKS11" s="1018"/>
      <c r="GKT11" s="139"/>
      <c r="GKU11" s="128"/>
      <c r="GKV11" s="128"/>
      <c r="GKW11" s="128"/>
      <c r="GKX11" s="128"/>
      <c r="GKY11" s="118"/>
      <c r="GKZ11" s="128"/>
      <c r="GLA11" s="128"/>
      <c r="GLB11" s="991"/>
      <c r="GLC11" s="128"/>
      <c r="GLD11" s="170"/>
      <c r="GLE11" s="170"/>
      <c r="GLF11" s="1018"/>
      <c r="GLG11" s="1018"/>
      <c r="GLH11" s="1018"/>
      <c r="GLI11" s="1018"/>
      <c r="GLJ11" s="1019"/>
      <c r="GLK11" s="1019"/>
      <c r="GLL11" s="1019"/>
      <c r="GLM11" s="1018"/>
      <c r="GLN11" s="1018"/>
      <c r="GLO11" s="1018"/>
      <c r="GLP11" s="1018"/>
      <c r="GLQ11" s="1018"/>
      <c r="GLR11" s="1018"/>
      <c r="GLS11" s="139"/>
      <c r="GLT11" s="128"/>
      <c r="GLU11" s="128"/>
      <c r="GLV11" s="128"/>
      <c r="GLW11" s="128"/>
      <c r="GLX11" s="118"/>
      <c r="GLY11" s="128"/>
      <c r="GLZ11" s="128"/>
      <c r="GMA11" s="991"/>
      <c r="GMB11" s="128"/>
      <c r="GMC11" s="170"/>
      <c r="GMD11" s="170"/>
      <c r="GME11" s="1018"/>
      <c r="GMF11" s="1018"/>
      <c r="GMG11" s="1018"/>
      <c r="GMH11" s="1018"/>
      <c r="GMI11" s="1019"/>
      <c r="GMJ11" s="1019"/>
      <c r="GMK11" s="1019"/>
      <c r="GML11" s="1018"/>
      <c r="GMM11" s="1018"/>
      <c r="GMN11" s="1018"/>
      <c r="GMO11" s="1018"/>
      <c r="GMP11" s="1018"/>
      <c r="GMQ11" s="1018"/>
      <c r="GMR11" s="139"/>
      <c r="GMS11" s="128"/>
      <c r="GMT11" s="128"/>
      <c r="GMU11" s="128"/>
      <c r="GMV11" s="128"/>
      <c r="GMW11" s="118"/>
      <c r="GMX11" s="128"/>
      <c r="GMY11" s="128"/>
      <c r="GMZ11" s="991"/>
      <c r="GNA11" s="128"/>
      <c r="GNB11" s="170"/>
      <c r="GNC11" s="170"/>
      <c r="GND11" s="1018"/>
      <c r="GNE11" s="1018"/>
      <c r="GNF11" s="1018"/>
      <c r="GNG11" s="1018"/>
      <c r="GNH11" s="1019"/>
      <c r="GNI11" s="1019"/>
      <c r="GNJ11" s="1019"/>
      <c r="GNK11" s="1018"/>
      <c r="GNL11" s="1018"/>
      <c r="GNM11" s="1018"/>
      <c r="GNN11" s="1018"/>
      <c r="GNO11" s="1018"/>
      <c r="GNP11" s="1018"/>
      <c r="GNQ11" s="139"/>
      <c r="GNR11" s="128"/>
      <c r="GNS11" s="128"/>
      <c r="GNT11" s="128"/>
      <c r="GNU11" s="128"/>
      <c r="GNV11" s="118"/>
      <c r="GNW11" s="128"/>
      <c r="GNX11" s="128"/>
      <c r="GNY11" s="991"/>
      <c r="GNZ11" s="128"/>
      <c r="GOA11" s="170"/>
      <c r="GOB11" s="170"/>
      <c r="GOC11" s="1018"/>
      <c r="GOD11" s="1018"/>
      <c r="GOE11" s="1018"/>
      <c r="GOF11" s="1018"/>
      <c r="GOG11" s="1019"/>
      <c r="GOH11" s="1019"/>
      <c r="GOI11" s="1019"/>
      <c r="GOJ11" s="1018"/>
      <c r="GOK11" s="1018"/>
      <c r="GOL11" s="1018"/>
      <c r="GOM11" s="1018"/>
      <c r="GON11" s="1018"/>
      <c r="GOO11" s="1018"/>
      <c r="GOP11" s="139"/>
      <c r="GOQ11" s="128"/>
      <c r="GOR11" s="128"/>
      <c r="GOS11" s="128"/>
      <c r="GOT11" s="128"/>
      <c r="GOU11" s="118"/>
      <c r="GOV11" s="128"/>
      <c r="GOW11" s="128"/>
      <c r="GOX11" s="991"/>
      <c r="GOY11" s="128"/>
      <c r="GOZ11" s="170"/>
      <c r="GPA11" s="170"/>
      <c r="GPB11" s="1018"/>
      <c r="GPC11" s="1018"/>
      <c r="GPD11" s="1018"/>
      <c r="GPE11" s="1018"/>
      <c r="GPF11" s="1019"/>
      <c r="GPG11" s="1019"/>
      <c r="GPH11" s="1019"/>
      <c r="GPI11" s="1018"/>
      <c r="GPJ11" s="1018"/>
      <c r="GPK11" s="1018"/>
      <c r="GPL11" s="1018"/>
      <c r="GPM11" s="1018"/>
      <c r="GPN11" s="1018"/>
      <c r="GPO11" s="139"/>
      <c r="GPP11" s="128"/>
      <c r="GPQ11" s="128"/>
      <c r="GPR11" s="128"/>
      <c r="GPS11" s="128"/>
      <c r="GPT11" s="118"/>
      <c r="GPU11" s="128"/>
      <c r="GPV11" s="128"/>
      <c r="GPW11" s="991"/>
      <c r="GPX11" s="128"/>
      <c r="GPY11" s="170"/>
      <c r="GPZ11" s="170"/>
      <c r="GQA11" s="1018"/>
      <c r="GQB11" s="1018"/>
      <c r="GQC11" s="1018"/>
      <c r="GQD11" s="1018"/>
      <c r="GQE11" s="1019"/>
      <c r="GQF11" s="1019"/>
      <c r="GQG11" s="1019"/>
      <c r="GQH11" s="1018"/>
      <c r="GQI11" s="1018"/>
      <c r="GQJ11" s="1018"/>
      <c r="GQK11" s="1018"/>
      <c r="GQL11" s="1018"/>
      <c r="GQM11" s="1018"/>
      <c r="GQN11" s="139"/>
      <c r="GQO11" s="128"/>
      <c r="GQP11" s="128"/>
      <c r="GQQ11" s="128"/>
      <c r="GQR11" s="128"/>
      <c r="GQS11" s="118"/>
      <c r="GQT11" s="128"/>
      <c r="GQU11" s="128"/>
      <c r="GQV11" s="991"/>
      <c r="GQW11" s="128"/>
      <c r="GQX11" s="170"/>
      <c r="GQY11" s="170"/>
      <c r="GQZ11" s="1018"/>
      <c r="GRA11" s="1018"/>
      <c r="GRB11" s="1018"/>
      <c r="GRC11" s="1018"/>
      <c r="GRD11" s="1019"/>
      <c r="GRE11" s="1019"/>
      <c r="GRF11" s="1019"/>
      <c r="GRG11" s="1018"/>
      <c r="GRH11" s="1018"/>
      <c r="GRI11" s="1018"/>
      <c r="GRJ11" s="1018"/>
      <c r="GRK11" s="1018"/>
      <c r="GRL11" s="1018"/>
      <c r="GRM11" s="139"/>
      <c r="GRN11" s="128"/>
      <c r="GRO11" s="128"/>
      <c r="GRP11" s="128"/>
      <c r="GRQ11" s="128"/>
      <c r="GRR11" s="118"/>
      <c r="GRS11" s="128"/>
      <c r="GRT11" s="128"/>
      <c r="GRU11" s="991"/>
      <c r="GRV11" s="128"/>
      <c r="GRW11" s="170"/>
      <c r="GRX11" s="170"/>
      <c r="GRY11" s="1018"/>
      <c r="GRZ11" s="1018"/>
      <c r="GSA11" s="1018"/>
      <c r="GSB11" s="1018"/>
      <c r="GSC11" s="1019"/>
      <c r="GSD11" s="1019"/>
      <c r="GSE11" s="1019"/>
      <c r="GSF11" s="1018"/>
      <c r="GSG11" s="1018"/>
      <c r="GSH11" s="1018"/>
      <c r="GSI11" s="1018"/>
      <c r="GSJ11" s="1018"/>
      <c r="GSK11" s="1018"/>
      <c r="GSL11" s="139"/>
      <c r="GSM11" s="128"/>
      <c r="GSN11" s="128"/>
      <c r="GSO11" s="128"/>
      <c r="GSP11" s="128"/>
      <c r="GSQ11" s="118"/>
      <c r="GSR11" s="128"/>
      <c r="GSS11" s="128"/>
      <c r="GST11" s="991"/>
      <c r="GSU11" s="128"/>
      <c r="GSV11" s="170"/>
      <c r="GSW11" s="170"/>
      <c r="GSX11" s="1018"/>
      <c r="GSY11" s="1018"/>
      <c r="GSZ11" s="1018"/>
      <c r="GTA11" s="1018"/>
      <c r="GTB11" s="1019"/>
      <c r="GTC11" s="1019"/>
      <c r="GTD11" s="1019"/>
      <c r="GTE11" s="1018"/>
      <c r="GTF11" s="1018"/>
      <c r="GTG11" s="1018"/>
      <c r="GTH11" s="1018"/>
      <c r="GTI11" s="1018"/>
      <c r="GTJ11" s="1018"/>
      <c r="GTK11" s="139"/>
      <c r="GTL11" s="128"/>
      <c r="GTM11" s="128"/>
      <c r="GTN11" s="128"/>
      <c r="GTO11" s="128"/>
      <c r="GTP11" s="118"/>
      <c r="GTQ11" s="128"/>
      <c r="GTR11" s="128"/>
      <c r="GTS11" s="991"/>
      <c r="GTT11" s="128"/>
      <c r="GTU11" s="170"/>
      <c r="GTV11" s="170"/>
      <c r="GTW11" s="1018"/>
      <c r="GTX11" s="1018"/>
      <c r="GTY11" s="1018"/>
      <c r="GTZ11" s="1018"/>
      <c r="GUA11" s="1019"/>
      <c r="GUB11" s="1019"/>
      <c r="GUC11" s="1019"/>
      <c r="GUD11" s="1018"/>
      <c r="GUE11" s="1018"/>
      <c r="GUF11" s="1018"/>
      <c r="GUG11" s="1018"/>
      <c r="GUH11" s="1018"/>
      <c r="GUI11" s="1018"/>
      <c r="GUJ11" s="139"/>
      <c r="GUK11" s="128"/>
      <c r="GUL11" s="128"/>
      <c r="GUM11" s="128"/>
      <c r="GUN11" s="128"/>
      <c r="GUO11" s="118"/>
      <c r="GUP11" s="128"/>
      <c r="GUQ11" s="128"/>
      <c r="GUR11" s="991"/>
      <c r="GUS11" s="128"/>
      <c r="GUT11" s="170"/>
      <c r="GUU11" s="170"/>
      <c r="GUV11" s="1018"/>
      <c r="GUW11" s="1018"/>
      <c r="GUX11" s="1018"/>
      <c r="GUY11" s="1018"/>
      <c r="GUZ11" s="1019"/>
      <c r="GVA11" s="1019"/>
      <c r="GVB11" s="1019"/>
      <c r="GVC11" s="1018"/>
      <c r="GVD11" s="1018"/>
      <c r="GVE11" s="1018"/>
      <c r="GVF11" s="1018"/>
      <c r="GVG11" s="1018"/>
      <c r="GVH11" s="1018"/>
      <c r="GVI11" s="139"/>
      <c r="GVJ11" s="128"/>
      <c r="GVK11" s="128"/>
      <c r="GVL11" s="128"/>
      <c r="GVM11" s="128"/>
      <c r="GVN11" s="118"/>
      <c r="GVO11" s="128"/>
      <c r="GVP11" s="128"/>
      <c r="GVQ11" s="991"/>
      <c r="GVR11" s="128"/>
      <c r="GVS11" s="170"/>
      <c r="GVT11" s="170"/>
      <c r="GVU11" s="1018"/>
      <c r="GVV11" s="1018"/>
      <c r="GVW11" s="1018"/>
      <c r="GVX11" s="1018"/>
      <c r="GVY11" s="1019"/>
      <c r="GVZ11" s="1019"/>
      <c r="GWA11" s="1019"/>
      <c r="GWB11" s="1018"/>
      <c r="GWC11" s="1018"/>
      <c r="GWD11" s="1018"/>
      <c r="GWE11" s="1018"/>
      <c r="GWF11" s="1018"/>
      <c r="GWG11" s="1018"/>
      <c r="GWH11" s="139"/>
      <c r="GWI11" s="128"/>
      <c r="GWJ11" s="128"/>
      <c r="GWK11" s="128"/>
      <c r="GWL11" s="128"/>
      <c r="GWM11" s="118"/>
      <c r="GWN11" s="128"/>
      <c r="GWO11" s="128"/>
      <c r="GWP11" s="991"/>
      <c r="GWQ11" s="128"/>
      <c r="GWR11" s="170"/>
      <c r="GWS11" s="170"/>
      <c r="GWT11" s="1018"/>
      <c r="GWU11" s="1018"/>
      <c r="GWV11" s="1018"/>
      <c r="GWW11" s="1018"/>
      <c r="GWX11" s="1019"/>
      <c r="GWY11" s="1019"/>
      <c r="GWZ11" s="1019"/>
      <c r="GXA11" s="1018"/>
      <c r="GXB11" s="1018"/>
      <c r="GXC11" s="1018"/>
      <c r="GXD11" s="1018"/>
      <c r="GXE11" s="1018"/>
      <c r="GXF11" s="1018"/>
      <c r="GXG11" s="139"/>
      <c r="GXH11" s="128"/>
      <c r="GXI11" s="128"/>
      <c r="GXJ11" s="128"/>
      <c r="GXK11" s="128"/>
      <c r="GXL11" s="118"/>
      <c r="GXM11" s="128"/>
      <c r="GXN11" s="128"/>
      <c r="GXO11" s="991"/>
      <c r="GXP11" s="128"/>
      <c r="GXQ11" s="170"/>
      <c r="GXR11" s="170"/>
      <c r="GXS11" s="1018"/>
      <c r="GXT11" s="1018"/>
      <c r="GXU11" s="1018"/>
      <c r="GXV11" s="1018"/>
      <c r="GXW11" s="1019"/>
      <c r="GXX11" s="1019"/>
      <c r="GXY11" s="1019"/>
      <c r="GXZ11" s="1018"/>
      <c r="GYA11" s="1018"/>
      <c r="GYB11" s="1018"/>
      <c r="GYC11" s="1018"/>
      <c r="GYD11" s="1018"/>
      <c r="GYE11" s="1018"/>
      <c r="GYF11" s="139"/>
      <c r="GYG11" s="128"/>
      <c r="GYH11" s="128"/>
      <c r="GYI11" s="128"/>
      <c r="GYJ11" s="128"/>
      <c r="GYK11" s="118"/>
      <c r="GYL11" s="128"/>
      <c r="GYM11" s="128"/>
      <c r="GYN11" s="991"/>
      <c r="GYO11" s="128"/>
      <c r="GYP11" s="170"/>
      <c r="GYQ11" s="170"/>
      <c r="GYR11" s="1018"/>
      <c r="GYS11" s="1018"/>
      <c r="GYT11" s="1018"/>
      <c r="GYU11" s="1018"/>
      <c r="GYV11" s="1019"/>
      <c r="GYW11" s="1019"/>
      <c r="GYX11" s="1019"/>
      <c r="GYY11" s="1018"/>
      <c r="GYZ11" s="1018"/>
      <c r="GZA11" s="1018"/>
      <c r="GZB11" s="1018"/>
      <c r="GZC11" s="1018"/>
      <c r="GZD11" s="1018"/>
      <c r="GZE11" s="139"/>
      <c r="GZF11" s="128"/>
      <c r="GZG11" s="128"/>
      <c r="GZH11" s="128"/>
      <c r="GZI11" s="128"/>
      <c r="GZJ11" s="118"/>
      <c r="GZK11" s="128"/>
      <c r="GZL11" s="128"/>
      <c r="GZM11" s="991"/>
      <c r="GZN11" s="128"/>
      <c r="GZO11" s="170"/>
      <c r="GZP11" s="170"/>
      <c r="GZQ11" s="1018"/>
      <c r="GZR11" s="1018"/>
      <c r="GZS11" s="1018"/>
      <c r="GZT11" s="1018"/>
      <c r="GZU11" s="1019"/>
      <c r="GZV11" s="1019"/>
      <c r="GZW11" s="1019"/>
      <c r="GZX11" s="1018"/>
      <c r="GZY11" s="1018"/>
      <c r="GZZ11" s="1018"/>
      <c r="HAA11" s="1018"/>
      <c r="HAB11" s="1018"/>
      <c r="HAC11" s="1018"/>
      <c r="HAD11" s="139"/>
      <c r="HAE11" s="128"/>
      <c r="HAF11" s="128"/>
      <c r="HAG11" s="128"/>
      <c r="HAH11" s="128"/>
      <c r="HAI11" s="118"/>
      <c r="HAJ11" s="128"/>
      <c r="HAK11" s="128"/>
      <c r="HAL11" s="991"/>
      <c r="HAM11" s="128"/>
      <c r="HAN11" s="170"/>
      <c r="HAO11" s="170"/>
      <c r="HAP11" s="1018"/>
      <c r="HAQ11" s="1018"/>
      <c r="HAR11" s="1018"/>
      <c r="HAS11" s="1018"/>
      <c r="HAT11" s="1019"/>
      <c r="HAU11" s="1019"/>
      <c r="HAV11" s="1019"/>
      <c r="HAW11" s="1018"/>
      <c r="HAX11" s="1018"/>
      <c r="HAY11" s="1018"/>
      <c r="HAZ11" s="1018"/>
      <c r="HBA11" s="1018"/>
      <c r="HBB11" s="1018"/>
      <c r="HBC11" s="139"/>
      <c r="HBD11" s="128"/>
      <c r="HBE11" s="128"/>
      <c r="HBF11" s="128"/>
      <c r="HBG11" s="128"/>
      <c r="HBH11" s="118"/>
      <c r="HBI11" s="128"/>
      <c r="HBJ11" s="128"/>
      <c r="HBK11" s="991"/>
      <c r="HBL11" s="128"/>
      <c r="HBM11" s="170"/>
      <c r="HBN11" s="170"/>
      <c r="HBO11" s="1018"/>
      <c r="HBP11" s="1018"/>
      <c r="HBQ11" s="1018"/>
      <c r="HBR11" s="1018"/>
      <c r="HBS11" s="1019"/>
      <c r="HBT11" s="1019"/>
      <c r="HBU11" s="1019"/>
      <c r="HBV11" s="1018"/>
      <c r="HBW11" s="1018"/>
      <c r="HBX11" s="1018"/>
      <c r="HBY11" s="1018"/>
      <c r="HBZ11" s="1018"/>
      <c r="HCA11" s="1018"/>
      <c r="HCB11" s="139"/>
      <c r="HCC11" s="128"/>
      <c r="HCD11" s="128"/>
      <c r="HCE11" s="128"/>
      <c r="HCF11" s="128"/>
      <c r="HCG11" s="118"/>
      <c r="HCH11" s="128"/>
      <c r="HCI11" s="128"/>
      <c r="HCJ11" s="991"/>
      <c r="HCK11" s="128"/>
      <c r="HCL11" s="170"/>
      <c r="HCM11" s="170"/>
      <c r="HCN11" s="1018"/>
      <c r="HCO11" s="1018"/>
      <c r="HCP11" s="1018"/>
      <c r="HCQ11" s="1018"/>
      <c r="HCR11" s="1019"/>
      <c r="HCS11" s="1019"/>
      <c r="HCT11" s="1019"/>
      <c r="HCU11" s="1018"/>
      <c r="HCV11" s="1018"/>
      <c r="HCW11" s="1018"/>
      <c r="HCX11" s="1018"/>
      <c r="HCY11" s="1018"/>
      <c r="HCZ11" s="1018"/>
      <c r="HDA11" s="139"/>
      <c r="HDB11" s="128"/>
      <c r="HDC11" s="128"/>
      <c r="HDD11" s="128"/>
      <c r="HDE11" s="128"/>
      <c r="HDF11" s="118"/>
      <c r="HDG11" s="128"/>
      <c r="HDH11" s="128"/>
      <c r="HDI11" s="991"/>
      <c r="HDJ11" s="128"/>
      <c r="HDK11" s="170"/>
      <c r="HDL11" s="170"/>
      <c r="HDM11" s="1018"/>
      <c r="HDN11" s="1018"/>
      <c r="HDO11" s="1018"/>
      <c r="HDP11" s="1018"/>
      <c r="HDQ11" s="1019"/>
      <c r="HDR11" s="1019"/>
      <c r="HDS11" s="1019"/>
      <c r="HDT11" s="1018"/>
      <c r="HDU11" s="1018"/>
      <c r="HDV11" s="1018"/>
      <c r="HDW11" s="1018"/>
      <c r="HDX11" s="1018"/>
      <c r="HDY11" s="1018"/>
      <c r="HDZ11" s="139"/>
      <c r="HEA11" s="128"/>
      <c r="HEB11" s="128"/>
      <c r="HEC11" s="128"/>
      <c r="HED11" s="128"/>
      <c r="HEE11" s="118"/>
      <c r="HEF11" s="128"/>
      <c r="HEG11" s="128"/>
      <c r="HEH11" s="991"/>
      <c r="HEI11" s="128"/>
      <c r="HEJ11" s="170"/>
      <c r="HEK11" s="170"/>
      <c r="HEL11" s="1018"/>
      <c r="HEM11" s="1018"/>
      <c r="HEN11" s="1018"/>
      <c r="HEO11" s="1018"/>
      <c r="HEP11" s="1019"/>
      <c r="HEQ11" s="1019"/>
      <c r="HER11" s="1019"/>
      <c r="HES11" s="1018"/>
      <c r="HET11" s="1018"/>
      <c r="HEU11" s="1018"/>
      <c r="HEV11" s="1018"/>
      <c r="HEW11" s="1018"/>
      <c r="HEX11" s="1018"/>
      <c r="HEY11" s="139"/>
      <c r="HEZ11" s="128"/>
      <c r="HFA11" s="128"/>
      <c r="HFB11" s="128"/>
      <c r="HFC11" s="128"/>
      <c r="HFD11" s="118"/>
      <c r="HFE11" s="128"/>
      <c r="HFF11" s="128"/>
      <c r="HFG11" s="991"/>
      <c r="HFH11" s="128"/>
      <c r="HFI11" s="170"/>
      <c r="HFJ11" s="170"/>
      <c r="HFK11" s="1018"/>
      <c r="HFL11" s="1018"/>
      <c r="HFM11" s="1018"/>
      <c r="HFN11" s="1018"/>
      <c r="HFO11" s="1019"/>
      <c r="HFP11" s="1019"/>
      <c r="HFQ11" s="1019"/>
      <c r="HFR11" s="1018"/>
      <c r="HFS11" s="1018"/>
      <c r="HFT11" s="1018"/>
      <c r="HFU11" s="1018"/>
      <c r="HFV11" s="1018"/>
      <c r="HFW11" s="1018"/>
      <c r="HFX11" s="139"/>
      <c r="HFY11" s="128"/>
      <c r="HFZ11" s="128"/>
      <c r="HGA11" s="128"/>
      <c r="HGB11" s="128"/>
      <c r="HGC11" s="118"/>
      <c r="HGD11" s="128"/>
      <c r="HGE11" s="128"/>
      <c r="HGF11" s="991"/>
      <c r="HGG11" s="128"/>
      <c r="HGH11" s="170"/>
      <c r="HGI11" s="170"/>
      <c r="HGJ11" s="1018"/>
      <c r="HGK11" s="1018"/>
      <c r="HGL11" s="1018"/>
      <c r="HGM11" s="1018"/>
      <c r="HGN11" s="1019"/>
      <c r="HGO11" s="1019"/>
      <c r="HGP11" s="1019"/>
      <c r="HGQ11" s="1018"/>
      <c r="HGR11" s="1018"/>
      <c r="HGS11" s="1018"/>
      <c r="HGT11" s="1018"/>
      <c r="HGU11" s="1018"/>
      <c r="HGV11" s="1018"/>
      <c r="HGW11" s="139"/>
      <c r="HGX11" s="128"/>
      <c r="HGY11" s="128"/>
      <c r="HGZ11" s="128"/>
      <c r="HHA11" s="128"/>
      <c r="HHB11" s="118"/>
      <c r="HHC11" s="128"/>
      <c r="HHD11" s="128"/>
      <c r="HHE11" s="991"/>
      <c r="HHF11" s="128"/>
      <c r="HHG11" s="170"/>
      <c r="HHH11" s="170"/>
      <c r="HHI11" s="1018"/>
      <c r="HHJ11" s="1018"/>
      <c r="HHK11" s="1018"/>
      <c r="HHL11" s="1018"/>
      <c r="HHM11" s="1019"/>
      <c r="HHN11" s="1019"/>
      <c r="HHO11" s="1019"/>
      <c r="HHP11" s="1018"/>
      <c r="HHQ11" s="1018"/>
      <c r="HHR11" s="1018"/>
      <c r="HHS11" s="1018"/>
      <c r="HHT11" s="1018"/>
      <c r="HHU11" s="1018"/>
      <c r="HHV11" s="139"/>
      <c r="HHW11" s="128"/>
      <c r="HHX11" s="128"/>
      <c r="HHY11" s="128"/>
      <c r="HHZ11" s="128"/>
      <c r="HIA11" s="118"/>
      <c r="HIB11" s="128"/>
      <c r="HIC11" s="128"/>
      <c r="HID11" s="991"/>
      <c r="HIE11" s="128"/>
      <c r="HIF11" s="170"/>
      <c r="HIG11" s="170"/>
      <c r="HIH11" s="1018"/>
      <c r="HII11" s="1018"/>
      <c r="HIJ11" s="1018"/>
      <c r="HIK11" s="1018"/>
      <c r="HIL11" s="1019"/>
      <c r="HIM11" s="1019"/>
      <c r="HIN11" s="1019"/>
      <c r="HIO11" s="1018"/>
      <c r="HIP11" s="1018"/>
      <c r="HIQ11" s="1018"/>
      <c r="HIR11" s="1018"/>
      <c r="HIS11" s="1018"/>
      <c r="HIT11" s="1018"/>
      <c r="HIU11" s="139"/>
      <c r="HIV11" s="128"/>
      <c r="HIW11" s="128"/>
      <c r="HIX11" s="128"/>
      <c r="HIY11" s="128"/>
      <c r="HIZ11" s="118"/>
      <c r="HJA11" s="128"/>
      <c r="HJB11" s="128"/>
      <c r="HJC11" s="991"/>
      <c r="HJD11" s="128"/>
      <c r="HJE11" s="170"/>
      <c r="HJF11" s="170"/>
      <c r="HJG11" s="1018"/>
      <c r="HJH11" s="1018"/>
      <c r="HJI11" s="1018"/>
      <c r="HJJ11" s="1018"/>
      <c r="HJK11" s="1019"/>
      <c r="HJL11" s="1019"/>
      <c r="HJM11" s="1019"/>
      <c r="HJN11" s="1018"/>
      <c r="HJO11" s="1018"/>
      <c r="HJP11" s="1018"/>
      <c r="HJQ11" s="1018"/>
      <c r="HJR11" s="1018"/>
      <c r="HJS11" s="1018"/>
      <c r="HJT11" s="139"/>
      <c r="HJU11" s="128"/>
      <c r="HJV11" s="128"/>
      <c r="HJW11" s="128"/>
      <c r="HJX11" s="128"/>
      <c r="HJY11" s="118"/>
      <c r="HJZ11" s="128"/>
      <c r="HKA11" s="128"/>
      <c r="HKB11" s="991"/>
      <c r="HKC11" s="128"/>
      <c r="HKD11" s="170"/>
      <c r="HKE11" s="170"/>
      <c r="HKF11" s="1018"/>
      <c r="HKG11" s="1018"/>
      <c r="HKH11" s="1018"/>
      <c r="HKI11" s="1018"/>
      <c r="HKJ11" s="1019"/>
      <c r="HKK11" s="1019"/>
      <c r="HKL11" s="1019"/>
      <c r="HKM11" s="1018"/>
      <c r="HKN11" s="1018"/>
      <c r="HKO11" s="1018"/>
      <c r="HKP11" s="1018"/>
      <c r="HKQ11" s="1018"/>
      <c r="HKR11" s="1018"/>
      <c r="HKS11" s="139"/>
      <c r="HKT11" s="128"/>
      <c r="HKU11" s="128"/>
      <c r="HKV11" s="128"/>
      <c r="HKW11" s="128"/>
      <c r="HKX11" s="118"/>
      <c r="HKY11" s="128"/>
      <c r="HKZ11" s="128"/>
      <c r="HLA11" s="991"/>
      <c r="HLB11" s="128"/>
      <c r="HLC11" s="170"/>
      <c r="HLD11" s="170"/>
      <c r="HLE11" s="1018"/>
      <c r="HLF11" s="1018"/>
      <c r="HLG11" s="1018"/>
      <c r="HLH11" s="1018"/>
      <c r="HLI11" s="1019"/>
      <c r="HLJ11" s="1019"/>
      <c r="HLK11" s="1019"/>
      <c r="HLL11" s="1018"/>
      <c r="HLM11" s="1018"/>
      <c r="HLN11" s="1018"/>
      <c r="HLO11" s="1018"/>
      <c r="HLP11" s="1018"/>
      <c r="HLQ11" s="1018"/>
      <c r="HLR11" s="139"/>
      <c r="HLS11" s="128"/>
      <c r="HLT11" s="128"/>
      <c r="HLU11" s="128"/>
      <c r="HLV11" s="128"/>
      <c r="HLW11" s="118"/>
      <c r="HLX11" s="128"/>
      <c r="HLY11" s="128"/>
      <c r="HLZ11" s="991"/>
      <c r="HMA11" s="128"/>
      <c r="HMB11" s="170"/>
      <c r="HMC11" s="170"/>
      <c r="HMD11" s="1018"/>
      <c r="HME11" s="1018"/>
      <c r="HMF11" s="1018"/>
      <c r="HMG11" s="1018"/>
      <c r="HMH11" s="1019"/>
      <c r="HMI11" s="1019"/>
      <c r="HMJ11" s="1019"/>
      <c r="HMK11" s="1018"/>
      <c r="HML11" s="1018"/>
      <c r="HMM11" s="1018"/>
      <c r="HMN11" s="1018"/>
      <c r="HMO11" s="1018"/>
      <c r="HMP11" s="1018"/>
      <c r="HMQ11" s="139"/>
      <c r="HMR11" s="128"/>
      <c r="HMS11" s="128"/>
      <c r="HMT11" s="128"/>
      <c r="HMU11" s="128"/>
      <c r="HMV11" s="118"/>
      <c r="HMW11" s="128"/>
      <c r="HMX11" s="128"/>
      <c r="HMY11" s="991"/>
      <c r="HMZ11" s="128"/>
      <c r="HNA11" s="170"/>
      <c r="HNB11" s="170"/>
      <c r="HNC11" s="1018"/>
      <c r="HND11" s="1018"/>
      <c r="HNE11" s="1018"/>
      <c r="HNF11" s="1018"/>
      <c r="HNG11" s="1019"/>
      <c r="HNH11" s="1019"/>
      <c r="HNI11" s="1019"/>
      <c r="HNJ11" s="1018"/>
      <c r="HNK11" s="1018"/>
      <c r="HNL11" s="1018"/>
      <c r="HNM11" s="1018"/>
      <c r="HNN11" s="1018"/>
      <c r="HNO11" s="1018"/>
      <c r="HNP11" s="139"/>
      <c r="HNQ11" s="128"/>
      <c r="HNR11" s="128"/>
      <c r="HNS11" s="128"/>
      <c r="HNT11" s="128"/>
      <c r="HNU11" s="118"/>
      <c r="HNV11" s="128"/>
      <c r="HNW11" s="128"/>
      <c r="HNX11" s="991"/>
      <c r="HNY11" s="128"/>
      <c r="HNZ11" s="170"/>
      <c r="HOA11" s="170"/>
      <c r="HOB11" s="1018"/>
      <c r="HOC11" s="1018"/>
      <c r="HOD11" s="1018"/>
      <c r="HOE11" s="1018"/>
      <c r="HOF11" s="1019"/>
      <c r="HOG11" s="1019"/>
      <c r="HOH11" s="1019"/>
      <c r="HOI11" s="1018"/>
      <c r="HOJ11" s="1018"/>
      <c r="HOK11" s="1018"/>
      <c r="HOL11" s="1018"/>
      <c r="HOM11" s="1018"/>
      <c r="HON11" s="1018"/>
      <c r="HOO11" s="139"/>
      <c r="HOP11" s="128"/>
      <c r="HOQ11" s="128"/>
      <c r="HOR11" s="128"/>
      <c r="HOS11" s="128"/>
      <c r="HOT11" s="118"/>
      <c r="HOU11" s="128"/>
      <c r="HOV11" s="128"/>
      <c r="HOW11" s="991"/>
      <c r="HOX11" s="128"/>
      <c r="HOY11" s="170"/>
      <c r="HOZ11" s="170"/>
      <c r="HPA11" s="1018"/>
      <c r="HPB11" s="1018"/>
      <c r="HPC11" s="1018"/>
      <c r="HPD11" s="1018"/>
      <c r="HPE11" s="1019"/>
      <c r="HPF11" s="1019"/>
      <c r="HPG11" s="1019"/>
      <c r="HPH11" s="1018"/>
      <c r="HPI11" s="1018"/>
      <c r="HPJ11" s="1018"/>
      <c r="HPK11" s="1018"/>
      <c r="HPL11" s="1018"/>
      <c r="HPM11" s="1018"/>
      <c r="HPN11" s="139"/>
      <c r="HPO11" s="128"/>
      <c r="HPP11" s="128"/>
      <c r="HPQ11" s="128"/>
      <c r="HPR11" s="128"/>
      <c r="HPS11" s="118"/>
      <c r="HPT11" s="128"/>
      <c r="HPU11" s="128"/>
      <c r="HPV11" s="991"/>
      <c r="HPW11" s="128"/>
      <c r="HPX11" s="170"/>
      <c r="HPY11" s="170"/>
      <c r="HPZ11" s="1018"/>
      <c r="HQA11" s="1018"/>
      <c r="HQB11" s="1018"/>
      <c r="HQC11" s="1018"/>
      <c r="HQD11" s="1019"/>
      <c r="HQE11" s="1019"/>
      <c r="HQF11" s="1019"/>
      <c r="HQG11" s="1018"/>
      <c r="HQH11" s="1018"/>
      <c r="HQI11" s="1018"/>
      <c r="HQJ11" s="1018"/>
      <c r="HQK11" s="1018"/>
      <c r="HQL11" s="1018"/>
      <c r="HQM11" s="139"/>
      <c r="HQN11" s="128"/>
      <c r="HQO11" s="128"/>
      <c r="HQP11" s="128"/>
      <c r="HQQ11" s="128"/>
      <c r="HQR11" s="118"/>
      <c r="HQS11" s="128"/>
      <c r="HQT11" s="128"/>
      <c r="HQU11" s="991"/>
      <c r="HQV11" s="128"/>
      <c r="HQW11" s="170"/>
      <c r="HQX11" s="170"/>
      <c r="HQY11" s="1018"/>
      <c r="HQZ11" s="1018"/>
      <c r="HRA11" s="1018"/>
      <c r="HRB11" s="1018"/>
      <c r="HRC11" s="1019"/>
      <c r="HRD11" s="1019"/>
      <c r="HRE11" s="1019"/>
      <c r="HRF11" s="1018"/>
      <c r="HRG11" s="1018"/>
      <c r="HRH11" s="1018"/>
      <c r="HRI11" s="1018"/>
      <c r="HRJ11" s="1018"/>
      <c r="HRK11" s="1018"/>
      <c r="HRL11" s="139"/>
      <c r="HRM11" s="128"/>
      <c r="HRN11" s="128"/>
      <c r="HRO11" s="128"/>
      <c r="HRP11" s="128"/>
      <c r="HRQ11" s="118"/>
      <c r="HRR11" s="128"/>
      <c r="HRS11" s="128"/>
      <c r="HRT11" s="991"/>
      <c r="HRU11" s="128"/>
      <c r="HRV11" s="170"/>
      <c r="HRW11" s="170"/>
      <c r="HRX11" s="1018"/>
      <c r="HRY11" s="1018"/>
      <c r="HRZ11" s="1018"/>
      <c r="HSA11" s="1018"/>
      <c r="HSB11" s="1019"/>
      <c r="HSC11" s="1019"/>
      <c r="HSD11" s="1019"/>
      <c r="HSE11" s="1018"/>
      <c r="HSF11" s="1018"/>
      <c r="HSG11" s="1018"/>
      <c r="HSH11" s="1018"/>
      <c r="HSI11" s="1018"/>
      <c r="HSJ11" s="1018"/>
      <c r="HSK11" s="139"/>
      <c r="HSL11" s="128"/>
      <c r="HSM11" s="128"/>
      <c r="HSN11" s="128"/>
      <c r="HSO11" s="128"/>
      <c r="HSP11" s="118"/>
      <c r="HSQ11" s="128"/>
      <c r="HSR11" s="128"/>
      <c r="HSS11" s="991"/>
      <c r="HST11" s="128"/>
      <c r="HSU11" s="170"/>
      <c r="HSV11" s="170"/>
      <c r="HSW11" s="1018"/>
      <c r="HSX11" s="1018"/>
      <c r="HSY11" s="1018"/>
      <c r="HSZ11" s="1018"/>
      <c r="HTA11" s="1019"/>
      <c r="HTB11" s="1019"/>
      <c r="HTC11" s="1019"/>
      <c r="HTD11" s="1018"/>
      <c r="HTE11" s="1018"/>
      <c r="HTF11" s="1018"/>
      <c r="HTG11" s="1018"/>
      <c r="HTH11" s="1018"/>
      <c r="HTI11" s="1018"/>
      <c r="HTJ11" s="139"/>
      <c r="HTK11" s="128"/>
      <c r="HTL11" s="128"/>
      <c r="HTM11" s="128"/>
      <c r="HTN11" s="128"/>
      <c r="HTO11" s="118"/>
      <c r="HTP11" s="128"/>
      <c r="HTQ11" s="128"/>
      <c r="HTR11" s="991"/>
      <c r="HTS11" s="128"/>
      <c r="HTT11" s="170"/>
      <c r="HTU11" s="170"/>
      <c r="HTV11" s="1018"/>
      <c r="HTW11" s="1018"/>
      <c r="HTX11" s="1018"/>
      <c r="HTY11" s="1018"/>
      <c r="HTZ11" s="1019"/>
      <c r="HUA11" s="1019"/>
      <c r="HUB11" s="1019"/>
      <c r="HUC11" s="1018"/>
      <c r="HUD11" s="1018"/>
      <c r="HUE11" s="1018"/>
      <c r="HUF11" s="1018"/>
      <c r="HUG11" s="1018"/>
      <c r="HUH11" s="1018"/>
      <c r="HUI11" s="139"/>
      <c r="HUJ11" s="128"/>
      <c r="HUK11" s="128"/>
      <c r="HUL11" s="128"/>
      <c r="HUM11" s="128"/>
      <c r="HUN11" s="118"/>
      <c r="HUO11" s="128"/>
      <c r="HUP11" s="128"/>
      <c r="HUQ11" s="991"/>
      <c r="HUR11" s="128"/>
      <c r="HUS11" s="170"/>
      <c r="HUT11" s="170"/>
      <c r="HUU11" s="1018"/>
      <c r="HUV11" s="1018"/>
      <c r="HUW11" s="1018"/>
      <c r="HUX11" s="1018"/>
      <c r="HUY11" s="1019"/>
      <c r="HUZ11" s="1019"/>
      <c r="HVA11" s="1019"/>
      <c r="HVB11" s="1018"/>
      <c r="HVC11" s="1018"/>
      <c r="HVD11" s="1018"/>
      <c r="HVE11" s="1018"/>
      <c r="HVF11" s="1018"/>
      <c r="HVG11" s="1018"/>
      <c r="HVH11" s="139"/>
      <c r="HVI11" s="128"/>
      <c r="HVJ11" s="128"/>
      <c r="HVK11" s="128"/>
      <c r="HVL11" s="128"/>
      <c r="HVM11" s="118"/>
      <c r="HVN11" s="128"/>
      <c r="HVO11" s="128"/>
      <c r="HVP11" s="991"/>
      <c r="HVQ11" s="128"/>
      <c r="HVR11" s="170"/>
      <c r="HVS11" s="170"/>
      <c r="HVT11" s="1018"/>
      <c r="HVU11" s="1018"/>
      <c r="HVV11" s="1018"/>
      <c r="HVW11" s="1018"/>
      <c r="HVX11" s="1019"/>
      <c r="HVY11" s="1019"/>
      <c r="HVZ11" s="1019"/>
      <c r="HWA11" s="1018"/>
      <c r="HWB11" s="1018"/>
      <c r="HWC11" s="1018"/>
      <c r="HWD11" s="1018"/>
      <c r="HWE11" s="1018"/>
      <c r="HWF11" s="1018"/>
      <c r="HWG11" s="139"/>
      <c r="HWH11" s="128"/>
      <c r="HWI11" s="128"/>
      <c r="HWJ11" s="128"/>
      <c r="HWK11" s="128"/>
      <c r="HWL11" s="118"/>
      <c r="HWM11" s="128"/>
      <c r="HWN11" s="128"/>
      <c r="HWO11" s="991"/>
      <c r="HWP11" s="128"/>
      <c r="HWQ11" s="170"/>
      <c r="HWR11" s="170"/>
      <c r="HWS11" s="1018"/>
      <c r="HWT11" s="1018"/>
      <c r="HWU11" s="1018"/>
      <c r="HWV11" s="1018"/>
      <c r="HWW11" s="1019"/>
      <c r="HWX11" s="1019"/>
      <c r="HWY11" s="1019"/>
      <c r="HWZ11" s="1018"/>
      <c r="HXA11" s="1018"/>
      <c r="HXB11" s="1018"/>
      <c r="HXC11" s="1018"/>
      <c r="HXD11" s="1018"/>
      <c r="HXE11" s="1018"/>
      <c r="HXF11" s="139"/>
      <c r="HXG11" s="128"/>
      <c r="HXH11" s="128"/>
      <c r="HXI11" s="128"/>
      <c r="HXJ11" s="128"/>
      <c r="HXK11" s="118"/>
      <c r="HXL11" s="128"/>
      <c r="HXM11" s="128"/>
      <c r="HXN11" s="991"/>
      <c r="HXO11" s="128"/>
      <c r="HXP11" s="170"/>
      <c r="HXQ11" s="170"/>
      <c r="HXR11" s="1018"/>
      <c r="HXS11" s="1018"/>
      <c r="HXT11" s="1018"/>
      <c r="HXU11" s="1018"/>
      <c r="HXV11" s="1019"/>
      <c r="HXW11" s="1019"/>
      <c r="HXX11" s="1019"/>
      <c r="HXY11" s="1018"/>
      <c r="HXZ11" s="1018"/>
      <c r="HYA11" s="1018"/>
      <c r="HYB11" s="1018"/>
      <c r="HYC11" s="1018"/>
      <c r="HYD11" s="1018"/>
      <c r="HYE11" s="139"/>
      <c r="HYF11" s="128"/>
      <c r="HYG11" s="128"/>
      <c r="HYH11" s="128"/>
      <c r="HYI11" s="128"/>
      <c r="HYJ11" s="118"/>
      <c r="HYK11" s="128"/>
      <c r="HYL11" s="128"/>
      <c r="HYM11" s="991"/>
      <c r="HYN11" s="128"/>
      <c r="HYO11" s="170"/>
      <c r="HYP11" s="170"/>
      <c r="HYQ11" s="1018"/>
      <c r="HYR11" s="1018"/>
      <c r="HYS11" s="1018"/>
      <c r="HYT11" s="1018"/>
      <c r="HYU11" s="1019"/>
      <c r="HYV11" s="1019"/>
      <c r="HYW11" s="1019"/>
      <c r="HYX11" s="1018"/>
      <c r="HYY11" s="1018"/>
      <c r="HYZ11" s="1018"/>
      <c r="HZA11" s="1018"/>
      <c r="HZB11" s="1018"/>
      <c r="HZC11" s="1018"/>
      <c r="HZD11" s="139"/>
      <c r="HZE11" s="128"/>
      <c r="HZF11" s="128"/>
      <c r="HZG11" s="128"/>
      <c r="HZH11" s="128"/>
      <c r="HZI11" s="118"/>
      <c r="HZJ11" s="128"/>
      <c r="HZK11" s="128"/>
      <c r="HZL11" s="991"/>
      <c r="HZM11" s="128"/>
      <c r="HZN11" s="170"/>
      <c r="HZO11" s="170"/>
      <c r="HZP11" s="1018"/>
      <c r="HZQ11" s="1018"/>
      <c r="HZR11" s="1018"/>
      <c r="HZS11" s="1018"/>
      <c r="HZT11" s="1019"/>
      <c r="HZU11" s="1019"/>
      <c r="HZV11" s="1019"/>
      <c r="HZW11" s="1018"/>
      <c r="HZX11" s="1018"/>
      <c r="HZY11" s="1018"/>
      <c r="HZZ11" s="1018"/>
      <c r="IAA11" s="1018"/>
      <c r="IAB11" s="1018"/>
      <c r="IAC11" s="139"/>
      <c r="IAD11" s="128"/>
      <c r="IAE11" s="128"/>
      <c r="IAF11" s="128"/>
      <c r="IAG11" s="128"/>
      <c r="IAH11" s="118"/>
      <c r="IAI11" s="128"/>
      <c r="IAJ11" s="128"/>
      <c r="IAK11" s="991"/>
      <c r="IAL11" s="128"/>
      <c r="IAM11" s="170"/>
      <c r="IAN11" s="170"/>
      <c r="IAO11" s="1018"/>
      <c r="IAP11" s="1018"/>
      <c r="IAQ11" s="1018"/>
      <c r="IAR11" s="1018"/>
      <c r="IAS11" s="1019"/>
      <c r="IAT11" s="1019"/>
      <c r="IAU11" s="1019"/>
      <c r="IAV11" s="1018"/>
      <c r="IAW11" s="1018"/>
      <c r="IAX11" s="1018"/>
      <c r="IAY11" s="1018"/>
      <c r="IAZ11" s="1018"/>
      <c r="IBA11" s="1018"/>
      <c r="IBB11" s="139"/>
      <c r="IBC11" s="128"/>
      <c r="IBD11" s="128"/>
      <c r="IBE11" s="128"/>
      <c r="IBF11" s="128"/>
      <c r="IBG11" s="118"/>
      <c r="IBH11" s="128"/>
      <c r="IBI11" s="128"/>
      <c r="IBJ11" s="991"/>
      <c r="IBK11" s="128"/>
      <c r="IBL11" s="170"/>
      <c r="IBM11" s="170"/>
      <c r="IBN11" s="1018"/>
      <c r="IBO11" s="1018"/>
      <c r="IBP11" s="1018"/>
      <c r="IBQ11" s="1018"/>
      <c r="IBR11" s="1019"/>
      <c r="IBS11" s="1019"/>
      <c r="IBT11" s="1019"/>
      <c r="IBU11" s="1018"/>
      <c r="IBV11" s="1018"/>
      <c r="IBW11" s="1018"/>
      <c r="IBX11" s="1018"/>
      <c r="IBY11" s="1018"/>
      <c r="IBZ11" s="1018"/>
      <c r="ICA11" s="139"/>
      <c r="ICB11" s="128"/>
      <c r="ICC11" s="128"/>
      <c r="ICD11" s="128"/>
      <c r="ICE11" s="128"/>
      <c r="ICF11" s="118"/>
      <c r="ICG11" s="128"/>
      <c r="ICH11" s="128"/>
      <c r="ICI11" s="991"/>
      <c r="ICJ11" s="128"/>
      <c r="ICK11" s="170"/>
      <c r="ICL11" s="170"/>
      <c r="ICM11" s="1018"/>
      <c r="ICN11" s="1018"/>
      <c r="ICO11" s="1018"/>
      <c r="ICP11" s="1018"/>
      <c r="ICQ11" s="1019"/>
      <c r="ICR11" s="1019"/>
      <c r="ICS11" s="1019"/>
      <c r="ICT11" s="1018"/>
      <c r="ICU11" s="1018"/>
      <c r="ICV11" s="1018"/>
      <c r="ICW11" s="1018"/>
      <c r="ICX11" s="1018"/>
      <c r="ICY11" s="1018"/>
      <c r="ICZ11" s="139"/>
      <c r="IDA11" s="128"/>
      <c r="IDB11" s="128"/>
      <c r="IDC11" s="128"/>
      <c r="IDD11" s="128"/>
      <c r="IDE11" s="118"/>
      <c r="IDF11" s="128"/>
      <c r="IDG11" s="128"/>
      <c r="IDH11" s="991"/>
      <c r="IDI11" s="128"/>
      <c r="IDJ11" s="170"/>
      <c r="IDK11" s="170"/>
      <c r="IDL11" s="1018"/>
      <c r="IDM11" s="1018"/>
      <c r="IDN11" s="1018"/>
      <c r="IDO11" s="1018"/>
      <c r="IDP11" s="1019"/>
      <c r="IDQ11" s="1019"/>
      <c r="IDR11" s="1019"/>
      <c r="IDS11" s="1018"/>
      <c r="IDT11" s="1018"/>
      <c r="IDU11" s="1018"/>
      <c r="IDV11" s="1018"/>
      <c r="IDW11" s="1018"/>
      <c r="IDX11" s="1018"/>
      <c r="IDY11" s="139"/>
      <c r="IDZ11" s="128"/>
      <c r="IEA11" s="128"/>
      <c r="IEB11" s="128"/>
      <c r="IEC11" s="128"/>
      <c r="IED11" s="118"/>
      <c r="IEE11" s="128"/>
      <c r="IEF11" s="128"/>
      <c r="IEG11" s="991"/>
      <c r="IEH11" s="128"/>
      <c r="IEI11" s="170"/>
      <c r="IEJ11" s="170"/>
      <c r="IEK11" s="1018"/>
      <c r="IEL11" s="1018"/>
      <c r="IEM11" s="1018"/>
      <c r="IEN11" s="1018"/>
      <c r="IEO11" s="1019"/>
      <c r="IEP11" s="1019"/>
      <c r="IEQ11" s="1019"/>
      <c r="IER11" s="1018"/>
      <c r="IES11" s="1018"/>
      <c r="IET11" s="1018"/>
      <c r="IEU11" s="1018"/>
      <c r="IEV11" s="1018"/>
      <c r="IEW11" s="1018"/>
      <c r="IEX11" s="139"/>
      <c r="IEY11" s="128"/>
      <c r="IEZ11" s="128"/>
      <c r="IFA11" s="128"/>
      <c r="IFB11" s="128"/>
      <c r="IFC11" s="118"/>
      <c r="IFD11" s="128"/>
      <c r="IFE11" s="128"/>
      <c r="IFF11" s="991"/>
      <c r="IFG11" s="128"/>
      <c r="IFH11" s="170"/>
      <c r="IFI11" s="170"/>
      <c r="IFJ11" s="1018"/>
      <c r="IFK11" s="1018"/>
      <c r="IFL11" s="1018"/>
      <c r="IFM11" s="1018"/>
      <c r="IFN11" s="1019"/>
      <c r="IFO11" s="1019"/>
      <c r="IFP11" s="1019"/>
      <c r="IFQ11" s="1018"/>
      <c r="IFR11" s="1018"/>
      <c r="IFS11" s="1018"/>
      <c r="IFT11" s="1018"/>
      <c r="IFU11" s="1018"/>
      <c r="IFV11" s="1018"/>
      <c r="IFW11" s="139"/>
      <c r="IFX11" s="128"/>
      <c r="IFY11" s="128"/>
      <c r="IFZ11" s="128"/>
      <c r="IGA11" s="128"/>
      <c r="IGB11" s="118"/>
      <c r="IGC11" s="128"/>
      <c r="IGD11" s="128"/>
      <c r="IGE11" s="991"/>
      <c r="IGF11" s="128"/>
      <c r="IGG11" s="170"/>
      <c r="IGH11" s="170"/>
      <c r="IGI11" s="1018"/>
      <c r="IGJ11" s="1018"/>
      <c r="IGK11" s="1018"/>
      <c r="IGL11" s="1018"/>
      <c r="IGM11" s="1019"/>
      <c r="IGN11" s="1019"/>
      <c r="IGO11" s="1019"/>
      <c r="IGP11" s="1018"/>
      <c r="IGQ11" s="1018"/>
      <c r="IGR11" s="1018"/>
      <c r="IGS11" s="1018"/>
      <c r="IGT11" s="1018"/>
      <c r="IGU11" s="1018"/>
      <c r="IGV11" s="139"/>
      <c r="IGW11" s="128"/>
      <c r="IGX11" s="128"/>
      <c r="IGY11" s="128"/>
      <c r="IGZ11" s="128"/>
      <c r="IHA11" s="118"/>
      <c r="IHB11" s="128"/>
      <c r="IHC11" s="128"/>
      <c r="IHD11" s="991"/>
      <c r="IHE11" s="128"/>
      <c r="IHF11" s="170"/>
      <c r="IHG11" s="170"/>
      <c r="IHH11" s="1018"/>
      <c r="IHI11" s="1018"/>
      <c r="IHJ11" s="1018"/>
      <c r="IHK11" s="1018"/>
      <c r="IHL11" s="1019"/>
      <c r="IHM11" s="1019"/>
      <c r="IHN11" s="1019"/>
      <c r="IHO11" s="1018"/>
      <c r="IHP11" s="1018"/>
      <c r="IHQ11" s="1018"/>
      <c r="IHR11" s="1018"/>
      <c r="IHS11" s="1018"/>
      <c r="IHT11" s="1018"/>
      <c r="IHU11" s="139"/>
      <c r="IHV11" s="128"/>
      <c r="IHW11" s="128"/>
      <c r="IHX11" s="128"/>
      <c r="IHY11" s="128"/>
      <c r="IHZ11" s="118"/>
      <c r="IIA11" s="128"/>
      <c r="IIB11" s="128"/>
      <c r="IIC11" s="991"/>
      <c r="IID11" s="128"/>
      <c r="IIE11" s="170"/>
      <c r="IIF11" s="170"/>
      <c r="IIG11" s="1018"/>
      <c r="IIH11" s="1018"/>
      <c r="III11" s="1018"/>
      <c r="IIJ11" s="1018"/>
      <c r="IIK11" s="1019"/>
      <c r="IIL11" s="1019"/>
      <c r="IIM11" s="1019"/>
      <c r="IIN11" s="1018"/>
      <c r="IIO11" s="1018"/>
      <c r="IIP11" s="1018"/>
      <c r="IIQ11" s="1018"/>
      <c r="IIR11" s="1018"/>
      <c r="IIS11" s="1018"/>
      <c r="IIT11" s="139"/>
      <c r="IIU11" s="128"/>
      <c r="IIV11" s="128"/>
      <c r="IIW11" s="128"/>
      <c r="IIX11" s="128"/>
      <c r="IIY11" s="118"/>
      <c r="IIZ11" s="128"/>
      <c r="IJA11" s="128"/>
      <c r="IJB11" s="991"/>
      <c r="IJC11" s="128"/>
      <c r="IJD11" s="170"/>
      <c r="IJE11" s="170"/>
      <c r="IJF11" s="1018"/>
      <c r="IJG11" s="1018"/>
      <c r="IJH11" s="1018"/>
      <c r="IJI11" s="1018"/>
      <c r="IJJ11" s="1019"/>
      <c r="IJK11" s="1019"/>
      <c r="IJL11" s="1019"/>
      <c r="IJM11" s="1018"/>
      <c r="IJN11" s="1018"/>
      <c r="IJO11" s="1018"/>
      <c r="IJP11" s="1018"/>
      <c r="IJQ11" s="1018"/>
      <c r="IJR11" s="1018"/>
      <c r="IJS11" s="139"/>
      <c r="IJT11" s="128"/>
      <c r="IJU11" s="128"/>
      <c r="IJV11" s="128"/>
      <c r="IJW11" s="128"/>
      <c r="IJX11" s="118"/>
      <c r="IJY11" s="128"/>
      <c r="IJZ11" s="128"/>
      <c r="IKA11" s="991"/>
      <c r="IKB11" s="128"/>
      <c r="IKC11" s="170"/>
      <c r="IKD11" s="170"/>
      <c r="IKE11" s="1018"/>
      <c r="IKF11" s="1018"/>
      <c r="IKG11" s="1018"/>
      <c r="IKH11" s="1018"/>
      <c r="IKI11" s="1019"/>
      <c r="IKJ11" s="1019"/>
      <c r="IKK11" s="1019"/>
      <c r="IKL11" s="1018"/>
      <c r="IKM11" s="1018"/>
      <c r="IKN11" s="1018"/>
      <c r="IKO11" s="1018"/>
      <c r="IKP11" s="1018"/>
      <c r="IKQ11" s="1018"/>
      <c r="IKR11" s="139"/>
      <c r="IKS11" s="128"/>
      <c r="IKT11" s="128"/>
      <c r="IKU11" s="128"/>
      <c r="IKV11" s="128"/>
      <c r="IKW11" s="118"/>
      <c r="IKX11" s="128"/>
      <c r="IKY11" s="128"/>
      <c r="IKZ11" s="991"/>
      <c r="ILA11" s="128"/>
      <c r="ILB11" s="170"/>
      <c r="ILC11" s="170"/>
      <c r="ILD11" s="1018"/>
      <c r="ILE11" s="1018"/>
      <c r="ILF11" s="1018"/>
      <c r="ILG11" s="1018"/>
      <c r="ILH11" s="1019"/>
      <c r="ILI11" s="1019"/>
      <c r="ILJ11" s="1019"/>
      <c r="ILK11" s="1018"/>
      <c r="ILL11" s="1018"/>
      <c r="ILM11" s="1018"/>
      <c r="ILN11" s="1018"/>
      <c r="ILO11" s="1018"/>
      <c r="ILP11" s="1018"/>
      <c r="ILQ11" s="139"/>
      <c r="ILR11" s="128"/>
      <c r="ILS11" s="128"/>
      <c r="ILT11" s="128"/>
      <c r="ILU11" s="128"/>
      <c r="ILV11" s="118"/>
      <c r="ILW11" s="128"/>
      <c r="ILX11" s="128"/>
      <c r="ILY11" s="991"/>
      <c r="ILZ11" s="128"/>
      <c r="IMA11" s="170"/>
      <c r="IMB11" s="170"/>
      <c r="IMC11" s="1018"/>
      <c r="IMD11" s="1018"/>
      <c r="IME11" s="1018"/>
      <c r="IMF11" s="1018"/>
      <c r="IMG11" s="1019"/>
      <c r="IMH11" s="1019"/>
      <c r="IMI11" s="1019"/>
      <c r="IMJ11" s="1018"/>
      <c r="IMK11" s="1018"/>
      <c r="IML11" s="1018"/>
      <c r="IMM11" s="1018"/>
      <c r="IMN11" s="1018"/>
      <c r="IMO11" s="1018"/>
      <c r="IMP11" s="139"/>
      <c r="IMQ11" s="128"/>
      <c r="IMR11" s="128"/>
      <c r="IMS11" s="128"/>
      <c r="IMT11" s="128"/>
      <c r="IMU11" s="118"/>
      <c r="IMV11" s="128"/>
      <c r="IMW11" s="128"/>
      <c r="IMX11" s="991"/>
      <c r="IMY11" s="128"/>
      <c r="IMZ11" s="170"/>
      <c r="INA11" s="170"/>
      <c r="INB11" s="1018"/>
      <c r="INC11" s="1018"/>
      <c r="IND11" s="1018"/>
      <c r="INE11" s="1018"/>
      <c r="INF11" s="1019"/>
      <c r="ING11" s="1019"/>
      <c r="INH11" s="1019"/>
      <c r="INI11" s="1018"/>
      <c r="INJ11" s="1018"/>
      <c r="INK11" s="1018"/>
      <c r="INL11" s="1018"/>
      <c r="INM11" s="1018"/>
      <c r="INN11" s="1018"/>
      <c r="INO11" s="139"/>
      <c r="INP11" s="128"/>
      <c r="INQ11" s="128"/>
      <c r="INR11" s="128"/>
      <c r="INS11" s="128"/>
      <c r="INT11" s="118"/>
      <c r="INU11" s="128"/>
      <c r="INV11" s="128"/>
      <c r="INW11" s="991"/>
      <c r="INX11" s="128"/>
      <c r="INY11" s="170"/>
      <c r="INZ11" s="170"/>
      <c r="IOA11" s="1018"/>
      <c r="IOB11" s="1018"/>
      <c r="IOC11" s="1018"/>
      <c r="IOD11" s="1018"/>
      <c r="IOE11" s="1019"/>
      <c r="IOF11" s="1019"/>
      <c r="IOG11" s="1019"/>
      <c r="IOH11" s="1018"/>
      <c r="IOI11" s="1018"/>
      <c r="IOJ11" s="1018"/>
      <c r="IOK11" s="1018"/>
      <c r="IOL11" s="1018"/>
      <c r="IOM11" s="1018"/>
      <c r="ION11" s="139"/>
      <c r="IOO11" s="128"/>
      <c r="IOP11" s="128"/>
      <c r="IOQ11" s="128"/>
      <c r="IOR11" s="128"/>
      <c r="IOS11" s="118"/>
      <c r="IOT11" s="128"/>
      <c r="IOU11" s="128"/>
      <c r="IOV11" s="991"/>
      <c r="IOW11" s="128"/>
      <c r="IOX11" s="170"/>
      <c r="IOY11" s="170"/>
      <c r="IOZ11" s="1018"/>
      <c r="IPA11" s="1018"/>
      <c r="IPB11" s="1018"/>
      <c r="IPC11" s="1018"/>
      <c r="IPD11" s="1019"/>
      <c r="IPE11" s="1019"/>
      <c r="IPF11" s="1019"/>
      <c r="IPG11" s="1018"/>
      <c r="IPH11" s="1018"/>
      <c r="IPI11" s="1018"/>
      <c r="IPJ11" s="1018"/>
      <c r="IPK11" s="1018"/>
      <c r="IPL11" s="1018"/>
      <c r="IPM11" s="139"/>
      <c r="IPN11" s="128"/>
      <c r="IPO11" s="128"/>
      <c r="IPP11" s="128"/>
      <c r="IPQ11" s="128"/>
      <c r="IPR11" s="118"/>
      <c r="IPS11" s="128"/>
      <c r="IPT11" s="128"/>
      <c r="IPU11" s="991"/>
      <c r="IPV11" s="128"/>
      <c r="IPW11" s="170"/>
      <c r="IPX11" s="170"/>
      <c r="IPY11" s="1018"/>
      <c r="IPZ11" s="1018"/>
      <c r="IQA11" s="1018"/>
      <c r="IQB11" s="1018"/>
      <c r="IQC11" s="1019"/>
      <c r="IQD11" s="1019"/>
      <c r="IQE11" s="1019"/>
      <c r="IQF11" s="1018"/>
      <c r="IQG11" s="1018"/>
      <c r="IQH11" s="1018"/>
      <c r="IQI11" s="1018"/>
      <c r="IQJ11" s="1018"/>
      <c r="IQK11" s="1018"/>
      <c r="IQL11" s="139"/>
      <c r="IQM11" s="128"/>
      <c r="IQN11" s="128"/>
      <c r="IQO11" s="128"/>
      <c r="IQP11" s="128"/>
      <c r="IQQ11" s="118"/>
      <c r="IQR11" s="128"/>
      <c r="IQS11" s="128"/>
      <c r="IQT11" s="991"/>
      <c r="IQU11" s="128"/>
      <c r="IQV11" s="170"/>
      <c r="IQW11" s="170"/>
      <c r="IQX11" s="1018"/>
      <c r="IQY11" s="1018"/>
      <c r="IQZ11" s="1018"/>
      <c r="IRA11" s="1018"/>
      <c r="IRB11" s="1019"/>
      <c r="IRC11" s="1019"/>
      <c r="IRD11" s="1019"/>
      <c r="IRE11" s="1018"/>
      <c r="IRF11" s="1018"/>
      <c r="IRG11" s="1018"/>
      <c r="IRH11" s="1018"/>
      <c r="IRI11" s="1018"/>
      <c r="IRJ11" s="1018"/>
      <c r="IRK11" s="139"/>
      <c r="IRL11" s="128"/>
      <c r="IRM11" s="128"/>
      <c r="IRN11" s="128"/>
      <c r="IRO11" s="128"/>
      <c r="IRP11" s="118"/>
      <c r="IRQ11" s="128"/>
      <c r="IRR11" s="128"/>
      <c r="IRS11" s="991"/>
      <c r="IRT11" s="128"/>
      <c r="IRU11" s="170"/>
      <c r="IRV11" s="170"/>
      <c r="IRW11" s="1018"/>
      <c r="IRX11" s="1018"/>
      <c r="IRY11" s="1018"/>
      <c r="IRZ11" s="1018"/>
      <c r="ISA11" s="1019"/>
      <c r="ISB11" s="1019"/>
      <c r="ISC11" s="1019"/>
      <c r="ISD11" s="1018"/>
      <c r="ISE11" s="1018"/>
      <c r="ISF11" s="1018"/>
      <c r="ISG11" s="1018"/>
      <c r="ISH11" s="1018"/>
      <c r="ISI11" s="1018"/>
      <c r="ISJ11" s="139"/>
      <c r="ISK11" s="128"/>
      <c r="ISL11" s="128"/>
      <c r="ISM11" s="128"/>
      <c r="ISN11" s="128"/>
      <c r="ISO11" s="118"/>
      <c r="ISP11" s="128"/>
      <c r="ISQ11" s="128"/>
      <c r="ISR11" s="991"/>
      <c r="ISS11" s="128"/>
      <c r="IST11" s="170"/>
      <c r="ISU11" s="170"/>
      <c r="ISV11" s="1018"/>
      <c r="ISW11" s="1018"/>
      <c r="ISX11" s="1018"/>
      <c r="ISY11" s="1018"/>
      <c r="ISZ11" s="1019"/>
      <c r="ITA11" s="1019"/>
      <c r="ITB11" s="1019"/>
      <c r="ITC11" s="1018"/>
      <c r="ITD11" s="1018"/>
      <c r="ITE11" s="1018"/>
      <c r="ITF11" s="1018"/>
      <c r="ITG11" s="1018"/>
      <c r="ITH11" s="1018"/>
      <c r="ITI11" s="139"/>
      <c r="ITJ11" s="128"/>
      <c r="ITK11" s="128"/>
      <c r="ITL11" s="128"/>
      <c r="ITM11" s="128"/>
      <c r="ITN11" s="118"/>
      <c r="ITO11" s="128"/>
      <c r="ITP11" s="128"/>
      <c r="ITQ11" s="991"/>
      <c r="ITR11" s="128"/>
      <c r="ITS11" s="170"/>
      <c r="ITT11" s="170"/>
      <c r="ITU11" s="1018"/>
      <c r="ITV11" s="1018"/>
      <c r="ITW11" s="1018"/>
      <c r="ITX11" s="1018"/>
      <c r="ITY11" s="1019"/>
      <c r="ITZ11" s="1019"/>
      <c r="IUA11" s="1019"/>
      <c r="IUB11" s="1018"/>
      <c r="IUC11" s="1018"/>
      <c r="IUD11" s="1018"/>
      <c r="IUE11" s="1018"/>
      <c r="IUF11" s="1018"/>
      <c r="IUG11" s="1018"/>
      <c r="IUH11" s="139"/>
      <c r="IUI11" s="128"/>
      <c r="IUJ11" s="128"/>
      <c r="IUK11" s="128"/>
      <c r="IUL11" s="128"/>
      <c r="IUM11" s="118"/>
      <c r="IUN11" s="128"/>
      <c r="IUO11" s="128"/>
      <c r="IUP11" s="991"/>
      <c r="IUQ11" s="128"/>
      <c r="IUR11" s="170"/>
      <c r="IUS11" s="170"/>
      <c r="IUT11" s="1018"/>
      <c r="IUU11" s="1018"/>
      <c r="IUV11" s="1018"/>
      <c r="IUW11" s="1018"/>
      <c r="IUX11" s="1019"/>
      <c r="IUY11" s="1019"/>
      <c r="IUZ11" s="1019"/>
      <c r="IVA11" s="1018"/>
      <c r="IVB11" s="1018"/>
      <c r="IVC11" s="1018"/>
      <c r="IVD11" s="1018"/>
      <c r="IVE11" s="1018"/>
      <c r="IVF11" s="1018"/>
      <c r="IVG11" s="139"/>
      <c r="IVH11" s="128"/>
      <c r="IVI11" s="128"/>
      <c r="IVJ11" s="128"/>
      <c r="IVK11" s="128"/>
      <c r="IVL11" s="118"/>
      <c r="IVM11" s="128"/>
      <c r="IVN11" s="128"/>
      <c r="IVO11" s="991"/>
      <c r="IVP11" s="128"/>
      <c r="IVQ11" s="170"/>
      <c r="IVR11" s="170"/>
      <c r="IVS11" s="1018"/>
      <c r="IVT11" s="1018"/>
      <c r="IVU11" s="1018"/>
      <c r="IVV11" s="1018"/>
      <c r="IVW11" s="1019"/>
      <c r="IVX11" s="1019"/>
      <c r="IVY11" s="1019"/>
      <c r="IVZ11" s="1018"/>
      <c r="IWA11" s="1018"/>
      <c r="IWB11" s="1018"/>
      <c r="IWC11" s="1018"/>
      <c r="IWD11" s="1018"/>
      <c r="IWE11" s="1018"/>
      <c r="IWF11" s="139"/>
      <c r="IWG11" s="128"/>
      <c r="IWH11" s="128"/>
      <c r="IWI11" s="128"/>
      <c r="IWJ11" s="128"/>
      <c r="IWK11" s="118"/>
      <c r="IWL11" s="128"/>
      <c r="IWM11" s="128"/>
      <c r="IWN11" s="991"/>
      <c r="IWO11" s="128"/>
      <c r="IWP11" s="170"/>
      <c r="IWQ11" s="170"/>
      <c r="IWR11" s="1018"/>
      <c r="IWS11" s="1018"/>
      <c r="IWT11" s="1018"/>
      <c r="IWU11" s="1018"/>
      <c r="IWV11" s="1019"/>
      <c r="IWW11" s="1019"/>
      <c r="IWX11" s="1019"/>
      <c r="IWY11" s="1018"/>
      <c r="IWZ11" s="1018"/>
      <c r="IXA11" s="1018"/>
      <c r="IXB11" s="1018"/>
      <c r="IXC11" s="1018"/>
      <c r="IXD11" s="1018"/>
      <c r="IXE11" s="139"/>
      <c r="IXF11" s="128"/>
      <c r="IXG11" s="128"/>
      <c r="IXH11" s="128"/>
      <c r="IXI11" s="128"/>
      <c r="IXJ11" s="118"/>
      <c r="IXK11" s="128"/>
      <c r="IXL11" s="128"/>
      <c r="IXM11" s="991"/>
      <c r="IXN11" s="128"/>
      <c r="IXO11" s="170"/>
      <c r="IXP11" s="170"/>
      <c r="IXQ11" s="1018"/>
      <c r="IXR11" s="1018"/>
      <c r="IXS11" s="1018"/>
      <c r="IXT11" s="1018"/>
      <c r="IXU11" s="1019"/>
      <c r="IXV11" s="1019"/>
      <c r="IXW11" s="1019"/>
      <c r="IXX11" s="1018"/>
      <c r="IXY11" s="1018"/>
      <c r="IXZ11" s="1018"/>
      <c r="IYA11" s="1018"/>
      <c r="IYB11" s="1018"/>
      <c r="IYC11" s="1018"/>
      <c r="IYD11" s="139"/>
      <c r="IYE11" s="128"/>
      <c r="IYF11" s="128"/>
      <c r="IYG11" s="128"/>
      <c r="IYH11" s="128"/>
      <c r="IYI11" s="118"/>
      <c r="IYJ11" s="128"/>
      <c r="IYK11" s="128"/>
      <c r="IYL11" s="991"/>
      <c r="IYM11" s="128"/>
      <c r="IYN11" s="170"/>
      <c r="IYO11" s="170"/>
      <c r="IYP11" s="1018"/>
      <c r="IYQ11" s="1018"/>
      <c r="IYR11" s="1018"/>
      <c r="IYS11" s="1018"/>
      <c r="IYT11" s="1019"/>
      <c r="IYU11" s="1019"/>
      <c r="IYV11" s="1019"/>
      <c r="IYW11" s="1018"/>
      <c r="IYX11" s="1018"/>
      <c r="IYY11" s="1018"/>
      <c r="IYZ11" s="1018"/>
      <c r="IZA11" s="1018"/>
      <c r="IZB11" s="1018"/>
      <c r="IZC11" s="139"/>
      <c r="IZD11" s="128"/>
      <c r="IZE11" s="128"/>
      <c r="IZF11" s="128"/>
      <c r="IZG11" s="128"/>
      <c r="IZH11" s="118"/>
      <c r="IZI11" s="128"/>
      <c r="IZJ11" s="128"/>
      <c r="IZK11" s="991"/>
      <c r="IZL11" s="128"/>
      <c r="IZM11" s="170"/>
      <c r="IZN11" s="170"/>
      <c r="IZO11" s="1018"/>
      <c r="IZP11" s="1018"/>
      <c r="IZQ11" s="1018"/>
      <c r="IZR11" s="1018"/>
      <c r="IZS11" s="1019"/>
      <c r="IZT11" s="1019"/>
      <c r="IZU11" s="1019"/>
      <c r="IZV11" s="1018"/>
      <c r="IZW11" s="1018"/>
      <c r="IZX11" s="1018"/>
      <c r="IZY11" s="1018"/>
      <c r="IZZ11" s="1018"/>
      <c r="JAA11" s="1018"/>
      <c r="JAB11" s="139"/>
      <c r="JAC11" s="128"/>
      <c r="JAD11" s="128"/>
      <c r="JAE11" s="128"/>
      <c r="JAF11" s="128"/>
      <c r="JAG11" s="118"/>
      <c r="JAH11" s="128"/>
      <c r="JAI11" s="128"/>
      <c r="JAJ11" s="991"/>
      <c r="JAK11" s="128"/>
      <c r="JAL11" s="170"/>
      <c r="JAM11" s="170"/>
      <c r="JAN11" s="1018"/>
      <c r="JAO11" s="1018"/>
      <c r="JAP11" s="1018"/>
      <c r="JAQ11" s="1018"/>
      <c r="JAR11" s="1019"/>
      <c r="JAS11" s="1019"/>
      <c r="JAT11" s="1019"/>
      <c r="JAU11" s="1018"/>
      <c r="JAV11" s="1018"/>
      <c r="JAW11" s="1018"/>
      <c r="JAX11" s="1018"/>
      <c r="JAY11" s="1018"/>
      <c r="JAZ11" s="1018"/>
      <c r="JBA11" s="139"/>
      <c r="JBB11" s="128"/>
      <c r="JBC11" s="128"/>
      <c r="JBD11" s="128"/>
      <c r="JBE11" s="128"/>
      <c r="JBF11" s="118"/>
      <c r="JBG11" s="128"/>
      <c r="JBH11" s="128"/>
      <c r="JBI11" s="991"/>
      <c r="JBJ11" s="128"/>
      <c r="JBK11" s="170"/>
      <c r="JBL11" s="170"/>
      <c r="JBM11" s="1018"/>
      <c r="JBN11" s="1018"/>
      <c r="JBO11" s="1018"/>
      <c r="JBP11" s="1018"/>
      <c r="JBQ11" s="1019"/>
      <c r="JBR11" s="1019"/>
      <c r="JBS11" s="1019"/>
      <c r="JBT11" s="1018"/>
      <c r="JBU11" s="1018"/>
      <c r="JBV11" s="1018"/>
      <c r="JBW11" s="1018"/>
      <c r="JBX11" s="1018"/>
      <c r="JBY11" s="1018"/>
      <c r="JBZ11" s="139"/>
      <c r="JCA11" s="128"/>
      <c r="JCB11" s="128"/>
      <c r="JCC11" s="128"/>
      <c r="JCD11" s="128"/>
      <c r="JCE11" s="118"/>
      <c r="JCF11" s="128"/>
      <c r="JCG11" s="128"/>
      <c r="JCH11" s="991"/>
      <c r="JCI11" s="128"/>
      <c r="JCJ11" s="170"/>
      <c r="JCK11" s="170"/>
      <c r="JCL11" s="1018"/>
      <c r="JCM11" s="1018"/>
      <c r="JCN11" s="1018"/>
      <c r="JCO11" s="1018"/>
      <c r="JCP11" s="1019"/>
      <c r="JCQ11" s="1019"/>
      <c r="JCR11" s="1019"/>
      <c r="JCS11" s="1018"/>
      <c r="JCT11" s="1018"/>
      <c r="JCU11" s="1018"/>
      <c r="JCV11" s="1018"/>
      <c r="JCW11" s="1018"/>
      <c r="JCX11" s="1018"/>
      <c r="JCY11" s="139"/>
      <c r="JCZ11" s="128"/>
      <c r="JDA11" s="128"/>
      <c r="JDB11" s="128"/>
      <c r="JDC11" s="128"/>
      <c r="JDD11" s="118"/>
      <c r="JDE11" s="128"/>
      <c r="JDF11" s="128"/>
      <c r="JDG11" s="991"/>
      <c r="JDH11" s="128"/>
      <c r="JDI11" s="170"/>
      <c r="JDJ11" s="170"/>
      <c r="JDK11" s="1018"/>
      <c r="JDL11" s="1018"/>
      <c r="JDM11" s="1018"/>
      <c r="JDN11" s="1018"/>
      <c r="JDO11" s="1019"/>
      <c r="JDP11" s="1019"/>
      <c r="JDQ11" s="1019"/>
      <c r="JDR11" s="1018"/>
      <c r="JDS11" s="1018"/>
      <c r="JDT11" s="1018"/>
      <c r="JDU11" s="1018"/>
      <c r="JDV11" s="1018"/>
      <c r="JDW11" s="1018"/>
      <c r="JDX11" s="139"/>
      <c r="JDY11" s="128"/>
      <c r="JDZ11" s="128"/>
      <c r="JEA11" s="128"/>
      <c r="JEB11" s="128"/>
      <c r="JEC11" s="118"/>
      <c r="JED11" s="128"/>
      <c r="JEE11" s="128"/>
      <c r="JEF11" s="991"/>
      <c r="JEG11" s="128"/>
      <c r="JEH11" s="170"/>
      <c r="JEI11" s="170"/>
      <c r="JEJ11" s="1018"/>
      <c r="JEK11" s="1018"/>
      <c r="JEL11" s="1018"/>
      <c r="JEM11" s="1018"/>
      <c r="JEN11" s="1019"/>
      <c r="JEO11" s="1019"/>
      <c r="JEP11" s="1019"/>
      <c r="JEQ11" s="1018"/>
      <c r="JER11" s="1018"/>
      <c r="JES11" s="1018"/>
      <c r="JET11" s="1018"/>
      <c r="JEU11" s="1018"/>
      <c r="JEV11" s="1018"/>
      <c r="JEW11" s="139"/>
      <c r="JEX11" s="128"/>
      <c r="JEY11" s="128"/>
      <c r="JEZ11" s="128"/>
      <c r="JFA11" s="128"/>
      <c r="JFB11" s="118"/>
      <c r="JFC11" s="128"/>
      <c r="JFD11" s="128"/>
      <c r="JFE11" s="991"/>
      <c r="JFF11" s="128"/>
      <c r="JFG11" s="170"/>
      <c r="JFH11" s="170"/>
      <c r="JFI11" s="1018"/>
      <c r="JFJ11" s="1018"/>
      <c r="JFK11" s="1018"/>
      <c r="JFL11" s="1018"/>
      <c r="JFM11" s="1019"/>
      <c r="JFN11" s="1019"/>
      <c r="JFO11" s="1019"/>
      <c r="JFP11" s="1018"/>
      <c r="JFQ11" s="1018"/>
      <c r="JFR11" s="1018"/>
      <c r="JFS11" s="1018"/>
      <c r="JFT11" s="1018"/>
      <c r="JFU11" s="1018"/>
      <c r="JFV11" s="139"/>
      <c r="JFW11" s="128"/>
      <c r="JFX11" s="128"/>
      <c r="JFY11" s="128"/>
      <c r="JFZ11" s="128"/>
      <c r="JGA11" s="118"/>
      <c r="JGB11" s="128"/>
      <c r="JGC11" s="128"/>
      <c r="JGD11" s="991"/>
      <c r="JGE11" s="128"/>
      <c r="JGF11" s="170"/>
      <c r="JGG11" s="170"/>
      <c r="JGH11" s="1018"/>
      <c r="JGI11" s="1018"/>
      <c r="JGJ11" s="1018"/>
      <c r="JGK11" s="1018"/>
      <c r="JGL11" s="1019"/>
      <c r="JGM11" s="1019"/>
      <c r="JGN11" s="1019"/>
      <c r="JGO11" s="1018"/>
      <c r="JGP11" s="1018"/>
      <c r="JGQ11" s="1018"/>
      <c r="JGR11" s="1018"/>
      <c r="JGS11" s="1018"/>
      <c r="JGT11" s="1018"/>
      <c r="JGU11" s="139"/>
      <c r="JGV11" s="128"/>
      <c r="JGW11" s="128"/>
      <c r="JGX11" s="128"/>
      <c r="JGY11" s="128"/>
      <c r="JGZ11" s="118"/>
      <c r="JHA11" s="128"/>
      <c r="JHB11" s="128"/>
      <c r="JHC11" s="991"/>
      <c r="JHD11" s="128"/>
      <c r="JHE11" s="170"/>
      <c r="JHF11" s="170"/>
      <c r="JHG11" s="1018"/>
      <c r="JHH11" s="1018"/>
      <c r="JHI11" s="1018"/>
      <c r="JHJ11" s="1018"/>
      <c r="JHK11" s="1019"/>
      <c r="JHL11" s="1019"/>
      <c r="JHM11" s="1019"/>
      <c r="JHN11" s="1018"/>
      <c r="JHO11" s="1018"/>
      <c r="JHP11" s="1018"/>
      <c r="JHQ11" s="1018"/>
      <c r="JHR11" s="1018"/>
      <c r="JHS11" s="1018"/>
      <c r="JHT11" s="139"/>
      <c r="JHU11" s="128"/>
      <c r="JHV11" s="128"/>
      <c r="JHW11" s="128"/>
      <c r="JHX11" s="128"/>
      <c r="JHY11" s="118"/>
      <c r="JHZ11" s="128"/>
      <c r="JIA11" s="128"/>
      <c r="JIB11" s="991"/>
      <c r="JIC11" s="128"/>
      <c r="JID11" s="170"/>
      <c r="JIE11" s="170"/>
      <c r="JIF11" s="1018"/>
      <c r="JIG11" s="1018"/>
      <c r="JIH11" s="1018"/>
      <c r="JII11" s="1018"/>
      <c r="JIJ11" s="1019"/>
      <c r="JIK11" s="1019"/>
      <c r="JIL11" s="1019"/>
      <c r="JIM11" s="1018"/>
      <c r="JIN11" s="1018"/>
      <c r="JIO11" s="1018"/>
      <c r="JIP11" s="1018"/>
      <c r="JIQ11" s="1018"/>
      <c r="JIR11" s="1018"/>
      <c r="JIS11" s="139"/>
      <c r="JIT11" s="128"/>
      <c r="JIU11" s="128"/>
      <c r="JIV11" s="128"/>
      <c r="JIW11" s="128"/>
      <c r="JIX11" s="118"/>
      <c r="JIY11" s="128"/>
      <c r="JIZ11" s="128"/>
      <c r="JJA11" s="991"/>
      <c r="JJB11" s="128"/>
      <c r="JJC11" s="170"/>
      <c r="JJD11" s="170"/>
      <c r="JJE11" s="1018"/>
      <c r="JJF11" s="1018"/>
      <c r="JJG11" s="1018"/>
      <c r="JJH11" s="1018"/>
      <c r="JJI11" s="1019"/>
      <c r="JJJ11" s="1019"/>
      <c r="JJK11" s="1019"/>
      <c r="JJL11" s="1018"/>
      <c r="JJM11" s="1018"/>
      <c r="JJN11" s="1018"/>
      <c r="JJO11" s="1018"/>
      <c r="JJP11" s="1018"/>
      <c r="JJQ11" s="1018"/>
      <c r="JJR11" s="139"/>
      <c r="JJS11" s="128"/>
      <c r="JJT11" s="128"/>
      <c r="JJU11" s="128"/>
      <c r="JJV11" s="128"/>
      <c r="JJW11" s="118"/>
      <c r="JJX11" s="128"/>
      <c r="JJY11" s="128"/>
      <c r="JJZ11" s="991"/>
      <c r="JKA11" s="128"/>
      <c r="JKB11" s="170"/>
      <c r="JKC11" s="170"/>
      <c r="JKD11" s="1018"/>
      <c r="JKE11" s="1018"/>
      <c r="JKF11" s="1018"/>
      <c r="JKG11" s="1018"/>
      <c r="JKH11" s="1019"/>
      <c r="JKI11" s="1019"/>
      <c r="JKJ11" s="1019"/>
      <c r="JKK11" s="1018"/>
      <c r="JKL11" s="1018"/>
      <c r="JKM11" s="1018"/>
      <c r="JKN11" s="1018"/>
      <c r="JKO11" s="1018"/>
      <c r="JKP11" s="1018"/>
      <c r="JKQ11" s="139"/>
      <c r="JKR11" s="128"/>
      <c r="JKS11" s="128"/>
      <c r="JKT11" s="128"/>
      <c r="JKU11" s="128"/>
      <c r="JKV11" s="118"/>
      <c r="JKW11" s="128"/>
      <c r="JKX11" s="128"/>
      <c r="JKY11" s="991"/>
      <c r="JKZ11" s="128"/>
      <c r="JLA11" s="170"/>
      <c r="JLB11" s="170"/>
      <c r="JLC11" s="1018"/>
      <c r="JLD11" s="1018"/>
      <c r="JLE11" s="1018"/>
      <c r="JLF11" s="1018"/>
      <c r="JLG11" s="1019"/>
      <c r="JLH11" s="1019"/>
      <c r="JLI11" s="1019"/>
      <c r="JLJ11" s="1018"/>
      <c r="JLK11" s="1018"/>
      <c r="JLL11" s="1018"/>
      <c r="JLM11" s="1018"/>
      <c r="JLN11" s="1018"/>
      <c r="JLO11" s="1018"/>
      <c r="JLP11" s="139"/>
      <c r="JLQ11" s="128"/>
      <c r="JLR11" s="128"/>
      <c r="JLS11" s="128"/>
      <c r="JLT11" s="128"/>
      <c r="JLU11" s="118"/>
      <c r="JLV11" s="128"/>
      <c r="JLW11" s="128"/>
      <c r="JLX11" s="991"/>
      <c r="JLY11" s="128"/>
      <c r="JLZ11" s="170"/>
      <c r="JMA11" s="170"/>
      <c r="JMB11" s="1018"/>
      <c r="JMC11" s="1018"/>
      <c r="JMD11" s="1018"/>
      <c r="JME11" s="1018"/>
      <c r="JMF11" s="1019"/>
      <c r="JMG11" s="1019"/>
      <c r="JMH11" s="1019"/>
      <c r="JMI11" s="1018"/>
      <c r="JMJ11" s="1018"/>
      <c r="JMK11" s="1018"/>
      <c r="JML11" s="1018"/>
      <c r="JMM11" s="1018"/>
      <c r="JMN11" s="1018"/>
      <c r="JMO11" s="139"/>
      <c r="JMP11" s="128"/>
      <c r="JMQ11" s="128"/>
      <c r="JMR11" s="128"/>
      <c r="JMS11" s="128"/>
      <c r="JMT11" s="118"/>
      <c r="JMU11" s="128"/>
      <c r="JMV11" s="128"/>
      <c r="JMW11" s="991"/>
      <c r="JMX11" s="128"/>
      <c r="JMY11" s="170"/>
      <c r="JMZ11" s="170"/>
      <c r="JNA11" s="1018"/>
      <c r="JNB11" s="1018"/>
      <c r="JNC11" s="1018"/>
      <c r="JND11" s="1018"/>
      <c r="JNE11" s="1019"/>
      <c r="JNF11" s="1019"/>
      <c r="JNG11" s="1019"/>
      <c r="JNH11" s="1018"/>
      <c r="JNI11" s="1018"/>
      <c r="JNJ11" s="1018"/>
      <c r="JNK11" s="1018"/>
      <c r="JNL11" s="1018"/>
      <c r="JNM11" s="1018"/>
      <c r="JNN11" s="139"/>
      <c r="JNO11" s="128"/>
      <c r="JNP11" s="128"/>
      <c r="JNQ11" s="128"/>
      <c r="JNR11" s="128"/>
      <c r="JNS11" s="118"/>
      <c r="JNT11" s="128"/>
      <c r="JNU11" s="128"/>
      <c r="JNV11" s="991"/>
      <c r="JNW11" s="128"/>
      <c r="JNX11" s="170"/>
      <c r="JNY11" s="170"/>
      <c r="JNZ11" s="1018"/>
      <c r="JOA11" s="1018"/>
      <c r="JOB11" s="1018"/>
      <c r="JOC11" s="1018"/>
      <c r="JOD11" s="1019"/>
      <c r="JOE11" s="1019"/>
      <c r="JOF11" s="1019"/>
      <c r="JOG11" s="1018"/>
      <c r="JOH11" s="1018"/>
      <c r="JOI11" s="1018"/>
      <c r="JOJ11" s="1018"/>
      <c r="JOK11" s="1018"/>
      <c r="JOL11" s="1018"/>
      <c r="JOM11" s="139"/>
      <c r="JON11" s="128"/>
      <c r="JOO11" s="128"/>
      <c r="JOP11" s="128"/>
      <c r="JOQ11" s="128"/>
      <c r="JOR11" s="118"/>
      <c r="JOS11" s="128"/>
      <c r="JOT11" s="128"/>
      <c r="JOU11" s="991"/>
      <c r="JOV11" s="128"/>
      <c r="JOW11" s="170"/>
      <c r="JOX11" s="170"/>
      <c r="JOY11" s="1018"/>
      <c r="JOZ11" s="1018"/>
      <c r="JPA11" s="1018"/>
      <c r="JPB11" s="1018"/>
      <c r="JPC11" s="1019"/>
      <c r="JPD11" s="1019"/>
      <c r="JPE11" s="1019"/>
      <c r="JPF11" s="1018"/>
      <c r="JPG11" s="1018"/>
      <c r="JPH11" s="1018"/>
      <c r="JPI11" s="1018"/>
      <c r="JPJ11" s="1018"/>
      <c r="JPK11" s="1018"/>
      <c r="JPL11" s="139"/>
      <c r="JPM11" s="128"/>
      <c r="JPN11" s="128"/>
      <c r="JPO11" s="128"/>
      <c r="JPP11" s="128"/>
      <c r="JPQ11" s="118"/>
      <c r="JPR11" s="128"/>
      <c r="JPS11" s="128"/>
      <c r="JPT11" s="991"/>
      <c r="JPU11" s="128"/>
      <c r="JPV11" s="170"/>
      <c r="JPW11" s="170"/>
      <c r="JPX11" s="1018"/>
      <c r="JPY11" s="1018"/>
      <c r="JPZ11" s="1018"/>
      <c r="JQA11" s="1018"/>
      <c r="JQB11" s="1019"/>
      <c r="JQC11" s="1019"/>
      <c r="JQD11" s="1019"/>
      <c r="JQE11" s="1018"/>
      <c r="JQF11" s="1018"/>
      <c r="JQG11" s="1018"/>
      <c r="JQH11" s="1018"/>
      <c r="JQI11" s="1018"/>
      <c r="JQJ11" s="1018"/>
      <c r="JQK11" s="139"/>
      <c r="JQL11" s="128"/>
      <c r="JQM11" s="128"/>
      <c r="JQN11" s="128"/>
      <c r="JQO11" s="128"/>
      <c r="JQP11" s="118"/>
      <c r="JQQ11" s="128"/>
      <c r="JQR11" s="128"/>
      <c r="JQS11" s="991"/>
      <c r="JQT11" s="128"/>
      <c r="JQU11" s="170"/>
      <c r="JQV11" s="170"/>
      <c r="JQW11" s="1018"/>
      <c r="JQX11" s="1018"/>
      <c r="JQY11" s="1018"/>
      <c r="JQZ11" s="1018"/>
      <c r="JRA11" s="1019"/>
      <c r="JRB11" s="1019"/>
      <c r="JRC11" s="1019"/>
      <c r="JRD11" s="1018"/>
      <c r="JRE11" s="1018"/>
      <c r="JRF11" s="1018"/>
      <c r="JRG11" s="1018"/>
      <c r="JRH11" s="1018"/>
      <c r="JRI11" s="1018"/>
      <c r="JRJ11" s="139"/>
      <c r="JRK11" s="128"/>
      <c r="JRL11" s="128"/>
      <c r="JRM11" s="128"/>
      <c r="JRN11" s="128"/>
      <c r="JRO11" s="118"/>
      <c r="JRP11" s="128"/>
      <c r="JRQ11" s="128"/>
      <c r="JRR11" s="991"/>
      <c r="JRS11" s="128"/>
      <c r="JRT11" s="170"/>
      <c r="JRU11" s="170"/>
      <c r="JRV11" s="1018"/>
      <c r="JRW11" s="1018"/>
      <c r="JRX11" s="1018"/>
      <c r="JRY11" s="1018"/>
      <c r="JRZ11" s="1019"/>
      <c r="JSA11" s="1019"/>
      <c r="JSB11" s="1019"/>
      <c r="JSC11" s="1018"/>
      <c r="JSD11" s="1018"/>
      <c r="JSE11" s="1018"/>
      <c r="JSF11" s="1018"/>
      <c r="JSG11" s="1018"/>
      <c r="JSH11" s="1018"/>
      <c r="JSI11" s="139"/>
      <c r="JSJ11" s="128"/>
      <c r="JSK11" s="128"/>
      <c r="JSL11" s="128"/>
      <c r="JSM11" s="128"/>
      <c r="JSN11" s="118"/>
      <c r="JSO11" s="128"/>
      <c r="JSP11" s="128"/>
      <c r="JSQ11" s="991"/>
      <c r="JSR11" s="128"/>
      <c r="JSS11" s="170"/>
      <c r="JST11" s="170"/>
      <c r="JSU11" s="1018"/>
      <c r="JSV11" s="1018"/>
      <c r="JSW11" s="1018"/>
      <c r="JSX11" s="1018"/>
      <c r="JSY11" s="1019"/>
      <c r="JSZ11" s="1019"/>
      <c r="JTA11" s="1019"/>
      <c r="JTB11" s="1018"/>
      <c r="JTC11" s="1018"/>
      <c r="JTD11" s="1018"/>
      <c r="JTE11" s="1018"/>
      <c r="JTF11" s="1018"/>
      <c r="JTG11" s="1018"/>
      <c r="JTH11" s="139"/>
      <c r="JTI11" s="128"/>
      <c r="JTJ11" s="128"/>
      <c r="JTK11" s="128"/>
      <c r="JTL11" s="128"/>
      <c r="JTM11" s="118"/>
      <c r="JTN11" s="128"/>
      <c r="JTO11" s="128"/>
      <c r="JTP11" s="991"/>
      <c r="JTQ11" s="128"/>
      <c r="JTR11" s="170"/>
      <c r="JTS11" s="170"/>
      <c r="JTT11" s="1018"/>
      <c r="JTU11" s="1018"/>
      <c r="JTV11" s="1018"/>
      <c r="JTW11" s="1018"/>
      <c r="JTX11" s="1019"/>
      <c r="JTY11" s="1019"/>
      <c r="JTZ11" s="1019"/>
      <c r="JUA11" s="1018"/>
      <c r="JUB11" s="1018"/>
      <c r="JUC11" s="1018"/>
      <c r="JUD11" s="1018"/>
      <c r="JUE11" s="1018"/>
      <c r="JUF11" s="1018"/>
      <c r="JUG11" s="139"/>
      <c r="JUH11" s="128"/>
      <c r="JUI11" s="128"/>
      <c r="JUJ11" s="128"/>
      <c r="JUK11" s="128"/>
      <c r="JUL11" s="118"/>
      <c r="JUM11" s="128"/>
      <c r="JUN11" s="128"/>
      <c r="JUO11" s="991"/>
      <c r="JUP11" s="128"/>
      <c r="JUQ11" s="170"/>
      <c r="JUR11" s="170"/>
      <c r="JUS11" s="1018"/>
      <c r="JUT11" s="1018"/>
      <c r="JUU11" s="1018"/>
      <c r="JUV11" s="1018"/>
      <c r="JUW11" s="1019"/>
      <c r="JUX11" s="1019"/>
      <c r="JUY11" s="1019"/>
      <c r="JUZ11" s="1018"/>
      <c r="JVA11" s="1018"/>
      <c r="JVB11" s="1018"/>
      <c r="JVC11" s="1018"/>
      <c r="JVD11" s="1018"/>
      <c r="JVE11" s="1018"/>
      <c r="JVF11" s="139"/>
      <c r="JVG11" s="128"/>
      <c r="JVH11" s="128"/>
      <c r="JVI11" s="128"/>
      <c r="JVJ11" s="128"/>
      <c r="JVK11" s="118"/>
      <c r="JVL11" s="128"/>
      <c r="JVM11" s="128"/>
      <c r="JVN11" s="991"/>
      <c r="JVO11" s="128"/>
      <c r="JVP11" s="170"/>
      <c r="JVQ11" s="170"/>
      <c r="JVR11" s="1018"/>
      <c r="JVS11" s="1018"/>
      <c r="JVT11" s="1018"/>
      <c r="JVU11" s="1018"/>
      <c r="JVV11" s="1019"/>
      <c r="JVW11" s="1019"/>
      <c r="JVX11" s="1019"/>
      <c r="JVY11" s="1018"/>
      <c r="JVZ11" s="1018"/>
      <c r="JWA11" s="1018"/>
      <c r="JWB11" s="1018"/>
      <c r="JWC11" s="1018"/>
      <c r="JWD11" s="1018"/>
      <c r="JWE11" s="139"/>
      <c r="JWF11" s="128"/>
      <c r="JWG11" s="128"/>
      <c r="JWH11" s="128"/>
      <c r="JWI11" s="128"/>
      <c r="JWJ11" s="118"/>
      <c r="JWK11" s="128"/>
      <c r="JWL11" s="128"/>
      <c r="JWM11" s="991"/>
      <c r="JWN11" s="128"/>
      <c r="JWO11" s="170"/>
      <c r="JWP11" s="170"/>
      <c r="JWQ11" s="1018"/>
      <c r="JWR11" s="1018"/>
      <c r="JWS11" s="1018"/>
      <c r="JWT11" s="1018"/>
      <c r="JWU11" s="1019"/>
      <c r="JWV11" s="1019"/>
      <c r="JWW11" s="1019"/>
      <c r="JWX11" s="1018"/>
      <c r="JWY11" s="1018"/>
      <c r="JWZ11" s="1018"/>
      <c r="JXA11" s="1018"/>
      <c r="JXB11" s="1018"/>
      <c r="JXC11" s="1018"/>
      <c r="JXD11" s="139"/>
      <c r="JXE11" s="128"/>
      <c r="JXF11" s="128"/>
      <c r="JXG11" s="128"/>
      <c r="JXH11" s="128"/>
      <c r="JXI11" s="118"/>
      <c r="JXJ11" s="128"/>
      <c r="JXK11" s="128"/>
      <c r="JXL11" s="991"/>
      <c r="JXM11" s="128"/>
      <c r="JXN11" s="170"/>
      <c r="JXO11" s="170"/>
      <c r="JXP11" s="1018"/>
      <c r="JXQ11" s="1018"/>
      <c r="JXR11" s="1018"/>
      <c r="JXS11" s="1018"/>
      <c r="JXT11" s="1019"/>
      <c r="JXU11" s="1019"/>
      <c r="JXV11" s="1019"/>
      <c r="JXW11" s="1018"/>
      <c r="JXX11" s="1018"/>
      <c r="JXY11" s="1018"/>
      <c r="JXZ11" s="1018"/>
      <c r="JYA11" s="1018"/>
      <c r="JYB11" s="1018"/>
      <c r="JYC11" s="139"/>
      <c r="JYD11" s="128"/>
      <c r="JYE11" s="128"/>
      <c r="JYF11" s="128"/>
      <c r="JYG11" s="128"/>
      <c r="JYH11" s="118"/>
      <c r="JYI11" s="128"/>
      <c r="JYJ11" s="128"/>
      <c r="JYK11" s="991"/>
      <c r="JYL11" s="128"/>
      <c r="JYM11" s="170"/>
      <c r="JYN11" s="170"/>
      <c r="JYO11" s="1018"/>
      <c r="JYP11" s="1018"/>
      <c r="JYQ11" s="1018"/>
      <c r="JYR11" s="1018"/>
      <c r="JYS11" s="1019"/>
      <c r="JYT11" s="1019"/>
      <c r="JYU11" s="1019"/>
      <c r="JYV11" s="1018"/>
      <c r="JYW11" s="1018"/>
      <c r="JYX11" s="1018"/>
      <c r="JYY11" s="1018"/>
      <c r="JYZ11" s="1018"/>
      <c r="JZA11" s="1018"/>
      <c r="JZB11" s="139"/>
      <c r="JZC11" s="128"/>
      <c r="JZD11" s="128"/>
      <c r="JZE11" s="128"/>
      <c r="JZF11" s="128"/>
      <c r="JZG11" s="118"/>
      <c r="JZH11" s="128"/>
      <c r="JZI11" s="128"/>
      <c r="JZJ11" s="991"/>
      <c r="JZK11" s="128"/>
      <c r="JZL11" s="170"/>
      <c r="JZM11" s="170"/>
      <c r="JZN11" s="1018"/>
      <c r="JZO11" s="1018"/>
      <c r="JZP11" s="1018"/>
      <c r="JZQ11" s="1018"/>
      <c r="JZR11" s="1019"/>
      <c r="JZS11" s="1019"/>
      <c r="JZT11" s="1019"/>
      <c r="JZU11" s="1018"/>
      <c r="JZV11" s="1018"/>
      <c r="JZW11" s="1018"/>
      <c r="JZX11" s="1018"/>
      <c r="JZY11" s="1018"/>
      <c r="JZZ11" s="1018"/>
      <c r="KAA11" s="139"/>
      <c r="KAB11" s="128"/>
      <c r="KAC11" s="128"/>
      <c r="KAD11" s="128"/>
      <c r="KAE11" s="128"/>
      <c r="KAF11" s="118"/>
      <c r="KAG11" s="128"/>
      <c r="KAH11" s="128"/>
      <c r="KAI11" s="991"/>
      <c r="KAJ11" s="128"/>
      <c r="KAK11" s="170"/>
      <c r="KAL11" s="170"/>
      <c r="KAM11" s="1018"/>
      <c r="KAN11" s="1018"/>
      <c r="KAO11" s="1018"/>
      <c r="KAP11" s="1018"/>
      <c r="KAQ11" s="1019"/>
      <c r="KAR11" s="1019"/>
      <c r="KAS11" s="1019"/>
      <c r="KAT11" s="1018"/>
      <c r="KAU11" s="1018"/>
      <c r="KAV11" s="1018"/>
      <c r="KAW11" s="1018"/>
      <c r="KAX11" s="1018"/>
      <c r="KAY11" s="1018"/>
      <c r="KAZ11" s="139"/>
      <c r="KBA11" s="128"/>
      <c r="KBB11" s="128"/>
      <c r="KBC11" s="128"/>
      <c r="KBD11" s="128"/>
      <c r="KBE11" s="118"/>
      <c r="KBF11" s="128"/>
      <c r="KBG11" s="128"/>
      <c r="KBH11" s="991"/>
      <c r="KBI11" s="128"/>
      <c r="KBJ11" s="170"/>
      <c r="KBK11" s="170"/>
      <c r="KBL11" s="1018"/>
      <c r="KBM11" s="1018"/>
      <c r="KBN11" s="1018"/>
      <c r="KBO11" s="1018"/>
      <c r="KBP11" s="1019"/>
      <c r="KBQ11" s="1019"/>
      <c r="KBR11" s="1019"/>
      <c r="KBS11" s="1018"/>
      <c r="KBT11" s="1018"/>
      <c r="KBU11" s="1018"/>
      <c r="KBV11" s="1018"/>
      <c r="KBW11" s="1018"/>
      <c r="KBX11" s="1018"/>
      <c r="KBY11" s="139"/>
      <c r="KBZ11" s="128"/>
      <c r="KCA11" s="128"/>
      <c r="KCB11" s="128"/>
      <c r="KCC11" s="128"/>
      <c r="KCD11" s="118"/>
      <c r="KCE11" s="128"/>
      <c r="KCF11" s="128"/>
      <c r="KCG11" s="991"/>
      <c r="KCH11" s="128"/>
      <c r="KCI11" s="170"/>
      <c r="KCJ11" s="170"/>
      <c r="KCK11" s="1018"/>
      <c r="KCL11" s="1018"/>
      <c r="KCM11" s="1018"/>
      <c r="KCN11" s="1018"/>
      <c r="KCO11" s="1019"/>
      <c r="KCP11" s="1019"/>
      <c r="KCQ11" s="1019"/>
      <c r="KCR11" s="1018"/>
      <c r="KCS11" s="1018"/>
      <c r="KCT11" s="1018"/>
      <c r="KCU11" s="1018"/>
      <c r="KCV11" s="1018"/>
      <c r="KCW11" s="1018"/>
      <c r="KCX11" s="139"/>
      <c r="KCY11" s="128"/>
      <c r="KCZ11" s="128"/>
      <c r="KDA11" s="128"/>
      <c r="KDB11" s="128"/>
      <c r="KDC11" s="118"/>
      <c r="KDD11" s="128"/>
      <c r="KDE11" s="128"/>
      <c r="KDF11" s="991"/>
      <c r="KDG11" s="128"/>
      <c r="KDH11" s="170"/>
      <c r="KDI11" s="170"/>
      <c r="KDJ11" s="1018"/>
      <c r="KDK11" s="1018"/>
      <c r="KDL11" s="1018"/>
      <c r="KDM11" s="1018"/>
      <c r="KDN11" s="1019"/>
      <c r="KDO11" s="1019"/>
      <c r="KDP11" s="1019"/>
      <c r="KDQ11" s="1018"/>
      <c r="KDR11" s="1018"/>
      <c r="KDS11" s="1018"/>
      <c r="KDT11" s="1018"/>
      <c r="KDU11" s="1018"/>
      <c r="KDV11" s="1018"/>
      <c r="KDW11" s="139"/>
      <c r="KDX11" s="128"/>
      <c r="KDY11" s="128"/>
      <c r="KDZ11" s="128"/>
      <c r="KEA11" s="128"/>
      <c r="KEB11" s="118"/>
      <c r="KEC11" s="128"/>
      <c r="KED11" s="128"/>
      <c r="KEE11" s="991"/>
      <c r="KEF11" s="128"/>
      <c r="KEG11" s="170"/>
      <c r="KEH11" s="170"/>
      <c r="KEI11" s="1018"/>
      <c r="KEJ11" s="1018"/>
      <c r="KEK11" s="1018"/>
      <c r="KEL11" s="1018"/>
      <c r="KEM11" s="1019"/>
      <c r="KEN11" s="1019"/>
      <c r="KEO11" s="1019"/>
      <c r="KEP11" s="1018"/>
      <c r="KEQ11" s="1018"/>
      <c r="KER11" s="1018"/>
      <c r="KES11" s="1018"/>
      <c r="KET11" s="1018"/>
      <c r="KEU11" s="1018"/>
      <c r="KEV11" s="139"/>
      <c r="KEW11" s="128"/>
      <c r="KEX11" s="128"/>
      <c r="KEY11" s="128"/>
      <c r="KEZ11" s="128"/>
      <c r="KFA11" s="118"/>
      <c r="KFB11" s="128"/>
      <c r="KFC11" s="128"/>
      <c r="KFD11" s="991"/>
      <c r="KFE11" s="128"/>
      <c r="KFF11" s="170"/>
      <c r="KFG11" s="170"/>
      <c r="KFH11" s="1018"/>
      <c r="KFI11" s="1018"/>
      <c r="KFJ11" s="1018"/>
      <c r="KFK11" s="1018"/>
      <c r="KFL11" s="1019"/>
      <c r="KFM11" s="1019"/>
      <c r="KFN11" s="1019"/>
      <c r="KFO11" s="1018"/>
      <c r="KFP11" s="1018"/>
      <c r="KFQ11" s="1018"/>
      <c r="KFR11" s="1018"/>
      <c r="KFS11" s="1018"/>
      <c r="KFT11" s="1018"/>
      <c r="KFU11" s="139"/>
      <c r="KFV11" s="128"/>
      <c r="KFW11" s="128"/>
      <c r="KFX11" s="128"/>
      <c r="KFY11" s="128"/>
      <c r="KFZ11" s="118"/>
      <c r="KGA11" s="128"/>
      <c r="KGB11" s="128"/>
      <c r="KGC11" s="991"/>
      <c r="KGD11" s="128"/>
      <c r="KGE11" s="170"/>
      <c r="KGF11" s="170"/>
      <c r="KGG11" s="1018"/>
      <c r="KGH11" s="1018"/>
      <c r="KGI11" s="1018"/>
      <c r="KGJ11" s="1018"/>
      <c r="KGK11" s="1019"/>
      <c r="KGL11" s="1019"/>
      <c r="KGM11" s="1019"/>
      <c r="KGN11" s="1018"/>
      <c r="KGO11" s="1018"/>
      <c r="KGP11" s="1018"/>
      <c r="KGQ11" s="1018"/>
      <c r="KGR11" s="1018"/>
      <c r="KGS11" s="1018"/>
      <c r="KGT11" s="139"/>
      <c r="KGU11" s="128"/>
      <c r="KGV11" s="128"/>
      <c r="KGW11" s="128"/>
      <c r="KGX11" s="128"/>
      <c r="KGY11" s="118"/>
      <c r="KGZ11" s="128"/>
      <c r="KHA11" s="128"/>
      <c r="KHB11" s="991"/>
      <c r="KHC11" s="128"/>
      <c r="KHD11" s="170"/>
      <c r="KHE11" s="170"/>
      <c r="KHF11" s="1018"/>
      <c r="KHG11" s="1018"/>
      <c r="KHH11" s="1018"/>
      <c r="KHI11" s="1018"/>
      <c r="KHJ11" s="1019"/>
      <c r="KHK11" s="1019"/>
      <c r="KHL11" s="1019"/>
      <c r="KHM11" s="1018"/>
      <c r="KHN11" s="1018"/>
      <c r="KHO11" s="1018"/>
      <c r="KHP11" s="1018"/>
      <c r="KHQ11" s="1018"/>
      <c r="KHR11" s="1018"/>
      <c r="KHS11" s="139"/>
      <c r="KHT11" s="128"/>
      <c r="KHU11" s="128"/>
      <c r="KHV11" s="128"/>
      <c r="KHW11" s="128"/>
      <c r="KHX11" s="118"/>
      <c r="KHY11" s="128"/>
      <c r="KHZ11" s="128"/>
      <c r="KIA11" s="991"/>
      <c r="KIB11" s="128"/>
      <c r="KIC11" s="170"/>
      <c r="KID11" s="170"/>
      <c r="KIE11" s="1018"/>
      <c r="KIF11" s="1018"/>
      <c r="KIG11" s="1018"/>
      <c r="KIH11" s="1018"/>
      <c r="KII11" s="1019"/>
      <c r="KIJ11" s="1019"/>
      <c r="KIK11" s="1019"/>
      <c r="KIL11" s="1018"/>
      <c r="KIM11" s="1018"/>
      <c r="KIN11" s="1018"/>
      <c r="KIO11" s="1018"/>
      <c r="KIP11" s="1018"/>
      <c r="KIQ11" s="1018"/>
      <c r="KIR11" s="139"/>
      <c r="KIS11" s="128"/>
      <c r="KIT11" s="128"/>
      <c r="KIU11" s="128"/>
      <c r="KIV11" s="128"/>
      <c r="KIW11" s="118"/>
      <c r="KIX11" s="128"/>
      <c r="KIY11" s="128"/>
      <c r="KIZ11" s="991"/>
      <c r="KJA11" s="128"/>
      <c r="KJB11" s="170"/>
      <c r="KJC11" s="170"/>
      <c r="KJD11" s="1018"/>
      <c r="KJE11" s="1018"/>
      <c r="KJF11" s="1018"/>
      <c r="KJG11" s="1018"/>
      <c r="KJH11" s="1019"/>
      <c r="KJI11" s="1019"/>
      <c r="KJJ11" s="1019"/>
      <c r="KJK11" s="1018"/>
      <c r="KJL11" s="1018"/>
      <c r="KJM11" s="1018"/>
      <c r="KJN11" s="1018"/>
      <c r="KJO11" s="1018"/>
      <c r="KJP11" s="1018"/>
      <c r="KJQ11" s="139"/>
      <c r="KJR11" s="128"/>
      <c r="KJS11" s="128"/>
      <c r="KJT11" s="128"/>
      <c r="KJU11" s="128"/>
      <c r="KJV11" s="118"/>
      <c r="KJW11" s="128"/>
      <c r="KJX11" s="128"/>
      <c r="KJY11" s="991"/>
      <c r="KJZ11" s="128"/>
      <c r="KKA11" s="170"/>
      <c r="KKB11" s="170"/>
      <c r="KKC11" s="1018"/>
      <c r="KKD11" s="1018"/>
      <c r="KKE11" s="1018"/>
      <c r="KKF11" s="1018"/>
      <c r="KKG11" s="1019"/>
      <c r="KKH11" s="1019"/>
      <c r="KKI11" s="1019"/>
      <c r="KKJ11" s="1018"/>
      <c r="KKK11" s="1018"/>
      <c r="KKL11" s="1018"/>
      <c r="KKM11" s="1018"/>
      <c r="KKN11" s="1018"/>
      <c r="KKO11" s="1018"/>
      <c r="KKP11" s="139"/>
      <c r="KKQ11" s="128"/>
      <c r="KKR11" s="128"/>
      <c r="KKS11" s="128"/>
      <c r="KKT11" s="128"/>
      <c r="KKU11" s="118"/>
      <c r="KKV11" s="128"/>
      <c r="KKW11" s="128"/>
      <c r="KKX11" s="991"/>
      <c r="KKY11" s="128"/>
      <c r="KKZ11" s="170"/>
      <c r="KLA11" s="170"/>
      <c r="KLB11" s="1018"/>
      <c r="KLC11" s="1018"/>
      <c r="KLD11" s="1018"/>
      <c r="KLE11" s="1018"/>
      <c r="KLF11" s="1019"/>
      <c r="KLG11" s="1019"/>
      <c r="KLH11" s="1019"/>
      <c r="KLI11" s="1018"/>
      <c r="KLJ11" s="1018"/>
      <c r="KLK11" s="1018"/>
      <c r="KLL11" s="1018"/>
      <c r="KLM11" s="1018"/>
      <c r="KLN11" s="1018"/>
      <c r="KLO11" s="139"/>
      <c r="KLP11" s="128"/>
      <c r="KLQ11" s="128"/>
      <c r="KLR11" s="128"/>
      <c r="KLS11" s="128"/>
      <c r="KLT11" s="118"/>
      <c r="KLU11" s="128"/>
      <c r="KLV11" s="128"/>
      <c r="KLW11" s="991"/>
      <c r="KLX11" s="128"/>
      <c r="KLY11" s="170"/>
      <c r="KLZ11" s="170"/>
      <c r="KMA11" s="1018"/>
      <c r="KMB11" s="1018"/>
      <c r="KMC11" s="1018"/>
      <c r="KMD11" s="1018"/>
      <c r="KME11" s="1019"/>
      <c r="KMF11" s="1019"/>
      <c r="KMG11" s="1019"/>
      <c r="KMH11" s="1018"/>
      <c r="KMI11" s="1018"/>
      <c r="KMJ11" s="1018"/>
      <c r="KMK11" s="1018"/>
      <c r="KML11" s="1018"/>
      <c r="KMM11" s="1018"/>
      <c r="KMN11" s="139"/>
      <c r="KMO11" s="128"/>
      <c r="KMP11" s="128"/>
      <c r="KMQ11" s="128"/>
      <c r="KMR11" s="128"/>
      <c r="KMS11" s="118"/>
      <c r="KMT11" s="128"/>
      <c r="KMU11" s="128"/>
      <c r="KMV11" s="991"/>
      <c r="KMW11" s="128"/>
      <c r="KMX11" s="170"/>
      <c r="KMY11" s="170"/>
      <c r="KMZ11" s="1018"/>
      <c r="KNA11" s="1018"/>
      <c r="KNB11" s="1018"/>
      <c r="KNC11" s="1018"/>
      <c r="KND11" s="1019"/>
      <c r="KNE11" s="1019"/>
      <c r="KNF11" s="1019"/>
      <c r="KNG11" s="1018"/>
      <c r="KNH11" s="1018"/>
      <c r="KNI11" s="1018"/>
      <c r="KNJ11" s="1018"/>
      <c r="KNK11" s="1018"/>
      <c r="KNL11" s="1018"/>
      <c r="KNM11" s="139"/>
      <c r="KNN11" s="128"/>
      <c r="KNO11" s="128"/>
      <c r="KNP11" s="128"/>
      <c r="KNQ11" s="128"/>
      <c r="KNR11" s="118"/>
      <c r="KNS11" s="128"/>
      <c r="KNT11" s="128"/>
      <c r="KNU11" s="991"/>
      <c r="KNV11" s="128"/>
      <c r="KNW11" s="170"/>
      <c r="KNX11" s="170"/>
      <c r="KNY11" s="1018"/>
      <c r="KNZ11" s="1018"/>
      <c r="KOA11" s="1018"/>
      <c r="KOB11" s="1018"/>
      <c r="KOC11" s="1019"/>
      <c r="KOD11" s="1019"/>
      <c r="KOE11" s="1019"/>
      <c r="KOF11" s="1018"/>
      <c r="KOG11" s="1018"/>
      <c r="KOH11" s="1018"/>
      <c r="KOI11" s="1018"/>
      <c r="KOJ11" s="1018"/>
      <c r="KOK11" s="1018"/>
      <c r="KOL11" s="139"/>
      <c r="KOM11" s="128"/>
      <c r="KON11" s="128"/>
      <c r="KOO11" s="128"/>
      <c r="KOP11" s="128"/>
      <c r="KOQ11" s="118"/>
      <c r="KOR11" s="128"/>
      <c r="KOS11" s="128"/>
      <c r="KOT11" s="991"/>
      <c r="KOU11" s="128"/>
      <c r="KOV11" s="170"/>
      <c r="KOW11" s="170"/>
      <c r="KOX11" s="1018"/>
      <c r="KOY11" s="1018"/>
      <c r="KOZ11" s="1018"/>
      <c r="KPA11" s="1018"/>
      <c r="KPB11" s="1019"/>
      <c r="KPC11" s="1019"/>
      <c r="KPD11" s="1019"/>
      <c r="KPE11" s="1018"/>
      <c r="KPF11" s="1018"/>
      <c r="KPG11" s="1018"/>
      <c r="KPH11" s="1018"/>
      <c r="KPI11" s="1018"/>
      <c r="KPJ11" s="1018"/>
      <c r="KPK11" s="139"/>
      <c r="KPL11" s="128"/>
      <c r="KPM11" s="128"/>
      <c r="KPN11" s="128"/>
      <c r="KPO11" s="128"/>
      <c r="KPP11" s="118"/>
      <c r="KPQ11" s="128"/>
      <c r="KPR11" s="128"/>
      <c r="KPS11" s="991"/>
      <c r="KPT11" s="128"/>
      <c r="KPU11" s="170"/>
      <c r="KPV11" s="170"/>
      <c r="KPW11" s="1018"/>
      <c r="KPX11" s="1018"/>
      <c r="KPY11" s="1018"/>
      <c r="KPZ11" s="1018"/>
      <c r="KQA11" s="1019"/>
      <c r="KQB11" s="1019"/>
      <c r="KQC11" s="1019"/>
      <c r="KQD11" s="1018"/>
      <c r="KQE11" s="1018"/>
      <c r="KQF11" s="1018"/>
      <c r="KQG11" s="1018"/>
      <c r="KQH11" s="1018"/>
      <c r="KQI11" s="1018"/>
      <c r="KQJ11" s="139"/>
      <c r="KQK11" s="128"/>
      <c r="KQL11" s="128"/>
      <c r="KQM11" s="128"/>
      <c r="KQN11" s="128"/>
      <c r="KQO11" s="118"/>
      <c r="KQP11" s="128"/>
      <c r="KQQ11" s="128"/>
      <c r="KQR11" s="991"/>
      <c r="KQS11" s="128"/>
      <c r="KQT11" s="170"/>
      <c r="KQU11" s="170"/>
      <c r="KQV11" s="1018"/>
      <c r="KQW11" s="1018"/>
      <c r="KQX11" s="1018"/>
      <c r="KQY11" s="1018"/>
      <c r="KQZ11" s="1019"/>
      <c r="KRA11" s="1019"/>
      <c r="KRB11" s="1019"/>
      <c r="KRC11" s="1018"/>
      <c r="KRD11" s="1018"/>
      <c r="KRE11" s="1018"/>
      <c r="KRF11" s="1018"/>
      <c r="KRG11" s="1018"/>
      <c r="KRH11" s="1018"/>
      <c r="KRI11" s="139"/>
      <c r="KRJ11" s="128"/>
      <c r="KRK11" s="128"/>
      <c r="KRL11" s="128"/>
      <c r="KRM11" s="128"/>
      <c r="KRN11" s="118"/>
      <c r="KRO11" s="128"/>
      <c r="KRP11" s="128"/>
      <c r="KRQ11" s="991"/>
      <c r="KRR11" s="128"/>
      <c r="KRS11" s="170"/>
      <c r="KRT11" s="170"/>
      <c r="KRU11" s="1018"/>
      <c r="KRV11" s="1018"/>
      <c r="KRW11" s="1018"/>
      <c r="KRX11" s="1018"/>
      <c r="KRY11" s="1019"/>
      <c r="KRZ11" s="1019"/>
      <c r="KSA11" s="1019"/>
      <c r="KSB11" s="1018"/>
      <c r="KSC11" s="1018"/>
      <c r="KSD11" s="1018"/>
      <c r="KSE11" s="1018"/>
      <c r="KSF11" s="1018"/>
      <c r="KSG11" s="1018"/>
      <c r="KSH11" s="139"/>
      <c r="KSI11" s="128"/>
      <c r="KSJ11" s="128"/>
      <c r="KSK11" s="128"/>
      <c r="KSL11" s="128"/>
      <c r="KSM11" s="118"/>
      <c r="KSN11" s="128"/>
      <c r="KSO11" s="128"/>
      <c r="KSP11" s="991"/>
      <c r="KSQ11" s="128"/>
      <c r="KSR11" s="170"/>
      <c r="KSS11" s="170"/>
      <c r="KST11" s="1018"/>
      <c r="KSU11" s="1018"/>
      <c r="KSV11" s="1018"/>
      <c r="KSW11" s="1018"/>
      <c r="KSX11" s="1019"/>
      <c r="KSY11" s="1019"/>
      <c r="KSZ11" s="1019"/>
      <c r="KTA11" s="1018"/>
      <c r="KTB11" s="1018"/>
      <c r="KTC11" s="1018"/>
      <c r="KTD11" s="1018"/>
      <c r="KTE11" s="1018"/>
      <c r="KTF11" s="1018"/>
      <c r="KTG11" s="139"/>
      <c r="KTH11" s="128"/>
      <c r="KTI11" s="128"/>
      <c r="KTJ11" s="128"/>
      <c r="KTK11" s="128"/>
      <c r="KTL11" s="118"/>
      <c r="KTM11" s="128"/>
      <c r="KTN11" s="128"/>
      <c r="KTO11" s="991"/>
      <c r="KTP11" s="128"/>
      <c r="KTQ11" s="170"/>
      <c r="KTR11" s="170"/>
      <c r="KTS11" s="1018"/>
      <c r="KTT11" s="1018"/>
      <c r="KTU11" s="1018"/>
      <c r="KTV11" s="1018"/>
      <c r="KTW11" s="1019"/>
      <c r="KTX11" s="1019"/>
      <c r="KTY11" s="1019"/>
      <c r="KTZ11" s="1018"/>
      <c r="KUA11" s="1018"/>
      <c r="KUB11" s="1018"/>
      <c r="KUC11" s="1018"/>
      <c r="KUD11" s="1018"/>
      <c r="KUE11" s="1018"/>
      <c r="KUF11" s="139"/>
      <c r="KUG11" s="128"/>
      <c r="KUH11" s="128"/>
      <c r="KUI11" s="128"/>
      <c r="KUJ11" s="128"/>
      <c r="KUK11" s="118"/>
      <c r="KUL11" s="128"/>
      <c r="KUM11" s="128"/>
      <c r="KUN11" s="991"/>
      <c r="KUO11" s="128"/>
      <c r="KUP11" s="170"/>
      <c r="KUQ11" s="170"/>
      <c r="KUR11" s="1018"/>
      <c r="KUS11" s="1018"/>
      <c r="KUT11" s="1018"/>
      <c r="KUU11" s="1018"/>
      <c r="KUV11" s="1019"/>
      <c r="KUW11" s="1019"/>
      <c r="KUX11" s="1019"/>
      <c r="KUY11" s="1018"/>
      <c r="KUZ11" s="1018"/>
      <c r="KVA11" s="1018"/>
      <c r="KVB11" s="1018"/>
      <c r="KVC11" s="1018"/>
      <c r="KVD11" s="1018"/>
      <c r="KVE11" s="139"/>
      <c r="KVF11" s="128"/>
      <c r="KVG11" s="128"/>
      <c r="KVH11" s="128"/>
      <c r="KVI11" s="128"/>
      <c r="KVJ11" s="118"/>
      <c r="KVK11" s="128"/>
      <c r="KVL11" s="128"/>
      <c r="KVM11" s="991"/>
      <c r="KVN11" s="128"/>
      <c r="KVO11" s="170"/>
      <c r="KVP11" s="170"/>
      <c r="KVQ11" s="1018"/>
      <c r="KVR11" s="1018"/>
      <c r="KVS11" s="1018"/>
      <c r="KVT11" s="1018"/>
      <c r="KVU11" s="1019"/>
      <c r="KVV11" s="1019"/>
      <c r="KVW11" s="1019"/>
      <c r="KVX11" s="1018"/>
      <c r="KVY11" s="1018"/>
      <c r="KVZ11" s="1018"/>
      <c r="KWA11" s="1018"/>
      <c r="KWB11" s="1018"/>
      <c r="KWC11" s="1018"/>
      <c r="KWD11" s="139"/>
      <c r="KWE11" s="128"/>
      <c r="KWF11" s="128"/>
      <c r="KWG11" s="128"/>
      <c r="KWH11" s="128"/>
      <c r="KWI11" s="118"/>
      <c r="KWJ11" s="128"/>
      <c r="KWK11" s="128"/>
      <c r="KWL11" s="991"/>
      <c r="KWM11" s="128"/>
      <c r="KWN11" s="170"/>
      <c r="KWO11" s="170"/>
      <c r="KWP11" s="1018"/>
      <c r="KWQ11" s="1018"/>
      <c r="KWR11" s="1018"/>
      <c r="KWS11" s="1018"/>
      <c r="KWT11" s="1019"/>
      <c r="KWU11" s="1019"/>
      <c r="KWV11" s="1019"/>
      <c r="KWW11" s="1018"/>
      <c r="KWX11" s="1018"/>
      <c r="KWY11" s="1018"/>
      <c r="KWZ11" s="1018"/>
      <c r="KXA11" s="1018"/>
      <c r="KXB11" s="1018"/>
      <c r="KXC11" s="139"/>
      <c r="KXD11" s="128"/>
      <c r="KXE11" s="128"/>
      <c r="KXF11" s="128"/>
      <c r="KXG11" s="128"/>
      <c r="KXH11" s="118"/>
      <c r="KXI11" s="128"/>
      <c r="KXJ11" s="128"/>
      <c r="KXK11" s="991"/>
      <c r="KXL11" s="128"/>
      <c r="KXM11" s="170"/>
      <c r="KXN11" s="170"/>
      <c r="KXO11" s="1018"/>
      <c r="KXP11" s="1018"/>
      <c r="KXQ11" s="1018"/>
      <c r="KXR11" s="1018"/>
      <c r="KXS11" s="1019"/>
      <c r="KXT11" s="1019"/>
      <c r="KXU11" s="1019"/>
      <c r="KXV11" s="1018"/>
      <c r="KXW11" s="1018"/>
      <c r="KXX11" s="1018"/>
      <c r="KXY11" s="1018"/>
      <c r="KXZ11" s="1018"/>
      <c r="KYA11" s="1018"/>
      <c r="KYB11" s="139"/>
      <c r="KYC11" s="128"/>
      <c r="KYD11" s="128"/>
      <c r="KYE11" s="128"/>
      <c r="KYF11" s="128"/>
      <c r="KYG11" s="118"/>
      <c r="KYH11" s="128"/>
      <c r="KYI11" s="128"/>
      <c r="KYJ11" s="991"/>
      <c r="KYK11" s="128"/>
      <c r="KYL11" s="170"/>
      <c r="KYM11" s="170"/>
      <c r="KYN11" s="1018"/>
      <c r="KYO11" s="1018"/>
      <c r="KYP11" s="1018"/>
      <c r="KYQ11" s="1018"/>
      <c r="KYR11" s="1019"/>
      <c r="KYS11" s="1019"/>
      <c r="KYT11" s="1019"/>
      <c r="KYU11" s="1018"/>
      <c r="KYV11" s="1018"/>
      <c r="KYW11" s="1018"/>
      <c r="KYX11" s="1018"/>
      <c r="KYY11" s="1018"/>
      <c r="KYZ11" s="1018"/>
      <c r="KZA11" s="139"/>
      <c r="KZB11" s="128"/>
      <c r="KZC11" s="128"/>
      <c r="KZD11" s="128"/>
      <c r="KZE11" s="128"/>
      <c r="KZF11" s="118"/>
      <c r="KZG11" s="128"/>
      <c r="KZH11" s="128"/>
      <c r="KZI11" s="991"/>
      <c r="KZJ11" s="128"/>
      <c r="KZK11" s="170"/>
      <c r="KZL11" s="170"/>
      <c r="KZM11" s="1018"/>
      <c r="KZN11" s="1018"/>
      <c r="KZO11" s="1018"/>
      <c r="KZP11" s="1018"/>
      <c r="KZQ11" s="1019"/>
      <c r="KZR11" s="1019"/>
      <c r="KZS11" s="1019"/>
      <c r="KZT11" s="1018"/>
      <c r="KZU11" s="1018"/>
      <c r="KZV11" s="1018"/>
      <c r="KZW11" s="1018"/>
      <c r="KZX11" s="1018"/>
      <c r="KZY11" s="1018"/>
      <c r="KZZ11" s="139"/>
      <c r="LAA11" s="128"/>
      <c r="LAB11" s="128"/>
      <c r="LAC11" s="128"/>
      <c r="LAD11" s="128"/>
      <c r="LAE11" s="118"/>
      <c r="LAF11" s="128"/>
      <c r="LAG11" s="128"/>
      <c r="LAH11" s="991"/>
      <c r="LAI11" s="128"/>
      <c r="LAJ11" s="170"/>
      <c r="LAK11" s="170"/>
      <c r="LAL11" s="1018"/>
      <c r="LAM11" s="1018"/>
      <c r="LAN11" s="1018"/>
      <c r="LAO11" s="1018"/>
      <c r="LAP11" s="1019"/>
      <c r="LAQ11" s="1019"/>
      <c r="LAR11" s="1019"/>
      <c r="LAS11" s="1018"/>
      <c r="LAT11" s="1018"/>
      <c r="LAU11" s="1018"/>
      <c r="LAV11" s="1018"/>
      <c r="LAW11" s="1018"/>
      <c r="LAX11" s="1018"/>
      <c r="LAY11" s="139"/>
      <c r="LAZ11" s="128"/>
      <c r="LBA11" s="128"/>
      <c r="LBB11" s="128"/>
      <c r="LBC11" s="128"/>
      <c r="LBD11" s="118"/>
      <c r="LBE11" s="128"/>
      <c r="LBF11" s="128"/>
      <c r="LBG11" s="991"/>
      <c r="LBH11" s="128"/>
      <c r="LBI11" s="170"/>
      <c r="LBJ11" s="170"/>
      <c r="LBK11" s="1018"/>
      <c r="LBL11" s="1018"/>
      <c r="LBM11" s="1018"/>
      <c r="LBN11" s="1018"/>
      <c r="LBO11" s="1019"/>
      <c r="LBP11" s="1019"/>
      <c r="LBQ11" s="1019"/>
      <c r="LBR11" s="1018"/>
      <c r="LBS11" s="1018"/>
      <c r="LBT11" s="1018"/>
      <c r="LBU11" s="1018"/>
      <c r="LBV11" s="1018"/>
      <c r="LBW11" s="1018"/>
      <c r="LBX11" s="139"/>
      <c r="LBY11" s="128"/>
      <c r="LBZ11" s="128"/>
      <c r="LCA11" s="128"/>
      <c r="LCB11" s="128"/>
      <c r="LCC11" s="118"/>
      <c r="LCD11" s="128"/>
      <c r="LCE11" s="128"/>
      <c r="LCF11" s="991"/>
      <c r="LCG11" s="128"/>
      <c r="LCH11" s="170"/>
      <c r="LCI11" s="170"/>
      <c r="LCJ11" s="1018"/>
      <c r="LCK11" s="1018"/>
      <c r="LCL11" s="1018"/>
      <c r="LCM11" s="1018"/>
      <c r="LCN11" s="1019"/>
      <c r="LCO11" s="1019"/>
      <c r="LCP11" s="1019"/>
      <c r="LCQ11" s="1018"/>
      <c r="LCR11" s="1018"/>
      <c r="LCS11" s="1018"/>
      <c r="LCT11" s="1018"/>
      <c r="LCU11" s="1018"/>
      <c r="LCV11" s="1018"/>
      <c r="LCW11" s="139"/>
      <c r="LCX11" s="128"/>
      <c r="LCY11" s="128"/>
      <c r="LCZ11" s="128"/>
      <c r="LDA11" s="128"/>
      <c r="LDB11" s="118"/>
      <c r="LDC11" s="128"/>
      <c r="LDD11" s="128"/>
      <c r="LDE11" s="991"/>
      <c r="LDF11" s="128"/>
      <c r="LDG11" s="170"/>
      <c r="LDH11" s="170"/>
      <c r="LDI11" s="1018"/>
      <c r="LDJ11" s="1018"/>
      <c r="LDK11" s="1018"/>
      <c r="LDL11" s="1018"/>
      <c r="LDM11" s="1019"/>
      <c r="LDN11" s="1019"/>
      <c r="LDO11" s="1019"/>
      <c r="LDP11" s="1018"/>
      <c r="LDQ11" s="1018"/>
      <c r="LDR11" s="1018"/>
      <c r="LDS11" s="1018"/>
      <c r="LDT11" s="1018"/>
      <c r="LDU11" s="1018"/>
      <c r="LDV11" s="139"/>
      <c r="LDW11" s="128"/>
      <c r="LDX11" s="128"/>
      <c r="LDY11" s="128"/>
      <c r="LDZ11" s="128"/>
      <c r="LEA11" s="118"/>
      <c r="LEB11" s="128"/>
      <c r="LEC11" s="128"/>
      <c r="LED11" s="991"/>
      <c r="LEE11" s="128"/>
      <c r="LEF11" s="170"/>
      <c r="LEG11" s="170"/>
      <c r="LEH11" s="1018"/>
      <c r="LEI11" s="1018"/>
      <c r="LEJ11" s="1018"/>
      <c r="LEK11" s="1018"/>
      <c r="LEL11" s="1019"/>
      <c r="LEM11" s="1019"/>
      <c r="LEN11" s="1019"/>
      <c r="LEO11" s="1018"/>
      <c r="LEP11" s="1018"/>
      <c r="LEQ11" s="1018"/>
      <c r="LER11" s="1018"/>
      <c r="LES11" s="1018"/>
      <c r="LET11" s="1018"/>
      <c r="LEU11" s="139"/>
      <c r="LEV11" s="128"/>
      <c r="LEW11" s="128"/>
      <c r="LEX11" s="128"/>
      <c r="LEY11" s="128"/>
      <c r="LEZ11" s="118"/>
      <c r="LFA11" s="128"/>
      <c r="LFB11" s="128"/>
      <c r="LFC11" s="991"/>
      <c r="LFD11" s="128"/>
      <c r="LFE11" s="170"/>
      <c r="LFF11" s="170"/>
      <c r="LFG11" s="1018"/>
      <c r="LFH11" s="1018"/>
      <c r="LFI11" s="1018"/>
      <c r="LFJ11" s="1018"/>
      <c r="LFK11" s="1019"/>
      <c r="LFL11" s="1019"/>
      <c r="LFM11" s="1019"/>
      <c r="LFN11" s="1018"/>
      <c r="LFO11" s="1018"/>
      <c r="LFP11" s="1018"/>
      <c r="LFQ11" s="1018"/>
      <c r="LFR11" s="1018"/>
      <c r="LFS11" s="1018"/>
      <c r="LFT11" s="139"/>
      <c r="LFU11" s="128"/>
      <c r="LFV11" s="128"/>
      <c r="LFW11" s="128"/>
      <c r="LFX11" s="128"/>
      <c r="LFY11" s="118"/>
      <c r="LFZ11" s="128"/>
      <c r="LGA11" s="128"/>
      <c r="LGB11" s="991"/>
      <c r="LGC11" s="128"/>
      <c r="LGD11" s="170"/>
      <c r="LGE11" s="170"/>
      <c r="LGF11" s="1018"/>
      <c r="LGG11" s="1018"/>
      <c r="LGH11" s="1018"/>
      <c r="LGI11" s="1018"/>
      <c r="LGJ11" s="1019"/>
      <c r="LGK11" s="1019"/>
      <c r="LGL11" s="1019"/>
      <c r="LGM11" s="1018"/>
      <c r="LGN11" s="1018"/>
      <c r="LGO11" s="1018"/>
      <c r="LGP11" s="1018"/>
      <c r="LGQ11" s="1018"/>
      <c r="LGR11" s="1018"/>
      <c r="LGS11" s="139"/>
      <c r="LGT11" s="128"/>
      <c r="LGU11" s="128"/>
      <c r="LGV11" s="128"/>
      <c r="LGW11" s="128"/>
      <c r="LGX11" s="118"/>
      <c r="LGY11" s="128"/>
      <c r="LGZ11" s="128"/>
      <c r="LHA11" s="991"/>
      <c r="LHB11" s="128"/>
      <c r="LHC11" s="170"/>
      <c r="LHD11" s="170"/>
      <c r="LHE11" s="1018"/>
      <c r="LHF11" s="1018"/>
      <c r="LHG11" s="1018"/>
      <c r="LHH11" s="1018"/>
      <c r="LHI11" s="1019"/>
      <c r="LHJ11" s="1019"/>
      <c r="LHK11" s="1019"/>
      <c r="LHL11" s="1018"/>
      <c r="LHM11" s="1018"/>
      <c r="LHN11" s="1018"/>
      <c r="LHO11" s="1018"/>
      <c r="LHP11" s="1018"/>
      <c r="LHQ11" s="1018"/>
      <c r="LHR11" s="139"/>
      <c r="LHS11" s="128"/>
      <c r="LHT11" s="128"/>
      <c r="LHU11" s="128"/>
      <c r="LHV11" s="128"/>
      <c r="LHW11" s="118"/>
      <c r="LHX11" s="128"/>
      <c r="LHY11" s="128"/>
      <c r="LHZ11" s="991"/>
      <c r="LIA11" s="128"/>
      <c r="LIB11" s="170"/>
      <c r="LIC11" s="170"/>
      <c r="LID11" s="1018"/>
      <c r="LIE11" s="1018"/>
      <c r="LIF11" s="1018"/>
      <c r="LIG11" s="1018"/>
      <c r="LIH11" s="1019"/>
      <c r="LII11" s="1019"/>
      <c r="LIJ11" s="1019"/>
      <c r="LIK11" s="1018"/>
      <c r="LIL11" s="1018"/>
      <c r="LIM11" s="1018"/>
      <c r="LIN11" s="1018"/>
      <c r="LIO11" s="1018"/>
      <c r="LIP11" s="1018"/>
      <c r="LIQ11" s="139"/>
      <c r="LIR11" s="128"/>
      <c r="LIS11" s="128"/>
      <c r="LIT11" s="128"/>
      <c r="LIU11" s="128"/>
      <c r="LIV11" s="118"/>
      <c r="LIW11" s="128"/>
      <c r="LIX11" s="128"/>
      <c r="LIY11" s="991"/>
      <c r="LIZ11" s="128"/>
      <c r="LJA11" s="170"/>
      <c r="LJB11" s="170"/>
      <c r="LJC11" s="1018"/>
      <c r="LJD11" s="1018"/>
      <c r="LJE11" s="1018"/>
      <c r="LJF11" s="1018"/>
      <c r="LJG11" s="1019"/>
      <c r="LJH11" s="1019"/>
      <c r="LJI11" s="1019"/>
      <c r="LJJ11" s="1018"/>
      <c r="LJK11" s="1018"/>
      <c r="LJL11" s="1018"/>
      <c r="LJM11" s="1018"/>
      <c r="LJN11" s="1018"/>
      <c r="LJO11" s="1018"/>
      <c r="LJP11" s="139"/>
      <c r="LJQ11" s="128"/>
      <c r="LJR11" s="128"/>
      <c r="LJS11" s="128"/>
      <c r="LJT11" s="128"/>
      <c r="LJU11" s="118"/>
      <c r="LJV11" s="128"/>
      <c r="LJW11" s="128"/>
      <c r="LJX11" s="991"/>
      <c r="LJY11" s="128"/>
      <c r="LJZ11" s="170"/>
      <c r="LKA11" s="170"/>
      <c r="LKB11" s="1018"/>
      <c r="LKC11" s="1018"/>
      <c r="LKD11" s="1018"/>
      <c r="LKE11" s="1018"/>
      <c r="LKF11" s="1019"/>
      <c r="LKG11" s="1019"/>
      <c r="LKH11" s="1019"/>
      <c r="LKI11" s="1018"/>
      <c r="LKJ11" s="1018"/>
      <c r="LKK11" s="1018"/>
      <c r="LKL11" s="1018"/>
      <c r="LKM11" s="1018"/>
      <c r="LKN11" s="1018"/>
      <c r="LKO11" s="139"/>
      <c r="LKP11" s="128"/>
      <c r="LKQ11" s="128"/>
      <c r="LKR11" s="128"/>
      <c r="LKS11" s="128"/>
      <c r="LKT11" s="118"/>
      <c r="LKU11" s="128"/>
      <c r="LKV11" s="128"/>
      <c r="LKW11" s="991"/>
      <c r="LKX11" s="128"/>
      <c r="LKY11" s="170"/>
      <c r="LKZ11" s="170"/>
      <c r="LLA11" s="1018"/>
      <c r="LLB11" s="1018"/>
      <c r="LLC11" s="1018"/>
      <c r="LLD11" s="1018"/>
      <c r="LLE11" s="1019"/>
      <c r="LLF11" s="1019"/>
      <c r="LLG11" s="1019"/>
      <c r="LLH11" s="1018"/>
      <c r="LLI11" s="1018"/>
      <c r="LLJ11" s="1018"/>
      <c r="LLK11" s="1018"/>
      <c r="LLL11" s="1018"/>
      <c r="LLM11" s="1018"/>
      <c r="LLN11" s="139"/>
      <c r="LLO11" s="128"/>
      <c r="LLP11" s="128"/>
      <c r="LLQ11" s="128"/>
      <c r="LLR11" s="128"/>
      <c r="LLS11" s="118"/>
      <c r="LLT11" s="128"/>
      <c r="LLU11" s="128"/>
      <c r="LLV11" s="991"/>
      <c r="LLW11" s="128"/>
      <c r="LLX11" s="170"/>
      <c r="LLY11" s="170"/>
      <c r="LLZ11" s="1018"/>
      <c r="LMA11" s="1018"/>
      <c r="LMB11" s="1018"/>
      <c r="LMC11" s="1018"/>
      <c r="LMD11" s="1019"/>
      <c r="LME11" s="1019"/>
      <c r="LMF11" s="1019"/>
      <c r="LMG11" s="1018"/>
      <c r="LMH11" s="1018"/>
      <c r="LMI11" s="1018"/>
      <c r="LMJ11" s="1018"/>
      <c r="LMK11" s="1018"/>
      <c r="LML11" s="1018"/>
      <c r="LMM11" s="139"/>
      <c r="LMN11" s="128"/>
      <c r="LMO11" s="128"/>
      <c r="LMP11" s="128"/>
      <c r="LMQ11" s="128"/>
      <c r="LMR11" s="118"/>
      <c r="LMS11" s="128"/>
      <c r="LMT11" s="128"/>
      <c r="LMU11" s="991"/>
      <c r="LMV11" s="128"/>
      <c r="LMW11" s="170"/>
      <c r="LMX11" s="170"/>
      <c r="LMY11" s="1018"/>
      <c r="LMZ11" s="1018"/>
      <c r="LNA11" s="1018"/>
      <c r="LNB11" s="1018"/>
      <c r="LNC11" s="1019"/>
      <c r="LND11" s="1019"/>
      <c r="LNE11" s="1019"/>
      <c r="LNF11" s="1018"/>
      <c r="LNG11" s="1018"/>
      <c r="LNH11" s="1018"/>
      <c r="LNI11" s="1018"/>
      <c r="LNJ11" s="1018"/>
      <c r="LNK11" s="1018"/>
      <c r="LNL11" s="139"/>
      <c r="LNM11" s="128"/>
      <c r="LNN11" s="128"/>
      <c r="LNO11" s="128"/>
      <c r="LNP11" s="128"/>
      <c r="LNQ11" s="118"/>
      <c r="LNR11" s="128"/>
      <c r="LNS11" s="128"/>
      <c r="LNT11" s="991"/>
      <c r="LNU11" s="128"/>
      <c r="LNV11" s="170"/>
      <c r="LNW11" s="170"/>
      <c r="LNX11" s="1018"/>
      <c r="LNY11" s="1018"/>
      <c r="LNZ11" s="1018"/>
      <c r="LOA11" s="1018"/>
      <c r="LOB11" s="1019"/>
      <c r="LOC11" s="1019"/>
      <c r="LOD11" s="1019"/>
      <c r="LOE11" s="1018"/>
      <c r="LOF11" s="1018"/>
      <c r="LOG11" s="1018"/>
      <c r="LOH11" s="1018"/>
      <c r="LOI11" s="1018"/>
      <c r="LOJ11" s="1018"/>
      <c r="LOK11" s="139"/>
      <c r="LOL11" s="128"/>
      <c r="LOM11" s="128"/>
      <c r="LON11" s="128"/>
      <c r="LOO11" s="128"/>
      <c r="LOP11" s="118"/>
      <c r="LOQ11" s="128"/>
      <c r="LOR11" s="128"/>
      <c r="LOS11" s="991"/>
      <c r="LOT11" s="128"/>
      <c r="LOU11" s="170"/>
      <c r="LOV11" s="170"/>
      <c r="LOW11" s="1018"/>
      <c r="LOX11" s="1018"/>
      <c r="LOY11" s="1018"/>
      <c r="LOZ11" s="1018"/>
      <c r="LPA11" s="1019"/>
      <c r="LPB11" s="1019"/>
      <c r="LPC11" s="1019"/>
      <c r="LPD11" s="1018"/>
      <c r="LPE11" s="1018"/>
      <c r="LPF11" s="1018"/>
      <c r="LPG11" s="1018"/>
      <c r="LPH11" s="1018"/>
      <c r="LPI11" s="1018"/>
      <c r="LPJ11" s="139"/>
      <c r="LPK11" s="128"/>
      <c r="LPL11" s="128"/>
      <c r="LPM11" s="128"/>
      <c r="LPN11" s="128"/>
      <c r="LPO11" s="118"/>
      <c r="LPP11" s="128"/>
      <c r="LPQ11" s="128"/>
      <c r="LPR11" s="991"/>
      <c r="LPS11" s="128"/>
      <c r="LPT11" s="170"/>
      <c r="LPU11" s="170"/>
      <c r="LPV11" s="1018"/>
      <c r="LPW11" s="1018"/>
      <c r="LPX11" s="1018"/>
      <c r="LPY11" s="1018"/>
      <c r="LPZ11" s="1019"/>
      <c r="LQA11" s="1019"/>
      <c r="LQB11" s="1019"/>
      <c r="LQC11" s="1018"/>
      <c r="LQD11" s="1018"/>
      <c r="LQE11" s="1018"/>
      <c r="LQF11" s="1018"/>
      <c r="LQG11" s="1018"/>
      <c r="LQH11" s="1018"/>
      <c r="LQI11" s="139"/>
      <c r="LQJ11" s="128"/>
      <c r="LQK11" s="128"/>
      <c r="LQL11" s="128"/>
      <c r="LQM11" s="128"/>
      <c r="LQN11" s="118"/>
      <c r="LQO11" s="128"/>
      <c r="LQP11" s="128"/>
      <c r="LQQ11" s="991"/>
      <c r="LQR11" s="128"/>
      <c r="LQS11" s="170"/>
      <c r="LQT11" s="170"/>
      <c r="LQU11" s="1018"/>
      <c r="LQV11" s="1018"/>
      <c r="LQW11" s="1018"/>
      <c r="LQX11" s="1018"/>
      <c r="LQY11" s="1019"/>
      <c r="LQZ11" s="1019"/>
      <c r="LRA11" s="1019"/>
      <c r="LRB11" s="1018"/>
      <c r="LRC11" s="1018"/>
      <c r="LRD11" s="1018"/>
      <c r="LRE11" s="1018"/>
      <c r="LRF11" s="1018"/>
      <c r="LRG11" s="1018"/>
      <c r="LRH11" s="139"/>
      <c r="LRI11" s="128"/>
      <c r="LRJ11" s="128"/>
      <c r="LRK11" s="128"/>
      <c r="LRL11" s="128"/>
      <c r="LRM11" s="118"/>
      <c r="LRN11" s="128"/>
      <c r="LRO11" s="128"/>
      <c r="LRP11" s="991"/>
      <c r="LRQ11" s="128"/>
      <c r="LRR11" s="170"/>
      <c r="LRS11" s="170"/>
      <c r="LRT11" s="1018"/>
      <c r="LRU11" s="1018"/>
      <c r="LRV11" s="1018"/>
      <c r="LRW11" s="1018"/>
      <c r="LRX11" s="1019"/>
      <c r="LRY11" s="1019"/>
      <c r="LRZ11" s="1019"/>
      <c r="LSA11" s="1018"/>
      <c r="LSB11" s="1018"/>
      <c r="LSC11" s="1018"/>
      <c r="LSD11" s="1018"/>
      <c r="LSE11" s="1018"/>
      <c r="LSF11" s="1018"/>
      <c r="LSG11" s="139"/>
      <c r="LSH11" s="128"/>
      <c r="LSI11" s="128"/>
      <c r="LSJ11" s="128"/>
      <c r="LSK11" s="128"/>
      <c r="LSL11" s="118"/>
      <c r="LSM11" s="128"/>
      <c r="LSN11" s="128"/>
      <c r="LSO11" s="991"/>
      <c r="LSP11" s="128"/>
      <c r="LSQ11" s="170"/>
      <c r="LSR11" s="170"/>
      <c r="LSS11" s="1018"/>
      <c r="LST11" s="1018"/>
      <c r="LSU11" s="1018"/>
      <c r="LSV11" s="1018"/>
      <c r="LSW11" s="1019"/>
      <c r="LSX11" s="1019"/>
      <c r="LSY11" s="1019"/>
      <c r="LSZ11" s="1018"/>
      <c r="LTA11" s="1018"/>
      <c r="LTB11" s="1018"/>
      <c r="LTC11" s="1018"/>
      <c r="LTD11" s="1018"/>
      <c r="LTE11" s="1018"/>
      <c r="LTF11" s="139"/>
      <c r="LTG11" s="128"/>
      <c r="LTH11" s="128"/>
      <c r="LTI11" s="128"/>
      <c r="LTJ11" s="128"/>
      <c r="LTK11" s="118"/>
      <c r="LTL11" s="128"/>
      <c r="LTM11" s="128"/>
      <c r="LTN11" s="991"/>
      <c r="LTO11" s="128"/>
      <c r="LTP11" s="170"/>
      <c r="LTQ11" s="170"/>
      <c r="LTR11" s="1018"/>
      <c r="LTS11" s="1018"/>
      <c r="LTT11" s="1018"/>
      <c r="LTU11" s="1018"/>
      <c r="LTV11" s="1019"/>
      <c r="LTW11" s="1019"/>
      <c r="LTX11" s="1019"/>
      <c r="LTY11" s="1018"/>
      <c r="LTZ11" s="1018"/>
      <c r="LUA11" s="1018"/>
      <c r="LUB11" s="1018"/>
      <c r="LUC11" s="1018"/>
      <c r="LUD11" s="1018"/>
      <c r="LUE11" s="139"/>
      <c r="LUF11" s="128"/>
      <c r="LUG11" s="128"/>
      <c r="LUH11" s="128"/>
      <c r="LUI11" s="128"/>
      <c r="LUJ11" s="118"/>
      <c r="LUK11" s="128"/>
      <c r="LUL11" s="128"/>
      <c r="LUM11" s="991"/>
      <c r="LUN11" s="128"/>
      <c r="LUO11" s="170"/>
      <c r="LUP11" s="170"/>
      <c r="LUQ11" s="1018"/>
      <c r="LUR11" s="1018"/>
      <c r="LUS11" s="1018"/>
      <c r="LUT11" s="1018"/>
      <c r="LUU11" s="1019"/>
      <c r="LUV11" s="1019"/>
      <c r="LUW11" s="1019"/>
      <c r="LUX11" s="1018"/>
      <c r="LUY11" s="1018"/>
      <c r="LUZ11" s="1018"/>
      <c r="LVA11" s="1018"/>
      <c r="LVB11" s="1018"/>
      <c r="LVC11" s="1018"/>
      <c r="LVD11" s="139"/>
      <c r="LVE11" s="128"/>
      <c r="LVF11" s="128"/>
      <c r="LVG11" s="128"/>
      <c r="LVH11" s="128"/>
      <c r="LVI11" s="118"/>
      <c r="LVJ11" s="128"/>
      <c r="LVK11" s="128"/>
      <c r="LVL11" s="991"/>
      <c r="LVM11" s="128"/>
      <c r="LVN11" s="170"/>
      <c r="LVO11" s="170"/>
      <c r="LVP11" s="1018"/>
      <c r="LVQ11" s="1018"/>
      <c r="LVR11" s="1018"/>
      <c r="LVS11" s="1018"/>
      <c r="LVT11" s="1019"/>
      <c r="LVU11" s="1019"/>
      <c r="LVV11" s="1019"/>
      <c r="LVW11" s="1018"/>
      <c r="LVX11" s="1018"/>
      <c r="LVY11" s="1018"/>
      <c r="LVZ11" s="1018"/>
      <c r="LWA11" s="1018"/>
      <c r="LWB11" s="1018"/>
      <c r="LWC11" s="139"/>
      <c r="LWD11" s="128"/>
      <c r="LWE11" s="128"/>
      <c r="LWF11" s="128"/>
      <c r="LWG11" s="128"/>
      <c r="LWH11" s="118"/>
      <c r="LWI11" s="128"/>
      <c r="LWJ11" s="128"/>
      <c r="LWK11" s="991"/>
      <c r="LWL11" s="128"/>
      <c r="LWM11" s="170"/>
      <c r="LWN11" s="170"/>
      <c r="LWO11" s="1018"/>
      <c r="LWP11" s="1018"/>
      <c r="LWQ11" s="1018"/>
      <c r="LWR11" s="1018"/>
      <c r="LWS11" s="1019"/>
      <c r="LWT11" s="1019"/>
      <c r="LWU11" s="1019"/>
      <c r="LWV11" s="1018"/>
      <c r="LWW11" s="1018"/>
      <c r="LWX11" s="1018"/>
      <c r="LWY11" s="1018"/>
      <c r="LWZ11" s="1018"/>
      <c r="LXA11" s="1018"/>
      <c r="LXB11" s="139"/>
      <c r="LXC11" s="128"/>
      <c r="LXD11" s="128"/>
      <c r="LXE11" s="128"/>
      <c r="LXF11" s="128"/>
      <c r="LXG11" s="118"/>
      <c r="LXH11" s="128"/>
      <c r="LXI11" s="128"/>
      <c r="LXJ11" s="991"/>
      <c r="LXK11" s="128"/>
      <c r="LXL11" s="170"/>
      <c r="LXM11" s="170"/>
      <c r="LXN11" s="1018"/>
      <c r="LXO11" s="1018"/>
      <c r="LXP11" s="1018"/>
      <c r="LXQ11" s="1018"/>
      <c r="LXR11" s="1019"/>
      <c r="LXS11" s="1019"/>
      <c r="LXT11" s="1019"/>
      <c r="LXU11" s="1018"/>
      <c r="LXV11" s="1018"/>
      <c r="LXW11" s="1018"/>
      <c r="LXX11" s="1018"/>
      <c r="LXY11" s="1018"/>
      <c r="LXZ11" s="1018"/>
      <c r="LYA11" s="139"/>
      <c r="LYB11" s="128"/>
      <c r="LYC11" s="128"/>
      <c r="LYD11" s="128"/>
      <c r="LYE11" s="128"/>
      <c r="LYF11" s="118"/>
      <c r="LYG11" s="128"/>
      <c r="LYH11" s="128"/>
      <c r="LYI11" s="991"/>
      <c r="LYJ11" s="128"/>
      <c r="LYK11" s="170"/>
      <c r="LYL11" s="170"/>
      <c r="LYM11" s="1018"/>
      <c r="LYN11" s="1018"/>
      <c r="LYO11" s="1018"/>
      <c r="LYP11" s="1018"/>
      <c r="LYQ11" s="1019"/>
      <c r="LYR11" s="1019"/>
      <c r="LYS11" s="1019"/>
      <c r="LYT11" s="1018"/>
      <c r="LYU11" s="1018"/>
      <c r="LYV11" s="1018"/>
      <c r="LYW11" s="1018"/>
      <c r="LYX11" s="1018"/>
      <c r="LYY11" s="1018"/>
      <c r="LYZ11" s="139"/>
      <c r="LZA11" s="128"/>
      <c r="LZB11" s="128"/>
      <c r="LZC11" s="128"/>
      <c r="LZD11" s="128"/>
      <c r="LZE11" s="118"/>
      <c r="LZF11" s="128"/>
      <c r="LZG11" s="128"/>
      <c r="LZH11" s="991"/>
      <c r="LZI11" s="128"/>
      <c r="LZJ11" s="170"/>
      <c r="LZK11" s="170"/>
      <c r="LZL11" s="1018"/>
      <c r="LZM11" s="1018"/>
      <c r="LZN11" s="1018"/>
      <c r="LZO11" s="1018"/>
      <c r="LZP11" s="1019"/>
      <c r="LZQ11" s="1019"/>
      <c r="LZR11" s="1019"/>
      <c r="LZS11" s="1018"/>
      <c r="LZT11" s="1018"/>
      <c r="LZU11" s="1018"/>
      <c r="LZV11" s="1018"/>
      <c r="LZW11" s="1018"/>
      <c r="LZX11" s="1018"/>
      <c r="LZY11" s="139"/>
      <c r="LZZ11" s="128"/>
      <c r="MAA11" s="128"/>
      <c r="MAB11" s="128"/>
      <c r="MAC11" s="128"/>
      <c r="MAD11" s="118"/>
      <c r="MAE11" s="128"/>
      <c r="MAF11" s="128"/>
      <c r="MAG11" s="991"/>
      <c r="MAH11" s="128"/>
      <c r="MAI11" s="170"/>
      <c r="MAJ11" s="170"/>
      <c r="MAK11" s="1018"/>
      <c r="MAL11" s="1018"/>
      <c r="MAM11" s="1018"/>
      <c r="MAN11" s="1018"/>
      <c r="MAO11" s="1019"/>
      <c r="MAP11" s="1019"/>
      <c r="MAQ11" s="1019"/>
      <c r="MAR11" s="1018"/>
      <c r="MAS11" s="1018"/>
      <c r="MAT11" s="1018"/>
      <c r="MAU11" s="1018"/>
      <c r="MAV11" s="1018"/>
      <c r="MAW11" s="1018"/>
      <c r="MAX11" s="139"/>
      <c r="MAY11" s="128"/>
      <c r="MAZ11" s="128"/>
      <c r="MBA11" s="128"/>
      <c r="MBB11" s="128"/>
      <c r="MBC11" s="118"/>
      <c r="MBD11" s="128"/>
      <c r="MBE11" s="128"/>
      <c r="MBF11" s="991"/>
      <c r="MBG11" s="128"/>
      <c r="MBH11" s="170"/>
      <c r="MBI11" s="170"/>
      <c r="MBJ11" s="1018"/>
      <c r="MBK11" s="1018"/>
      <c r="MBL11" s="1018"/>
      <c r="MBM11" s="1018"/>
      <c r="MBN11" s="1019"/>
      <c r="MBO11" s="1019"/>
      <c r="MBP11" s="1019"/>
      <c r="MBQ11" s="1018"/>
      <c r="MBR11" s="1018"/>
      <c r="MBS11" s="1018"/>
      <c r="MBT11" s="1018"/>
      <c r="MBU11" s="1018"/>
      <c r="MBV11" s="1018"/>
      <c r="MBW11" s="139"/>
      <c r="MBX11" s="128"/>
      <c r="MBY11" s="128"/>
      <c r="MBZ11" s="128"/>
      <c r="MCA11" s="128"/>
      <c r="MCB11" s="118"/>
      <c r="MCC11" s="128"/>
      <c r="MCD11" s="128"/>
      <c r="MCE11" s="991"/>
      <c r="MCF11" s="128"/>
      <c r="MCG11" s="170"/>
      <c r="MCH11" s="170"/>
      <c r="MCI11" s="1018"/>
      <c r="MCJ11" s="1018"/>
      <c r="MCK11" s="1018"/>
      <c r="MCL11" s="1018"/>
      <c r="MCM11" s="1019"/>
      <c r="MCN11" s="1019"/>
      <c r="MCO11" s="1019"/>
      <c r="MCP11" s="1018"/>
      <c r="MCQ11" s="1018"/>
      <c r="MCR11" s="1018"/>
      <c r="MCS11" s="1018"/>
      <c r="MCT11" s="1018"/>
      <c r="MCU11" s="1018"/>
      <c r="MCV11" s="139"/>
      <c r="MCW11" s="128"/>
      <c r="MCX11" s="128"/>
      <c r="MCY11" s="128"/>
      <c r="MCZ11" s="128"/>
      <c r="MDA11" s="118"/>
      <c r="MDB11" s="128"/>
      <c r="MDC11" s="128"/>
      <c r="MDD11" s="991"/>
      <c r="MDE11" s="128"/>
      <c r="MDF11" s="170"/>
      <c r="MDG11" s="170"/>
      <c r="MDH11" s="1018"/>
      <c r="MDI11" s="1018"/>
      <c r="MDJ11" s="1018"/>
      <c r="MDK11" s="1018"/>
      <c r="MDL11" s="1019"/>
      <c r="MDM11" s="1019"/>
      <c r="MDN11" s="1019"/>
      <c r="MDO11" s="1018"/>
      <c r="MDP11" s="1018"/>
      <c r="MDQ11" s="1018"/>
      <c r="MDR11" s="1018"/>
      <c r="MDS11" s="1018"/>
      <c r="MDT11" s="1018"/>
      <c r="MDU11" s="139"/>
      <c r="MDV11" s="128"/>
      <c r="MDW11" s="128"/>
      <c r="MDX11" s="128"/>
      <c r="MDY11" s="128"/>
      <c r="MDZ11" s="118"/>
      <c r="MEA11" s="128"/>
      <c r="MEB11" s="128"/>
      <c r="MEC11" s="991"/>
      <c r="MED11" s="128"/>
      <c r="MEE11" s="170"/>
      <c r="MEF11" s="170"/>
      <c r="MEG11" s="1018"/>
      <c r="MEH11" s="1018"/>
      <c r="MEI11" s="1018"/>
      <c r="MEJ11" s="1018"/>
      <c r="MEK11" s="1019"/>
      <c r="MEL11" s="1019"/>
      <c r="MEM11" s="1019"/>
      <c r="MEN11" s="1018"/>
      <c r="MEO11" s="1018"/>
      <c r="MEP11" s="1018"/>
      <c r="MEQ11" s="1018"/>
      <c r="MER11" s="1018"/>
      <c r="MES11" s="1018"/>
      <c r="MET11" s="139"/>
      <c r="MEU11" s="128"/>
      <c r="MEV11" s="128"/>
      <c r="MEW11" s="128"/>
      <c r="MEX11" s="128"/>
      <c r="MEY11" s="118"/>
      <c r="MEZ11" s="128"/>
      <c r="MFA11" s="128"/>
      <c r="MFB11" s="991"/>
      <c r="MFC11" s="128"/>
      <c r="MFD11" s="170"/>
      <c r="MFE11" s="170"/>
      <c r="MFF11" s="1018"/>
      <c r="MFG11" s="1018"/>
      <c r="MFH11" s="1018"/>
      <c r="MFI11" s="1018"/>
      <c r="MFJ11" s="1019"/>
      <c r="MFK11" s="1019"/>
      <c r="MFL11" s="1019"/>
      <c r="MFM11" s="1018"/>
      <c r="MFN11" s="1018"/>
      <c r="MFO11" s="1018"/>
      <c r="MFP11" s="1018"/>
      <c r="MFQ11" s="1018"/>
      <c r="MFR11" s="1018"/>
      <c r="MFS11" s="139"/>
      <c r="MFT11" s="128"/>
      <c r="MFU11" s="128"/>
      <c r="MFV11" s="128"/>
      <c r="MFW11" s="128"/>
      <c r="MFX11" s="118"/>
      <c r="MFY11" s="128"/>
      <c r="MFZ11" s="128"/>
      <c r="MGA11" s="991"/>
      <c r="MGB11" s="128"/>
      <c r="MGC11" s="170"/>
      <c r="MGD11" s="170"/>
      <c r="MGE11" s="1018"/>
      <c r="MGF11" s="1018"/>
      <c r="MGG11" s="1018"/>
      <c r="MGH11" s="1018"/>
      <c r="MGI11" s="1019"/>
      <c r="MGJ11" s="1019"/>
      <c r="MGK11" s="1019"/>
      <c r="MGL11" s="1018"/>
      <c r="MGM11" s="1018"/>
      <c r="MGN11" s="1018"/>
      <c r="MGO11" s="1018"/>
      <c r="MGP11" s="1018"/>
      <c r="MGQ11" s="1018"/>
      <c r="MGR11" s="139"/>
      <c r="MGS11" s="128"/>
      <c r="MGT11" s="128"/>
      <c r="MGU11" s="128"/>
      <c r="MGV11" s="128"/>
      <c r="MGW11" s="118"/>
      <c r="MGX11" s="128"/>
      <c r="MGY11" s="128"/>
      <c r="MGZ11" s="991"/>
      <c r="MHA11" s="128"/>
      <c r="MHB11" s="170"/>
      <c r="MHC11" s="170"/>
      <c r="MHD11" s="1018"/>
      <c r="MHE11" s="1018"/>
      <c r="MHF11" s="1018"/>
      <c r="MHG11" s="1018"/>
      <c r="MHH11" s="1019"/>
      <c r="MHI11" s="1019"/>
      <c r="MHJ11" s="1019"/>
      <c r="MHK11" s="1018"/>
      <c r="MHL11" s="1018"/>
      <c r="MHM11" s="1018"/>
      <c r="MHN11" s="1018"/>
      <c r="MHO11" s="1018"/>
      <c r="MHP11" s="1018"/>
      <c r="MHQ11" s="139"/>
      <c r="MHR11" s="128"/>
      <c r="MHS11" s="128"/>
      <c r="MHT11" s="128"/>
      <c r="MHU11" s="128"/>
      <c r="MHV11" s="118"/>
      <c r="MHW11" s="128"/>
      <c r="MHX11" s="128"/>
      <c r="MHY11" s="991"/>
      <c r="MHZ11" s="128"/>
      <c r="MIA11" s="170"/>
      <c r="MIB11" s="170"/>
      <c r="MIC11" s="1018"/>
      <c r="MID11" s="1018"/>
      <c r="MIE11" s="1018"/>
      <c r="MIF11" s="1018"/>
      <c r="MIG11" s="1019"/>
      <c r="MIH11" s="1019"/>
      <c r="MII11" s="1019"/>
      <c r="MIJ11" s="1018"/>
      <c r="MIK11" s="1018"/>
      <c r="MIL11" s="1018"/>
      <c r="MIM11" s="1018"/>
      <c r="MIN11" s="1018"/>
      <c r="MIO11" s="1018"/>
      <c r="MIP11" s="139"/>
      <c r="MIQ11" s="128"/>
      <c r="MIR11" s="128"/>
      <c r="MIS11" s="128"/>
      <c r="MIT11" s="128"/>
      <c r="MIU11" s="118"/>
      <c r="MIV11" s="128"/>
      <c r="MIW11" s="128"/>
      <c r="MIX11" s="991"/>
      <c r="MIY11" s="128"/>
      <c r="MIZ11" s="170"/>
      <c r="MJA11" s="170"/>
      <c r="MJB11" s="1018"/>
      <c r="MJC11" s="1018"/>
      <c r="MJD11" s="1018"/>
      <c r="MJE11" s="1018"/>
      <c r="MJF11" s="1019"/>
      <c r="MJG11" s="1019"/>
      <c r="MJH11" s="1019"/>
      <c r="MJI11" s="1018"/>
      <c r="MJJ11" s="1018"/>
      <c r="MJK11" s="1018"/>
      <c r="MJL11" s="1018"/>
      <c r="MJM11" s="1018"/>
      <c r="MJN11" s="1018"/>
      <c r="MJO11" s="139"/>
      <c r="MJP11" s="128"/>
      <c r="MJQ11" s="128"/>
      <c r="MJR11" s="128"/>
      <c r="MJS11" s="128"/>
      <c r="MJT11" s="118"/>
      <c r="MJU11" s="128"/>
      <c r="MJV11" s="128"/>
      <c r="MJW11" s="991"/>
      <c r="MJX11" s="128"/>
      <c r="MJY11" s="170"/>
      <c r="MJZ11" s="170"/>
      <c r="MKA11" s="1018"/>
      <c r="MKB11" s="1018"/>
      <c r="MKC11" s="1018"/>
      <c r="MKD11" s="1018"/>
      <c r="MKE11" s="1019"/>
      <c r="MKF11" s="1019"/>
      <c r="MKG11" s="1019"/>
      <c r="MKH11" s="1018"/>
      <c r="MKI11" s="1018"/>
      <c r="MKJ11" s="1018"/>
      <c r="MKK11" s="1018"/>
      <c r="MKL11" s="1018"/>
      <c r="MKM11" s="1018"/>
      <c r="MKN11" s="139"/>
      <c r="MKO11" s="128"/>
      <c r="MKP11" s="128"/>
      <c r="MKQ11" s="128"/>
      <c r="MKR11" s="128"/>
      <c r="MKS11" s="118"/>
      <c r="MKT11" s="128"/>
      <c r="MKU11" s="128"/>
      <c r="MKV11" s="991"/>
      <c r="MKW11" s="128"/>
      <c r="MKX11" s="170"/>
      <c r="MKY11" s="170"/>
      <c r="MKZ11" s="1018"/>
      <c r="MLA11" s="1018"/>
      <c r="MLB11" s="1018"/>
      <c r="MLC11" s="1018"/>
      <c r="MLD11" s="1019"/>
      <c r="MLE11" s="1019"/>
      <c r="MLF11" s="1019"/>
      <c r="MLG11" s="1018"/>
      <c r="MLH11" s="1018"/>
      <c r="MLI11" s="1018"/>
      <c r="MLJ11" s="1018"/>
      <c r="MLK11" s="1018"/>
      <c r="MLL11" s="1018"/>
      <c r="MLM11" s="139"/>
      <c r="MLN11" s="128"/>
      <c r="MLO11" s="128"/>
      <c r="MLP11" s="128"/>
      <c r="MLQ11" s="128"/>
      <c r="MLR11" s="118"/>
      <c r="MLS11" s="128"/>
      <c r="MLT11" s="128"/>
      <c r="MLU11" s="991"/>
      <c r="MLV11" s="128"/>
      <c r="MLW11" s="170"/>
      <c r="MLX11" s="170"/>
      <c r="MLY11" s="1018"/>
      <c r="MLZ11" s="1018"/>
      <c r="MMA11" s="1018"/>
      <c r="MMB11" s="1018"/>
      <c r="MMC11" s="1019"/>
      <c r="MMD11" s="1019"/>
      <c r="MME11" s="1019"/>
      <c r="MMF11" s="1018"/>
      <c r="MMG11" s="1018"/>
      <c r="MMH11" s="1018"/>
      <c r="MMI11" s="1018"/>
      <c r="MMJ11" s="1018"/>
      <c r="MMK11" s="1018"/>
      <c r="MML11" s="139"/>
      <c r="MMM11" s="128"/>
      <c r="MMN11" s="128"/>
      <c r="MMO11" s="128"/>
      <c r="MMP11" s="128"/>
      <c r="MMQ11" s="118"/>
      <c r="MMR11" s="128"/>
      <c r="MMS11" s="128"/>
      <c r="MMT11" s="991"/>
      <c r="MMU11" s="128"/>
      <c r="MMV11" s="170"/>
      <c r="MMW11" s="170"/>
      <c r="MMX11" s="1018"/>
      <c r="MMY11" s="1018"/>
      <c r="MMZ11" s="1018"/>
      <c r="MNA11" s="1018"/>
      <c r="MNB11" s="1019"/>
      <c r="MNC11" s="1019"/>
      <c r="MND11" s="1019"/>
      <c r="MNE11" s="1018"/>
      <c r="MNF11" s="1018"/>
      <c r="MNG11" s="1018"/>
      <c r="MNH11" s="1018"/>
      <c r="MNI11" s="1018"/>
      <c r="MNJ11" s="1018"/>
      <c r="MNK11" s="139"/>
      <c r="MNL11" s="128"/>
      <c r="MNM11" s="128"/>
      <c r="MNN11" s="128"/>
      <c r="MNO11" s="128"/>
      <c r="MNP11" s="118"/>
      <c r="MNQ11" s="128"/>
      <c r="MNR11" s="128"/>
      <c r="MNS11" s="991"/>
      <c r="MNT11" s="128"/>
      <c r="MNU11" s="170"/>
      <c r="MNV11" s="170"/>
      <c r="MNW11" s="1018"/>
      <c r="MNX11" s="1018"/>
      <c r="MNY11" s="1018"/>
      <c r="MNZ11" s="1018"/>
      <c r="MOA11" s="1019"/>
      <c r="MOB11" s="1019"/>
      <c r="MOC11" s="1019"/>
      <c r="MOD11" s="1018"/>
      <c r="MOE11" s="1018"/>
      <c r="MOF11" s="1018"/>
      <c r="MOG11" s="1018"/>
      <c r="MOH11" s="1018"/>
      <c r="MOI11" s="1018"/>
      <c r="MOJ11" s="139"/>
      <c r="MOK11" s="128"/>
      <c r="MOL11" s="128"/>
      <c r="MOM11" s="128"/>
      <c r="MON11" s="128"/>
      <c r="MOO11" s="118"/>
      <c r="MOP11" s="128"/>
      <c r="MOQ11" s="128"/>
      <c r="MOR11" s="991"/>
      <c r="MOS11" s="128"/>
      <c r="MOT11" s="170"/>
      <c r="MOU11" s="170"/>
      <c r="MOV11" s="1018"/>
      <c r="MOW11" s="1018"/>
      <c r="MOX11" s="1018"/>
      <c r="MOY11" s="1018"/>
      <c r="MOZ11" s="1019"/>
      <c r="MPA11" s="1019"/>
      <c r="MPB11" s="1019"/>
      <c r="MPC11" s="1018"/>
      <c r="MPD11" s="1018"/>
      <c r="MPE11" s="1018"/>
      <c r="MPF11" s="1018"/>
      <c r="MPG11" s="1018"/>
      <c r="MPH11" s="1018"/>
      <c r="MPI11" s="139"/>
      <c r="MPJ11" s="128"/>
      <c r="MPK11" s="128"/>
      <c r="MPL11" s="128"/>
      <c r="MPM11" s="128"/>
      <c r="MPN11" s="118"/>
      <c r="MPO11" s="128"/>
      <c r="MPP11" s="128"/>
      <c r="MPQ11" s="991"/>
      <c r="MPR11" s="128"/>
      <c r="MPS11" s="170"/>
      <c r="MPT11" s="170"/>
      <c r="MPU11" s="1018"/>
      <c r="MPV11" s="1018"/>
      <c r="MPW11" s="1018"/>
      <c r="MPX11" s="1018"/>
      <c r="MPY11" s="1019"/>
      <c r="MPZ11" s="1019"/>
      <c r="MQA11" s="1019"/>
      <c r="MQB11" s="1018"/>
      <c r="MQC11" s="1018"/>
      <c r="MQD11" s="1018"/>
      <c r="MQE11" s="1018"/>
      <c r="MQF11" s="1018"/>
      <c r="MQG11" s="1018"/>
      <c r="MQH11" s="139"/>
      <c r="MQI11" s="128"/>
      <c r="MQJ11" s="128"/>
      <c r="MQK11" s="128"/>
      <c r="MQL11" s="128"/>
      <c r="MQM11" s="118"/>
      <c r="MQN11" s="128"/>
      <c r="MQO11" s="128"/>
      <c r="MQP11" s="991"/>
      <c r="MQQ11" s="128"/>
      <c r="MQR11" s="170"/>
      <c r="MQS11" s="170"/>
      <c r="MQT11" s="1018"/>
      <c r="MQU11" s="1018"/>
      <c r="MQV11" s="1018"/>
      <c r="MQW11" s="1018"/>
      <c r="MQX11" s="1019"/>
      <c r="MQY11" s="1019"/>
      <c r="MQZ11" s="1019"/>
      <c r="MRA11" s="1018"/>
      <c r="MRB11" s="1018"/>
      <c r="MRC11" s="1018"/>
      <c r="MRD11" s="1018"/>
      <c r="MRE11" s="1018"/>
      <c r="MRF11" s="1018"/>
      <c r="MRG11" s="139"/>
      <c r="MRH11" s="128"/>
      <c r="MRI11" s="128"/>
      <c r="MRJ11" s="128"/>
      <c r="MRK11" s="128"/>
      <c r="MRL11" s="118"/>
      <c r="MRM11" s="128"/>
      <c r="MRN11" s="128"/>
      <c r="MRO11" s="991"/>
      <c r="MRP11" s="128"/>
      <c r="MRQ11" s="170"/>
      <c r="MRR11" s="170"/>
      <c r="MRS11" s="1018"/>
      <c r="MRT11" s="1018"/>
      <c r="MRU11" s="1018"/>
      <c r="MRV11" s="1018"/>
      <c r="MRW11" s="1019"/>
      <c r="MRX11" s="1019"/>
      <c r="MRY11" s="1019"/>
      <c r="MRZ11" s="1018"/>
      <c r="MSA11" s="1018"/>
      <c r="MSB11" s="1018"/>
      <c r="MSC11" s="1018"/>
      <c r="MSD11" s="1018"/>
      <c r="MSE11" s="1018"/>
      <c r="MSF11" s="139"/>
      <c r="MSG11" s="128"/>
      <c r="MSH11" s="128"/>
      <c r="MSI11" s="128"/>
      <c r="MSJ11" s="128"/>
      <c r="MSK11" s="118"/>
      <c r="MSL11" s="128"/>
      <c r="MSM11" s="128"/>
      <c r="MSN11" s="991"/>
      <c r="MSO11" s="128"/>
      <c r="MSP11" s="170"/>
      <c r="MSQ11" s="170"/>
      <c r="MSR11" s="1018"/>
      <c r="MSS11" s="1018"/>
      <c r="MST11" s="1018"/>
      <c r="MSU11" s="1018"/>
      <c r="MSV11" s="1019"/>
      <c r="MSW11" s="1019"/>
      <c r="MSX11" s="1019"/>
      <c r="MSY11" s="1018"/>
      <c r="MSZ11" s="1018"/>
      <c r="MTA11" s="1018"/>
      <c r="MTB11" s="1018"/>
      <c r="MTC11" s="1018"/>
      <c r="MTD11" s="1018"/>
      <c r="MTE11" s="139"/>
      <c r="MTF11" s="128"/>
      <c r="MTG11" s="128"/>
      <c r="MTH11" s="128"/>
      <c r="MTI11" s="128"/>
      <c r="MTJ11" s="118"/>
      <c r="MTK11" s="128"/>
      <c r="MTL11" s="128"/>
      <c r="MTM11" s="991"/>
      <c r="MTN11" s="128"/>
      <c r="MTO11" s="170"/>
      <c r="MTP11" s="170"/>
      <c r="MTQ11" s="1018"/>
      <c r="MTR11" s="1018"/>
      <c r="MTS11" s="1018"/>
      <c r="MTT11" s="1018"/>
      <c r="MTU11" s="1019"/>
      <c r="MTV11" s="1019"/>
      <c r="MTW11" s="1019"/>
      <c r="MTX11" s="1018"/>
      <c r="MTY11" s="1018"/>
      <c r="MTZ11" s="1018"/>
      <c r="MUA11" s="1018"/>
      <c r="MUB11" s="1018"/>
      <c r="MUC11" s="1018"/>
      <c r="MUD11" s="139"/>
      <c r="MUE11" s="128"/>
      <c r="MUF11" s="128"/>
      <c r="MUG11" s="128"/>
      <c r="MUH11" s="128"/>
      <c r="MUI11" s="118"/>
      <c r="MUJ11" s="128"/>
      <c r="MUK11" s="128"/>
      <c r="MUL11" s="991"/>
      <c r="MUM11" s="128"/>
      <c r="MUN11" s="170"/>
      <c r="MUO11" s="170"/>
      <c r="MUP11" s="1018"/>
      <c r="MUQ11" s="1018"/>
      <c r="MUR11" s="1018"/>
      <c r="MUS11" s="1018"/>
      <c r="MUT11" s="1019"/>
      <c r="MUU11" s="1019"/>
      <c r="MUV11" s="1019"/>
      <c r="MUW11" s="1018"/>
      <c r="MUX11" s="1018"/>
      <c r="MUY11" s="1018"/>
      <c r="MUZ11" s="1018"/>
      <c r="MVA11" s="1018"/>
      <c r="MVB11" s="1018"/>
      <c r="MVC11" s="139"/>
      <c r="MVD11" s="128"/>
      <c r="MVE11" s="128"/>
      <c r="MVF11" s="128"/>
      <c r="MVG11" s="128"/>
      <c r="MVH11" s="118"/>
      <c r="MVI11" s="128"/>
      <c r="MVJ11" s="128"/>
      <c r="MVK11" s="991"/>
      <c r="MVL11" s="128"/>
      <c r="MVM11" s="170"/>
      <c r="MVN11" s="170"/>
      <c r="MVO11" s="1018"/>
      <c r="MVP11" s="1018"/>
      <c r="MVQ11" s="1018"/>
      <c r="MVR11" s="1018"/>
      <c r="MVS11" s="1019"/>
      <c r="MVT11" s="1019"/>
      <c r="MVU11" s="1019"/>
      <c r="MVV11" s="1018"/>
      <c r="MVW11" s="1018"/>
      <c r="MVX11" s="1018"/>
      <c r="MVY11" s="1018"/>
      <c r="MVZ11" s="1018"/>
      <c r="MWA11" s="1018"/>
      <c r="MWB11" s="139"/>
      <c r="MWC11" s="128"/>
      <c r="MWD11" s="128"/>
      <c r="MWE11" s="128"/>
      <c r="MWF11" s="128"/>
      <c r="MWG11" s="118"/>
      <c r="MWH11" s="128"/>
      <c r="MWI11" s="128"/>
      <c r="MWJ11" s="991"/>
      <c r="MWK11" s="128"/>
      <c r="MWL11" s="170"/>
      <c r="MWM11" s="170"/>
      <c r="MWN11" s="1018"/>
      <c r="MWO11" s="1018"/>
      <c r="MWP11" s="1018"/>
      <c r="MWQ11" s="1018"/>
      <c r="MWR11" s="1019"/>
      <c r="MWS11" s="1019"/>
      <c r="MWT11" s="1019"/>
      <c r="MWU11" s="1018"/>
      <c r="MWV11" s="1018"/>
      <c r="MWW11" s="1018"/>
      <c r="MWX11" s="1018"/>
      <c r="MWY11" s="1018"/>
      <c r="MWZ11" s="1018"/>
      <c r="MXA11" s="139"/>
      <c r="MXB11" s="128"/>
      <c r="MXC11" s="128"/>
      <c r="MXD11" s="128"/>
      <c r="MXE11" s="128"/>
      <c r="MXF11" s="118"/>
      <c r="MXG11" s="128"/>
      <c r="MXH11" s="128"/>
      <c r="MXI11" s="991"/>
      <c r="MXJ11" s="128"/>
      <c r="MXK11" s="170"/>
      <c r="MXL11" s="170"/>
      <c r="MXM11" s="1018"/>
      <c r="MXN11" s="1018"/>
      <c r="MXO11" s="1018"/>
      <c r="MXP11" s="1018"/>
      <c r="MXQ11" s="1019"/>
      <c r="MXR11" s="1019"/>
      <c r="MXS11" s="1019"/>
      <c r="MXT11" s="1018"/>
      <c r="MXU11" s="1018"/>
      <c r="MXV11" s="1018"/>
      <c r="MXW11" s="1018"/>
      <c r="MXX11" s="1018"/>
      <c r="MXY11" s="1018"/>
      <c r="MXZ11" s="139"/>
      <c r="MYA11" s="128"/>
      <c r="MYB11" s="128"/>
      <c r="MYC11" s="128"/>
      <c r="MYD11" s="128"/>
      <c r="MYE11" s="118"/>
      <c r="MYF11" s="128"/>
      <c r="MYG11" s="128"/>
      <c r="MYH11" s="991"/>
      <c r="MYI11" s="128"/>
      <c r="MYJ11" s="170"/>
      <c r="MYK11" s="170"/>
      <c r="MYL11" s="1018"/>
      <c r="MYM11" s="1018"/>
      <c r="MYN11" s="1018"/>
      <c r="MYO11" s="1018"/>
      <c r="MYP11" s="1019"/>
      <c r="MYQ11" s="1019"/>
      <c r="MYR11" s="1019"/>
      <c r="MYS11" s="1018"/>
      <c r="MYT11" s="1018"/>
      <c r="MYU11" s="1018"/>
      <c r="MYV11" s="1018"/>
      <c r="MYW11" s="1018"/>
      <c r="MYX11" s="1018"/>
      <c r="MYY11" s="139"/>
      <c r="MYZ11" s="128"/>
      <c r="MZA11" s="128"/>
      <c r="MZB11" s="128"/>
      <c r="MZC11" s="128"/>
      <c r="MZD11" s="118"/>
      <c r="MZE11" s="128"/>
      <c r="MZF11" s="128"/>
      <c r="MZG11" s="991"/>
      <c r="MZH11" s="128"/>
      <c r="MZI11" s="170"/>
      <c r="MZJ11" s="170"/>
      <c r="MZK11" s="1018"/>
      <c r="MZL11" s="1018"/>
      <c r="MZM11" s="1018"/>
      <c r="MZN11" s="1018"/>
      <c r="MZO11" s="1019"/>
      <c r="MZP11" s="1019"/>
      <c r="MZQ11" s="1019"/>
      <c r="MZR11" s="1018"/>
      <c r="MZS11" s="1018"/>
      <c r="MZT11" s="1018"/>
      <c r="MZU11" s="1018"/>
      <c r="MZV11" s="1018"/>
      <c r="MZW11" s="1018"/>
      <c r="MZX11" s="139"/>
      <c r="MZY11" s="128"/>
      <c r="MZZ11" s="128"/>
      <c r="NAA11" s="128"/>
      <c r="NAB11" s="128"/>
      <c r="NAC11" s="118"/>
      <c r="NAD11" s="128"/>
      <c r="NAE11" s="128"/>
      <c r="NAF11" s="991"/>
      <c r="NAG11" s="128"/>
      <c r="NAH11" s="170"/>
      <c r="NAI11" s="170"/>
      <c r="NAJ11" s="1018"/>
      <c r="NAK11" s="1018"/>
      <c r="NAL11" s="1018"/>
      <c r="NAM11" s="1018"/>
      <c r="NAN11" s="1019"/>
      <c r="NAO11" s="1019"/>
      <c r="NAP11" s="1019"/>
      <c r="NAQ11" s="1018"/>
      <c r="NAR11" s="1018"/>
      <c r="NAS11" s="1018"/>
      <c r="NAT11" s="1018"/>
      <c r="NAU11" s="1018"/>
      <c r="NAV11" s="1018"/>
      <c r="NAW11" s="139"/>
      <c r="NAX11" s="128"/>
      <c r="NAY11" s="128"/>
      <c r="NAZ11" s="128"/>
      <c r="NBA11" s="128"/>
      <c r="NBB11" s="118"/>
      <c r="NBC11" s="128"/>
      <c r="NBD11" s="128"/>
      <c r="NBE11" s="991"/>
      <c r="NBF11" s="128"/>
      <c r="NBG11" s="170"/>
      <c r="NBH11" s="170"/>
      <c r="NBI11" s="1018"/>
      <c r="NBJ11" s="1018"/>
      <c r="NBK11" s="1018"/>
      <c r="NBL11" s="1018"/>
      <c r="NBM11" s="1019"/>
      <c r="NBN11" s="1019"/>
      <c r="NBO11" s="1019"/>
      <c r="NBP11" s="1018"/>
      <c r="NBQ11" s="1018"/>
      <c r="NBR11" s="1018"/>
      <c r="NBS11" s="1018"/>
      <c r="NBT11" s="1018"/>
      <c r="NBU11" s="1018"/>
      <c r="NBV11" s="139"/>
      <c r="NBW11" s="128"/>
      <c r="NBX11" s="128"/>
      <c r="NBY11" s="128"/>
      <c r="NBZ11" s="128"/>
      <c r="NCA11" s="118"/>
      <c r="NCB11" s="128"/>
      <c r="NCC11" s="128"/>
      <c r="NCD11" s="991"/>
      <c r="NCE11" s="128"/>
      <c r="NCF11" s="170"/>
      <c r="NCG11" s="170"/>
      <c r="NCH11" s="1018"/>
      <c r="NCI11" s="1018"/>
      <c r="NCJ11" s="1018"/>
      <c r="NCK11" s="1018"/>
      <c r="NCL11" s="1019"/>
      <c r="NCM11" s="1019"/>
      <c r="NCN11" s="1019"/>
      <c r="NCO11" s="1018"/>
      <c r="NCP11" s="1018"/>
      <c r="NCQ11" s="1018"/>
      <c r="NCR11" s="1018"/>
      <c r="NCS11" s="1018"/>
      <c r="NCT11" s="1018"/>
      <c r="NCU11" s="139"/>
      <c r="NCV11" s="128"/>
      <c r="NCW11" s="128"/>
      <c r="NCX11" s="128"/>
      <c r="NCY11" s="128"/>
      <c r="NCZ11" s="118"/>
      <c r="NDA11" s="128"/>
      <c r="NDB11" s="128"/>
      <c r="NDC11" s="991"/>
      <c r="NDD11" s="128"/>
      <c r="NDE11" s="170"/>
      <c r="NDF11" s="170"/>
      <c r="NDG11" s="1018"/>
      <c r="NDH11" s="1018"/>
      <c r="NDI11" s="1018"/>
      <c r="NDJ11" s="1018"/>
      <c r="NDK11" s="1019"/>
      <c r="NDL11" s="1019"/>
      <c r="NDM11" s="1019"/>
      <c r="NDN11" s="1018"/>
      <c r="NDO11" s="1018"/>
      <c r="NDP11" s="1018"/>
      <c r="NDQ11" s="1018"/>
      <c r="NDR11" s="1018"/>
      <c r="NDS11" s="1018"/>
      <c r="NDT11" s="139"/>
      <c r="NDU11" s="128"/>
      <c r="NDV11" s="128"/>
      <c r="NDW11" s="128"/>
      <c r="NDX11" s="128"/>
      <c r="NDY11" s="118"/>
      <c r="NDZ11" s="128"/>
      <c r="NEA11" s="128"/>
      <c r="NEB11" s="991"/>
      <c r="NEC11" s="128"/>
      <c r="NED11" s="170"/>
      <c r="NEE11" s="170"/>
      <c r="NEF11" s="1018"/>
      <c r="NEG11" s="1018"/>
      <c r="NEH11" s="1018"/>
      <c r="NEI11" s="1018"/>
      <c r="NEJ11" s="1019"/>
      <c r="NEK11" s="1019"/>
      <c r="NEL11" s="1019"/>
      <c r="NEM11" s="1018"/>
      <c r="NEN11" s="1018"/>
      <c r="NEO11" s="1018"/>
      <c r="NEP11" s="1018"/>
      <c r="NEQ11" s="1018"/>
      <c r="NER11" s="1018"/>
      <c r="NES11" s="139"/>
      <c r="NET11" s="128"/>
      <c r="NEU11" s="128"/>
      <c r="NEV11" s="128"/>
      <c r="NEW11" s="128"/>
      <c r="NEX11" s="118"/>
      <c r="NEY11" s="128"/>
      <c r="NEZ11" s="128"/>
      <c r="NFA11" s="991"/>
      <c r="NFB11" s="128"/>
      <c r="NFC11" s="170"/>
      <c r="NFD11" s="170"/>
      <c r="NFE11" s="1018"/>
      <c r="NFF11" s="1018"/>
      <c r="NFG11" s="1018"/>
      <c r="NFH11" s="1018"/>
      <c r="NFI11" s="1019"/>
      <c r="NFJ11" s="1019"/>
      <c r="NFK11" s="1019"/>
      <c r="NFL11" s="1018"/>
      <c r="NFM11" s="1018"/>
      <c r="NFN11" s="1018"/>
      <c r="NFO11" s="1018"/>
      <c r="NFP11" s="1018"/>
      <c r="NFQ11" s="1018"/>
      <c r="NFR11" s="139"/>
      <c r="NFS11" s="128"/>
      <c r="NFT11" s="128"/>
      <c r="NFU11" s="128"/>
      <c r="NFV11" s="128"/>
      <c r="NFW11" s="118"/>
      <c r="NFX11" s="128"/>
      <c r="NFY11" s="128"/>
      <c r="NFZ11" s="991"/>
      <c r="NGA11" s="128"/>
      <c r="NGB11" s="170"/>
      <c r="NGC11" s="170"/>
      <c r="NGD11" s="1018"/>
      <c r="NGE11" s="1018"/>
      <c r="NGF11" s="1018"/>
      <c r="NGG11" s="1018"/>
      <c r="NGH11" s="1019"/>
      <c r="NGI11" s="1019"/>
      <c r="NGJ11" s="1019"/>
      <c r="NGK11" s="1018"/>
      <c r="NGL11" s="1018"/>
      <c r="NGM11" s="1018"/>
      <c r="NGN11" s="1018"/>
      <c r="NGO11" s="1018"/>
      <c r="NGP11" s="1018"/>
      <c r="NGQ11" s="139"/>
      <c r="NGR11" s="128"/>
      <c r="NGS11" s="128"/>
      <c r="NGT11" s="128"/>
      <c r="NGU11" s="128"/>
      <c r="NGV11" s="118"/>
      <c r="NGW11" s="128"/>
      <c r="NGX11" s="128"/>
      <c r="NGY11" s="991"/>
      <c r="NGZ11" s="128"/>
      <c r="NHA11" s="170"/>
      <c r="NHB11" s="170"/>
      <c r="NHC11" s="1018"/>
      <c r="NHD11" s="1018"/>
      <c r="NHE11" s="1018"/>
      <c r="NHF11" s="1018"/>
      <c r="NHG11" s="1019"/>
      <c r="NHH11" s="1019"/>
      <c r="NHI11" s="1019"/>
      <c r="NHJ11" s="1018"/>
      <c r="NHK11" s="1018"/>
      <c r="NHL11" s="1018"/>
      <c r="NHM11" s="1018"/>
      <c r="NHN11" s="1018"/>
      <c r="NHO11" s="1018"/>
      <c r="NHP11" s="139"/>
      <c r="NHQ11" s="128"/>
      <c r="NHR11" s="128"/>
      <c r="NHS11" s="128"/>
      <c r="NHT11" s="128"/>
      <c r="NHU11" s="118"/>
      <c r="NHV11" s="128"/>
      <c r="NHW11" s="128"/>
      <c r="NHX11" s="991"/>
      <c r="NHY11" s="128"/>
      <c r="NHZ11" s="170"/>
      <c r="NIA11" s="170"/>
      <c r="NIB11" s="1018"/>
      <c r="NIC11" s="1018"/>
      <c r="NID11" s="1018"/>
      <c r="NIE11" s="1018"/>
      <c r="NIF11" s="1019"/>
      <c r="NIG11" s="1019"/>
      <c r="NIH11" s="1019"/>
      <c r="NII11" s="1018"/>
      <c r="NIJ11" s="1018"/>
      <c r="NIK11" s="1018"/>
      <c r="NIL11" s="1018"/>
      <c r="NIM11" s="1018"/>
      <c r="NIN11" s="1018"/>
      <c r="NIO11" s="139"/>
      <c r="NIP11" s="128"/>
      <c r="NIQ11" s="128"/>
      <c r="NIR11" s="128"/>
      <c r="NIS11" s="128"/>
      <c r="NIT11" s="118"/>
      <c r="NIU11" s="128"/>
      <c r="NIV11" s="128"/>
      <c r="NIW11" s="991"/>
      <c r="NIX11" s="128"/>
      <c r="NIY11" s="170"/>
      <c r="NIZ11" s="170"/>
      <c r="NJA11" s="1018"/>
      <c r="NJB11" s="1018"/>
      <c r="NJC11" s="1018"/>
      <c r="NJD11" s="1018"/>
      <c r="NJE11" s="1019"/>
      <c r="NJF11" s="1019"/>
      <c r="NJG11" s="1019"/>
      <c r="NJH11" s="1018"/>
      <c r="NJI11" s="1018"/>
      <c r="NJJ11" s="1018"/>
      <c r="NJK11" s="1018"/>
      <c r="NJL11" s="1018"/>
      <c r="NJM11" s="1018"/>
      <c r="NJN11" s="139"/>
      <c r="NJO11" s="128"/>
      <c r="NJP11" s="128"/>
      <c r="NJQ11" s="128"/>
      <c r="NJR11" s="128"/>
      <c r="NJS11" s="118"/>
      <c r="NJT11" s="128"/>
      <c r="NJU11" s="128"/>
      <c r="NJV11" s="991"/>
      <c r="NJW11" s="128"/>
      <c r="NJX11" s="170"/>
      <c r="NJY11" s="170"/>
      <c r="NJZ11" s="1018"/>
      <c r="NKA11" s="1018"/>
      <c r="NKB11" s="1018"/>
      <c r="NKC11" s="1018"/>
      <c r="NKD11" s="1019"/>
      <c r="NKE11" s="1019"/>
      <c r="NKF11" s="1019"/>
      <c r="NKG11" s="1018"/>
      <c r="NKH11" s="1018"/>
      <c r="NKI11" s="1018"/>
      <c r="NKJ11" s="1018"/>
      <c r="NKK11" s="1018"/>
      <c r="NKL11" s="1018"/>
      <c r="NKM11" s="139"/>
      <c r="NKN11" s="128"/>
      <c r="NKO11" s="128"/>
      <c r="NKP11" s="128"/>
      <c r="NKQ11" s="128"/>
      <c r="NKR11" s="118"/>
      <c r="NKS11" s="128"/>
      <c r="NKT11" s="128"/>
      <c r="NKU11" s="991"/>
      <c r="NKV11" s="128"/>
      <c r="NKW11" s="170"/>
      <c r="NKX11" s="170"/>
      <c r="NKY11" s="1018"/>
      <c r="NKZ11" s="1018"/>
      <c r="NLA11" s="1018"/>
      <c r="NLB11" s="1018"/>
      <c r="NLC11" s="1019"/>
      <c r="NLD11" s="1019"/>
      <c r="NLE11" s="1019"/>
      <c r="NLF11" s="1018"/>
      <c r="NLG11" s="1018"/>
      <c r="NLH11" s="1018"/>
      <c r="NLI11" s="1018"/>
      <c r="NLJ11" s="1018"/>
      <c r="NLK11" s="1018"/>
      <c r="NLL11" s="139"/>
      <c r="NLM11" s="128"/>
      <c r="NLN11" s="128"/>
      <c r="NLO11" s="128"/>
      <c r="NLP11" s="128"/>
      <c r="NLQ11" s="118"/>
      <c r="NLR11" s="128"/>
      <c r="NLS11" s="128"/>
      <c r="NLT11" s="991"/>
      <c r="NLU11" s="128"/>
      <c r="NLV11" s="170"/>
      <c r="NLW11" s="170"/>
      <c r="NLX11" s="1018"/>
      <c r="NLY11" s="1018"/>
      <c r="NLZ11" s="1018"/>
      <c r="NMA11" s="1018"/>
      <c r="NMB11" s="1019"/>
      <c r="NMC11" s="1019"/>
      <c r="NMD11" s="1019"/>
      <c r="NME11" s="1018"/>
      <c r="NMF11" s="1018"/>
      <c r="NMG11" s="1018"/>
      <c r="NMH11" s="1018"/>
      <c r="NMI11" s="1018"/>
      <c r="NMJ11" s="1018"/>
      <c r="NMK11" s="139"/>
      <c r="NML11" s="128"/>
      <c r="NMM11" s="128"/>
      <c r="NMN11" s="128"/>
      <c r="NMO11" s="128"/>
      <c r="NMP11" s="118"/>
      <c r="NMQ11" s="128"/>
      <c r="NMR11" s="128"/>
      <c r="NMS11" s="991"/>
      <c r="NMT11" s="128"/>
      <c r="NMU11" s="170"/>
      <c r="NMV11" s="170"/>
      <c r="NMW11" s="1018"/>
      <c r="NMX11" s="1018"/>
      <c r="NMY11" s="1018"/>
      <c r="NMZ11" s="1018"/>
      <c r="NNA11" s="1019"/>
      <c r="NNB11" s="1019"/>
      <c r="NNC11" s="1019"/>
      <c r="NND11" s="1018"/>
      <c r="NNE11" s="1018"/>
      <c r="NNF11" s="1018"/>
      <c r="NNG11" s="1018"/>
      <c r="NNH11" s="1018"/>
      <c r="NNI11" s="1018"/>
      <c r="NNJ11" s="139"/>
      <c r="NNK11" s="128"/>
      <c r="NNL11" s="128"/>
      <c r="NNM11" s="128"/>
      <c r="NNN11" s="128"/>
      <c r="NNO11" s="118"/>
      <c r="NNP11" s="128"/>
      <c r="NNQ11" s="128"/>
      <c r="NNR11" s="991"/>
      <c r="NNS11" s="128"/>
      <c r="NNT11" s="170"/>
      <c r="NNU11" s="170"/>
      <c r="NNV11" s="1018"/>
      <c r="NNW11" s="1018"/>
      <c r="NNX11" s="1018"/>
      <c r="NNY11" s="1018"/>
      <c r="NNZ11" s="1019"/>
      <c r="NOA11" s="1019"/>
      <c r="NOB11" s="1019"/>
      <c r="NOC11" s="1018"/>
      <c r="NOD11" s="1018"/>
      <c r="NOE11" s="1018"/>
      <c r="NOF11" s="1018"/>
      <c r="NOG11" s="1018"/>
      <c r="NOH11" s="1018"/>
      <c r="NOI11" s="139"/>
      <c r="NOJ11" s="128"/>
      <c r="NOK11" s="128"/>
      <c r="NOL11" s="128"/>
      <c r="NOM11" s="128"/>
      <c r="NON11" s="118"/>
      <c r="NOO11" s="128"/>
      <c r="NOP11" s="128"/>
      <c r="NOQ11" s="991"/>
      <c r="NOR11" s="128"/>
      <c r="NOS11" s="170"/>
      <c r="NOT11" s="170"/>
      <c r="NOU11" s="1018"/>
      <c r="NOV11" s="1018"/>
      <c r="NOW11" s="1018"/>
      <c r="NOX11" s="1018"/>
      <c r="NOY11" s="1019"/>
      <c r="NOZ11" s="1019"/>
      <c r="NPA11" s="1019"/>
      <c r="NPB11" s="1018"/>
      <c r="NPC11" s="1018"/>
      <c r="NPD11" s="1018"/>
      <c r="NPE11" s="1018"/>
      <c r="NPF11" s="1018"/>
      <c r="NPG11" s="1018"/>
      <c r="NPH11" s="139"/>
      <c r="NPI11" s="128"/>
      <c r="NPJ11" s="128"/>
      <c r="NPK11" s="128"/>
      <c r="NPL11" s="128"/>
      <c r="NPM11" s="118"/>
      <c r="NPN11" s="128"/>
      <c r="NPO11" s="128"/>
      <c r="NPP11" s="991"/>
      <c r="NPQ11" s="128"/>
      <c r="NPR11" s="170"/>
      <c r="NPS11" s="170"/>
      <c r="NPT11" s="1018"/>
      <c r="NPU11" s="1018"/>
      <c r="NPV11" s="1018"/>
      <c r="NPW11" s="1018"/>
      <c r="NPX11" s="1019"/>
      <c r="NPY11" s="1019"/>
      <c r="NPZ11" s="1019"/>
      <c r="NQA11" s="1018"/>
      <c r="NQB11" s="1018"/>
      <c r="NQC11" s="1018"/>
      <c r="NQD11" s="1018"/>
      <c r="NQE11" s="1018"/>
      <c r="NQF11" s="1018"/>
      <c r="NQG11" s="139"/>
      <c r="NQH11" s="128"/>
      <c r="NQI11" s="128"/>
      <c r="NQJ11" s="128"/>
      <c r="NQK11" s="128"/>
      <c r="NQL11" s="118"/>
      <c r="NQM11" s="128"/>
      <c r="NQN11" s="128"/>
      <c r="NQO11" s="991"/>
      <c r="NQP11" s="128"/>
      <c r="NQQ11" s="170"/>
      <c r="NQR11" s="170"/>
      <c r="NQS11" s="1018"/>
      <c r="NQT11" s="1018"/>
      <c r="NQU11" s="1018"/>
      <c r="NQV11" s="1018"/>
      <c r="NQW11" s="1019"/>
      <c r="NQX11" s="1019"/>
      <c r="NQY11" s="1019"/>
      <c r="NQZ11" s="1018"/>
      <c r="NRA11" s="1018"/>
      <c r="NRB11" s="1018"/>
      <c r="NRC11" s="1018"/>
      <c r="NRD11" s="1018"/>
      <c r="NRE11" s="1018"/>
      <c r="NRF11" s="139"/>
      <c r="NRG11" s="128"/>
      <c r="NRH11" s="128"/>
      <c r="NRI11" s="128"/>
      <c r="NRJ11" s="128"/>
      <c r="NRK11" s="118"/>
      <c r="NRL11" s="128"/>
      <c r="NRM11" s="128"/>
      <c r="NRN11" s="991"/>
      <c r="NRO11" s="128"/>
      <c r="NRP11" s="170"/>
      <c r="NRQ11" s="170"/>
      <c r="NRR11" s="1018"/>
      <c r="NRS11" s="1018"/>
      <c r="NRT11" s="1018"/>
      <c r="NRU11" s="1018"/>
      <c r="NRV11" s="1019"/>
      <c r="NRW11" s="1019"/>
      <c r="NRX11" s="1019"/>
      <c r="NRY11" s="1018"/>
      <c r="NRZ11" s="1018"/>
      <c r="NSA11" s="1018"/>
      <c r="NSB11" s="1018"/>
      <c r="NSC11" s="1018"/>
      <c r="NSD11" s="1018"/>
      <c r="NSE11" s="139"/>
      <c r="NSF11" s="128"/>
      <c r="NSG11" s="128"/>
      <c r="NSH11" s="128"/>
      <c r="NSI11" s="128"/>
      <c r="NSJ11" s="118"/>
      <c r="NSK11" s="128"/>
      <c r="NSL11" s="128"/>
      <c r="NSM11" s="991"/>
      <c r="NSN11" s="128"/>
      <c r="NSO11" s="170"/>
      <c r="NSP11" s="170"/>
      <c r="NSQ11" s="1018"/>
      <c r="NSR11" s="1018"/>
      <c r="NSS11" s="1018"/>
      <c r="NST11" s="1018"/>
      <c r="NSU11" s="1019"/>
      <c r="NSV11" s="1019"/>
      <c r="NSW11" s="1019"/>
      <c r="NSX11" s="1018"/>
      <c r="NSY11" s="1018"/>
      <c r="NSZ11" s="1018"/>
      <c r="NTA11" s="1018"/>
      <c r="NTB11" s="1018"/>
      <c r="NTC11" s="1018"/>
      <c r="NTD11" s="139"/>
      <c r="NTE11" s="128"/>
      <c r="NTF11" s="128"/>
      <c r="NTG11" s="128"/>
      <c r="NTH11" s="128"/>
      <c r="NTI11" s="118"/>
      <c r="NTJ11" s="128"/>
      <c r="NTK11" s="128"/>
      <c r="NTL11" s="991"/>
      <c r="NTM11" s="128"/>
      <c r="NTN11" s="170"/>
      <c r="NTO11" s="170"/>
      <c r="NTP11" s="1018"/>
      <c r="NTQ11" s="1018"/>
      <c r="NTR11" s="1018"/>
      <c r="NTS11" s="1018"/>
      <c r="NTT11" s="1019"/>
      <c r="NTU11" s="1019"/>
      <c r="NTV11" s="1019"/>
      <c r="NTW11" s="1018"/>
      <c r="NTX11" s="1018"/>
      <c r="NTY11" s="1018"/>
      <c r="NTZ11" s="1018"/>
      <c r="NUA11" s="1018"/>
      <c r="NUB11" s="1018"/>
      <c r="NUC11" s="139"/>
      <c r="NUD11" s="128"/>
      <c r="NUE11" s="128"/>
      <c r="NUF11" s="128"/>
      <c r="NUG11" s="128"/>
      <c r="NUH11" s="118"/>
      <c r="NUI11" s="128"/>
      <c r="NUJ11" s="128"/>
      <c r="NUK11" s="991"/>
      <c r="NUL11" s="128"/>
      <c r="NUM11" s="170"/>
      <c r="NUN11" s="170"/>
      <c r="NUO11" s="1018"/>
      <c r="NUP11" s="1018"/>
      <c r="NUQ11" s="1018"/>
      <c r="NUR11" s="1018"/>
      <c r="NUS11" s="1019"/>
      <c r="NUT11" s="1019"/>
      <c r="NUU11" s="1019"/>
      <c r="NUV11" s="1018"/>
      <c r="NUW11" s="1018"/>
      <c r="NUX11" s="1018"/>
      <c r="NUY11" s="1018"/>
      <c r="NUZ11" s="1018"/>
      <c r="NVA11" s="1018"/>
      <c r="NVB11" s="139"/>
      <c r="NVC11" s="128"/>
      <c r="NVD11" s="128"/>
      <c r="NVE11" s="128"/>
      <c r="NVF11" s="128"/>
      <c r="NVG11" s="118"/>
      <c r="NVH11" s="128"/>
      <c r="NVI11" s="128"/>
      <c r="NVJ11" s="991"/>
      <c r="NVK11" s="128"/>
      <c r="NVL11" s="170"/>
      <c r="NVM11" s="170"/>
      <c r="NVN11" s="1018"/>
      <c r="NVO11" s="1018"/>
      <c r="NVP11" s="1018"/>
      <c r="NVQ11" s="1018"/>
      <c r="NVR11" s="1019"/>
      <c r="NVS11" s="1019"/>
      <c r="NVT11" s="1019"/>
      <c r="NVU11" s="1018"/>
      <c r="NVV11" s="1018"/>
      <c r="NVW11" s="1018"/>
      <c r="NVX11" s="1018"/>
      <c r="NVY11" s="1018"/>
      <c r="NVZ11" s="1018"/>
      <c r="NWA11" s="139"/>
      <c r="NWB11" s="128"/>
      <c r="NWC11" s="128"/>
      <c r="NWD11" s="128"/>
      <c r="NWE11" s="128"/>
      <c r="NWF11" s="118"/>
      <c r="NWG11" s="128"/>
      <c r="NWH11" s="128"/>
      <c r="NWI11" s="991"/>
      <c r="NWJ11" s="128"/>
      <c r="NWK11" s="170"/>
      <c r="NWL11" s="170"/>
      <c r="NWM11" s="1018"/>
      <c r="NWN11" s="1018"/>
      <c r="NWO11" s="1018"/>
      <c r="NWP11" s="1018"/>
      <c r="NWQ11" s="1019"/>
      <c r="NWR11" s="1019"/>
      <c r="NWS11" s="1019"/>
      <c r="NWT11" s="1018"/>
      <c r="NWU11" s="1018"/>
      <c r="NWV11" s="1018"/>
      <c r="NWW11" s="1018"/>
      <c r="NWX11" s="1018"/>
      <c r="NWY11" s="1018"/>
      <c r="NWZ11" s="139"/>
      <c r="NXA11" s="128"/>
      <c r="NXB11" s="128"/>
      <c r="NXC11" s="128"/>
      <c r="NXD11" s="128"/>
      <c r="NXE11" s="118"/>
      <c r="NXF11" s="128"/>
      <c r="NXG11" s="128"/>
      <c r="NXH11" s="991"/>
      <c r="NXI11" s="128"/>
      <c r="NXJ11" s="170"/>
      <c r="NXK11" s="170"/>
      <c r="NXL11" s="1018"/>
      <c r="NXM11" s="1018"/>
      <c r="NXN11" s="1018"/>
      <c r="NXO11" s="1018"/>
      <c r="NXP11" s="1019"/>
      <c r="NXQ11" s="1019"/>
      <c r="NXR11" s="1019"/>
      <c r="NXS11" s="1018"/>
      <c r="NXT11" s="1018"/>
      <c r="NXU11" s="1018"/>
      <c r="NXV11" s="1018"/>
      <c r="NXW11" s="1018"/>
      <c r="NXX11" s="1018"/>
      <c r="NXY11" s="139"/>
      <c r="NXZ11" s="128"/>
      <c r="NYA11" s="128"/>
      <c r="NYB11" s="128"/>
      <c r="NYC11" s="128"/>
      <c r="NYD11" s="118"/>
      <c r="NYE11" s="128"/>
      <c r="NYF11" s="128"/>
      <c r="NYG11" s="991"/>
      <c r="NYH11" s="128"/>
      <c r="NYI11" s="170"/>
      <c r="NYJ11" s="170"/>
      <c r="NYK11" s="1018"/>
      <c r="NYL11" s="1018"/>
      <c r="NYM11" s="1018"/>
      <c r="NYN11" s="1018"/>
      <c r="NYO11" s="1019"/>
      <c r="NYP11" s="1019"/>
      <c r="NYQ11" s="1019"/>
      <c r="NYR11" s="1018"/>
      <c r="NYS11" s="1018"/>
      <c r="NYT11" s="1018"/>
      <c r="NYU11" s="1018"/>
      <c r="NYV11" s="1018"/>
      <c r="NYW11" s="1018"/>
      <c r="NYX11" s="139"/>
      <c r="NYY11" s="128"/>
      <c r="NYZ11" s="128"/>
      <c r="NZA11" s="128"/>
      <c r="NZB11" s="128"/>
      <c r="NZC11" s="118"/>
      <c r="NZD11" s="128"/>
      <c r="NZE11" s="128"/>
      <c r="NZF11" s="991"/>
      <c r="NZG11" s="128"/>
      <c r="NZH11" s="170"/>
      <c r="NZI11" s="170"/>
      <c r="NZJ11" s="1018"/>
      <c r="NZK11" s="1018"/>
      <c r="NZL11" s="1018"/>
      <c r="NZM11" s="1018"/>
      <c r="NZN11" s="1019"/>
      <c r="NZO11" s="1019"/>
      <c r="NZP11" s="1019"/>
      <c r="NZQ11" s="1018"/>
      <c r="NZR11" s="1018"/>
      <c r="NZS11" s="1018"/>
      <c r="NZT11" s="1018"/>
      <c r="NZU11" s="1018"/>
      <c r="NZV11" s="1018"/>
      <c r="NZW11" s="139"/>
      <c r="NZX11" s="128"/>
      <c r="NZY11" s="128"/>
      <c r="NZZ11" s="128"/>
      <c r="OAA11" s="128"/>
      <c r="OAB11" s="118"/>
      <c r="OAC11" s="128"/>
      <c r="OAD11" s="128"/>
      <c r="OAE11" s="991"/>
      <c r="OAF11" s="128"/>
      <c r="OAG11" s="170"/>
      <c r="OAH11" s="170"/>
      <c r="OAI11" s="1018"/>
      <c r="OAJ11" s="1018"/>
      <c r="OAK11" s="1018"/>
      <c r="OAL11" s="1018"/>
      <c r="OAM11" s="1019"/>
      <c r="OAN11" s="1019"/>
      <c r="OAO11" s="1019"/>
      <c r="OAP11" s="1018"/>
      <c r="OAQ11" s="1018"/>
      <c r="OAR11" s="1018"/>
      <c r="OAS11" s="1018"/>
      <c r="OAT11" s="1018"/>
      <c r="OAU11" s="1018"/>
      <c r="OAV11" s="139"/>
      <c r="OAW11" s="128"/>
      <c r="OAX11" s="128"/>
      <c r="OAY11" s="128"/>
      <c r="OAZ11" s="128"/>
      <c r="OBA11" s="118"/>
      <c r="OBB11" s="128"/>
      <c r="OBC11" s="128"/>
      <c r="OBD11" s="991"/>
      <c r="OBE11" s="128"/>
      <c r="OBF11" s="170"/>
      <c r="OBG11" s="170"/>
      <c r="OBH11" s="1018"/>
      <c r="OBI11" s="1018"/>
      <c r="OBJ11" s="1018"/>
      <c r="OBK11" s="1018"/>
      <c r="OBL11" s="1019"/>
      <c r="OBM11" s="1019"/>
      <c r="OBN11" s="1019"/>
      <c r="OBO11" s="1018"/>
      <c r="OBP11" s="1018"/>
      <c r="OBQ11" s="1018"/>
      <c r="OBR11" s="1018"/>
      <c r="OBS11" s="1018"/>
      <c r="OBT11" s="1018"/>
      <c r="OBU11" s="139"/>
      <c r="OBV11" s="128"/>
      <c r="OBW11" s="128"/>
      <c r="OBX11" s="128"/>
      <c r="OBY11" s="128"/>
      <c r="OBZ11" s="118"/>
      <c r="OCA11" s="128"/>
      <c r="OCB11" s="128"/>
      <c r="OCC11" s="991"/>
      <c r="OCD11" s="128"/>
      <c r="OCE11" s="170"/>
      <c r="OCF11" s="170"/>
      <c r="OCG11" s="1018"/>
      <c r="OCH11" s="1018"/>
      <c r="OCI11" s="1018"/>
      <c r="OCJ11" s="1018"/>
      <c r="OCK11" s="1019"/>
      <c r="OCL11" s="1019"/>
      <c r="OCM11" s="1019"/>
      <c r="OCN11" s="1018"/>
      <c r="OCO11" s="1018"/>
      <c r="OCP11" s="1018"/>
      <c r="OCQ11" s="1018"/>
      <c r="OCR11" s="1018"/>
      <c r="OCS11" s="1018"/>
      <c r="OCT11" s="139"/>
      <c r="OCU11" s="128"/>
      <c r="OCV11" s="128"/>
      <c r="OCW11" s="128"/>
      <c r="OCX11" s="128"/>
      <c r="OCY11" s="118"/>
      <c r="OCZ11" s="128"/>
      <c r="ODA11" s="128"/>
      <c r="ODB11" s="991"/>
      <c r="ODC11" s="128"/>
      <c r="ODD11" s="170"/>
      <c r="ODE11" s="170"/>
      <c r="ODF11" s="1018"/>
      <c r="ODG11" s="1018"/>
      <c r="ODH11" s="1018"/>
      <c r="ODI11" s="1018"/>
      <c r="ODJ11" s="1019"/>
      <c r="ODK11" s="1019"/>
      <c r="ODL11" s="1019"/>
      <c r="ODM11" s="1018"/>
      <c r="ODN11" s="1018"/>
      <c r="ODO11" s="1018"/>
      <c r="ODP11" s="1018"/>
      <c r="ODQ11" s="1018"/>
      <c r="ODR11" s="1018"/>
      <c r="ODS11" s="139"/>
      <c r="ODT11" s="128"/>
      <c r="ODU11" s="128"/>
      <c r="ODV11" s="128"/>
      <c r="ODW11" s="128"/>
      <c r="ODX11" s="118"/>
      <c r="ODY11" s="128"/>
      <c r="ODZ11" s="128"/>
      <c r="OEA11" s="991"/>
      <c r="OEB11" s="128"/>
      <c r="OEC11" s="170"/>
      <c r="OED11" s="170"/>
      <c r="OEE11" s="1018"/>
      <c r="OEF11" s="1018"/>
      <c r="OEG11" s="1018"/>
      <c r="OEH11" s="1018"/>
      <c r="OEI11" s="1019"/>
      <c r="OEJ11" s="1019"/>
      <c r="OEK11" s="1019"/>
      <c r="OEL11" s="1018"/>
      <c r="OEM11" s="1018"/>
      <c r="OEN11" s="1018"/>
      <c r="OEO11" s="1018"/>
      <c r="OEP11" s="1018"/>
      <c r="OEQ11" s="1018"/>
      <c r="OER11" s="139"/>
      <c r="OES11" s="128"/>
      <c r="OET11" s="128"/>
      <c r="OEU11" s="128"/>
      <c r="OEV11" s="128"/>
      <c r="OEW11" s="118"/>
      <c r="OEX11" s="128"/>
      <c r="OEY11" s="128"/>
      <c r="OEZ11" s="991"/>
      <c r="OFA11" s="128"/>
      <c r="OFB11" s="170"/>
      <c r="OFC11" s="170"/>
      <c r="OFD11" s="1018"/>
      <c r="OFE11" s="1018"/>
      <c r="OFF11" s="1018"/>
      <c r="OFG11" s="1018"/>
      <c r="OFH11" s="1019"/>
      <c r="OFI11" s="1019"/>
      <c r="OFJ11" s="1019"/>
      <c r="OFK11" s="1018"/>
      <c r="OFL11" s="1018"/>
      <c r="OFM11" s="1018"/>
      <c r="OFN11" s="1018"/>
      <c r="OFO11" s="1018"/>
      <c r="OFP11" s="1018"/>
      <c r="OFQ11" s="139"/>
      <c r="OFR11" s="128"/>
      <c r="OFS11" s="128"/>
      <c r="OFT11" s="128"/>
      <c r="OFU11" s="128"/>
      <c r="OFV11" s="118"/>
      <c r="OFW11" s="128"/>
      <c r="OFX11" s="128"/>
      <c r="OFY11" s="991"/>
      <c r="OFZ11" s="128"/>
      <c r="OGA11" s="170"/>
      <c r="OGB11" s="170"/>
      <c r="OGC11" s="1018"/>
      <c r="OGD11" s="1018"/>
      <c r="OGE11" s="1018"/>
      <c r="OGF11" s="1018"/>
      <c r="OGG11" s="1019"/>
      <c r="OGH11" s="1019"/>
      <c r="OGI11" s="1019"/>
      <c r="OGJ11" s="1018"/>
      <c r="OGK11" s="1018"/>
      <c r="OGL11" s="1018"/>
      <c r="OGM11" s="1018"/>
      <c r="OGN11" s="1018"/>
      <c r="OGO11" s="1018"/>
      <c r="OGP11" s="139"/>
      <c r="OGQ11" s="128"/>
      <c r="OGR11" s="128"/>
      <c r="OGS11" s="128"/>
      <c r="OGT11" s="128"/>
      <c r="OGU11" s="118"/>
      <c r="OGV11" s="128"/>
      <c r="OGW11" s="128"/>
      <c r="OGX11" s="991"/>
      <c r="OGY11" s="128"/>
      <c r="OGZ11" s="170"/>
      <c r="OHA11" s="170"/>
      <c r="OHB11" s="1018"/>
      <c r="OHC11" s="1018"/>
      <c r="OHD11" s="1018"/>
      <c r="OHE11" s="1018"/>
      <c r="OHF11" s="1019"/>
      <c r="OHG11" s="1019"/>
      <c r="OHH11" s="1019"/>
      <c r="OHI11" s="1018"/>
      <c r="OHJ11" s="1018"/>
      <c r="OHK11" s="1018"/>
      <c r="OHL11" s="1018"/>
      <c r="OHM11" s="1018"/>
      <c r="OHN11" s="1018"/>
      <c r="OHO11" s="139"/>
      <c r="OHP11" s="128"/>
      <c r="OHQ11" s="128"/>
      <c r="OHR11" s="128"/>
      <c r="OHS11" s="128"/>
      <c r="OHT11" s="118"/>
      <c r="OHU11" s="128"/>
      <c r="OHV11" s="128"/>
      <c r="OHW11" s="991"/>
      <c r="OHX11" s="128"/>
      <c r="OHY11" s="170"/>
      <c r="OHZ11" s="170"/>
      <c r="OIA11" s="1018"/>
      <c r="OIB11" s="1018"/>
      <c r="OIC11" s="1018"/>
      <c r="OID11" s="1018"/>
      <c r="OIE11" s="1019"/>
      <c r="OIF11" s="1019"/>
      <c r="OIG11" s="1019"/>
      <c r="OIH11" s="1018"/>
      <c r="OII11" s="1018"/>
      <c r="OIJ11" s="1018"/>
      <c r="OIK11" s="1018"/>
      <c r="OIL11" s="1018"/>
      <c r="OIM11" s="1018"/>
      <c r="OIN11" s="139"/>
      <c r="OIO11" s="128"/>
      <c r="OIP11" s="128"/>
      <c r="OIQ11" s="128"/>
      <c r="OIR11" s="128"/>
      <c r="OIS11" s="118"/>
      <c r="OIT11" s="128"/>
      <c r="OIU11" s="128"/>
      <c r="OIV11" s="991"/>
      <c r="OIW11" s="128"/>
      <c r="OIX11" s="170"/>
      <c r="OIY11" s="170"/>
      <c r="OIZ11" s="1018"/>
      <c r="OJA11" s="1018"/>
      <c r="OJB11" s="1018"/>
      <c r="OJC11" s="1018"/>
      <c r="OJD11" s="1019"/>
      <c r="OJE11" s="1019"/>
      <c r="OJF11" s="1019"/>
      <c r="OJG11" s="1018"/>
      <c r="OJH11" s="1018"/>
      <c r="OJI11" s="1018"/>
      <c r="OJJ11" s="1018"/>
      <c r="OJK11" s="1018"/>
      <c r="OJL11" s="1018"/>
      <c r="OJM11" s="139"/>
      <c r="OJN11" s="128"/>
      <c r="OJO11" s="128"/>
      <c r="OJP11" s="128"/>
      <c r="OJQ11" s="128"/>
      <c r="OJR11" s="118"/>
      <c r="OJS11" s="128"/>
      <c r="OJT11" s="128"/>
      <c r="OJU11" s="991"/>
      <c r="OJV11" s="128"/>
      <c r="OJW11" s="170"/>
      <c r="OJX11" s="170"/>
      <c r="OJY11" s="1018"/>
      <c r="OJZ11" s="1018"/>
      <c r="OKA11" s="1018"/>
      <c r="OKB11" s="1018"/>
      <c r="OKC11" s="1019"/>
      <c r="OKD11" s="1019"/>
      <c r="OKE11" s="1019"/>
      <c r="OKF11" s="1018"/>
      <c r="OKG11" s="1018"/>
      <c r="OKH11" s="1018"/>
      <c r="OKI11" s="1018"/>
      <c r="OKJ11" s="1018"/>
      <c r="OKK11" s="1018"/>
      <c r="OKL11" s="139"/>
      <c r="OKM11" s="128"/>
      <c r="OKN11" s="128"/>
      <c r="OKO11" s="128"/>
      <c r="OKP11" s="128"/>
      <c r="OKQ11" s="118"/>
      <c r="OKR11" s="128"/>
      <c r="OKS11" s="128"/>
      <c r="OKT11" s="991"/>
      <c r="OKU11" s="128"/>
      <c r="OKV11" s="170"/>
      <c r="OKW11" s="170"/>
      <c r="OKX11" s="1018"/>
      <c r="OKY11" s="1018"/>
      <c r="OKZ11" s="1018"/>
      <c r="OLA11" s="1018"/>
      <c r="OLB11" s="1019"/>
      <c r="OLC11" s="1019"/>
      <c r="OLD11" s="1019"/>
      <c r="OLE11" s="1018"/>
      <c r="OLF11" s="1018"/>
      <c r="OLG11" s="1018"/>
      <c r="OLH11" s="1018"/>
      <c r="OLI11" s="1018"/>
      <c r="OLJ11" s="1018"/>
      <c r="OLK11" s="139"/>
      <c r="OLL11" s="128"/>
      <c r="OLM11" s="128"/>
      <c r="OLN11" s="128"/>
      <c r="OLO11" s="128"/>
      <c r="OLP11" s="118"/>
      <c r="OLQ11" s="128"/>
      <c r="OLR11" s="128"/>
      <c r="OLS11" s="991"/>
      <c r="OLT11" s="128"/>
      <c r="OLU11" s="170"/>
      <c r="OLV11" s="170"/>
      <c r="OLW11" s="1018"/>
      <c r="OLX11" s="1018"/>
      <c r="OLY11" s="1018"/>
      <c r="OLZ11" s="1018"/>
      <c r="OMA11" s="1019"/>
      <c r="OMB11" s="1019"/>
      <c r="OMC11" s="1019"/>
      <c r="OMD11" s="1018"/>
      <c r="OME11" s="1018"/>
      <c r="OMF11" s="1018"/>
      <c r="OMG11" s="1018"/>
      <c r="OMH11" s="1018"/>
      <c r="OMI11" s="1018"/>
      <c r="OMJ11" s="139"/>
      <c r="OMK11" s="128"/>
      <c r="OML11" s="128"/>
      <c r="OMM11" s="128"/>
      <c r="OMN11" s="128"/>
      <c r="OMO11" s="118"/>
      <c r="OMP11" s="128"/>
      <c r="OMQ11" s="128"/>
      <c r="OMR11" s="991"/>
      <c r="OMS11" s="128"/>
      <c r="OMT11" s="170"/>
      <c r="OMU11" s="170"/>
      <c r="OMV11" s="1018"/>
      <c r="OMW11" s="1018"/>
      <c r="OMX11" s="1018"/>
      <c r="OMY11" s="1018"/>
      <c r="OMZ11" s="1019"/>
      <c r="ONA11" s="1019"/>
      <c r="ONB11" s="1019"/>
      <c r="ONC11" s="1018"/>
      <c r="OND11" s="1018"/>
      <c r="ONE11" s="1018"/>
      <c r="ONF11" s="1018"/>
      <c r="ONG11" s="1018"/>
      <c r="ONH11" s="1018"/>
      <c r="ONI11" s="139"/>
      <c r="ONJ11" s="128"/>
      <c r="ONK11" s="128"/>
      <c r="ONL11" s="128"/>
      <c r="ONM11" s="128"/>
      <c r="ONN11" s="118"/>
      <c r="ONO11" s="128"/>
      <c r="ONP11" s="128"/>
      <c r="ONQ11" s="991"/>
      <c r="ONR11" s="128"/>
      <c r="ONS11" s="170"/>
      <c r="ONT11" s="170"/>
      <c r="ONU11" s="1018"/>
      <c r="ONV11" s="1018"/>
      <c r="ONW11" s="1018"/>
      <c r="ONX11" s="1018"/>
      <c r="ONY11" s="1019"/>
      <c r="ONZ11" s="1019"/>
      <c r="OOA11" s="1019"/>
      <c r="OOB11" s="1018"/>
      <c r="OOC11" s="1018"/>
      <c r="OOD11" s="1018"/>
      <c r="OOE11" s="1018"/>
      <c r="OOF11" s="1018"/>
      <c r="OOG11" s="1018"/>
      <c r="OOH11" s="139"/>
      <c r="OOI11" s="128"/>
      <c r="OOJ11" s="128"/>
      <c r="OOK11" s="128"/>
      <c r="OOL11" s="128"/>
      <c r="OOM11" s="118"/>
      <c r="OON11" s="128"/>
      <c r="OOO11" s="128"/>
      <c r="OOP11" s="991"/>
      <c r="OOQ11" s="128"/>
      <c r="OOR11" s="170"/>
      <c r="OOS11" s="170"/>
      <c r="OOT11" s="1018"/>
      <c r="OOU11" s="1018"/>
      <c r="OOV11" s="1018"/>
      <c r="OOW11" s="1018"/>
      <c r="OOX11" s="1019"/>
      <c r="OOY11" s="1019"/>
      <c r="OOZ11" s="1019"/>
      <c r="OPA11" s="1018"/>
      <c r="OPB11" s="1018"/>
      <c r="OPC11" s="1018"/>
      <c r="OPD11" s="1018"/>
      <c r="OPE11" s="1018"/>
      <c r="OPF11" s="1018"/>
      <c r="OPG11" s="139"/>
      <c r="OPH11" s="128"/>
      <c r="OPI11" s="128"/>
      <c r="OPJ11" s="128"/>
      <c r="OPK11" s="128"/>
      <c r="OPL11" s="118"/>
      <c r="OPM11" s="128"/>
      <c r="OPN11" s="128"/>
      <c r="OPO11" s="991"/>
      <c r="OPP11" s="128"/>
      <c r="OPQ11" s="170"/>
      <c r="OPR11" s="170"/>
      <c r="OPS11" s="1018"/>
      <c r="OPT11" s="1018"/>
      <c r="OPU11" s="1018"/>
      <c r="OPV11" s="1018"/>
      <c r="OPW11" s="1019"/>
      <c r="OPX11" s="1019"/>
      <c r="OPY11" s="1019"/>
      <c r="OPZ11" s="1018"/>
      <c r="OQA11" s="1018"/>
      <c r="OQB11" s="1018"/>
      <c r="OQC11" s="1018"/>
      <c r="OQD11" s="1018"/>
      <c r="OQE11" s="1018"/>
      <c r="OQF11" s="139"/>
      <c r="OQG11" s="128"/>
      <c r="OQH11" s="128"/>
      <c r="OQI11" s="128"/>
      <c r="OQJ11" s="128"/>
      <c r="OQK11" s="118"/>
      <c r="OQL11" s="128"/>
      <c r="OQM11" s="128"/>
      <c r="OQN11" s="991"/>
      <c r="OQO11" s="128"/>
      <c r="OQP11" s="170"/>
      <c r="OQQ11" s="170"/>
      <c r="OQR11" s="1018"/>
      <c r="OQS11" s="1018"/>
      <c r="OQT11" s="1018"/>
      <c r="OQU11" s="1018"/>
      <c r="OQV11" s="1019"/>
      <c r="OQW11" s="1019"/>
      <c r="OQX11" s="1019"/>
      <c r="OQY11" s="1018"/>
      <c r="OQZ11" s="1018"/>
      <c r="ORA11" s="1018"/>
      <c r="ORB11" s="1018"/>
      <c r="ORC11" s="1018"/>
      <c r="ORD11" s="1018"/>
      <c r="ORE11" s="139"/>
      <c r="ORF11" s="128"/>
      <c r="ORG11" s="128"/>
      <c r="ORH11" s="128"/>
      <c r="ORI11" s="128"/>
      <c r="ORJ11" s="118"/>
      <c r="ORK11" s="128"/>
      <c r="ORL11" s="128"/>
      <c r="ORM11" s="991"/>
      <c r="ORN11" s="128"/>
      <c r="ORO11" s="170"/>
      <c r="ORP11" s="170"/>
      <c r="ORQ11" s="1018"/>
      <c r="ORR11" s="1018"/>
      <c r="ORS11" s="1018"/>
      <c r="ORT11" s="1018"/>
      <c r="ORU11" s="1019"/>
      <c r="ORV11" s="1019"/>
      <c r="ORW11" s="1019"/>
      <c r="ORX11" s="1018"/>
      <c r="ORY11" s="1018"/>
      <c r="ORZ11" s="1018"/>
      <c r="OSA11" s="1018"/>
      <c r="OSB11" s="1018"/>
      <c r="OSC11" s="1018"/>
      <c r="OSD11" s="139"/>
      <c r="OSE11" s="128"/>
      <c r="OSF11" s="128"/>
      <c r="OSG11" s="128"/>
      <c r="OSH11" s="128"/>
      <c r="OSI11" s="118"/>
      <c r="OSJ11" s="128"/>
      <c r="OSK11" s="128"/>
      <c r="OSL11" s="991"/>
      <c r="OSM11" s="128"/>
      <c r="OSN11" s="170"/>
      <c r="OSO11" s="170"/>
      <c r="OSP11" s="1018"/>
      <c r="OSQ11" s="1018"/>
      <c r="OSR11" s="1018"/>
      <c r="OSS11" s="1018"/>
      <c r="OST11" s="1019"/>
      <c r="OSU11" s="1019"/>
      <c r="OSV11" s="1019"/>
      <c r="OSW11" s="1018"/>
      <c r="OSX11" s="1018"/>
      <c r="OSY11" s="1018"/>
      <c r="OSZ11" s="1018"/>
      <c r="OTA11" s="1018"/>
      <c r="OTB11" s="1018"/>
      <c r="OTC11" s="139"/>
      <c r="OTD11" s="128"/>
      <c r="OTE11" s="128"/>
      <c r="OTF11" s="128"/>
      <c r="OTG11" s="128"/>
      <c r="OTH11" s="118"/>
      <c r="OTI11" s="128"/>
      <c r="OTJ11" s="128"/>
      <c r="OTK11" s="991"/>
      <c r="OTL11" s="128"/>
      <c r="OTM11" s="170"/>
      <c r="OTN11" s="170"/>
      <c r="OTO11" s="1018"/>
      <c r="OTP11" s="1018"/>
      <c r="OTQ11" s="1018"/>
      <c r="OTR11" s="1018"/>
      <c r="OTS11" s="1019"/>
      <c r="OTT11" s="1019"/>
      <c r="OTU11" s="1019"/>
      <c r="OTV11" s="1018"/>
      <c r="OTW11" s="1018"/>
      <c r="OTX11" s="1018"/>
      <c r="OTY11" s="1018"/>
      <c r="OTZ11" s="1018"/>
      <c r="OUA11" s="1018"/>
      <c r="OUB11" s="139"/>
      <c r="OUC11" s="128"/>
      <c r="OUD11" s="128"/>
      <c r="OUE11" s="128"/>
      <c r="OUF11" s="128"/>
      <c r="OUG11" s="118"/>
      <c r="OUH11" s="128"/>
      <c r="OUI11" s="128"/>
      <c r="OUJ11" s="991"/>
      <c r="OUK11" s="128"/>
      <c r="OUL11" s="170"/>
      <c r="OUM11" s="170"/>
      <c r="OUN11" s="1018"/>
      <c r="OUO11" s="1018"/>
      <c r="OUP11" s="1018"/>
      <c r="OUQ11" s="1018"/>
      <c r="OUR11" s="1019"/>
      <c r="OUS11" s="1019"/>
      <c r="OUT11" s="1019"/>
      <c r="OUU11" s="1018"/>
      <c r="OUV11" s="1018"/>
      <c r="OUW11" s="1018"/>
      <c r="OUX11" s="1018"/>
      <c r="OUY11" s="1018"/>
      <c r="OUZ11" s="1018"/>
      <c r="OVA11" s="139"/>
      <c r="OVB11" s="128"/>
      <c r="OVC11" s="128"/>
      <c r="OVD11" s="128"/>
      <c r="OVE11" s="128"/>
      <c r="OVF11" s="118"/>
      <c r="OVG11" s="128"/>
      <c r="OVH11" s="128"/>
      <c r="OVI11" s="991"/>
      <c r="OVJ11" s="128"/>
      <c r="OVK11" s="170"/>
      <c r="OVL11" s="170"/>
      <c r="OVM11" s="1018"/>
      <c r="OVN11" s="1018"/>
      <c r="OVO11" s="1018"/>
      <c r="OVP11" s="1018"/>
      <c r="OVQ11" s="1019"/>
      <c r="OVR11" s="1019"/>
      <c r="OVS11" s="1019"/>
      <c r="OVT11" s="1018"/>
      <c r="OVU11" s="1018"/>
      <c r="OVV11" s="1018"/>
      <c r="OVW11" s="1018"/>
      <c r="OVX11" s="1018"/>
      <c r="OVY11" s="1018"/>
      <c r="OVZ11" s="139"/>
      <c r="OWA11" s="128"/>
      <c r="OWB11" s="128"/>
      <c r="OWC11" s="128"/>
      <c r="OWD11" s="128"/>
      <c r="OWE11" s="118"/>
      <c r="OWF11" s="128"/>
      <c r="OWG11" s="128"/>
      <c r="OWH11" s="991"/>
      <c r="OWI11" s="128"/>
      <c r="OWJ11" s="170"/>
      <c r="OWK11" s="170"/>
      <c r="OWL11" s="1018"/>
      <c r="OWM11" s="1018"/>
      <c r="OWN11" s="1018"/>
      <c r="OWO11" s="1018"/>
      <c r="OWP11" s="1019"/>
      <c r="OWQ11" s="1019"/>
      <c r="OWR11" s="1019"/>
      <c r="OWS11" s="1018"/>
      <c r="OWT11" s="1018"/>
      <c r="OWU11" s="1018"/>
      <c r="OWV11" s="1018"/>
      <c r="OWW11" s="1018"/>
      <c r="OWX11" s="1018"/>
      <c r="OWY11" s="139"/>
      <c r="OWZ11" s="128"/>
      <c r="OXA11" s="128"/>
      <c r="OXB11" s="128"/>
      <c r="OXC11" s="128"/>
      <c r="OXD11" s="118"/>
      <c r="OXE11" s="128"/>
      <c r="OXF11" s="128"/>
      <c r="OXG11" s="991"/>
      <c r="OXH11" s="128"/>
      <c r="OXI11" s="170"/>
      <c r="OXJ11" s="170"/>
      <c r="OXK11" s="1018"/>
      <c r="OXL11" s="1018"/>
      <c r="OXM11" s="1018"/>
      <c r="OXN11" s="1018"/>
      <c r="OXO11" s="1019"/>
      <c r="OXP11" s="1019"/>
      <c r="OXQ11" s="1019"/>
      <c r="OXR11" s="1018"/>
      <c r="OXS11" s="1018"/>
      <c r="OXT11" s="1018"/>
      <c r="OXU11" s="1018"/>
      <c r="OXV11" s="1018"/>
      <c r="OXW11" s="1018"/>
      <c r="OXX11" s="139"/>
      <c r="OXY11" s="128"/>
      <c r="OXZ11" s="128"/>
      <c r="OYA11" s="128"/>
      <c r="OYB11" s="128"/>
      <c r="OYC11" s="118"/>
      <c r="OYD11" s="128"/>
      <c r="OYE11" s="128"/>
      <c r="OYF11" s="991"/>
      <c r="OYG11" s="128"/>
      <c r="OYH11" s="170"/>
      <c r="OYI11" s="170"/>
      <c r="OYJ11" s="1018"/>
      <c r="OYK11" s="1018"/>
      <c r="OYL11" s="1018"/>
      <c r="OYM11" s="1018"/>
      <c r="OYN11" s="1019"/>
      <c r="OYO11" s="1019"/>
      <c r="OYP11" s="1019"/>
      <c r="OYQ11" s="1018"/>
      <c r="OYR11" s="1018"/>
      <c r="OYS11" s="1018"/>
      <c r="OYT11" s="1018"/>
      <c r="OYU11" s="1018"/>
      <c r="OYV11" s="1018"/>
      <c r="OYW11" s="139"/>
      <c r="OYX11" s="128"/>
      <c r="OYY11" s="128"/>
      <c r="OYZ11" s="128"/>
      <c r="OZA11" s="128"/>
      <c r="OZB11" s="118"/>
      <c r="OZC11" s="128"/>
      <c r="OZD11" s="128"/>
      <c r="OZE11" s="991"/>
      <c r="OZF11" s="128"/>
      <c r="OZG11" s="170"/>
      <c r="OZH11" s="170"/>
      <c r="OZI11" s="1018"/>
      <c r="OZJ11" s="1018"/>
      <c r="OZK11" s="1018"/>
      <c r="OZL11" s="1018"/>
      <c r="OZM11" s="1019"/>
      <c r="OZN11" s="1019"/>
      <c r="OZO11" s="1019"/>
      <c r="OZP11" s="1018"/>
      <c r="OZQ11" s="1018"/>
      <c r="OZR11" s="1018"/>
      <c r="OZS11" s="1018"/>
      <c r="OZT11" s="1018"/>
      <c r="OZU11" s="1018"/>
      <c r="OZV11" s="139"/>
      <c r="OZW11" s="128"/>
      <c r="OZX11" s="128"/>
      <c r="OZY11" s="128"/>
      <c r="OZZ11" s="128"/>
      <c r="PAA11" s="118"/>
      <c r="PAB11" s="128"/>
      <c r="PAC11" s="128"/>
      <c r="PAD11" s="991"/>
      <c r="PAE11" s="128"/>
      <c r="PAF11" s="170"/>
      <c r="PAG11" s="170"/>
      <c r="PAH11" s="1018"/>
      <c r="PAI11" s="1018"/>
      <c r="PAJ11" s="1018"/>
      <c r="PAK11" s="1018"/>
      <c r="PAL11" s="1019"/>
      <c r="PAM11" s="1019"/>
      <c r="PAN11" s="1019"/>
      <c r="PAO11" s="1018"/>
      <c r="PAP11" s="1018"/>
      <c r="PAQ11" s="1018"/>
      <c r="PAR11" s="1018"/>
      <c r="PAS11" s="1018"/>
      <c r="PAT11" s="1018"/>
      <c r="PAU11" s="139"/>
      <c r="PAV11" s="128"/>
      <c r="PAW11" s="128"/>
      <c r="PAX11" s="128"/>
      <c r="PAY11" s="128"/>
      <c r="PAZ11" s="118"/>
      <c r="PBA11" s="128"/>
      <c r="PBB11" s="128"/>
      <c r="PBC11" s="991"/>
      <c r="PBD11" s="128"/>
      <c r="PBE11" s="170"/>
      <c r="PBF11" s="170"/>
      <c r="PBG11" s="1018"/>
      <c r="PBH11" s="1018"/>
      <c r="PBI11" s="1018"/>
      <c r="PBJ11" s="1018"/>
      <c r="PBK11" s="1019"/>
      <c r="PBL11" s="1019"/>
      <c r="PBM11" s="1019"/>
      <c r="PBN11" s="1018"/>
      <c r="PBO11" s="1018"/>
      <c r="PBP11" s="1018"/>
      <c r="PBQ11" s="1018"/>
      <c r="PBR11" s="1018"/>
      <c r="PBS11" s="1018"/>
      <c r="PBT11" s="139"/>
      <c r="PBU11" s="128"/>
      <c r="PBV11" s="128"/>
      <c r="PBW11" s="128"/>
      <c r="PBX11" s="128"/>
      <c r="PBY11" s="118"/>
      <c r="PBZ11" s="128"/>
      <c r="PCA11" s="128"/>
      <c r="PCB11" s="991"/>
      <c r="PCC11" s="128"/>
      <c r="PCD11" s="170"/>
      <c r="PCE11" s="170"/>
      <c r="PCF11" s="1018"/>
      <c r="PCG11" s="1018"/>
      <c r="PCH11" s="1018"/>
      <c r="PCI11" s="1018"/>
      <c r="PCJ11" s="1019"/>
      <c r="PCK11" s="1019"/>
      <c r="PCL11" s="1019"/>
      <c r="PCM11" s="1018"/>
      <c r="PCN11" s="1018"/>
      <c r="PCO11" s="1018"/>
      <c r="PCP11" s="1018"/>
      <c r="PCQ11" s="1018"/>
      <c r="PCR11" s="1018"/>
      <c r="PCS11" s="139"/>
      <c r="PCT11" s="128"/>
      <c r="PCU11" s="128"/>
      <c r="PCV11" s="128"/>
      <c r="PCW11" s="128"/>
      <c r="PCX11" s="118"/>
      <c r="PCY11" s="128"/>
      <c r="PCZ11" s="128"/>
      <c r="PDA11" s="991"/>
      <c r="PDB11" s="128"/>
      <c r="PDC11" s="170"/>
      <c r="PDD11" s="170"/>
      <c r="PDE11" s="1018"/>
      <c r="PDF11" s="1018"/>
      <c r="PDG11" s="1018"/>
      <c r="PDH11" s="1018"/>
      <c r="PDI11" s="1019"/>
      <c r="PDJ11" s="1019"/>
      <c r="PDK11" s="1019"/>
      <c r="PDL11" s="1018"/>
      <c r="PDM11" s="1018"/>
      <c r="PDN11" s="1018"/>
      <c r="PDO11" s="1018"/>
      <c r="PDP11" s="1018"/>
      <c r="PDQ11" s="1018"/>
      <c r="PDR11" s="139"/>
      <c r="PDS11" s="128"/>
      <c r="PDT11" s="128"/>
      <c r="PDU11" s="128"/>
      <c r="PDV11" s="128"/>
      <c r="PDW11" s="118"/>
      <c r="PDX11" s="128"/>
      <c r="PDY11" s="128"/>
      <c r="PDZ11" s="991"/>
      <c r="PEA11" s="128"/>
      <c r="PEB11" s="170"/>
      <c r="PEC11" s="170"/>
      <c r="PED11" s="1018"/>
      <c r="PEE11" s="1018"/>
      <c r="PEF11" s="1018"/>
      <c r="PEG11" s="1018"/>
      <c r="PEH11" s="1019"/>
      <c r="PEI11" s="1019"/>
      <c r="PEJ11" s="1019"/>
      <c r="PEK11" s="1018"/>
      <c r="PEL11" s="1018"/>
      <c r="PEM11" s="1018"/>
      <c r="PEN11" s="1018"/>
      <c r="PEO11" s="1018"/>
      <c r="PEP11" s="1018"/>
      <c r="PEQ11" s="139"/>
      <c r="PER11" s="128"/>
      <c r="PES11" s="128"/>
      <c r="PET11" s="128"/>
      <c r="PEU11" s="128"/>
      <c r="PEV11" s="118"/>
      <c r="PEW11" s="128"/>
      <c r="PEX11" s="128"/>
      <c r="PEY11" s="991"/>
      <c r="PEZ11" s="128"/>
      <c r="PFA11" s="170"/>
      <c r="PFB11" s="170"/>
      <c r="PFC11" s="1018"/>
      <c r="PFD11" s="1018"/>
      <c r="PFE11" s="1018"/>
      <c r="PFF11" s="1018"/>
      <c r="PFG11" s="1019"/>
      <c r="PFH11" s="1019"/>
      <c r="PFI11" s="1019"/>
      <c r="PFJ11" s="1018"/>
      <c r="PFK11" s="1018"/>
      <c r="PFL11" s="1018"/>
      <c r="PFM11" s="1018"/>
      <c r="PFN11" s="1018"/>
      <c r="PFO11" s="1018"/>
      <c r="PFP11" s="139"/>
      <c r="PFQ11" s="128"/>
      <c r="PFR11" s="128"/>
      <c r="PFS11" s="128"/>
      <c r="PFT11" s="128"/>
      <c r="PFU11" s="118"/>
      <c r="PFV11" s="128"/>
      <c r="PFW11" s="128"/>
      <c r="PFX11" s="991"/>
      <c r="PFY11" s="128"/>
      <c r="PFZ11" s="170"/>
      <c r="PGA11" s="170"/>
      <c r="PGB11" s="1018"/>
      <c r="PGC11" s="1018"/>
      <c r="PGD11" s="1018"/>
      <c r="PGE11" s="1018"/>
      <c r="PGF11" s="1019"/>
      <c r="PGG11" s="1019"/>
      <c r="PGH11" s="1019"/>
      <c r="PGI11" s="1018"/>
      <c r="PGJ11" s="1018"/>
      <c r="PGK11" s="1018"/>
      <c r="PGL11" s="1018"/>
      <c r="PGM11" s="1018"/>
      <c r="PGN11" s="1018"/>
      <c r="PGO11" s="139"/>
      <c r="PGP11" s="128"/>
      <c r="PGQ11" s="128"/>
      <c r="PGR11" s="128"/>
      <c r="PGS11" s="128"/>
      <c r="PGT11" s="118"/>
      <c r="PGU11" s="128"/>
      <c r="PGV11" s="128"/>
      <c r="PGW11" s="991"/>
      <c r="PGX11" s="128"/>
      <c r="PGY11" s="170"/>
      <c r="PGZ11" s="170"/>
      <c r="PHA11" s="1018"/>
      <c r="PHB11" s="1018"/>
      <c r="PHC11" s="1018"/>
      <c r="PHD11" s="1018"/>
      <c r="PHE11" s="1019"/>
      <c r="PHF11" s="1019"/>
      <c r="PHG11" s="1019"/>
      <c r="PHH11" s="1018"/>
      <c r="PHI11" s="1018"/>
      <c r="PHJ11" s="1018"/>
      <c r="PHK11" s="1018"/>
      <c r="PHL11" s="1018"/>
      <c r="PHM11" s="1018"/>
      <c r="PHN11" s="139"/>
      <c r="PHO11" s="128"/>
      <c r="PHP11" s="128"/>
      <c r="PHQ11" s="128"/>
      <c r="PHR11" s="128"/>
      <c r="PHS11" s="118"/>
      <c r="PHT11" s="128"/>
      <c r="PHU11" s="128"/>
      <c r="PHV11" s="991"/>
      <c r="PHW11" s="128"/>
      <c r="PHX11" s="170"/>
      <c r="PHY11" s="170"/>
      <c r="PHZ11" s="1018"/>
      <c r="PIA11" s="1018"/>
      <c r="PIB11" s="1018"/>
      <c r="PIC11" s="1018"/>
      <c r="PID11" s="1019"/>
      <c r="PIE11" s="1019"/>
      <c r="PIF11" s="1019"/>
      <c r="PIG11" s="1018"/>
      <c r="PIH11" s="1018"/>
      <c r="PII11" s="1018"/>
      <c r="PIJ11" s="1018"/>
      <c r="PIK11" s="1018"/>
      <c r="PIL11" s="1018"/>
      <c r="PIM11" s="139"/>
      <c r="PIN11" s="128"/>
      <c r="PIO11" s="128"/>
      <c r="PIP11" s="128"/>
      <c r="PIQ11" s="128"/>
      <c r="PIR11" s="118"/>
      <c r="PIS11" s="128"/>
      <c r="PIT11" s="128"/>
      <c r="PIU11" s="991"/>
      <c r="PIV11" s="128"/>
      <c r="PIW11" s="170"/>
      <c r="PIX11" s="170"/>
      <c r="PIY11" s="1018"/>
      <c r="PIZ11" s="1018"/>
      <c r="PJA11" s="1018"/>
      <c r="PJB11" s="1018"/>
      <c r="PJC11" s="1019"/>
      <c r="PJD11" s="1019"/>
      <c r="PJE11" s="1019"/>
      <c r="PJF11" s="1018"/>
      <c r="PJG11" s="1018"/>
      <c r="PJH11" s="1018"/>
      <c r="PJI11" s="1018"/>
      <c r="PJJ11" s="1018"/>
      <c r="PJK11" s="1018"/>
      <c r="PJL11" s="139"/>
      <c r="PJM11" s="128"/>
      <c r="PJN11" s="128"/>
      <c r="PJO11" s="128"/>
      <c r="PJP11" s="128"/>
      <c r="PJQ11" s="118"/>
      <c r="PJR11" s="128"/>
      <c r="PJS11" s="128"/>
      <c r="PJT11" s="991"/>
      <c r="PJU11" s="128"/>
      <c r="PJV11" s="170"/>
      <c r="PJW11" s="170"/>
      <c r="PJX11" s="1018"/>
      <c r="PJY11" s="1018"/>
      <c r="PJZ11" s="1018"/>
      <c r="PKA11" s="1018"/>
      <c r="PKB11" s="1019"/>
      <c r="PKC11" s="1019"/>
      <c r="PKD11" s="1019"/>
      <c r="PKE11" s="1018"/>
      <c r="PKF11" s="1018"/>
      <c r="PKG11" s="1018"/>
      <c r="PKH11" s="1018"/>
      <c r="PKI11" s="1018"/>
      <c r="PKJ11" s="1018"/>
      <c r="PKK11" s="139"/>
      <c r="PKL11" s="128"/>
      <c r="PKM11" s="128"/>
      <c r="PKN11" s="128"/>
      <c r="PKO11" s="128"/>
      <c r="PKP11" s="118"/>
      <c r="PKQ11" s="128"/>
      <c r="PKR11" s="128"/>
      <c r="PKS11" s="991"/>
      <c r="PKT11" s="128"/>
      <c r="PKU11" s="170"/>
      <c r="PKV11" s="170"/>
      <c r="PKW11" s="1018"/>
      <c r="PKX11" s="1018"/>
      <c r="PKY11" s="1018"/>
      <c r="PKZ11" s="1018"/>
      <c r="PLA11" s="1019"/>
      <c r="PLB11" s="1019"/>
      <c r="PLC11" s="1019"/>
      <c r="PLD11" s="1018"/>
      <c r="PLE11" s="1018"/>
      <c r="PLF11" s="1018"/>
      <c r="PLG11" s="1018"/>
      <c r="PLH11" s="1018"/>
      <c r="PLI11" s="1018"/>
      <c r="PLJ11" s="139"/>
      <c r="PLK11" s="128"/>
      <c r="PLL11" s="128"/>
      <c r="PLM11" s="128"/>
      <c r="PLN11" s="128"/>
      <c r="PLO11" s="118"/>
      <c r="PLP11" s="128"/>
      <c r="PLQ11" s="128"/>
      <c r="PLR11" s="991"/>
      <c r="PLS11" s="128"/>
      <c r="PLT11" s="170"/>
      <c r="PLU11" s="170"/>
      <c r="PLV11" s="1018"/>
      <c r="PLW11" s="1018"/>
      <c r="PLX11" s="1018"/>
      <c r="PLY11" s="1018"/>
      <c r="PLZ11" s="1019"/>
      <c r="PMA11" s="1019"/>
      <c r="PMB11" s="1019"/>
      <c r="PMC11" s="1018"/>
      <c r="PMD11" s="1018"/>
      <c r="PME11" s="1018"/>
      <c r="PMF11" s="1018"/>
      <c r="PMG11" s="1018"/>
      <c r="PMH11" s="1018"/>
      <c r="PMI11" s="139"/>
      <c r="PMJ11" s="128"/>
      <c r="PMK11" s="128"/>
      <c r="PML11" s="128"/>
      <c r="PMM11" s="128"/>
      <c r="PMN11" s="118"/>
      <c r="PMO11" s="128"/>
      <c r="PMP11" s="128"/>
      <c r="PMQ11" s="991"/>
      <c r="PMR11" s="128"/>
      <c r="PMS11" s="170"/>
      <c r="PMT11" s="170"/>
      <c r="PMU11" s="1018"/>
      <c r="PMV11" s="1018"/>
      <c r="PMW11" s="1018"/>
      <c r="PMX11" s="1018"/>
      <c r="PMY11" s="1019"/>
      <c r="PMZ11" s="1019"/>
      <c r="PNA11" s="1019"/>
      <c r="PNB11" s="1018"/>
      <c r="PNC11" s="1018"/>
      <c r="PND11" s="1018"/>
      <c r="PNE11" s="1018"/>
      <c r="PNF11" s="1018"/>
      <c r="PNG11" s="1018"/>
      <c r="PNH11" s="139"/>
      <c r="PNI11" s="128"/>
      <c r="PNJ11" s="128"/>
      <c r="PNK11" s="128"/>
      <c r="PNL11" s="128"/>
      <c r="PNM11" s="118"/>
      <c r="PNN11" s="128"/>
      <c r="PNO11" s="128"/>
      <c r="PNP11" s="991"/>
      <c r="PNQ11" s="128"/>
      <c r="PNR11" s="170"/>
      <c r="PNS11" s="170"/>
      <c r="PNT11" s="1018"/>
      <c r="PNU11" s="1018"/>
      <c r="PNV11" s="1018"/>
      <c r="PNW11" s="1018"/>
      <c r="PNX11" s="1019"/>
      <c r="PNY11" s="1019"/>
      <c r="PNZ11" s="1019"/>
      <c r="POA11" s="1018"/>
      <c r="POB11" s="1018"/>
      <c r="POC11" s="1018"/>
      <c r="POD11" s="1018"/>
      <c r="POE11" s="1018"/>
      <c r="POF11" s="1018"/>
      <c r="POG11" s="139"/>
      <c r="POH11" s="128"/>
      <c r="POI11" s="128"/>
      <c r="POJ11" s="128"/>
      <c r="POK11" s="128"/>
      <c r="POL11" s="118"/>
      <c r="POM11" s="128"/>
      <c r="PON11" s="128"/>
      <c r="POO11" s="991"/>
      <c r="POP11" s="128"/>
      <c r="POQ11" s="170"/>
      <c r="POR11" s="170"/>
      <c r="POS11" s="1018"/>
      <c r="POT11" s="1018"/>
      <c r="POU11" s="1018"/>
      <c r="POV11" s="1018"/>
      <c r="POW11" s="1019"/>
      <c r="POX11" s="1019"/>
      <c r="POY11" s="1019"/>
      <c r="POZ11" s="1018"/>
      <c r="PPA11" s="1018"/>
      <c r="PPB11" s="1018"/>
      <c r="PPC11" s="1018"/>
      <c r="PPD11" s="1018"/>
      <c r="PPE11" s="1018"/>
      <c r="PPF11" s="139"/>
      <c r="PPG11" s="128"/>
      <c r="PPH11" s="128"/>
      <c r="PPI11" s="128"/>
      <c r="PPJ11" s="128"/>
      <c r="PPK11" s="118"/>
      <c r="PPL11" s="128"/>
      <c r="PPM11" s="128"/>
      <c r="PPN11" s="991"/>
      <c r="PPO11" s="128"/>
      <c r="PPP11" s="170"/>
      <c r="PPQ11" s="170"/>
      <c r="PPR11" s="1018"/>
      <c r="PPS11" s="1018"/>
      <c r="PPT11" s="1018"/>
      <c r="PPU11" s="1018"/>
      <c r="PPV11" s="1019"/>
      <c r="PPW11" s="1019"/>
      <c r="PPX11" s="1019"/>
      <c r="PPY11" s="1018"/>
      <c r="PPZ11" s="1018"/>
      <c r="PQA11" s="1018"/>
      <c r="PQB11" s="1018"/>
      <c r="PQC11" s="1018"/>
      <c r="PQD11" s="1018"/>
      <c r="PQE11" s="139"/>
      <c r="PQF11" s="128"/>
      <c r="PQG11" s="128"/>
      <c r="PQH11" s="128"/>
      <c r="PQI11" s="128"/>
      <c r="PQJ11" s="118"/>
      <c r="PQK11" s="128"/>
      <c r="PQL11" s="128"/>
      <c r="PQM11" s="991"/>
      <c r="PQN11" s="128"/>
      <c r="PQO11" s="170"/>
      <c r="PQP11" s="170"/>
      <c r="PQQ11" s="1018"/>
      <c r="PQR11" s="1018"/>
      <c r="PQS11" s="1018"/>
      <c r="PQT11" s="1018"/>
      <c r="PQU11" s="1019"/>
      <c r="PQV11" s="1019"/>
      <c r="PQW11" s="1019"/>
      <c r="PQX11" s="1018"/>
      <c r="PQY11" s="1018"/>
      <c r="PQZ11" s="1018"/>
      <c r="PRA11" s="1018"/>
      <c r="PRB11" s="1018"/>
      <c r="PRC11" s="1018"/>
      <c r="PRD11" s="139"/>
      <c r="PRE11" s="128"/>
      <c r="PRF11" s="128"/>
      <c r="PRG11" s="128"/>
      <c r="PRH11" s="128"/>
      <c r="PRI11" s="118"/>
      <c r="PRJ11" s="128"/>
      <c r="PRK11" s="128"/>
      <c r="PRL11" s="991"/>
      <c r="PRM11" s="128"/>
      <c r="PRN11" s="170"/>
      <c r="PRO11" s="170"/>
      <c r="PRP11" s="1018"/>
      <c r="PRQ11" s="1018"/>
      <c r="PRR11" s="1018"/>
      <c r="PRS11" s="1018"/>
      <c r="PRT11" s="1019"/>
      <c r="PRU11" s="1019"/>
      <c r="PRV11" s="1019"/>
      <c r="PRW11" s="1018"/>
      <c r="PRX11" s="1018"/>
      <c r="PRY11" s="1018"/>
      <c r="PRZ11" s="1018"/>
      <c r="PSA11" s="1018"/>
      <c r="PSB11" s="1018"/>
      <c r="PSC11" s="139"/>
      <c r="PSD11" s="128"/>
      <c r="PSE11" s="128"/>
      <c r="PSF11" s="128"/>
      <c r="PSG11" s="128"/>
      <c r="PSH11" s="118"/>
      <c r="PSI11" s="128"/>
      <c r="PSJ11" s="128"/>
      <c r="PSK11" s="991"/>
      <c r="PSL11" s="128"/>
      <c r="PSM11" s="170"/>
      <c r="PSN11" s="170"/>
      <c r="PSO11" s="1018"/>
      <c r="PSP11" s="1018"/>
      <c r="PSQ11" s="1018"/>
      <c r="PSR11" s="1018"/>
      <c r="PSS11" s="1019"/>
      <c r="PST11" s="1019"/>
      <c r="PSU11" s="1019"/>
      <c r="PSV11" s="1018"/>
      <c r="PSW11" s="1018"/>
      <c r="PSX11" s="1018"/>
      <c r="PSY11" s="1018"/>
      <c r="PSZ11" s="1018"/>
      <c r="PTA11" s="1018"/>
      <c r="PTB11" s="139"/>
      <c r="PTC11" s="128"/>
      <c r="PTD11" s="128"/>
      <c r="PTE11" s="128"/>
      <c r="PTF11" s="128"/>
      <c r="PTG11" s="118"/>
      <c r="PTH11" s="128"/>
      <c r="PTI11" s="128"/>
      <c r="PTJ11" s="991"/>
      <c r="PTK11" s="128"/>
      <c r="PTL11" s="170"/>
      <c r="PTM11" s="170"/>
      <c r="PTN11" s="1018"/>
      <c r="PTO11" s="1018"/>
      <c r="PTP11" s="1018"/>
      <c r="PTQ11" s="1018"/>
      <c r="PTR11" s="1019"/>
      <c r="PTS11" s="1019"/>
      <c r="PTT11" s="1019"/>
      <c r="PTU11" s="1018"/>
      <c r="PTV11" s="1018"/>
      <c r="PTW11" s="1018"/>
      <c r="PTX11" s="1018"/>
      <c r="PTY11" s="1018"/>
      <c r="PTZ11" s="1018"/>
      <c r="PUA11" s="139"/>
      <c r="PUB11" s="128"/>
      <c r="PUC11" s="128"/>
      <c r="PUD11" s="128"/>
      <c r="PUE11" s="128"/>
      <c r="PUF11" s="118"/>
      <c r="PUG11" s="128"/>
      <c r="PUH11" s="128"/>
      <c r="PUI11" s="991"/>
      <c r="PUJ11" s="128"/>
      <c r="PUK11" s="170"/>
      <c r="PUL11" s="170"/>
      <c r="PUM11" s="1018"/>
      <c r="PUN11" s="1018"/>
      <c r="PUO11" s="1018"/>
      <c r="PUP11" s="1018"/>
      <c r="PUQ11" s="1019"/>
      <c r="PUR11" s="1019"/>
      <c r="PUS11" s="1019"/>
      <c r="PUT11" s="1018"/>
      <c r="PUU11" s="1018"/>
      <c r="PUV11" s="1018"/>
      <c r="PUW11" s="1018"/>
      <c r="PUX11" s="1018"/>
      <c r="PUY11" s="1018"/>
      <c r="PUZ11" s="139"/>
      <c r="PVA11" s="128"/>
      <c r="PVB11" s="128"/>
      <c r="PVC11" s="128"/>
      <c r="PVD11" s="128"/>
      <c r="PVE11" s="118"/>
      <c r="PVF11" s="128"/>
      <c r="PVG11" s="128"/>
      <c r="PVH11" s="991"/>
      <c r="PVI11" s="128"/>
      <c r="PVJ11" s="170"/>
      <c r="PVK11" s="170"/>
      <c r="PVL11" s="1018"/>
      <c r="PVM11" s="1018"/>
      <c r="PVN11" s="1018"/>
      <c r="PVO11" s="1018"/>
      <c r="PVP11" s="1019"/>
      <c r="PVQ11" s="1019"/>
      <c r="PVR11" s="1019"/>
      <c r="PVS11" s="1018"/>
      <c r="PVT11" s="1018"/>
      <c r="PVU11" s="1018"/>
      <c r="PVV11" s="1018"/>
      <c r="PVW11" s="1018"/>
      <c r="PVX11" s="1018"/>
      <c r="PVY11" s="139"/>
      <c r="PVZ11" s="128"/>
      <c r="PWA11" s="128"/>
      <c r="PWB11" s="128"/>
      <c r="PWC11" s="128"/>
      <c r="PWD11" s="118"/>
      <c r="PWE11" s="128"/>
      <c r="PWF11" s="128"/>
      <c r="PWG11" s="991"/>
      <c r="PWH11" s="128"/>
      <c r="PWI11" s="170"/>
      <c r="PWJ11" s="170"/>
      <c r="PWK11" s="1018"/>
      <c r="PWL11" s="1018"/>
      <c r="PWM11" s="1018"/>
      <c r="PWN11" s="1018"/>
      <c r="PWO11" s="1019"/>
      <c r="PWP11" s="1019"/>
      <c r="PWQ11" s="1019"/>
      <c r="PWR11" s="1018"/>
      <c r="PWS11" s="1018"/>
      <c r="PWT11" s="1018"/>
      <c r="PWU11" s="1018"/>
      <c r="PWV11" s="1018"/>
      <c r="PWW11" s="1018"/>
      <c r="PWX11" s="139"/>
      <c r="PWY11" s="128"/>
      <c r="PWZ11" s="128"/>
      <c r="PXA11" s="128"/>
      <c r="PXB11" s="128"/>
      <c r="PXC11" s="118"/>
      <c r="PXD11" s="128"/>
      <c r="PXE11" s="128"/>
      <c r="PXF11" s="991"/>
      <c r="PXG11" s="128"/>
      <c r="PXH11" s="170"/>
      <c r="PXI11" s="170"/>
      <c r="PXJ11" s="1018"/>
      <c r="PXK11" s="1018"/>
      <c r="PXL11" s="1018"/>
      <c r="PXM11" s="1018"/>
      <c r="PXN11" s="1019"/>
      <c r="PXO11" s="1019"/>
      <c r="PXP11" s="1019"/>
      <c r="PXQ11" s="1018"/>
      <c r="PXR11" s="1018"/>
      <c r="PXS11" s="1018"/>
      <c r="PXT11" s="1018"/>
      <c r="PXU11" s="1018"/>
      <c r="PXV11" s="1018"/>
      <c r="PXW11" s="139"/>
      <c r="PXX11" s="128"/>
      <c r="PXY11" s="128"/>
      <c r="PXZ11" s="128"/>
      <c r="PYA11" s="128"/>
      <c r="PYB11" s="118"/>
      <c r="PYC11" s="128"/>
      <c r="PYD11" s="128"/>
      <c r="PYE11" s="991"/>
      <c r="PYF11" s="128"/>
      <c r="PYG11" s="170"/>
      <c r="PYH11" s="170"/>
      <c r="PYI11" s="1018"/>
      <c r="PYJ11" s="1018"/>
      <c r="PYK11" s="1018"/>
      <c r="PYL11" s="1018"/>
      <c r="PYM11" s="1019"/>
      <c r="PYN11" s="1019"/>
      <c r="PYO11" s="1019"/>
      <c r="PYP11" s="1018"/>
      <c r="PYQ11" s="1018"/>
      <c r="PYR11" s="1018"/>
      <c r="PYS11" s="1018"/>
      <c r="PYT11" s="1018"/>
      <c r="PYU11" s="1018"/>
      <c r="PYV11" s="139"/>
      <c r="PYW11" s="128"/>
      <c r="PYX11" s="128"/>
      <c r="PYY11" s="128"/>
      <c r="PYZ11" s="128"/>
      <c r="PZA11" s="118"/>
      <c r="PZB11" s="128"/>
      <c r="PZC11" s="128"/>
      <c r="PZD11" s="991"/>
      <c r="PZE11" s="128"/>
      <c r="PZF11" s="170"/>
      <c r="PZG11" s="170"/>
      <c r="PZH11" s="1018"/>
      <c r="PZI11" s="1018"/>
      <c r="PZJ11" s="1018"/>
      <c r="PZK11" s="1018"/>
      <c r="PZL11" s="1019"/>
      <c r="PZM11" s="1019"/>
      <c r="PZN11" s="1019"/>
      <c r="PZO11" s="1018"/>
      <c r="PZP11" s="1018"/>
      <c r="PZQ11" s="1018"/>
      <c r="PZR11" s="1018"/>
      <c r="PZS11" s="1018"/>
      <c r="PZT11" s="1018"/>
      <c r="PZU11" s="139"/>
      <c r="PZV11" s="128"/>
      <c r="PZW11" s="128"/>
      <c r="PZX11" s="128"/>
      <c r="PZY11" s="128"/>
      <c r="PZZ11" s="118"/>
      <c r="QAA11" s="128"/>
      <c r="QAB11" s="128"/>
      <c r="QAC11" s="991"/>
      <c r="QAD11" s="128"/>
      <c r="QAE11" s="170"/>
      <c r="QAF11" s="170"/>
      <c r="QAG11" s="1018"/>
      <c r="QAH11" s="1018"/>
      <c r="QAI11" s="1018"/>
      <c r="QAJ11" s="1018"/>
      <c r="QAK11" s="1019"/>
      <c r="QAL11" s="1019"/>
      <c r="QAM11" s="1019"/>
      <c r="QAN11" s="1018"/>
      <c r="QAO11" s="1018"/>
      <c r="QAP11" s="1018"/>
      <c r="QAQ11" s="1018"/>
      <c r="QAR11" s="1018"/>
      <c r="QAS11" s="1018"/>
      <c r="QAT11" s="139"/>
      <c r="QAU11" s="128"/>
      <c r="QAV11" s="128"/>
      <c r="QAW11" s="128"/>
      <c r="QAX11" s="128"/>
      <c r="QAY11" s="118"/>
      <c r="QAZ11" s="128"/>
      <c r="QBA11" s="128"/>
      <c r="QBB11" s="991"/>
      <c r="QBC11" s="128"/>
      <c r="QBD11" s="170"/>
      <c r="QBE11" s="170"/>
      <c r="QBF11" s="1018"/>
      <c r="QBG11" s="1018"/>
      <c r="QBH11" s="1018"/>
      <c r="QBI11" s="1018"/>
      <c r="QBJ11" s="1019"/>
      <c r="QBK11" s="1019"/>
      <c r="QBL11" s="1019"/>
      <c r="QBM11" s="1018"/>
      <c r="QBN11" s="1018"/>
      <c r="QBO11" s="1018"/>
      <c r="QBP11" s="1018"/>
      <c r="QBQ11" s="1018"/>
      <c r="QBR11" s="1018"/>
      <c r="QBS11" s="139"/>
      <c r="QBT11" s="128"/>
      <c r="QBU11" s="128"/>
      <c r="QBV11" s="128"/>
      <c r="QBW11" s="128"/>
      <c r="QBX11" s="118"/>
      <c r="QBY11" s="128"/>
      <c r="QBZ11" s="128"/>
      <c r="QCA11" s="991"/>
      <c r="QCB11" s="128"/>
      <c r="QCC11" s="170"/>
      <c r="QCD11" s="170"/>
      <c r="QCE11" s="1018"/>
      <c r="QCF11" s="1018"/>
      <c r="QCG11" s="1018"/>
      <c r="QCH11" s="1018"/>
      <c r="QCI11" s="1019"/>
      <c r="QCJ11" s="1019"/>
      <c r="QCK11" s="1019"/>
      <c r="QCL11" s="1018"/>
      <c r="QCM11" s="1018"/>
      <c r="QCN11" s="1018"/>
      <c r="QCO11" s="1018"/>
      <c r="QCP11" s="1018"/>
      <c r="QCQ11" s="1018"/>
      <c r="QCR11" s="139"/>
      <c r="QCS11" s="128"/>
      <c r="QCT11" s="128"/>
      <c r="QCU11" s="128"/>
      <c r="QCV11" s="128"/>
      <c r="QCW11" s="118"/>
      <c r="QCX11" s="128"/>
      <c r="QCY11" s="128"/>
      <c r="QCZ11" s="991"/>
      <c r="QDA11" s="128"/>
      <c r="QDB11" s="170"/>
      <c r="QDC11" s="170"/>
      <c r="QDD11" s="1018"/>
      <c r="QDE11" s="1018"/>
      <c r="QDF11" s="1018"/>
      <c r="QDG11" s="1018"/>
      <c r="QDH11" s="1019"/>
      <c r="QDI11" s="1019"/>
      <c r="QDJ11" s="1019"/>
      <c r="QDK11" s="1018"/>
      <c r="QDL11" s="1018"/>
      <c r="QDM11" s="1018"/>
      <c r="QDN11" s="1018"/>
      <c r="QDO11" s="1018"/>
      <c r="QDP11" s="1018"/>
      <c r="QDQ11" s="139"/>
      <c r="QDR11" s="128"/>
      <c r="QDS11" s="128"/>
      <c r="QDT11" s="128"/>
      <c r="QDU11" s="128"/>
      <c r="QDV11" s="118"/>
      <c r="QDW11" s="128"/>
      <c r="QDX11" s="128"/>
      <c r="QDY11" s="991"/>
      <c r="QDZ11" s="128"/>
      <c r="QEA11" s="170"/>
      <c r="QEB11" s="170"/>
      <c r="QEC11" s="1018"/>
      <c r="QED11" s="1018"/>
      <c r="QEE11" s="1018"/>
      <c r="QEF11" s="1018"/>
      <c r="QEG11" s="1019"/>
      <c r="QEH11" s="1019"/>
      <c r="QEI11" s="1019"/>
      <c r="QEJ11" s="1018"/>
      <c r="QEK11" s="1018"/>
      <c r="QEL11" s="1018"/>
      <c r="QEM11" s="1018"/>
      <c r="QEN11" s="1018"/>
      <c r="QEO11" s="1018"/>
      <c r="QEP11" s="139"/>
      <c r="QEQ11" s="128"/>
      <c r="QER11" s="128"/>
      <c r="QES11" s="128"/>
      <c r="QET11" s="128"/>
      <c r="QEU11" s="118"/>
      <c r="QEV11" s="128"/>
      <c r="QEW11" s="128"/>
      <c r="QEX11" s="991"/>
      <c r="QEY11" s="128"/>
      <c r="QEZ11" s="170"/>
      <c r="QFA11" s="170"/>
      <c r="QFB11" s="1018"/>
      <c r="QFC11" s="1018"/>
      <c r="QFD11" s="1018"/>
      <c r="QFE11" s="1018"/>
      <c r="QFF11" s="1019"/>
      <c r="QFG11" s="1019"/>
      <c r="QFH11" s="1019"/>
      <c r="QFI11" s="1018"/>
      <c r="QFJ11" s="1018"/>
      <c r="QFK11" s="1018"/>
      <c r="QFL11" s="1018"/>
      <c r="QFM11" s="1018"/>
      <c r="QFN11" s="1018"/>
      <c r="QFO11" s="139"/>
      <c r="QFP11" s="128"/>
      <c r="QFQ11" s="128"/>
      <c r="QFR11" s="128"/>
      <c r="QFS11" s="128"/>
      <c r="QFT11" s="118"/>
      <c r="QFU11" s="128"/>
      <c r="QFV11" s="128"/>
      <c r="QFW11" s="991"/>
      <c r="QFX11" s="128"/>
      <c r="QFY11" s="170"/>
      <c r="QFZ11" s="170"/>
      <c r="QGA11" s="1018"/>
      <c r="QGB11" s="1018"/>
      <c r="QGC11" s="1018"/>
      <c r="QGD11" s="1018"/>
      <c r="QGE11" s="1019"/>
      <c r="QGF11" s="1019"/>
      <c r="QGG11" s="1019"/>
      <c r="QGH11" s="1018"/>
      <c r="QGI11" s="1018"/>
      <c r="QGJ11" s="1018"/>
      <c r="QGK11" s="1018"/>
      <c r="QGL11" s="1018"/>
      <c r="QGM11" s="1018"/>
      <c r="QGN11" s="139"/>
      <c r="QGO11" s="128"/>
      <c r="QGP11" s="128"/>
      <c r="QGQ11" s="128"/>
      <c r="QGR11" s="128"/>
      <c r="QGS11" s="118"/>
      <c r="QGT11" s="128"/>
      <c r="QGU11" s="128"/>
      <c r="QGV11" s="991"/>
      <c r="QGW11" s="128"/>
      <c r="QGX11" s="170"/>
      <c r="QGY11" s="170"/>
      <c r="QGZ11" s="1018"/>
      <c r="QHA11" s="1018"/>
      <c r="QHB11" s="1018"/>
      <c r="QHC11" s="1018"/>
      <c r="QHD11" s="1019"/>
      <c r="QHE11" s="1019"/>
      <c r="QHF11" s="1019"/>
      <c r="QHG11" s="1018"/>
      <c r="QHH11" s="1018"/>
      <c r="QHI11" s="1018"/>
      <c r="QHJ11" s="1018"/>
      <c r="QHK11" s="1018"/>
      <c r="QHL11" s="1018"/>
      <c r="QHM11" s="139"/>
      <c r="QHN11" s="128"/>
      <c r="QHO11" s="128"/>
      <c r="QHP11" s="128"/>
      <c r="QHQ11" s="128"/>
      <c r="QHR11" s="118"/>
      <c r="QHS11" s="128"/>
      <c r="QHT11" s="128"/>
      <c r="QHU11" s="991"/>
      <c r="QHV11" s="128"/>
      <c r="QHW11" s="170"/>
      <c r="QHX11" s="170"/>
      <c r="QHY11" s="1018"/>
      <c r="QHZ11" s="1018"/>
      <c r="QIA11" s="1018"/>
      <c r="QIB11" s="1018"/>
      <c r="QIC11" s="1019"/>
      <c r="QID11" s="1019"/>
      <c r="QIE11" s="1019"/>
      <c r="QIF11" s="1018"/>
      <c r="QIG11" s="1018"/>
      <c r="QIH11" s="1018"/>
      <c r="QII11" s="1018"/>
      <c r="QIJ11" s="1018"/>
      <c r="QIK11" s="1018"/>
      <c r="QIL11" s="139"/>
      <c r="QIM11" s="128"/>
      <c r="QIN11" s="128"/>
      <c r="QIO11" s="128"/>
      <c r="QIP11" s="128"/>
      <c r="QIQ11" s="118"/>
      <c r="QIR11" s="128"/>
      <c r="QIS11" s="128"/>
      <c r="QIT11" s="991"/>
      <c r="QIU11" s="128"/>
      <c r="QIV11" s="170"/>
      <c r="QIW11" s="170"/>
      <c r="QIX11" s="1018"/>
      <c r="QIY11" s="1018"/>
      <c r="QIZ11" s="1018"/>
      <c r="QJA11" s="1018"/>
      <c r="QJB11" s="1019"/>
      <c r="QJC11" s="1019"/>
      <c r="QJD11" s="1019"/>
      <c r="QJE11" s="1018"/>
      <c r="QJF11" s="1018"/>
      <c r="QJG11" s="1018"/>
      <c r="QJH11" s="1018"/>
      <c r="QJI11" s="1018"/>
      <c r="QJJ11" s="1018"/>
      <c r="QJK11" s="139"/>
      <c r="QJL11" s="128"/>
      <c r="QJM11" s="128"/>
      <c r="QJN11" s="128"/>
      <c r="QJO11" s="128"/>
      <c r="QJP11" s="118"/>
      <c r="QJQ11" s="128"/>
      <c r="QJR11" s="128"/>
      <c r="QJS11" s="991"/>
      <c r="QJT11" s="128"/>
      <c r="QJU11" s="170"/>
      <c r="QJV11" s="170"/>
      <c r="QJW11" s="1018"/>
      <c r="QJX11" s="1018"/>
      <c r="QJY11" s="1018"/>
      <c r="QJZ11" s="1018"/>
      <c r="QKA11" s="1019"/>
      <c r="QKB11" s="1019"/>
      <c r="QKC11" s="1019"/>
      <c r="QKD11" s="1018"/>
      <c r="QKE11" s="1018"/>
      <c r="QKF11" s="1018"/>
      <c r="QKG11" s="1018"/>
      <c r="QKH11" s="1018"/>
      <c r="QKI11" s="1018"/>
      <c r="QKJ11" s="139"/>
      <c r="QKK11" s="128"/>
      <c r="QKL11" s="128"/>
      <c r="QKM11" s="128"/>
      <c r="QKN11" s="128"/>
      <c r="QKO11" s="118"/>
      <c r="QKP11" s="128"/>
      <c r="QKQ11" s="128"/>
      <c r="QKR11" s="991"/>
      <c r="QKS11" s="128"/>
      <c r="QKT11" s="170"/>
      <c r="QKU11" s="170"/>
      <c r="QKV11" s="1018"/>
      <c r="QKW11" s="1018"/>
      <c r="QKX11" s="1018"/>
      <c r="QKY11" s="1018"/>
      <c r="QKZ11" s="1019"/>
      <c r="QLA11" s="1019"/>
      <c r="QLB11" s="1019"/>
      <c r="QLC11" s="1018"/>
      <c r="QLD11" s="1018"/>
      <c r="QLE11" s="1018"/>
      <c r="QLF11" s="1018"/>
      <c r="QLG11" s="1018"/>
      <c r="QLH11" s="1018"/>
      <c r="QLI11" s="139"/>
      <c r="QLJ11" s="128"/>
      <c r="QLK11" s="128"/>
      <c r="QLL11" s="128"/>
      <c r="QLM11" s="128"/>
      <c r="QLN11" s="118"/>
      <c r="QLO11" s="128"/>
      <c r="QLP11" s="128"/>
      <c r="QLQ11" s="991"/>
      <c r="QLR11" s="128"/>
      <c r="QLS11" s="170"/>
      <c r="QLT11" s="170"/>
      <c r="QLU11" s="1018"/>
      <c r="QLV11" s="1018"/>
      <c r="QLW11" s="1018"/>
      <c r="QLX11" s="1018"/>
      <c r="QLY11" s="1019"/>
      <c r="QLZ11" s="1019"/>
      <c r="QMA11" s="1019"/>
      <c r="QMB11" s="1018"/>
      <c r="QMC11" s="1018"/>
      <c r="QMD11" s="1018"/>
      <c r="QME11" s="1018"/>
      <c r="QMF11" s="1018"/>
      <c r="QMG11" s="1018"/>
      <c r="QMH11" s="139"/>
      <c r="QMI11" s="128"/>
      <c r="QMJ11" s="128"/>
      <c r="QMK11" s="128"/>
      <c r="QML11" s="128"/>
      <c r="QMM11" s="118"/>
      <c r="QMN11" s="128"/>
      <c r="QMO11" s="128"/>
      <c r="QMP11" s="991"/>
      <c r="QMQ11" s="128"/>
      <c r="QMR11" s="170"/>
      <c r="QMS11" s="170"/>
      <c r="QMT11" s="1018"/>
      <c r="QMU11" s="1018"/>
      <c r="QMV11" s="1018"/>
      <c r="QMW11" s="1018"/>
      <c r="QMX11" s="1019"/>
      <c r="QMY11" s="1019"/>
      <c r="QMZ11" s="1019"/>
      <c r="QNA11" s="1018"/>
      <c r="QNB11" s="1018"/>
      <c r="QNC11" s="1018"/>
      <c r="QND11" s="1018"/>
      <c r="QNE11" s="1018"/>
      <c r="QNF11" s="1018"/>
      <c r="QNG11" s="139"/>
      <c r="QNH11" s="128"/>
      <c r="QNI11" s="128"/>
      <c r="QNJ11" s="128"/>
      <c r="QNK11" s="128"/>
      <c r="QNL11" s="118"/>
      <c r="QNM11" s="128"/>
      <c r="QNN11" s="128"/>
      <c r="QNO11" s="991"/>
      <c r="QNP11" s="128"/>
      <c r="QNQ11" s="170"/>
      <c r="QNR11" s="170"/>
      <c r="QNS11" s="1018"/>
      <c r="QNT11" s="1018"/>
      <c r="QNU11" s="1018"/>
      <c r="QNV11" s="1018"/>
      <c r="QNW11" s="1019"/>
      <c r="QNX11" s="1019"/>
      <c r="QNY11" s="1019"/>
      <c r="QNZ11" s="1018"/>
      <c r="QOA11" s="1018"/>
      <c r="QOB11" s="1018"/>
      <c r="QOC11" s="1018"/>
      <c r="QOD11" s="1018"/>
      <c r="QOE11" s="1018"/>
      <c r="QOF11" s="139"/>
      <c r="QOG11" s="128"/>
      <c r="QOH11" s="128"/>
      <c r="QOI11" s="128"/>
      <c r="QOJ11" s="128"/>
      <c r="QOK11" s="118"/>
      <c r="QOL11" s="128"/>
      <c r="QOM11" s="128"/>
      <c r="QON11" s="991"/>
      <c r="QOO11" s="128"/>
      <c r="QOP11" s="170"/>
      <c r="QOQ11" s="170"/>
      <c r="QOR11" s="1018"/>
      <c r="QOS11" s="1018"/>
      <c r="QOT11" s="1018"/>
      <c r="QOU11" s="1018"/>
      <c r="QOV11" s="1019"/>
      <c r="QOW11" s="1019"/>
      <c r="QOX11" s="1019"/>
      <c r="QOY11" s="1018"/>
      <c r="QOZ11" s="1018"/>
      <c r="QPA11" s="1018"/>
      <c r="QPB11" s="1018"/>
      <c r="QPC11" s="1018"/>
      <c r="QPD11" s="1018"/>
      <c r="QPE11" s="139"/>
      <c r="QPF11" s="128"/>
      <c r="QPG11" s="128"/>
      <c r="QPH11" s="128"/>
      <c r="QPI11" s="128"/>
      <c r="QPJ11" s="118"/>
      <c r="QPK11" s="128"/>
      <c r="QPL11" s="128"/>
      <c r="QPM11" s="991"/>
      <c r="QPN11" s="128"/>
      <c r="QPO11" s="170"/>
      <c r="QPP11" s="170"/>
      <c r="QPQ11" s="1018"/>
      <c r="QPR11" s="1018"/>
      <c r="QPS11" s="1018"/>
      <c r="QPT11" s="1018"/>
      <c r="QPU11" s="1019"/>
      <c r="QPV11" s="1019"/>
      <c r="QPW11" s="1019"/>
      <c r="QPX11" s="1018"/>
      <c r="QPY11" s="1018"/>
      <c r="QPZ11" s="1018"/>
      <c r="QQA11" s="1018"/>
      <c r="QQB11" s="1018"/>
      <c r="QQC11" s="1018"/>
      <c r="QQD11" s="139"/>
      <c r="QQE11" s="128"/>
      <c r="QQF11" s="128"/>
      <c r="QQG11" s="128"/>
      <c r="QQH11" s="128"/>
      <c r="QQI11" s="118"/>
      <c r="QQJ11" s="128"/>
      <c r="QQK11" s="128"/>
      <c r="QQL11" s="991"/>
      <c r="QQM11" s="128"/>
      <c r="QQN11" s="170"/>
      <c r="QQO11" s="170"/>
      <c r="QQP11" s="1018"/>
      <c r="QQQ11" s="1018"/>
      <c r="QQR11" s="1018"/>
      <c r="QQS11" s="1018"/>
      <c r="QQT11" s="1019"/>
      <c r="QQU11" s="1019"/>
      <c r="QQV11" s="1019"/>
      <c r="QQW11" s="1018"/>
      <c r="QQX11" s="1018"/>
      <c r="QQY11" s="1018"/>
      <c r="QQZ11" s="1018"/>
      <c r="QRA11" s="1018"/>
      <c r="QRB11" s="1018"/>
      <c r="QRC11" s="139"/>
      <c r="QRD11" s="128"/>
      <c r="QRE11" s="128"/>
      <c r="QRF11" s="128"/>
      <c r="QRG11" s="128"/>
      <c r="QRH11" s="118"/>
      <c r="QRI11" s="128"/>
      <c r="QRJ11" s="128"/>
      <c r="QRK11" s="991"/>
      <c r="QRL11" s="128"/>
      <c r="QRM11" s="170"/>
      <c r="QRN11" s="170"/>
      <c r="QRO11" s="1018"/>
      <c r="QRP11" s="1018"/>
      <c r="QRQ11" s="1018"/>
      <c r="QRR11" s="1018"/>
      <c r="QRS11" s="1019"/>
      <c r="QRT11" s="1019"/>
      <c r="QRU11" s="1019"/>
      <c r="QRV11" s="1018"/>
      <c r="QRW11" s="1018"/>
      <c r="QRX11" s="1018"/>
      <c r="QRY11" s="1018"/>
      <c r="QRZ11" s="1018"/>
      <c r="QSA11" s="1018"/>
      <c r="QSB11" s="139"/>
      <c r="QSC11" s="128"/>
      <c r="QSD11" s="128"/>
      <c r="QSE11" s="128"/>
      <c r="QSF11" s="128"/>
      <c r="QSG11" s="118"/>
      <c r="QSH11" s="128"/>
      <c r="QSI11" s="128"/>
      <c r="QSJ11" s="991"/>
      <c r="QSK11" s="128"/>
      <c r="QSL11" s="170"/>
      <c r="QSM11" s="170"/>
      <c r="QSN11" s="1018"/>
      <c r="QSO11" s="1018"/>
      <c r="QSP11" s="1018"/>
      <c r="QSQ11" s="1018"/>
      <c r="QSR11" s="1019"/>
      <c r="QSS11" s="1019"/>
      <c r="QST11" s="1019"/>
      <c r="QSU11" s="1018"/>
      <c r="QSV11" s="1018"/>
      <c r="QSW11" s="1018"/>
      <c r="QSX11" s="1018"/>
      <c r="QSY11" s="1018"/>
      <c r="QSZ11" s="1018"/>
      <c r="QTA11" s="139"/>
      <c r="QTB11" s="128"/>
      <c r="QTC11" s="128"/>
      <c r="QTD11" s="128"/>
      <c r="QTE11" s="128"/>
      <c r="QTF11" s="118"/>
      <c r="QTG11" s="128"/>
      <c r="QTH11" s="128"/>
      <c r="QTI11" s="991"/>
      <c r="QTJ11" s="128"/>
      <c r="QTK11" s="170"/>
      <c r="QTL11" s="170"/>
      <c r="QTM11" s="1018"/>
      <c r="QTN11" s="1018"/>
      <c r="QTO11" s="1018"/>
      <c r="QTP11" s="1018"/>
      <c r="QTQ11" s="1019"/>
      <c r="QTR11" s="1019"/>
      <c r="QTS11" s="1019"/>
      <c r="QTT11" s="1018"/>
      <c r="QTU11" s="1018"/>
      <c r="QTV11" s="1018"/>
      <c r="QTW11" s="1018"/>
      <c r="QTX11" s="1018"/>
      <c r="QTY11" s="1018"/>
      <c r="QTZ11" s="139"/>
      <c r="QUA11" s="128"/>
      <c r="QUB11" s="128"/>
      <c r="QUC11" s="128"/>
      <c r="QUD11" s="128"/>
      <c r="QUE11" s="118"/>
      <c r="QUF11" s="128"/>
      <c r="QUG11" s="128"/>
      <c r="QUH11" s="991"/>
      <c r="QUI11" s="128"/>
      <c r="QUJ11" s="170"/>
      <c r="QUK11" s="170"/>
      <c r="QUL11" s="1018"/>
      <c r="QUM11" s="1018"/>
      <c r="QUN11" s="1018"/>
      <c r="QUO11" s="1018"/>
      <c r="QUP11" s="1019"/>
      <c r="QUQ11" s="1019"/>
      <c r="QUR11" s="1019"/>
      <c r="QUS11" s="1018"/>
      <c r="QUT11" s="1018"/>
      <c r="QUU11" s="1018"/>
      <c r="QUV11" s="1018"/>
      <c r="QUW11" s="1018"/>
      <c r="QUX11" s="1018"/>
      <c r="QUY11" s="139"/>
      <c r="QUZ11" s="128"/>
      <c r="QVA11" s="128"/>
      <c r="QVB11" s="128"/>
      <c r="QVC11" s="128"/>
      <c r="QVD11" s="118"/>
      <c r="QVE11" s="128"/>
      <c r="QVF11" s="128"/>
      <c r="QVG11" s="991"/>
      <c r="QVH11" s="128"/>
      <c r="QVI11" s="170"/>
      <c r="QVJ11" s="170"/>
      <c r="QVK11" s="1018"/>
      <c r="QVL11" s="1018"/>
      <c r="QVM11" s="1018"/>
      <c r="QVN11" s="1018"/>
      <c r="QVO11" s="1019"/>
      <c r="QVP11" s="1019"/>
      <c r="QVQ11" s="1019"/>
      <c r="QVR11" s="1018"/>
      <c r="QVS11" s="1018"/>
      <c r="QVT11" s="1018"/>
      <c r="QVU11" s="1018"/>
      <c r="QVV11" s="1018"/>
      <c r="QVW11" s="1018"/>
      <c r="QVX11" s="139"/>
      <c r="QVY11" s="128"/>
      <c r="QVZ11" s="128"/>
      <c r="QWA11" s="128"/>
      <c r="QWB11" s="128"/>
      <c r="QWC11" s="118"/>
      <c r="QWD11" s="128"/>
      <c r="QWE11" s="128"/>
      <c r="QWF11" s="991"/>
      <c r="QWG11" s="128"/>
      <c r="QWH11" s="170"/>
      <c r="QWI11" s="170"/>
      <c r="QWJ11" s="1018"/>
      <c r="QWK11" s="1018"/>
      <c r="QWL11" s="1018"/>
      <c r="QWM11" s="1018"/>
      <c r="QWN11" s="1019"/>
      <c r="QWO11" s="1019"/>
      <c r="QWP11" s="1019"/>
      <c r="QWQ11" s="1018"/>
      <c r="QWR11" s="1018"/>
      <c r="QWS11" s="1018"/>
      <c r="QWT11" s="1018"/>
      <c r="QWU11" s="1018"/>
      <c r="QWV11" s="1018"/>
      <c r="QWW11" s="139"/>
      <c r="QWX11" s="128"/>
      <c r="QWY11" s="128"/>
      <c r="QWZ11" s="128"/>
      <c r="QXA11" s="128"/>
      <c r="QXB11" s="118"/>
      <c r="QXC11" s="128"/>
      <c r="QXD11" s="128"/>
      <c r="QXE11" s="991"/>
      <c r="QXF11" s="128"/>
      <c r="QXG11" s="170"/>
      <c r="QXH11" s="170"/>
      <c r="QXI11" s="1018"/>
      <c r="QXJ11" s="1018"/>
      <c r="QXK11" s="1018"/>
      <c r="QXL11" s="1018"/>
      <c r="QXM11" s="1019"/>
      <c r="QXN11" s="1019"/>
      <c r="QXO11" s="1019"/>
      <c r="QXP11" s="1018"/>
      <c r="QXQ11" s="1018"/>
      <c r="QXR11" s="1018"/>
      <c r="QXS11" s="1018"/>
      <c r="QXT11" s="1018"/>
      <c r="QXU11" s="1018"/>
      <c r="QXV11" s="139"/>
      <c r="QXW11" s="128"/>
      <c r="QXX11" s="128"/>
      <c r="QXY11" s="128"/>
      <c r="QXZ11" s="128"/>
      <c r="QYA11" s="118"/>
      <c r="QYB11" s="128"/>
      <c r="QYC11" s="128"/>
      <c r="QYD11" s="991"/>
      <c r="QYE11" s="128"/>
      <c r="QYF11" s="170"/>
      <c r="QYG11" s="170"/>
      <c r="QYH11" s="1018"/>
      <c r="QYI11" s="1018"/>
      <c r="QYJ11" s="1018"/>
      <c r="QYK11" s="1018"/>
      <c r="QYL11" s="1019"/>
      <c r="QYM11" s="1019"/>
      <c r="QYN11" s="1019"/>
      <c r="QYO11" s="1018"/>
      <c r="QYP11" s="1018"/>
      <c r="QYQ11" s="1018"/>
      <c r="QYR11" s="1018"/>
      <c r="QYS11" s="1018"/>
      <c r="QYT11" s="1018"/>
      <c r="QYU11" s="139"/>
      <c r="QYV11" s="128"/>
      <c r="QYW11" s="128"/>
      <c r="QYX11" s="128"/>
      <c r="QYY11" s="128"/>
      <c r="QYZ11" s="118"/>
      <c r="QZA11" s="128"/>
      <c r="QZB11" s="128"/>
      <c r="QZC11" s="991"/>
      <c r="QZD11" s="128"/>
      <c r="QZE11" s="170"/>
      <c r="QZF11" s="170"/>
      <c r="QZG11" s="1018"/>
      <c r="QZH11" s="1018"/>
      <c r="QZI11" s="1018"/>
      <c r="QZJ11" s="1018"/>
      <c r="QZK11" s="1019"/>
      <c r="QZL11" s="1019"/>
      <c r="QZM11" s="1019"/>
      <c r="QZN11" s="1018"/>
      <c r="QZO11" s="1018"/>
      <c r="QZP11" s="1018"/>
      <c r="QZQ11" s="1018"/>
      <c r="QZR11" s="1018"/>
      <c r="QZS11" s="1018"/>
      <c r="QZT11" s="139"/>
      <c r="QZU11" s="128"/>
      <c r="QZV11" s="128"/>
      <c r="QZW11" s="128"/>
      <c r="QZX11" s="128"/>
      <c r="QZY11" s="118"/>
      <c r="QZZ11" s="128"/>
      <c r="RAA11" s="128"/>
      <c r="RAB11" s="991"/>
      <c r="RAC11" s="128"/>
      <c r="RAD11" s="170"/>
      <c r="RAE11" s="170"/>
      <c r="RAF11" s="1018"/>
      <c r="RAG11" s="1018"/>
      <c r="RAH11" s="1018"/>
      <c r="RAI11" s="1018"/>
      <c r="RAJ11" s="1019"/>
      <c r="RAK11" s="1019"/>
      <c r="RAL11" s="1019"/>
      <c r="RAM11" s="1018"/>
      <c r="RAN11" s="1018"/>
      <c r="RAO11" s="1018"/>
      <c r="RAP11" s="1018"/>
      <c r="RAQ11" s="1018"/>
      <c r="RAR11" s="1018"/>
      <c r="RAS11" s="139"/>
      <c r="RAT11" s="128"/>
      <c r="RAU11" s="128"/>
      <c r="RAV11" s="128"/>
      <c r="RAW11" s="128"/>
      <c r="RAX11" s="118"/>
      <c r="RAY11" s="128"/>
      <c r="RAZ11" s="128"/>
      <c r="RBA11" s="991"/>
      <c r="RBB11" s="128"/>
      <c r="RBC11" s="170"/>
      <c r="RBD11" s="170"/>
      <c r="RBE11" s="1018"/>
      <c r="RBF11" s="1018"/>
      <c r="RBG11" s="1018"/>
      <c r="RBH11" s="1018"/>
      <c r="RBI11" s="1019"/>
      <c r="RBJ11" s="1019"/>
      <c r="RBK11" s="1019"/>
      <c r="RBL11" s="1018"/>
      <c r="RBM11" s="1018"/>
      <c r="RBN11" s="1018"/>
      <c r="RBO11" s="1018"/>
      <c r="RBP11" s="1018"/>
      <c r="RBQ11" s="1018"/>
      <c r="RBR11" s="139"/>
      <c r="RBS11" s="128"/>
      <c r="RBT11" s="128"/>
      <c r="RBU11" s="128"/>
      <c r="RBV11" s="128"/>
      <c r="RBW11" s="118"/>
      <c r="RBX11" s="128"/>
      <c r="RBY11" s="128"/>
      <c r="RBZ11" s="991"/>
      <c r="RCA11" s="128"/>
      <c r="RCB11" s="170"/>
      <c r="RCC11" s="170"/>
      <c r="RCD11" s="1018"/>
      <c r="RCE11" s="1018"/>
      <c r="RCF11" s="1018"/>
      <c r="RCG11" s="1018"/>
      <c r="RCH11" s="1019"/>
      <c r="RCI11" s="1019"/>
      <c r="RCJ11" s="1019"/>
      <c r="RCK11" s="1018"/>
      <c r="RCL11" s="1018"/>
      <c r="RCM11" s="1018"/>
      <c r="RCN11" s="1018"/>
      <c r="RCO11" s="1018"/>
      <c r="RCP11" s="1018"/>
      <c r="RCQ11" s="139"/>
      <c r="RCR11" s="128"/>
      <c r="RCS11" s="128"/>
      <c r="RCT11" s="128"/>
      <c r="RCU11" s="128"/>
      <c r="RCV11" s="118"/>
      <c r="RCW11" s="128"/>
      <c r="RCX11" s="128"/>
      <c r="RCY11" s="991"/>
      <c r="RCZ11" s="128"/>
      <c r="RDA11" s="170"/>
      <c r="RDB11" s="170"/>
      <c r="RDC11" s="1018"/>
      <c r="RDD11" s="1018"/>
      <c r="RDE11" s="1018"/>
      <c r="RDF11" s="1018"/>
      <c r="RDG11" s="1019"/>
      <c r="RDH11" s="1019"/>
      <c r="RDI11" s="1019"/>
      <c r="RDJ11" s="1018"/>
      <c r="RDK11" s="1018"/>
      <c r="RDL11" s="1018"/>
      <c r="RDM11" s="1018"/>
      <c r="RDN11" s="1018"/>
      <c r="RDO11" s="1018"/>
      <c r="RDP11" s="139"/>
      <c r="RDQ11" s="128"/>
      <c r="RDR11" s="128"/>
      <c r="RDS11" s="128"/>
      <c r="RDT11" s="128"/>
      <c r="RDU11" s="118"/>
      <c r="RDV11" s="128"/>
      <c r="RDW11" s="128"/>
      <c r="RDX11" s="991"/>
      <c r="RDY11" s="128"/>
      <c r="RDZ11" s="170"/>
      <c r="REA11" s="170"/>
      <c r="REB11" s="1018"/>
      <c r="REC11" s="1018"/>
      <c r="RED11" s="1018"/>
      <c r="REE11" s="1018"/>
      <c r="REF11" s="1019"/>
      <c r="REG11" s="1019"/>
      <c r="REH11" s="1019"/>
      <c r="REI11" s="1018"/>
      <c r="REJ11" s="1018"/>
      <c r="REK11" s="1018"/>
      <c r="REL11" s="1018"/>
      <c r="REM11" s="1018"/>
      <c r="REN11" s="1018"/>
      <c r="REO11" s="139"/>
      <c r="REP11" s="128"/>
      <c r="REQ11" s="128"/>
      <c r="RER11" s="128"/>
      <c r="RES11" s="128"/>
      <c r="RET11" s="118"/>
      <c r="REU11" s="128"/>
      <c r="REV11" s="128"/>
      <c r="REW11" s="991"/>
      <c r="REX11" s="128"/>
      <c r="REY11" s="170"/>
      <c r="REZ11" s="170"/>
      <c r="RFA11" s="1018"/>
      <c r="RFB11" s="1018"/>
      <c r="RFC11" s="1018"/>
      <c r="RFD11" s="1018"/>
      <c r="RFE11" s="1019"/>
      <c r="RFF11" s="1019"/>
      <c r="RFG11" s="1019"/>
      <c r="RFH11" s="1018"/>
      <c r="RFI11" s="1018"/>
      <c r="RFJ11" s="1018"/>
      <c r="RFK11" s="1018"/>
      <c r="RFL11" s="1018"/>
      <c r="RFM11" s="1018"/>
      <c r="RFN11" s="139"/>
      <c r="RFO11" s="128"/>
      <c r="RFP11" s="128"/>
      <c r="RFQ11" s="128"/>
      <c r="RFR11" s="128"/>
      <c r="RFS11" s="118"/>
      <c r="RFT11" s="128"/>
      <c r="RFU11" s="128"/>
      <c r="RFV11" s="991"/>
      <c r="RFW11" s="128"/>
      <c r="RFX11" s="170"/>
      <c r="RFY11" s="170"/>
      <c r="RFZ11" s="1018"/>
      <c r="RGA11" s="1018"/>
      <c r="RGB11" s="1018"/>
      <c r="RGC11" s="1018"/>
      <c r="RGD11" s="1019"/>
      <c r="RGE11" s="1019"/>
      <c r="RGF11" s="1019"/>
      <c r="RGG11" s="1018"/>
      <c r="RGH11" s="1018"/>
      <c r="RGI11" s="1018"/>
      <c r="RGJ11" s="1018"/>
      <c r="RGK11" s="1018"/>
      <c r="RGL11" s="1018"/>
      <c r="RGM11" s="139"/>
      <c r="RGN11" s="128"/>
      <c r="RGO11" s="128"/>
      <c r="RGP11" s="128"/>
      <c r="RGQ11" s="128"/>
      <c r="RGR11" s="118"/>
      <c r="RGS11" s="128"/>
      <c r="RGT11" s="128"/>
      <c r="RGU11" s="991"/>
      <c r="RGV11" s="128"/>
      <c r="RGW11" s="170"/>
      <c r="RGX11" s="170"/>
      <c r="RGY11" s="1018"/>
      <c r="RGZ11" s="1018"/>
      <c r="RHA11" s="1018"/>
      <c r="RHB11" s="1018"/>
      <c r="RHC11" s="1019"/>
      <c r="RHD11" s="1019"/>
      <c r="RHE11" s="1019"/>
      <c r="RHF11" s="1018"/>
      <c r="RHG11" s="1018"/>
      <c r="RHH11" s="1018"/>
      <c r="RHI11" s="1018"/>
      <c r="RHJ11" s="1018"/>
      <c r="RHK11" s="1018"/>
      <c r="RHL11" s="139"/>
      <c r="RHM11" s="128"/>
      <c r="RHN11" s="128"/>
      <c r="RHO11" s="128"/>
      <c r="RHP11" s="128"/>
      <c r="RHQ11" s="118"/>
      <c r="RHR11" s="128"/>
      <c r="RHS11" s="128"/>
      <c r="RHT11" s="991"/>
      <c r="RHU11" s="128"/>
      <c r="RHV11" s="170"/>
      <c r="RHW11" s="170"/>
      <c r="RHX11" s="1018"/>
      <c r="RHY11" s="1018"/>
      <c r="RHZ11" s="1018"/>
      <c r="RIA11" s="1018"/>
      <c r="RIB11" s="1019"/>
      <c r="RIC11" s="1019"/>
      <c r="RID11" s="1019"/>
      <c r="RIE11" s="1018"/>
      <c r="RIF11" s="1018"/>
      <c r="RIG11" s="1018"/>
      <c r="RIH11" s="1018"/>
      <c r="RII11" s="1018"/>
      <c r="RIJ11" s="1018"/>
      <c r="RIK11" s="139"/>
      <c r="RIL11" s="128"/>
      <c r="RIM11" s="128"/>
      <c r="RIN11" s="128"/>
      <c r="RIO11" s="128"/>
      <c r="RIP11" s="118"/>
      <c r="RIQ11" s="128"/>
      <c r="RIR11" s="128"/>
      <c r="RIS11" s="991"/>
      <c r="RIT11" s="128"/>
      <c r="RIU11" s="170"/>
      <c r="RIV11" s="170"/>
      <c r="RIW11" s="1018"/>
      <c r="RIX11" s="1018"/>
      <c r="RIY11" s="1018"/>
      <c r="RIZ11" s="1018"/>
      <c r="RJA11" s="1019"/>
      <c r="RJB11" s="1019"/>
      <c r="RJC11" s="1019"/>
      <c r="RJD11" s="1018"/>
      <c r="RJE11" s="1018"/>
      <c r="RJF11" s="1018"/>
      <c r="RJG11" s="1018"/>
      <c r="RJH11" s="1018"/>
      <c r="RJI11" s="1018"/>
      <c r="RJJ11" s="139"/>
      <c r="RJK11" s="128"/>
      <c r="RJL11" s="128"/>
      <c r="RJM11" s="128"/>
      <c r="RJN11" s="128"/>
      <c r="RJO11" s="118"/>
      <c r="RJP11" s="128"/>
      <c r="RJQ11" s="128"/>
      <c r="RJR11" s="991"/>
      <c r="RJS11" s="128"/>
      <c r="RJT11" s="170"/>
      <c r="RJU11" s="170"/>
      <c r="RJV11" s="1018"/>
      <c r="RJW11" s="1018"/>
      <c r="RJX11" s="1018"/>
      <c r="RJY11" s="1018"/>
      <c r="RJZ11" s="1019"/>
      <c r="RKA11" s="1019"/>
      <c r="RKB11" s="1019"/>
      <c r="RKC11" s="1018"/>
      <c r="RKD11" s="1018"/>
      <c r="RKE11" s="1018"/>
      <c r="RKF11" s="1018"/>
      <c r="RKG11" s="1018"/>
      <c r="RKH11" s="1018"/>
      <c r="RKI11" s="139"/>
      <c r="RKJ11" s="128"/>
      <c r="RKK11" s="128"/>
      <c r="RKL11" s="128"/>
      <c r="RKM11" s="128"/>
      <c r="RKN11" s="118"/>
      <c r="RKO11" s="128"/>
      <c r="RKP11" s="128"/>
      <c r="RKQ11" s="991"/>
      <c r="RKR11" s="128"/>
      <c r="RKS11" s="170"/>
      <c r="RKT11" s="170"/>
      <c r="RKU11" s="1018"/>
      <c r="RKV11" s="1018"/>
      <c r="RKW11" s="1018"/>
      <c r="RKX11" s="1018"/>
      <c r="RKY11" s="1019"/>
      <c r="RKZ11" s="1019"/>
      <c r="RLA11" s="1019"/>
      <c r="RLB11" s="1018"/>
      <c r="RLC11" s="1018"/>
      <c r="RLD11" s="1018"/>
      <c r="RLE11" s="1018"/>
      <c r="RLF11" s="1018"/>
      <c r="RLG11" s="1018"/>
      <c r="RLH11" s="139"/>
      <c r="RLI11" s="128"/>
      <c r="RLJ11" s="128"/>
      <c r="RLK11" s="128"/>
      <c r="RLL11" s="128"/>
      <c r="RLM11" s="118"/>
      <c r="RLN11" s="128"/>
      <c r="RLO11" s="128"/>
      <c r="RLP11" s="991"/>
      <c r="RLQ11" s="128"/>
      <c r="RLR11" s="170"/>
      <c r="RLS11" s="170"/>
      <c r="RLT11" s="1018"/>
      <c r="RLU11" s="1018"/>
      <c r="RLV11" s="1018"/>
      <c r="RLW11" s="1018"/>
      <c r="RLX11" s="1019"/>
      <c r="RLY11" s="1019"/>
      <c r="RLZ11" s="1019"/>
      <c r="RMA11" s="1018"/>
      <c r="RMB11" s="1018"/>
      <c r="RMC11" s="1018"/>
      <c r="RMD11" s="1018"/>
      <c r="RME11" s="1018"/>
      <c r="RMF11" s="1018"/>
      <c r="RMG11" s="139"/>
      <c r="RMH11" s="128"/>
      <c r="RMI11" s="128"/>
      <c r="RMJ11" s="128"/>
      <c r="RMK11" s="128"/>
      <c r="RML11" s="118"/>
      <c r="RMM11" s="128"/>
      <c r="RMN11" s="128"/>
      <c r="RMO11" s="991"/>
      <c r="RMP11" s="128"/>
      <c r="RMQ11" s="170"/>
      <c r="RMR11" s="170"/>
      <c r="RMS11" s="1018"/>
      <c r="RMT11" s="1018"/>
      <c r="RMU11" s="1018"/>
      <c r="RMV11" s="1018"/>
      <c r="RMW11" s="1019"/>
      <c r="RMX11" s="1019"/>
      <c r="RMY11" s="1019"/>
      <c r="RMZ11" s="1018"/>
      <c r="RNA11" s="1018"/>
      <c r="RNB11" s="1018"/>
      <c r="RNC11" s="1018"/>
      <c r="RND11" s="1018"/>
      <c r="RNE11" s="1018"/>
      <c r="RNF11" s="139"/>
      <c r="RNG11" s="128"/>
      <c r="RNH11" s="128"/>
      <c r="RNI11" s="128"/>
      <c r="RNJ11" s="128"/>
      <c r="RNK11" s="118"/>
      <c r="RNL11" s="128"/>
      <c r="RNM11" s="128"/>
      <c r="RNN11" s="991"/>
      <c r="RNO11" s="128"/>
      <c r="RNP11" s="170"/>
      <c r="RNQ11" s="170"/>
      <c r="RNR11" s="1018"/>
      <c r="RNS11" s="1018"/>
      <c r="RNT11" s="1018"/>
      <c r="RNU11" s="1018"/>
      <c r="RNV11" s="1019"/>
      <c r="RNW11" s="1019"/>
      <c r="RNX11" s="1019"/>
      <c r="RNY11" s="1018"/>
      <c r="RNZ11" s="1018"/>
      <c r="ROA11" s="1018"/>
      <c r="ROB11" s="1018"/>
      <c r="ROC11" s="1018"/>
      <c r="ROD11" s="1018"/>
      <c r="ROE11" s="139"/>
      <c r="ROF11" s="128"/>
      <c r="ROG11" s="128"/>
      <c r="ROH11" s="128"/>
      <c r="ROI11" s="128"/>
      <c r="ROJ11" s="118"/>
      <c r="ROK11" s="128"/>
      <c r="ROL11" s="128"/>
      <c r="ROM11" s="991"/>
      <c r="RON11" s="128"/>
      <c r="ROO11" s="170"/>
      <c r="ROP11" s="170"/>
      <c r="ROQ11" s="1018"/>
      <c r="ROR11" s="1018"/>
      <c r="ROS11" s="1018"/>
      <c r="ROT11" s="1018"/>
      <c r="ROU11" s="1019"/>
      <c r="ROV11" s="1019"/>
      <c r="ROW11" s="1019"/>
      <c r="ROX11" s="1018"/>
      <c r="ROY11" s="1018"/>
      <c r="ROZ11" s="1018"/>
      <c r="RPA11" s="1018"/>
      <c r="RPB11" s="1018"/>
      <c r="RPC11" s="1018"/>
      <c r="RPD11" s="139"/>
      <c r="RPE11" s="128"/>
      <c r="RPF11" s="128"/>
      <c r="RPG11" s="128"/>
      <c r="RPH11" s="128"/>
      <c r="RPI11" s="118"/>
      <c r="RPJ11" s="128"/>
      <c r="RPK11" s="128"/>
      <c r="RPL11" s="991"/>
      <c r="RPM11" s="128"/>
      <c r="RPN11" s="170"/>
      <c r="RPO11" s="170"/>
      <c r="RPP11" s="1018"/>
      <c r="RPQ11" s="1018"/>
      <c r="RPR11" s="1018"/>
      <c r="RPS11" s="1018"/>
      <c r="RPT11" s="1019"/>
      <c r="RPU11" s="1019"/>
      <c r="RPV11" s="1019"/>
      <c r="RPW11" s="1018"/>
      <c r="RPX11" s="1018"/>
      <c r="RPY11" s="1018"/>
      <c r="RPZ11" s="1018"/>
      <c r="RQA11" s="1018"/>
      <c r="RQB11" s="1018"/>
      <c r="RQC11" s="139"/>
      <c r="RQD11" s="128"/>
      <c r="RQE11" s="128"/>
      <c r="RQF11" s="128"/>
      <c r="RQG11" s="128"/>
      <c r="RQH11" s="118"/>
      <c r="RQI11" s="128"/>
      <c r="RQJ11" s="128"/>
      <c r="RQK11" s="991"/>
      <c r="RQL11" s="128"/>
      <c r="RQM11" s="170"/>
      <c r="RQN11" s="170"/>
      <c r="RQO11" s="1018"/>
      <c r="RQP11" s="1018"/>
      <c r="RQQ11" s="1018"/>
      <c r="RQR11" s="1018"/>
      <c r="RQS11" s="1019"/>
      <c r="RQT11" s="1019"/>
      <c r="RQU11" s="1019"/>
      <c r="RQV11" s="1018"/>
      <c r="RQW11" s="1018"/>
      <c r="RQX11" s="1018"/>
      <c r="RQY11" s="1018"/>
      <c r="RQZ11" s="1018"/>
      <c r="RRA11" s="1018"/>
      <c r="RRB11" s="139"/>
      <c r="RRC11" s="128"/>
      <c r="RRD11" s="128"/>
      <c r="RRE11" s="128"/>
      <c r="RRF11" s="128"/>
      <c r="RRG11" s="118"/>
      <c r="RRH11" s="128"/>
      <c r="RRI11" s="128"/>
      <c r="RRJ11" s="991"/>
      <c r="RRK11" s="128"/>
      <c r="RRL11" s="170"/>
      <c r="RRM11" s="170"/>
      <c r="RRN11" s="1018"/>
      <c r="RRO11" s="1018"/>
      <c r="RRP11" s="1018"/>
      <c r="RRQ11" s="1018"/>
      <c r="RRR11" s="1019"/>
      <c r="RRS11" s="1019"/>
      <c r="RRT11" s="1019"/>
      <c r="RRU11" s="1018"/>
      <c r="RRV11" s="1018"/>
      <c r="RRW11" s="1018"/>
      <c r="RRX11" s="1018"/>
      <c r="RRY11" s="1018"/>
      <c r="RRZ11" s="1018"/>
      <c r="RSA11" s="139"/>
      <c r="RSB11" s="128"/>
      <c r="RSC11" s="128"/>
      <c r="RSD11" s="128"/>
      <c r="RSE11" s="128"/>
      <c r="RSF11" s="118"/>
      <c r="RSG11" s="128"/>
      <c r="RSH11" s="128"/>
      <c r="RSI11" s="991"/>
      <c r="RSJ11" s="128"/>
      <c r="RSK11" s="170"/>
      <c r="RSL11" s="170"/>
      <c r="RSM11" s="1018"/>
      <c r="RSN11" s="1018"/>
      <c r="RSO11" s="1018"/>
      <c r="RSP11" s="1018"/>
      <c r="RSQ11" s="1019"/>
      <c r="RSR11" s="1019"/>
      <c r="RSS11" s="1019"/>
      <c r="RST11" s="1018"/>
      <c r="RSU11" s="1018"/>
      <c r="RSV11" s="1018"/>
      <c r="RSW11" s="1018"/>
      <c r="RSX11" s="1018"/>
      <c r="RSY11" s="1018"/>
      <c r="RSZ11" s="139"/>
      <c r="RTA11" s="128"/>
      <c r="RTB11" s="128"/>
      <c r="RTC11" s="128"/>
      <c r="RTD11" s="128"/>
      <c r="RTE11" s="118"/>
      <c r="RTF11" s="128"/>
      <c r="RTG11" s="128"/>
      <c r="RTH11" s="991"/>
      <c r="RTI11" s="128"/>
      <c r="RTJ11" s="170"/>
      <c r="RTK11" s="170"/>
      <c r="RTL11" s="1018"/>
      <c r="RTM11" s="1018"/>
      <c r="RTN11" s="1018"/>
      <c r="RTO11" s="1018"/>
      <c r="RTP11" s="1019"/>
      <c r="RTQ11" s="1019"/>
      <c r="RTR11" s="1019"/>
      <c r="RTS11" s="1018"/>
      <c r="RTT11" s="1018"/>
      <c r="RTU11" s="1018"/>
      <c r="RTV11" s="1018"/>
      <c r="RTW11" s="1018"/>
      <c r="RTX11" s="1018"/>
      <c r="RTY11" s="139"/>
      <c r="RTZ11" s="128"/>
      <c r="RUA11" s="128"/>
      <c r="RUB11" s="128"/>
      <c r="RUC11" s="128"/>
      <c r="RUD11" s="118"/>
      <c r="RUE11" s="128"/>
      <c r="RUF11" s="128"/>
      <c r="RUG11" s="991"/>
      <c r="RUH11" s="128"/>
      <c r="RUI11" s="170"/>
      <c r="RUJ11" s="170"/>
      <c r="RUK11" s="1018"/>
      <c r="RUL11" s="1018"/>
      <c r="RUM11" s="1018"/>
      <c r="RUN11" s="1018"/>
      <c r="RUO11" s="1019"/>
      <c r="RUP11" s="1019"/>
      <c r="RUQ11" s="1019"/>
      <c r="RUR11" s="1018"/>
      <c r="RUS11" s="1018"/>
      <c r="RUT11" s="1018"/>
      <c r="RUU11" s="1018"/>
      <c r="RUV11" s="1018"/>
      <c r="RUW11" s="1018"/>
      <c r="RUX11" s="139"/>
      <c r="RUY11" s="128"/>
      <c r="RUZ11" s="128"/>
      <c r="RVA11" s="128"/>
      <c r="RVB11" s="128"/>
      <c r="RVC11" s="118"/>
      <c r="RVD11" s="128"/>
      <c r="RVE11" s="128"/>
      <c r="RVF11" s="991"/>
      <c r="RVG11" s="128"/>
      <c r="RVH11" s="170"/>
      <c r="RVI11" s="170"/>
      <c r="RVJ11" s="1018"/>
      <c r="RVK11" s="1018"/>
      <c r="RVL11" s="1018"/>
      <c r="RVM11" s="1018"/>
      <c r="RVN11" s="1019"/>
      <c r="RVO11" s="1019"/>
      <c r="RVP11" s="1019"/>
      <c r="RVQ11" s="1018"/>
      <c r="RVR11" s="1018"/>
      <c r="RVS11" s="1018"/>
      <c r="RVT11" s="1018"/>
      <c r="RVU11" s="1018"/>
      <c r="RVV11" s="1018"/>
      <c r="RVW11" s="139"/>
      <c r="RVX11" s="128"/>
      <c r="RVY11" s="128"/>
      <c r="RVZ11" s="128"/>
      <c r="RWA11" s="128"/>
      <c r="RWB11" s="118"/>
      <c r="RWC11" s="128"/>
      <c r="RWD11" s="128"/>
      <c r="RWE11" s="991"/>
      <c r="RWF11" s="128"/>
      <c r="RWG11" s="170"/>
      <c r="RWH11" s="170"/>
      <c r="RWI11" s="1018"/>
      <c r="RWJ11" s="1018"/>
      <c r="RWK11" s="1018"/>
      <c r="RWL11" s="1018"/>
      <c r="RWM11" s="1019"/>
      <c r="RWN11" s="1019"/>
      <c r="RWO11" s="1019"/>
      <c r="RWP11" s="1018"/>
      <c r="RWQ11" s="1018"/>
      <c r="RWR11" s="1018"/>
      <c r="RWS11" s="1018"/>
      <c r="RWT11" s="1018"/>
      <c r="RWU11" s="1018"/>
      <c r="RWV11" s="139"/>
      <c r="RWW11" s="128"/>
      <c r="RWX11" s="128"/>
      <c r="RWY11" s="128"/>
      <c r="RWZ11" s="128"/>
      <c r="RXA11" s="118"/>
      <c r="RXB11" s="128"/>
      <c r="RXC11" s="128"/>
      <c r="RXD11" s="991"/>
      <c r="RXE11" s="128"/>
      <c r="RXF11" s="170"/>
      <c r="RXG11" s="170"/>
      <c r="RXH11" s="1018"/>
      <c r="RXI11" s="1018"/>
      <c r="RXJ11" s="1018"/>
      <c r="RXK11" s="1018"/>
      <c r="RXL11" s="1019"/>
      <c r="RXM11" s="1019"/>
      <c r="RXN11" s="1019"/>
      <c r="RXO11" s="1018"/>
      <c r="RXP11" s="1018"/>
      <c r="RXQ11" s="1018"/>
      <c r="RXR11" s="1018"/>
      <c r="RXS11" s="1018"/>
      <c r="RXT11" s="1018"/>
      <c r="RXU11" s="139"/>
      <c r="RXV11" s="128"/>
      <c r="RXW11" s="128"/>
      <c r="RXX11" s="128"/>
      <c r="RXY11" s="128"/>
      <c r="RXZ11" s="118"/>
      <c r="RYA11" s="128"/>
      <c r="RYB11" s="128"/>
      <c r="RYC11" s="991"/>
      <c r="RYD11" s="128"/>
      <c r="RYE11" s="170"/>
      <c r="RYF11" s="170"/>
      <c r="RYG11" s="1018"/>
      <c r="RYH11" s="1018"/>
      <c r="RYI11" s="1018"/>
      <c r="RYJ11" s="1018"/>
      <c r="RYK11" s="1019"/>
      <c r="RYL11" s="1019"/>
      <c r="RYM11" s="1019"/>
      <c r="RYN11" s="1018"/>
      <c r="RYO11" s="1018"/>
      <c r="RYP11" s="1018"/>
      <c r="RYQ11" s="1018"/>
      <c r="RYR11" s="1018"/>
      <c r="RYS11" s="1018"/>
      <c r="RYT11" s="139"/>
      <c r="RYU11" s="128"/>
      <c r="RYV11" s="128"/>
      <c r="RYW11" s="128"/>
      <c r="RYX11" s="128"/>
      <c r="RYY11" s="118"/>
      <c r="RYZ11" s="128"/>
      <c r="RZA11" s="128"/>
      <c r="RZB11" s="991"/>
      <c r="RZC11" s="128"/>
      <c r="RZD11" s="170"/>
      <c r="RZE11" s="170"/>
      <c r="RZF11" s="1018"/>
      <c r="RZG11" s="1018"/>
      <c r="RZH11" s="1018"/>
      <c r="RZI11" s="1018"/>
      <c r="RZJ11" s="1019"/>
      <c r="RZK11" s="1019"/>
      <c r="RZL11" s="1019"/>
      <c r="RZM11" s="1018"/>
      <c r="RZN11" s="1018"/>
      <c r="RZO11" s="1018"/>
      <c r="RZP11" s="1018"/>
      <c r="RZQ11" s="1018"/>
      <c r="RZR11" s="1018"/>
      <c r="RZS11" s="139"/>
      <c r="RZT11" s="128"/>
      <c r="RZU11" s="128"/>
      <c r="RZV11" s="128"/>
      <c r="RZW11" s="128"/>
      <c r="RZX11" s="118"/>
      <c r="RZY11" s="128"/>
      <c r="RZZ11" s="128"/>
      <c r="SAA11" s="991"/>
      <c r="SAB11" s="128"/>
      <c r="SAC11" s="170"/>
      <c r="SAD11" s="170"/>
      <c r="SAE11" s="1018"/>
      <c r="SAF11" s="1018"/>
      <c r="SAG11" s="1018"/>
      <c r="SAH11" s="1018"/>
      <c r="SAI11" s="1019"/>
      <c r="SAJ11" s="1019"/>
      <c r="SAK11" s="1019"/>
      <c r="SAL11" s="1018"/>
      <c r="SAM11" s="1018"/>
      <c r="SAN11" s="1018"/>
      <c r="SAO11" s="1018"/>
      <c r="SAP11" s="1018"/>
      <c r="SAQ11" s="1018"/>
      <c r="SAR11" s="139"/>
      <c r="SAS11" s="128"/>
      <c r="SAT11" s="128"/>
      <c r="SAU11" s="128"/>
      <c r="SAV11" s="128"/>
      <c r="SAW11" s="118"/>
      <c r="SAX11" s="128"/>
      <c r="SAY11" s="128"/>
      <c r="SAZ11" s="991"/>
      <c r="SBA11" s="128"/>
      <c r="SBB11" s="170"/>
      <c r="SBC11" s="170"/>
      <c r="SBD11" s="1018"/>
      <c r="SBE11" s="1018"/>
      <c r="SBF11" s="1018"/>
      <c r="SBG11" s="1018"/>
      <c r="SBH11" s="1019"/>
      <c r="SBI11" s="1019"/>
      <c r="SBJ11" s="1019"/>
      <c r="SBK11" s="1018"/>
      <c r="SBL11" s="1018"/>
      <c r="SBM11" s="1018"/>
      <c r="SBN11" s="1018"/>
      <c r="SBO11" s="1018"/>
      <c r="SBP11" s="1018"/>
      <c r="SBQ11" s="139"/>
      <c r="SBR11" s="128"/>
      <c r="SBS11" s="128"/>
      <c r="SBT11" s="128"/>
      <c r="SBU11" s="128"/>
      <c r="SBV11" s="118"/>
      <c r="SBW11" s="128"/>
      <c r="SBX11" s="128"/>
      <c r="SBY11" s="991"/>
      <c r="SBZ11" s="128"/>
      <c r="SCA11" s="170"/>
      <c r="SCB11" s="170"/>
      <c r="SCC11" s="1018"/>
      <c r="SCD11" s="1018"/>
      <c r="SCE11" s="1018"/>
      <c r="SCF11" s="1018"/>
      <c r="SCG11" s="1019"/>
      <c r="SCH11" s="1019"/>
      <c r="SCI11" s="1019"/>
      <c r="SCJ11" s="1018"/>
      <c r="SCK11" s="1018"/>
      <c r="SCL11" s="1018"/>
      <c r="SCM11" s="1018"/>
      <c r="SCN11" s="1018"/>
      <c r="SCO11" s="1018"/>
      <c r="SCP11" s="139"/>
      <c r="SCQ11" s="128"/>
      <c r="SCR11" s="128"/>
      <c r="SCS11" s="128"/>
      <c r="SCT11" s="128"/>
      <c r="SCU11" s="118"/>
      <c r="SCV11" s="128"/>
      <c r="SCW11" s="128"/>
      <c r="SCX11" s="991"/>
      <c r="SCY11" s="128"/>
      <c r="SCZ11" s="170"/>
      <c r="SDA11" s="170"/>
      <c r="SDB11" s="1018"/>
      <c r="SDC11" s="1018"/>
      <c r="SDD11" s="1018"/>
      <c r="SDE11" s="1018"/>
      <c r="SDF11" s="1019"/>
      <c r="SDG11" s="1019"/>
      <c r="SDH11" s="1019"/>
      <c r="SDI11" s="1018"/>
      <c r="SDJ11" s="1018"/>
      <c r="SDK11" s="1018"/>
      <c r="SDL11" s="1018"/>
      <c r="SDM11" s="1018"/>
      <c r="SDN11" s="1018"/>
      <c r="SDO11" s="139"/>
      <c r="SDP11" s="128"/>
      <c r="SDQ11" s="128"/>
      <c r="SDR11" s="128"/>
      <c r="SDS11" s="128"/>
      <c r="SDT11" s="118"/>
      <c r="SDU11" s="128"/>
      <c r="SDV11" s="128"/>
      <c r="SDW11" s="991"/>
      <c r="SDX11" s="128"/>
      <c r="SDY11" s="170"/>
      <c r="SDZ11" s="170"/>
      <c r="SEA11" s="1018"/>
      <c r="SEB11" s="1018"/>
      <c r="SEC11" s="1018"/>
      <c r="SED11" s="1018"/>
      <c r="SEE11" s="1019"/>
      <c r="SEF11" s="1019"/>
      <c r="SEG11" s="1019"/>
      <c r="SEH11" s="1018"/>
      <c r="SEI11" s="1018"/>
      <c r="SEJ11" s="1018"/>
      <c r="SEK11" s="1018"/>
      <c r="SEL11" s="1018"/>
      <c r="SEM11" s="1018"/>
      <c r="SEN11" s="139"/>
      <c r="SEO11" s="128"/>
      <c r="SEP11" s="128"/>
      <c r="SEQ11" s="128"/>
      <c r="SER11" s="128"/>
      <c r="SES11" s="118"/>
      <c r="SET11" s="128"/>
      <c r="SEU11" s="128"/>
      <c r="SEV11" s="991"/>
      <c r="SEW11" s="128"/>
      <c r="SEX11" s="170"/>
      <c r="SEY11" s="170"/>
      <c r="SEZ11" s="1018"/>
      <c r="SFA11" s="1018"/>
      <c r="SFB11" s="1018"/>
      <c r="SFC11" s="1018"/>
      <c r="SFD11" s="1019"/>
      <c r="SFE11" s="1019"/>
      <c r="SFF11" s="1019"/>
      <c r="SFG11" s="1018"/>
      <c r="SFH11" s="1018"/>
      <c r="SFI11" s="1018"/>
      <c r="SFJ11" s="1018"/>
      <c r="SFK11" s="1018"/>
      <c r="SFL11" s="1018"/>
      <c r="SFM11" s="139"/>
      <c r="SFN11" s="128"/>
      <c r="SFO11" s="128"/>
      <c r="SFP11" s="128"/>
      <c r="SFQ11" s="128"/>
      <c r="SFR11" s="118"/>
      <c r="SFS11" s="128"/>
      <c r="SFT11" s="128"/>
      <c r="SFU11" s="991"/>
      <c r="SFV11" s="128"/>
      <c r="SFW11" s="170"/>
      <c r="SFX11" s="170"/>
      <c r="SFY11" s="1018"/>
      <c r="SFZ11" s="1018"/>
      <c r="SGA11" s="1018"/>
      <c r="SGB11" s="1018"/>
      <c r="SGC11" s="1019"/>
      <c r="SGD11" s="1019"/>
      <c r="SGE11" s="1019"/>
      <c r="SGF11" s="1018"/>
      <c r="SGG11" s="1018"/>
      <c r="SGH11" s="1018"/>
      <c r="SGI11" s="1018"/>
      <c r="SGJ11" s="1018"/>
      <c r="SGK11" s="1018"/>
      <c r="SGL11" s="139"/>
      <c r="SGM11" s="128"/>
      <c r="SGN11" s="128"/>
      <c r="SGO11" s="128"/>
      <c r="SGP11" s="128"/>
      <c r="SGQ11" s="118"/>
      <c r="SGR11" s="128"/>
      <c r="SGS11" s="128"/>
      <c r="SGT11" s="991"/>
      <c r="SGU11" s="128"/>
      <c r="SGV11" s="170"/>
      <c r="SGW11" s="170"/>
      <c r="SGX11" s="1018"/>
      <c r="SGY11" s="1018"/>
      <c r="SGZ11" s="1018"/>
      <c r="SHA11" s="1018"/>
      <c r="SHB11" s="1019"/>
      <c r="SHC11" s="1019"/>
      <c r="SHD11" s="1019"/>
      <c r="SHE11" s="1018"/>
      <c r="SHF11" s="1018"/>
      <c r="SHG11" s="1018"/>
      <c r="SHH11" s="1018"/>
      <c r="SHI11" s="1018"/>
      <c r="SHJ11" s="1018"/>
      <c r="SHK11" s="139"/>
      <c r="SHL11" s="128"/>
      <c r="SHM11" s="128"/>
      <c r="SHN11" s="128"/>
      <c r="SHO11" s="128"/>
      <c r="SHP11" s="118"/>
      <c r="SHQ11" s="128"/>
      <c r="SHR11" s="128"/>
      <c r="SHS11" s="991"/>
      <c r="SHT11" s="128"/>
      <c r="SHU11" s="170"/>
      <c r="SHV11" s="170"/>
      <c r="SHW11" s="1018"/>
      <c r="SHX11" s="1018"/>
      <c r="SHY11" s="1018"/>
      <c r="SHZ11" s="1018"/>
      <c r="SIA11" s="1019"/>
      <c r="SIB11" s="1019"/>
      <c r="SIC11" s="1019"/>
      <c r="SID11" s="1018"/>
      <c r="SIE11" s="1018"/>
      <c r="SIF11" s="1018"/>
      <c r="SIG11" s="1018"/>
      <c r="SIH11" s="1018"/>
      <c r="SII11" s="1018"/>
      <c r="SIJ11" s="139"/>
      <c r="SIK11" s="128"/>
      <c r="SIL11" s="128"/>
      <c r="SIM11" s="128"/>
      <c r="SIN11" s="128"/>
      <c r="SIO11" s="118"/>
      <c r="SIP11" s="128"/>
      <c r="SIQ11" s="128"/>
      <c r="SIR11" s="991"/>
      <c r="SIS11" s="128"/>
      <c r="SIT11" s="170"/>
      <c r="SIU11" s="170"/>
      <c r="SIV11" s="1018"/>
      <c r="SIW11" s="1018"/>
      <c r="SIX11" s="1018"/>
      <c r="SIY11" s="1018"/>
      <c r="SIZ11" s="1019"/>
      <c r="SJA11" s="1019"/>
      <c r="SJB11" s="1019"/>
      <c r="SJC11" s="1018"/>
      <c r="SJD11" s="1018"/>
      <c r="SJE11" s="1018"/>
      <c r="SJF11" s="1018"/>
      <c r="SJG11" s="1018"/>
      <c r="SJH11" s="1018"/>
      <c r="SJI11" s="139"/>
      <c r="SJJ11" s="128"/>
      <c r="SJK11" s="128"/>
      <c r="SJL11" s="128"/>
      <c r="SJM11" s="128"/>
      <c r="SJN11" s="118"/>
      <c r="SJO11" s="128"/>
      <c r="SJP11" s="128"/>
      <c r="SJQ11" s="991"/>
      <c r="SJR11" s="128"/>
      <c r="SJS11" s="170"/>
      <c r="SJT11" s="170"/>
      <c r="SJU11" s="1018"/>
      <c r="SJV11" s="1018"/>
      <c r="SJW11" s="1018"/>
      <c r="SJX11" s="1018"/>
      <c r="SJY11" s="1019"/>
      <c r="SJZ11" s="1019"/>
      <c r="SKA11" s="1019"/>
      <c r="SKB11" s="1018"/>
      <c r="SKC11" s="1018"/>
      <c r="SKD11" s="1018"/>
      <c r="SKE11" s="1018"/>
      <c r="SKF11" s="1018"/>
      <c r="SKG11" s="1018"/>
      <c r="SKH11" s="139"/>
      <c r="SKI11" s="128"/>
      <c r="SKJ11" s="128"/>
      <c r="SKK11" s="128"/>
      <c r="SKL11" s="128"/>
      <c r="SKM11" s="118"/>
      <c r="SKN11" s="128"/>
      <c r="SKO11" s="128"/>
      <c r="SKP11" s="991"/>
      <c r="SKQ11" s="128"/>
      <c r="SKR11" s="170"/>
      <c r="SKS11" s="170"/>
      <c r="SKT11" s="1018"/>
      <c r="SKU11" s="1018"/>
      <c r="SKV11" s="1018"/>
      <c r="SKW11" s="1018"/>
      <c r="SKX11" s="1019"/>
      <c r="SKY11" s="1019"/>
      <c r="SKZ11" s="1019"/>
      <c r="SLA11" s="1018"/>
      <c r="SLB11" s="1018"/>
      <c r="SLC11" s="1018"/>
      <c r="SLD11" s="1018"/>
      <c r="SLE11" s="1018"/>
      <c r="SLF11" s="1018"/>
      <c r="SLG11" s="139"/>
      <c r="SLH11" s="128"/>
      <c r="SLI11" s="128"/>
      <c r="SLJ11" s="128"/>
      <c r="SLK11" s="128"/>
      <c r="SLL11" s="118"/>
      <c r="SLM11" s="128"/>
      <c r="SLN11" s="128"/>
      <c r="SLO11" s="991"/>
      <c r="SLP11" s="128"/>
      <c r="SLQ11" s="170"/>
      <c r="SLR11" s="170"/>
      <c r="SLS11" s="1018"/>
      <c r="SLT11" s="1018"/>
      <c r="SLU11" s="1018"/>
      <c r="SLV11" s="1018"/>
      <c r="SLW11" s="1019"/>
      <c r="SLX11" s="1019"/>
      <c r="SLY11" s="1019"/>
      <c r="SLZ11" s="1018"/>
      <c r="SMA11" s="1018"/>
      <c r="SMB11" s="1018"/>
      <c r="SMC11" s="1018"/>
      <c r="SMD11" s="1018"/>
      <c r="SME11" s="1018"/>
      <c r="SMF11" s="139"/>
      <c r="SMG11" s="128"/>
      <c r="SMH11" s="128"/>
      <c r="SMI11" s="128"/>
      <c r="SMJ11" s="128"/>
      <c r="SMK11" s="118"/>
      <c r="SML11" s="128"/>
      <c r="SMM11" s="128"/>
      <c r="SMN11" s="991"/>
      <c r="SMO11" s="128"/>
      <c r="SMP11" s="170"/>
      <c r="SMQ11" s="170"/>
      <c r="SMR11" s="1018"/>
      <c r="SMS11" s="1018"/>
      <c r="SMT11" s="1018"/>
      <c r="SMU11" s="1018"/>
      <c r="SMV11" s="1019"/>
      <c r="SMW11" s="1019"/>
      <c r="SMX11" s="1019"/>
      <c r="SMY11" s="1018"/>
      <c r="SMZ11" s="1018"/>
      <c r="SNA11" s="1018"/>
      <c r="SNB11" s="1018"/>
      <c r="SNC11" s="1018"/>
      <c r="SND11" s="1018"/>
      <c r="SNE11" s="139"/>
      <c r="SNF11" s="128"/>
      <c r="SNG11" s="128"/>
      <c r="SNH11" s="128"/>
      <c r="SNI11" s="128"/>
      <c r="SNJ11" s="118"/>
      <c r="SNK11" s="128"/>
      <c r="SNL11" s="128"/>
      <c r="SNM11" s="991"/>
      <c r="SNN11" s="128"/>
      <c r="SNO11" s="170"/>
      <c r="SNP11" s="170"/>
      <c r="SNQ11" s="1018"/>
      <c r="SNR11" s="1018"/>
      <c r="SNS11" s="1018"/>
      <c r="SNT11" s="1018"/>
      <c r="SNU11" s="1019"/>
      <c r="SNV11" s="1019"/>
      <c r="SNW11" s="1019"/>
      <c r="SNX11" s="1018"/>
      <c r="SNY11" s="1018"/>
      <c r="SNZ11" s="1018"/>
      <c r="SOA11" s="1018"/>
      <c r="SOB11" s="1018"/>
      <c r="SOC11" s="1018"/>
      <c r="SOD11" s="139"/>
      <c r="SOE11" s="128"/>
      <c r="SOF11" s="128"/>
      <c r="SOG11" s="128"/>
      <c r="SOH11" s="128"/>
      <c r="SOI11" s="118"/>
      <c r="SOJ11" s="128"/>
      <c r="SOK11" s="128"/>
      <c r="SOL11" s="991"/>
      <c r="SOM11" s="128"/>
      <c r="SON11" s="170"/>
      <c r="SOO11" s="170"/>
      <c r="SOP11" s="1018"/>
      <c r="SOQ11" s="1018"/>
      <c r="SOR11" s="1018"/>
      <c r="SOS11" s="1018"/>
      <c r="SOT11" s="1019"/>
      <c r="SOU11" s="1019"/>
      <c r="SOV11" s="1019"/>
      <c r="SOW11" s="1018"/>
      <c r="SOX11" s="1018"/>
      <c r="SOY11" s="1018"/>
      <c r="SOZ11" s="1018"/>
      <c r="SPA11" s="1018"/>
      <c r="SPB11" s="1018"/>
      <c r="SPC11" s="139"/>
      <c r="SPD11" s="128"/>
      <c r="SPE11" s="128"/>
      <c r="SPF11" s="128"/>
      <c r="SPG11" s="128"/>
      <c r="SPH11" s="118"/>
      <c r="SPI11" s="128"/>
      <c r="SPJ11" s="128"/>
      <c r="SPK11" s="991"/>
      <c r="SPL11" s="128"/>
      <c r="SPM11" s="170"/>
      <c r="SPN11" s="170"/>
      <c r="SPO11" s="1018"/>
      <c r="SPP11" s="1018"/>
      <c r="SPQ11" s="1018"/>
      <c r="SPR11" s="1018"/>
      <c r="SPS11" s="1019"/>
      <c r="SPT11" s="1019"/>
      <c r="SPU11" s="1019"/>
      <c r="SPV11" s="1018"/>
      <c r="SPW11" s="1018"/>
      <c r="SPX11" s="1018"/>
      <c r="SPY11" s="1018"/>
      <c r="SPZ11" s="1018"/>
      <c r="SQA11" s="1018"/>
      <c r="SQB11" s="139"/>
      <c r="SQC11" s="128"/>
      <c r="SQD11" s="128"/>
      <c r="SQE11" s="128"/>
      <c r="SQF11" s="128"/>
      <c r="SQG11" s="118"/>
      <c r="SQH11" s="128"/>
      <c r="SQI11" s="128"/>
      <c r="SQJ11" s="991"/>
      <c r="SQK11" s="128"/>
      <c r="SQL11" s="170"/>
      <c r="SQM11" s="170"/>
      <c r="SQN11" s="1018"/>
      <c r="SQO11" s="1018"/>
      <c r="SQP11" s="1018"/>
      <c r="SQQ11" s="1018"/>
      <c r="SQR11" s="1019"/>
      <c r="SQS11" s="1019"/>
      <c r="SQT11" s="1019"/>
      <c r="SQU11" s="1018"/>
      <c r="SQV11" s="1018"/>
      <c r="SQW11" s="1018"/>
      <c r="SQX11" s="1018"/>
      <c r="SQY11" s="1018"/>
      <c r="SQZ11" s="1018"/>
      <c r="SRA11" s="139"/>
      <c r="SRB11" s="128"/>
      <c r="SRC11" s="128"/>
      <c r="SRD11" s="128"/>
      <c r="SRE11" s="128"/>
      <c r="SRF11" s="118"/>
      <c r="SRG11" s="128"/>
      <c r="SRH11" s="128"/>
      <c r="SRI11" s="991"/>
      <c r="SRJ11" s="128"/>
      <c r="SRK11" s="170"/>
      <c r="SRL11" s="170"/>
      <c r="SRM11" s="1018"/>
      <c r="SRN11" s="1018"/>
      <c r="SRO11" s="1018"/>
      <c r="SRP11" s="1018"/>
      <c r="SRQ11" s="1019"/>
      <c r="SRR11" s="1019"/>
      <c r="SRS11" s="1019"/>
      <c r="SRT11" s="1018"/>
      <c r="SRU11" s="1018"/>
      <c r="SRV11" s="1018"/>
      <c r="SRW11" s="1018"/>
      <c r="SRX11" s="1018"/>
      <c r="SRY11" s="1018"/>
      <c r="SRZ11" s="139"/>
      <c r="SSA11" s="128"/>
      <c r="SSB11" s="128"/>
      <c r="SSC11" s="128"/>
      <c r="SSD11" s="128"/>
      <c r="SSE11" s="118"/>
      <c r="SSF11" s="128"/>
      <c r="SSG11" s="128"/>
      <c r="SSH11" s="991"/>
      <c r="SSI11" s="128"/>
      <c r="SSJ11" s="170"/>
      <c r="SSK11" s="170"/>
      <c r="SSL11" s="1018"/>
      <c r="SSM11" s="1018"/>
      <c r="SSN11" s="1018"/>
      <c r="SSO11" s="1018"/>
      <c r="SSP11" s="1019"/>
      <c r="SSQ11" s="1019"/>
      <c r="SSR11" s="1019"/>
      <c r="SSS11" s="1018"/>
      <c r="SST11" s="1018"/>
      <c r="SSU11" s="1018"/>
      <c r="SSV11" s="1018"/>
      <c r="SSW11" s="1018"/>
      <c r="SSX11" s="1018"/>
      <c r="SSY11" s="139"/>
      <c r="SSZ11" s="128"/>
      <c r="STA11" s="128"/>
      <c r="STB11" s="128"/>
      <c r="STC11" s="128"/>
      <c r="STD11" s="118"/>
      <c r="STE11" s="128"/>
      <c r="STF11" s="128"/>
      <c r="STG11" s="991"/>
      <c r="STH11" s="128"/>
      <c r="STI11" s="170"/>
      <c r="STJ11" s="170"/>
      <c r="STK11" s="1018"/>
      <c r="STL11" s="1018"/>
      <c r="STM11" s="1018"/>
      <c r="STN11" s="1018"/>
      <c r="STO11" s="1019"/>
      <c r="STP11" s="1019"/>
      <c r="STQ11" s="1019"/>
      <c r="STR11" s="1018"/>
      <c r="STS11" s="1018"/>
      <c r="STT11" s="1018"/>
      <c r="STU11" s="1018"/>
      <c r="STV11" s="1018"/>
      <c r="STW11" s="1018"/>
      <c r="STX11" s="139"/>
      <c r="STY11" s="128"/>
      <c r="STZ11" s="128"/>
      <c r="SUA11" s="128"/>
      <c r="SUB11" s="128"/>
      <c r="SUC11" s="118"/>
      <c r="SUD11" s="128"/>
      <c r="SUE11" s="128"/>
      <c r="SUF11" s="991"/>
      <c r="SUG11" s="128"/>
      <c r="SUH11" s="170"/>
      <c r="SUI11" s="170"/>
      <c r="SUJ11" s="1018"/>
      <c r="SUK11" s="1018"/>
      <c r="SUL11" s="1018"/>
      <c r="SUM11" s="1018"/>
      <c r="SUN11" s="1019"/>
      <c r="SUO11" s="1019"/>
      <c r="SUP11" s="1019"/>
      <c r="SUQ11" s="1018"/>
      <c r="SUR11" s="1018"/>
      <c r="SUS11" s="1018"/>
      <c r="SUT11" s="1018"/>
      <c r="SUU11" s="1018"/>
      <c r="SUV11" s="1018"/>
      <c r="SUW11" s="139"/>
      <c r="SUX11" s="128"/>
      <c r="SUY11" s="128"/>
      <c r="SUZ11" s="128"/>
      <c r="SVA11" s="128"/>
      <c r="SVB11" s="118"/>
      <c r="SVC11" s="128"/>
      <c r="SVD11" s="128"/>
      <c r="SVE11" s="991"/>
      <c r="SVF11" s="128"/>
      <c r="SVG11" s="170"/>
      <c r="SVH11" s="170"/>
      <c r="SVI11" s="1018"/>
      <c r="SVJ11" s="1018"/>
      <c r="SVK11" s="1018"/>
      <c r="SVL11" s="1018"/>
      <c r="SVM11" s="1019"/>
      <c r="SVN11" s="1019"/>
      <c r="SVO11" s="1019"/>
      <c r="SVP11" s="1018"/>
      <c r="SVQ11" s="1018"/>
      <c r="SVR11" s="1018"/>
      <c r="SVS11" s="1018"/>
      <c r="SVT11" s="1018"/>
      <c r="SVU11" s="1018"/>
      <c r="SVV11" s="139"/>
      <c r="SVW11" s="128"/>
      <c r="SVX11" s="128"/>
      <c r="SVY11" s="128"/>
      <c r="SVZ11" s="128"/>
      <c r="SWA11" s="118"/>
      <c r="SWB11" s="128"/>
      <c r="SWC11" s="128"/>
      <c r="SWD11" s="991"/>
      <c r="SWE11" s="128"/>
      <c r="SWF11" s="170"/>
      <c r="SWG11" s="170"/>
      <c r="SWH11" s="1018"/>
      <c r="SWI11" s="1018"/>
      <c r="SWJ11" s="1018"/>
      <c r="SWK11" s="1018"/>
      <c r="SWL11" s="1019"/>
      <c r="SWM11" s="1019"/>
      <c r="SWN11" s="1019"/>
      <c r="SWO11" s="1018"/>
      <c r="SWP11" s="1018"/>
      <c r="SWQ11" s="1018"/>
      <c r="SWR11" s="1018"/>
      <c r="SWS11" s="1018"/>
      <c r="SWT11" s="1018"/>
      <c r="SWU11" s="139"/>
      <c r="SWV11" s="128"/>
      <c r="SWW11" s="128"/>
      <c r="SWX11" s="128"/>
      <c r="SWY11" s="128"/>
      <c r="SWZ11" s="118"/>
      <c r="SXA11" s="128"/>
      <c r="SXB11" s="128"/>
      <c r="SXC11" s="991"/>
      <c r="SXD11" s="128"/>
      <c r="SXE11" s="170"/>
      <c r="SXF11" s="170"/>
      <c r="SXG11" s="1018"/>
      <c r="SXH11" s="1018"/>
      <c r="SXI11" s="1018"/>
      <c r="SXJ11" s="1018"/>
      <c r="SXK11" s="1019"/>
      <c r="SXL11" s="1019"/>
      <c r="SXM11" s="1019"/>
      <c r="SXN11" s="1018"/>
      <c r="SXO11" s="1018"/>
      <c r="SXP11" s="1018"/>
      <c r="SXQ11" s="1018"/>
      <c r="SXR11" s="1018"/>
      <c r="SXS11" s="1018"/>
      <c r="SXT11" s="139"/>
      <c r="SXU11" s="128"/>
      <c r="SXV11" s="128"/>
      <c r="SXW11" s="128"/>
      <c r="SXX11" s="128"/>
      <c r="SXY11" s="118"/>
      <c r="SXZ11" s="128"/>
      <c r="SYA11" s="128"/>
      <c r="SYB11" s="991"/>
      <c r="SYC11" s="128"/>
      <c r="SYD11" s="170"/>
      <c r="SYE11" s="170"/>
      <c r="SYF11" s="1018"/>
      <c r="SYG11" s="1018"/>
      <c r="SYH11" s="1018"/>
      <c r="SYI11" s="1018"/>
      <c r="SYJ11" s="1019"/>
      <c r="SYK11" s="1019"/>
      <c r="SYL11" s="1019"/>
      <c r="SYM11" s="1018"/>
      <c r="SYN11" s="1018"/>
      <c r="SYO11" s="1018"/>
      <c r="SYP11" s="1018"/>
      <c r="SYQ11" s="1018"/>
      <c r="SYR11" s="1018"/>
      <c r="SYS11" s="139"/>
      <c r="SYT11" s="128"/>
      <c r="SYU11" s="128"/>
      <c r="SYV11" s="128"/>
      <c r="SYW11" s="128"/>
      <c r="SYX11" s="118"/>
      <c r="SYY11" s="128"/>
      <c r="SYZ11" s="128"/>
      <c r="SZA11" s="991"/>
      <c r="SZB11" s="128"/>
      <c r="SZC11" s="170"/>
      <c r="SZD11" s="170"/>
      <c r="SZE11" s="1018"/>
      <c r="SZF11" s="1018"/>
      <c r="SZG11" s="1018"/>
      <c r="SZH11" s="1018"/>
      <c r="SZI11" s="1019"/>
      <c r="SZJ11" s="1019"/>
      <c r="SZK11" s="1019"/>
      <c r="SZL11" s="1018"/>
      <c r="SZM11" s="1018"/>
      <c r="SZN11" s="1018"/>
      <c r="SZO11" s="1018"/>
      <c r="SZP11" s="1018"/>
      <c r="SZQ11" s="1018"/>
      <c r="SZR11" s="139"/>
      <c r="SZS11" s="128"/>
      <c r="SZT11" s="128"/>
      <c r="SZU11" s="128"/>
      <c r="SZV11" s="128"/>
      <c r="SZW11" s="118"/>
      <c r="SZX11" s="128"/>
      <c r="SZY11" s="128"/>
      <c r="SZZ11" s="991"/>
      <c r="TAA11" s="128"/>
      <c r="TAB11" s="170"/>
      <c r="TAC11" s="170"/>
      <c r="TAD11" s="1018"/>
      <c r="TAE11" s="1018"/>
      <c r="TAF11" s="1018"/>
      <c r="TAG11" s="1018"/>
      <c r="TAH11" s="1019"/>
      <c r="TAI11" s="1019"/>
      <c r="TAJ11" s="1019"/>
      <c r="TAK11" s="1018"/>
      <c r="TAL11" s="1018"/>
      <c r="TAM11" s="1018"/>
      <c r="TAN11" s="1018"/>
      <c r="TAO11" s="1018"/>
      <c r="TAP11" s="1018"/>
      <c r="TAQ11" s="139"/>
      <c r="TAR11" s="128"/>
      <c r="TAS11" s="128"/>
      <c r="TAT11" s="128"/>
      <c r="TAU11" s="128"/>
      <c r="TAV11" s="118"/>
      <c r="TAW11" s="128"/>
      <c r="TAX11" s="128"/>
      <c r="TAY11" s="991"/>
      <c r="TAZ11" s="128"/>
      <c r="TBA11" s="170"/>
      <c r="TBB11" s="170"/>
      <c r="TBC11" s="1018"/>
      <c r="TBD11" s="1018"/>
      <c r="TBE11" s="1018"/>
      <c r="TBF11" s="1018"/>
      <c r="TBG11" s="1019"/>
      <c r="TBH11" s="1019"/>
      <c r="TBI11" s="1019"/>
      <c r="TBJ11" s="1018"/>
      <c r="TBK11" s="1018"/>
      <c r="TBL11" s="1018"/>
      <c r="TBM11" s="1018"/>
      <c r="TBN11" s="1018"/>
      <c r="TBO11" s="1018"/>
      <c r="TBP11" s="139"/>
      <c r="TBQ11" s="128"/>
      <c r="TBR11" s="128"/>
      <c r="TBS11" s="128"/>
      <c r="TBT11" s="128"/>
      <c r="TBU11" s="118"/>
      <c r="TBV11" s="128"/>
      <c r="TBW11" s="128"/>
      <c r="TBX11" s="991"/>
      <c r="TBY11" s="128"/>
      <c r="TBZ11" s="170"/>
      <c r="TCA11" s="170"/>
      <c r="TCB11" s="1018"/>
      <c r="TCC11" s="1018"/>
      <c r="TCD11" s="1018"/>
      <c r="TCE11" s="1018"/>
      <c r="TCF11" s="1019"/>
      <c r="TCG11" s="1019"/>
      <c r="TCH11" s="1019"/>
      <c r="TCI11" s="1018"/>
      <c r="TCJ11" s="1018"/>
      <c r="TCK11" s="1018"/>
      <c r="TCL11" s="1018"/>
      <c r="TCM11" s="1018"/>
      <c r="TCN11" s="1018"/>
      <c r="TCO11" s="139"/>
      <c r="TCP11" s="128"/>
      <c r="TCQ11" s="128"/>
      <c r="TCR11" s="128"/>
      <c r="TCS11" s="128"/>
      <c r="TCT11" s="118"/>
      <c r="TCU11" s="128"/>
      <c r="TCV11" s="128"/>
      <c r="TCW11" s="991"/>
      <c r="TCX11" s="128"/>
      <c r="TCY11" s="170"/>
      <c r="TCZ11" s="170"/>
      <c r="TDA11" s="1018"/>
      <c r="TDB11" s="1018"/>
      <c r="TDC11" s="1018"/>
      <c r="TDD11" s="1018"/>
      <c r="TDE11" s="1019"/>
      <c r="TDF11" s="1019"/>
      <c r="TDG11" s="1019"/>
      <c r="TDH11" s="1018"/>
      <c r="TDI11" s="1018"/>
      <c r="TDJ11" s="1018"/>
      <c r="TDK11" s="1018"/>
      <c r="TDL11" s="1018"/>
      <c r="TDM11" s="1018"/>
      <c r="TDN11" s="139"/>
      <c r="TDO11" s="128"/>
      <c r="TDP11" s="128"/>
      <c r="TDQ11" s="128"/>
      <c r="TDR11" s="128"/>
      <c r="TDS11" s="118"/>
      <c r="TDT11" s="128"/>
      <c r="TDU11" s="128"/>
      <c r="TDV11" s="991"/>
      <c r="TDW11" s="128"/>
      <c r="TDX11" s="170"/>
      <c r="TDY11" s="170"/>
      <c r="TDZ11" s="1018"/>
      <c r="TEA11" s="1018"/>
      <c r="TEB11" s="1018"/>
      <c r="TEC11" s="1018"/>
      <c r="TED11" s="1019"/>
      <c r="TEE11" s="1019"/>
      <c r="TEF11" s="1019"/>
      <c r="TEG11" s="1018"/>
      <c r="TEH11" s="1018"/>
      <c r="TEI11" s="1018"/>
      <c r="TEJ11" s="1018"/>
      <c r="TEK11" s="1018"/>
      <c r="TEL11" s="1018"/>
      <c r="TEM11" s="139"/>
      <c r="TEN11" s="128"/>
      <c r="TEO11" s="128"/>
      <c r="TEP11" s="128"/>
      <c r="TEQ11" s="128"/>
      <c r="TER11" s="118"/>
      <c r="TES11" s="128"/>
      <c r="TET11" s="128"/>
      <c r="TEU11" s="991"/>
      <c r="TEV11" s="128"/>
      <c r="TEW11" s="170"/>
      <c r="TEX11" s="170"/>
      <c r="TEY11" s="1018"/>
      <c r="TEZ11" s="1018"/>
      <c r="TFA11" s="1018"/>
      <c r="TFB11" s="1018"/>
      <c r="TFC11" s="1019"/>
      <c r="TFD11" s="1019"/>
      <c r="TFE11" s="1019"/>
      <c r="TFF11" s="1018"/>
      <c r="TFG11" s="1018"/>
      <c r="TFH11" s="1018"/>
      <c r="TFI11" s="1018"/>
      <c r="TFJ11" s="1018"/>
      <c r="TFK11" s="1018"/>
      <c r="TFL11" s="139"/>
      <c r="TFM11" s="128"/>
      <c r="TFN11" s="128"/>
      <c r="TFO11" s="128"/>
      <c r="TFP11" s="128"/>
      <c r="TFQ11" s="118"/>
      <c r="TFR11" s="128"/>
      <c r="TFS11" s="128"/>
      <c r="TFT11" s="991"/>
      <c r="TFU11" s="128"/>
      <c r="TFV11" s="170"/>
      <c r="TFW11" s="170"/>
      <c r="TFX11" s="1018"/>
      <c r="TFY11" s="1018"/>
      <c r="TFZ11" s="1018"/>
      <c r="TGA11" s="1018"/>
      <c r="TGB11" s="1019"/>
      <c r="TGC11" s="1019"/>
      <c r="TGD11" s="1019"/>
      <c r="TGE11" s="1018"/>
      <c r="TGF11" s="1018"/>
      <c r="TGG11" s="1018"/>
      <c r="TGH11" s="1018"/>
      <c r="TGI11" s="1018"/>
      <c r="TGJ11" s="1018"/>
      <c r="TGK11" s="139"/>
      <c r="TGL11" s="128"/>
      <c r="TGM11" s="128"/>
      <c r="TGN11" s="128"/>
      <c r="TGO11" s="128"/>
      <c r="TGP11" s="118"/>
      <c r="TGQ11" s="128"/>
      <c r="TGR11" s="128"/>
      <c r="TGS11" s="991"/>
      <c r="TGT11" s="128"/>
      <c r="TGU11" s="170"/>
      <c r="TGV11" s="170"/>
      <c r="TGW11" s="1018"/>
      <c r="TGX11" s="1018"/>
      <c r="TGY11" s="1018"/>
      <c r="TGZ11" s="1018"/>
      <c r="THA11" s="1019"/>
      <c r="THB11" s="1019"/>
      <c r="THC11" s="1019"/>
      <c r="THD11" s="1018"/>
      <c r="THE11" s="1018"/>
      <c r="THF11" s="1018"/>
      <c r="THG11" s="1018"/>
      <c r="THH11" s="1018"/>
      <c r="THI11" s="1018"/>
      <c r="THJ11" s="139"/>
      <c r="THK11" s="128"/>
      <c r="THL11" s="128"/>
      <c r="THM11" s="128"/>
      <c r="THN11" s="128"/>
      <c r="THO11" s="118"/>
      <c r="THP11" s="128"/>
      <c r="THQ11" s="128"/>
      <c r="THR11" s="991"/>
      <c r="THS11" s="128"/>
      <c r="THT11" s="170"/>
      <c r="THU11" s="170"/>
      <c r="THV11" s="1018"/>
      <c r="THW11" s="1018"/>
      <c r="THX11" s="1018"/>
      <c r="THY11" s="1018"/>
      <c r="THZ11" s="1019"/>
      <c r="TIA11" s="1019"/>
      <c r="TIB11" s="1019"/>
      <c r="TIC11" s="1018"/>
      <c r="TID11" s="1018"/>
      <c r="TIE11" s="1018"/>
      <c r="TIF11" s="1018"/>
      <c r="TIG11" s="1018"/>
      <c r="TIH11" s="1018"/>
      <c r="TII11" s="139"/>
      <c r="TIJ11" s="128"/>
      <c r="TIK11" s="128"/>
      <c r="TIL11" s="128"/>
      <c r="TIM11" s="128"/>
      <c r="TIN11" s="118"/>
      <c r="TIO11" s="128"/>
      <c r="TIP11" s="128"/>
      <c r="TIQ11" s="991"/>
      <c r="TIR11" s="128"/>
      <c r="TIS11" s="170"/>
      <c r="TIT11" s="170"/>
      <c r="TIU11" s="1018"/>
      <c r="TIV11" s="1018"/>
      <c r="TIW11" s="1018"/>
      <c r="TIX11" s="1018"/>
      <c r="TIY11" s="1019"/>
      <c r="TIZ11" s="1019"/>
      <c r="TJA11" s="1019"/>
      <c r="TJB11" s="1018"/>
      <c r="TJC11" s="1018"/>
      <c r="TJD11" s="1018"/>
      <c r="TJE11" s="1018"/>
      <c r="TJF11" s="1018"/>
      <c r="TJG11" s="1018"/>
      <c r="TJH11" s="139"/>
      <c r="TJI11" s="128"/>
      <c r="TJJ11" s="128"/>
      <c r="TJK11" s="128"/>
      <c r="TJL11" s="128"/>
      <c r="TJM11" s="118"/>
      <c r="TJN11" s="128"/>
      <c r="TJO11" s="128"/>
      <c r="TJP11" s="991"/>
      <c r="TJQ11" s="128"/>
      <c r="TJR11" s="170"/>
      <c r="TJS11" s="170"/>
      <c r="TJT11" s="1018"/>
      <c r="TJU11" s="1018"/>
      <c r="TJV11" s="1018"/>
      <c r="TJW11" s="1018"/>
      <c r="TJX11" s="1019"/>
      <c r="TJY11" s="1019"/>
      <c r="TJZ11" s="1019"/>
      <c r="TKA11" s="1018"/>
      <c r="TKB11" s="1018"/>
      <c r="TKC11" s="1018"/>
      <c r="TKD11" s="1018"/>
      <c r="TKE11" s="1018"/>
      <c r="TKF11" s="1018"/>
      <c r="TKG11" s="139"/>
      <c r="TKH11" s="128"/>
      <c r="TKI11" s="128"/>
      <c r="TKJ11" s="128"/>
      <c r="TKK11" s="128"/>
      <c r="TKL11" s="118"/>
      <c r="TKM11" s="128"/>
      <c r="TKN11" s="128"/>
      <c r="TKO11" s="991"/>
      <c r="TKP11" s="128"/>
      <c r="TKQ11" s="170"/>
      <c r="TKR11" s="170"/>
      <c r="TKS11" s="1018"/>
      <c r="TKT11" s="1018"/>
      <c r="TKU11" s="1018"/>
      <c r="TKV11" s="1018"/>
      <c r="TKW11" s="1019"/>
      <c r="TKX11" s="1019"/>
      <c r="TKY11" s="1019"/>
      <c r="TKZ11" s="1018"/>
      <c r="TLA11" s="1018"/>
      <c r="TLB11" s="1018"/>
      <c r="TLC11" s="1018"/>
      <c r="TLD11" s="1018"/>
      <c r="TLE11" s="1018"/>
      <c r="TLF11" s="139"/>
      <c r="TLG11" s="128"/>
      <c r="TLH11" s="128"/>
      <c r="TLI11" s="128"/>
      <c r="TLJ11" s="128"/>
      <c r="TLK11" s="118"/>
      <c r="TLL11" s="128"/>
      <c r="TLM11" s="128"/>
      <c r="TLN11" s="991"/>
      <c r="TLO11" s="128"/>
      <c r="TLP11" s="170"/>
      <c r="TLQ11" s="170"/>
      <c r="TLR11" s="1018"/>
      <c r="TLS11" s="1018"/>
      <c r="TLT11" s="1018"/>
      <c r="TLU11" s="1018"/>
      <c r="TLV11" s="1019"/>
      <c r="TLW11" s="1019"/>
      <c r="TLX11" s="1019"/>
      <c r="TLY11" s="1018"/>
      <c r="TLZ11" s="1018"/>
      <c r="TMA11" s="1018"/>
      <c r="TMB11" s="1018"/>
      <c r="TMC11" s="1018"/>
      <c r="TMD11" s="1018"/>
      <c r="TME11" s="139"/>
      <c r="TMF11" s="128"/>
      <c r="TMG11" s="128"/>
      <c r="TMH11" s="128"/>
      <c r="TMI11" s="128"/>
      <c r="TMJ11" s="118"/>
      <c r="TMK11" s="128"/>
      <c r="TML11" s="128"/>
      <c r="TMM11" s="991"/>
      <c r="TMN11" s="128"/>
      <c r="TMO11" s="170"/>
      <c r="TMP11" s="170"/>
      <c r="TMQ11" s="1018"/>
      <c r="TMR11" s="1018"/>
      <c r="TMS11" s="1018"/>
      <c r="TMT11" s="1018"/>
      <c r="TMU11" s="1019"/>
      <c r="TMV11" s="1019"/>
      <c r="TMW11" s="1019"/>
      <c r="TMX11" s="1018"/>
      <c r="TMY11" s="1018"/>
      <c r="TMZ11" s="1018"/>
      <c r="TNA11" s="1018"/>
      <c r="TNB11" s="1018"/>
      <c r="TNC11" s="1018"/>
      <c r="TND11" s="139"/>
      <c r="TNE11" s="128"/>
      <c r="TNF11" s="128"/>
      <c r="TNG11" s="128"/>
      <c r="TNH11" s="128"/>
      <c r="TNI11" s="118"/>
      <c r="TNJ11" s="128"/>
      <c r="TNK11" s="128"/>
      <c r="TNL11" s="991"/>
      <c r="TNM11" s="128"/>
      <c r="TNN11" s="170"/>
      <c r="TNO11" s="170"/>
      <c r="TNP11" s="1018"/>
      <c r="TNQ11" s="1018"/>
      <c r="TNR11" s="1018"/>
      <c r="TNS11" s="1018"/>
      <c r="TNT11" s="1019"/>
      <c r="TNU11" s="1019"/>
      <c r="TNV11" s="1019"/>
      <c r="TNW11" s="1018"/>
      <c r="TNX11" s="1018"/>
      <c r="TNY11" s="1018"/>
      <c r="TNZ11" s="1018"/>
      <c r="TOA11" s="1018"/>
      <c r="TOB11" s="1018"/>
      <c r="TOC11" s="139"/>
      <c r="TOD11" s="128"/>
      <c r="TOE11" s="128"/>
      <c r="TOF11" s="128"/>
      <c r="TOG11" s="128"/>
      <c r="TOH11" s="118"/>
      <c r="TOI11" s="128"/>
      <c r="TOJ11" s="128"/>
      <c r="TOK11" s="991"/>
      <c r="TOL11" s="128"/>
      <c r="TOM11" s="170"/>
      <c r="TON11" s="170"/>
      <c r="TOO11" s="1018"/>
      <c r="TOP11" s="1018"/>
      <c r="TOQ11" s="1018"/>
      <c r="TOR11" s="1018"/>
      <c r="TOS11" s="1019"/>
      <c r="TOT11" s="1019"/>
      <c r="TOU11" s="1019"/>
      <c r="TOV11" s="1018"/>
      <c r="TOW11" s="1018"/>
      <c r="TOX11" s="1018"/>
      <c r="TOY11" s="1018"/>
      <c r="TOZ11" s="1018"/>
      <c r="TPA11" s="1018"/>
      <c r="TPB11" s="139"/>
      <c r="TPC11" s="128"/>
      <c r="TPD11" s="128"/>
      <c r="TPE11" s="128"/>
      <c r="TPF11" s="128"/>
      <c r="TPG11" s="118"/>
      <c r="TPH11" s="128"/>
      <c r="TPI11" s="128"/>
      <c r="TPJ11" s="991"/>
      <c r="TPK11" s="128"/>
      <c r="TPL11" s="170"/>
      <c r="TPM11" s="170"/>
      <c r="TPN11" s="1018"/>
      <c r="TPO11" s="1018"/>
      <c r="TPP11" s="1018"/>
      <c r="TPQ11" s="1018"/>
      <c r="TPR11" s="1019"/>
      <c r="TPS11" s="1019"/>
      <c r="TPT11" s="1019"/>
      <c r="TPU11" s="1018"/>
      <c r="TPV11" s="1018"/>
      <c r="TPW11" s="1018"/>
      <c r="TPX11" s="1018"/>
      <c r="TPY11" s="1018"/>
      <c r="TPZ11" s="1018"/>
      <c r="TQA11" s="139"/>
      <c r="TQB11" s="128"/>
      <c r="TQC11" s="128"/>
      <c r="TQD11" s="128"/>
      <c r="TQE11" s="128"/>
      <c r="TQF11" s="118"/>
      <c r="TQG11" s="128"/>
      <c r="TQH11" s="128"/>
      <c r="TQI11" s="991"/>
      <c r="TQJ11" s="128"/>
      <c r="TQK11" s="170"/>
      <c r="TQL11" s="170"/>
      <c r="TQM11" s="1018"/>
      <c r="TQN11" s="1018"/>
      <c r="TQO11" s="1018"/>
      <c r="TQP11" s="1018"/>
      <c r="TQQ11" s="1019"/>
      <c r="TQR11" s="1019"/>
      <c r="TQS11" s="1019"/>
      <c r="TQT11" s="1018"/>
      <c r="TQU11" s="1018"/>
      <c r="TQV11" s="1018"/>
      <c r="TQW11" s="1018"/>
      <c r="TQX11" s="1018"/>
      <c r="TQY11" s="1018"/>
      <c r="TQZ11" s="139"/>
      <c r="TRA11" s="128"/>
      <c r="TRB11" s="128"/>
      <c r="TRC11" s="128"/>
      <c r="TRD11" s="128"/>
      <c r="TRE11" s="118"/>
      <c r="TRF11" s="128"/>
      <c r="TRG11" s="128"/>
      <c r="TRH11" s="991"/>
      <c r="TRI11" s="128"/>
      <c r="TRJ11" s="170"/>
      <c r="TRK11" s="170"/>
      <c r="TRL11" s="1018"/>
      <c r="TRM11" s="1018"/>
      <c r="TRN11" s="1018"/>
      <c r="TRO11" s="1018"/>
      <c r="TRP11" s="1019"/>
      <c r="TRQ11" s="1019"/>
      <c r="TRR11" s="1019"/>
      <c r="TRS11" s="1018"/>
      <c r="TRT11" s="1018"/>
      <c r="TRU11" s="1018"/>
      <c r="TRV11" s="1018"/>
      <c r="TRW11" s="1018"/>
      <c r="TRX11" s="1018"/>
      <c r="TRY11" s="139"/>
      <c r="TRZ11" s="128"/>
      <c r="TSA11" s="128"/>
      <c r="TSB11" s="128"/>
      <c r="TSC11" s="128"/>
      <c r="TSD11" s="118"/>
      <c r="TSE11" s="128"/>
      <c r="TSF11" s="128"/>
      <c r="TSG11" s="991"/>
      <c r="TSH11" s="128"/>
      <c r="TSI11" s="170"/>
      <c r="TSJ11" s="170"/>
      <c r="TSK11" s="1018"/>
      <c r="TSL11" s="1018"/>
      <c r="TSM11" s="1018"/>
      <c r="TSN11" s="1018"/>
      <c r="TSO11" s="1019"/>
      <c r="TSP11" s="1019"/>
      <c r="TSQ11" s="1019"/>
      <c r="TSR11" s="1018"/>
      <c r="TSS11" s="1018"/>
      <c r="TST11" s="1018"/>
      <c r="TSU11" s="1018"/>
      <c r="TSV11" s="1018"/>
      <c r="TSW11" s="1018"/>
      <c r="TSX11" s="139"/>
      <c r="TSY11" s="128"/>
      <c r="TSZ11" s="128"/>
      <c r="TTA11" s="128"/>
      <c r="TTB11" s="128"/>
      <c r="TTC11" s="118"/>
      <c r="TTD11" s="128"/>
      <c r="TTE11" s="128"/>
      <c r="TTF11" s="991"/>
      <c r="TTG11" s="128"/>
      <c r="TTH11" s="170"/>
      <c r="TTI11" s="170"/>
      <c r="TTJ11" s="1018"/>
      <c r="TTK11" s="1018"/>
      <c r="TTL11" s="1018"/>
      <c r="TTM11" s="1018"/>
      <c r="TTN11" s="1019"/>
      <c r="TTO11" s="1019"/>
      <c r="TTP11" s="1019"/>
      <c r="TTQ11" s="1018"/>
      <c r="TTR11" s="1018"/>
      <c r="TTS11" s="1018"/>
      <c r="TTT11" s="1018"/>
      <c r="TTU11" s="1018"/>
      <c r="TTV11" s="1018"/>
      <c r="TTW11" s="139"/>
      <c r="TTX11" s="128"/>
      <c r="TTY11" s="128"/>
      <c r="TTZ11" s="128"/>
      <c r="TUA11" s="128"/>
      <c r="TUB11" s="118"/>
      <c r="TUC11" s="128"/>
      <c r="TUD11" s="128"/>
      <c r="TUE11" s="991"/>
      <c r="TUF11" s="128"/>
      <c r="TUG11" s="170"/>
      <c r="TUH11" s="170"/>
      <c r="TUI11" s="1018"/>
      <c r="TUJ11" s="1018"/>
      <c r="TUK11" s="1018"/>
      <c r="TUL11" s="1018"/>
      <c r="TUM11" s="1019"/>
      <c r="TUN11" s="1019"/>
      <c r="TUO11" s="1019"/>
      <c r="TUP11" s="1018"/>
      <c r="TUQ11" s="1018"/>
      <c r="TUR11" s="1018"/>
      <c r="TUS11" s="1018"/>
      <c r="TUT11" s="1018"/>
      <c r="TUU11" s="1018"/>
      <c r="TUV11" s="139"/>
      <c r="TUW11" s="128"/>
      <c r="TUX11" s="128"/>
      <c r="TUY11" s="128"/>
      <c r="TUZ11" s="128"/>
      <c r="TVA11" s="118"/>
      <c r="TVB11" s="128"/>
      <c r="TVC11" s="128"/>
      <c r="TVD11" s="991"/>
      <c r="TVE11" s="128"/>
      <c r="TVF11" s="170"/>
      <c r="TVG11" s="170"/>
      <c r="TVH11" s="1018"/>
      <c r="TVI11" s="1018"/>
      <c r="TVJ11" s="1018"/>
      <c r="TVK11" s="1018"/>
      <c r="TVL11" s="1019"/>
      <c r="TVM11" s="1019"/>
      <c r="TVN11" s="1019"/>
      <c r="TVO11" s="1018"/>
      <c r="TVP11" s="1018"/>
      <c r="TVQ11" s="1018"/>
      <c r="TVR11" s="1018"/>
      <c r="TVS11" s="1018"/>
      <c r="TVT11" s="1018"/>
      <c r="TVU11" s="139"/>
      <c r="TVV11" s="128"/>
      <c r="TVW11" s="128"/>
      <c r="TVX11" s="128"/>
      <c r="TVY11" s="128"/>
      <c r="TVZ11" s="118"/>
      <c r="TWA11" s="128"/>
      <c r="TWB11" s="128"/>
      <c r="TWC11" s="991"/>
      <c r="TWD11" s="128"/>
      <c r="TWE11" s="170"/>
      <c r="TWF11" s="170"/>
      <c r="TWG11" s="1018"/>
      <c r="TWH11" s="1018"/>
      <c r="TWI11" s="1018"/>
      <c r="TWJ11" s="1018"/>
      <c r="TWK11" s="1019"/>
      <c r="TWL11" s="1019"/>
      <c r="TWM11" s="1019"/>
      <c r="TWN11" s="1018"/>
      <c r="TWO11" s="1018"/>
      <c r="TWP11" s="1018"/>
      <c r="TWQ11" s="1018"/>
      <c r="TWR11" s="1018"/>
      <c r="TWS11" s="1018"/>
      <c r="TWT11" s="139"/>
      <c r="TWU11" s="128"/>
      <c r="TWV11" s="128"/>
      <c r="TWW11" s="128"/>
      <c r="TWX11" s="128"/>
      <c r="TWY11" s="118"/>
      <c r="TWZ11" s="128"/>
      <c r="TXA11" s="128"/>
      <c r="TXB11" s="991"/>
      <c r="TXC11" s="128"/>
      <c r="TXD11" s="170"/>
      <c r="TXE11" s="170"/>
      <c r="TXF11" s="1018"/>
      <c r="TXG11" s="1018"/>
      <c r="TXH11" s="1018"/>
      <c r="TXI11" s="1018"/>
      <c r="TXJ11" s="1019"/>
      <c r="TXK11" s="1019"/>
      <c r="TXL11" s="1019"/>
      <c r="TXM11" s="1018"/>
      <c r="TXN11" s="1018"/>
      <c r="TXO11" s="1018"/>
      <c r="TXP11" s="1018"/>
      <c r="TXQ11" s="1018"/>
      <c r="TXR11" s="1018"/>
      <c r="TXS11" s="139"/>
      <c r="TXT11" s="128"/>
      <c r="TXU11" s="128"/>
      <c r="TXV11" s="128"/>
      <c r="TXW11" s="128"/>
      <c r="TXX11" s="118"/>
      <c r="TXY11" s="128"/>
      <c r="TXZ11" s="128"/>
      <c r="TYA11" s="991"/>
      <c r="TYB11" s="128"/>
      <c r="TYC11" s="170"/>
      <c r="TYD11" s="170"/>
      <c r="TYE11" s="1018"/>
      <c r="TYF11" s="1018"/>
      <c r="TYG11" s="1018"/>
      <c r="TYH11" s="1018"/>
      <c r="TYI11" s="1019"/>
      <c r="TYJ11" s="1019"/>
      <c r="TYK11" s="1019"/>
      <c r="TYL11" s="1018"/>
      <c r="TYM11" s="1018"/>
      <c r="TYN11" s="1018"/>
      <c r="TYO11" s="1018"/>
      <c r="TYP11" s="1018"/>
      <c r="TYQ11" s="1018"/>
      <c r="TYR11" s="139"/>
      <c r="TYS11" s="128"/>
      <c r="TYT11" s="128"/>
      <c r="TYU11" s="128"/>
      <c r="TYV11" s="128"/>
      <c r="TYW11" s="118"/>
      <c r="TYX11" s="128"/>
      <c r="TYY11" s="128"/>
      <c r="TYZ11" s="991"/>
      <c r="TZA11" s="128"/>
      <c r="TZB11" s="170"/>
      <c r="TZC11" s="170"/>
      <c r="TZD11" s="1018"/>
      <c r="TZE11" s="1018"/>
      <c r="TZF11" s="1018"/>
      <c r="TZG11" s="1018"/>
      <c r="TZH11" s="1019"/>
      <c r="TZI11" s="1019"/>
      <c r="TZJ11" s="1019"/>
      <c r="TZK11" s="1018"/>
      <c r="TZL11" s="1018"/>
      <c r="TZM11" s="1018"/>
      <c r="TZN11" s="1018"/>
      <c r="TZO11" s="1018"/>
      <c r="TZP11" s="1018"/>
      <c r="TZQ11" s="139"/>
      <c r="TZR11" s="128"/>
      <c r="TZS11" s="128"/>
      <c r="TZT11" s="128"/>
      <c r="TZU11" s="128"/>
      <c r="TZV11" s="118"/>
      <c r="TZW11" s="128"/>
      <c r="TZX11" s="128"/>
      <c r="TZY11" s="991"/>
      <c r="TZZ11" s="128"/>
      <c r="UAA11" s="170"/>
      <c r="UAB11" s="170"/>
      <c r="UAC11" s="1018"/>
      <c r="UAD11" s="1018"/>
      <c r="UAE11" s="1018"/>
      <c r="UAF11" s="1018"/>
      <c r="UAG11" s="1019"/>
      <c r="UAH11" s="1019"/>
      <c r="UAI11" s="1019"/>
      <c r="UAJ11" s="1018"/>
      <c r="UAK11" s="1018"/>
      <c r="UAL11" s="1018"/>
      <c r="UAM11" s="1018"/>
      <c r="UAN11" s="1018"/>
      <c r="UAO11" s="1018"/>
      <c r="UAP11" s="139"/>
      <c r="UAQ11" s="128"/>
      <c r="UAR11" s="128"/>
      <c r="UAS11" s="128"/>
      <c r="UAT11" s="128"/>
      <c r="UAU11" s="118"/>
      <c r="UAV11" s="128"/>
      <c r="UAW11" s="128"/>
      <c r="UAX11" s="991"/>
      <c r="UAY11" s="128"/>
      <c r="UAZ11" s="170"/>
      <c r="UBA11" s="170"/>
      <c r="UBB11" s="1018"/>
      <c r="UBC11" s="1018"/>
      <c r="UBD11" s="1018"/>
      <c r="UBE11" s="1018"/>
      <c r="UBF11" s="1019"/>
      <c r="UBG11" s="1019"/>
      <c r="UBH11" s="1019"/>
      <c r="UBI11" s="1018"/>
      <c r="UBJ11" s="1018"/>
      <c r="UBK11" s="1018"/>
      <c r="UBL11" s="1018"/>
      <c r="UBM11" s="1018"/>
      <c r="UBN11" s="1018"/>
      <c r="UBO11" s="139"/>
      <c r="UBP11" s="128"/>
      <c r="UBQ11" s="128"/>
      <c r="UBR11" s="128"/>
      <c r="UBS11" s="128"/>
      <c r="UBT11" s="118"/>
      <c r="UBU11" s="128"/>
      <c r="UBV11" s="128"/>
      <c r="UBW11" s="991"/>
      <c r="UBX11" s="128"/>
      <c r="UBY11" s="170"/>
      <c r="UBZ11" s="170"/>
      <c r="UCA11" s="1018"/>
      <c r="UCB11" s="1018"/>
      <c r="UCC11" s="1018"/>
      <c r="UCD11" s="1018"/>
      <c r="UCE11" s="1019"/>
      <c r="UCF11" s="1019"/>
      <c r="UCG11" s="1019"/>
      <c r="UCH11" s="1018"/>
      <c r="UCI11" s="1018"/>
      <c r="UCJ11" s="1018"/>
      <c r="UCK11" s="1018"/>
      <c r="UCL11" s="1018"/>
      <c r="UCM11" s="1018"/>
      <c r="UCN11" s="139"/>
      <c r="UCO11" s="128"/>
      <c r="UCP11" s="128"/>
      <c r="UCQ11" s="128"/>
      <c r="UCR11" s="128"/>
      <c r="UCS11" s="118"/>
      <c r="UCT11" s="128"/>
      <c r="UCU11" s="128"/>
      <c r="UCV11" s="991"/>
      <c r="UCW11" s="128"/>
      <c r="UCX11" s="170"/>
      <c r="UCY11" s="170"/>
      <c r="UCZ11" s="1018"/>
      <c r="UDA11" s="1018"/>
      <c r="UDB11" s="1018"/>
      <c r="UDC11" s="1018"/>
      <c r="UDD11" s="1019"/>
      <c r="UDE11" s="1019"/>
      <c r="UDF11" s="1019"/>
      <c r="UDG11" s="1018"/>
      <c r="UDH11" s="1018"/>
      <c r="UDI11" s="1018"/>
      <c r="UDJ11" s="1018"/>
      <c r="UDK11" s="1018"/>
      <c r="UDL11" s="1018"/>
      <c r="UDM11" s="139"/>
      <c r="UDN11" s="128"/>
      <c r="UDO11" s="128"/>
      <c r="UDP11" s="128"/>
      <c r="UDQ11" s="128"/>
      <c r="UDR11" s="118"/>
      <c r="UDS11" s="128"/>
      <c r="UDT11" s="128"/>
      <c r="UDU11" s="991"/>
      <c r="UDV11" s="128"/>
      <c r="UDW11" s="170"/>
      <c r="UDX11" s="170"/>
      <c r="UDY11" s="1018"/>
      <c r="UDZ11" s="1018"/>
      <c r="UEA11" s="1018"/>
      <c r="UEB11" s="1018"/>
      <c r="UEC11" s="1019"/>
      <c r="UED11" s="1019"/>
      <c r="UEE11" s="1019"/>
      <c r="UEF11" s="1018"/>
      <c r="UEG11" s="1018"/>
      <c r="UEH11" s="1018"/>
      <c r="UEI11" s="1018"/>
      <c r="UEJ11" s="1018"/>
      <c r="UEK11" s="1018"/>
      <c r="UEL11" s="139"/>
      <c r="UEM11" s="128"/>
      <c r="UEN11" s="128"/>
      <c r="UEO11" s="128"/>
      <c r="UEP11" s="128"/>
      <c r="UEQ11" s="118"/>
      <c r="UER11" s="128"/>
      <c r="UES11" s="128"/>
      <c r="UET11" s="991"/>
      <c r="UEU11" s="128"/>
      <c r="UEV11" s="170"/>
      <c r="UEW11" s="170"/>
      <c r="UEX11" s="1018"/>
      <c r="UEY11" s="1018"/>
      <c r="UEZ11" s="1018"/>
      <c r="UFA11" s="1018"/>
      <c r="UFB11" s="1019"/>
      <c r="UFC11" s="1019"/>
      <c r="UFD11" s="1019"/>
      <c r="UFE11" s="1018"/>
      <c r="UFF11" s="1018"/>
      <c r="UFG11" s="1018"/>
      <c r="UFH11" s="1018"/>
      <c r="UFI11" s="1018"/>
      <c r="UFJ11" s="1018"/>
      <c r="UFK11" s="139"/>
      <c r="UFL11" s="128"/>
      <c r="UFM11" s="128"/>
      <c r="UFN11" s="128"/>
      <c r="UFO11" s="128"/>
      <c r="UFP11" s="118"/>
      <c r="UFQ11" s="128"/>
      <c r="UFR11" s="128"/>
      <c r="UFS11" s="991"/>
      <c r="UFT11" s="128"/>
      <c r="UFU11" s="170"/>
      <c r="UFV11" s="170"/>
      <c r="UFW11" s="1018"/>
      <c r="UFX11" s="1018"/>
      <c r="UFY11" s="1018"/>
      <c r="UFZ11" s="1018"/>
      <c r="UGA11" s="1019"/>
      <c r="UGB11" s="1019"/>
      <c r="UGC11" s="1019"/>
      <c r="UGD11" s="1018"/>
      <c r="UGE11" s="1018"/>
      <c r="UGF11" s="1018"/>
      <c r="UGG11" s="1018"/>
      <c r="UGH11" s="1018"/>
      <c r="UGI11" s="1018"/>
      <c r="UGJ11" s="139"/>
      <c r="UGK11" s="128"/>
      <c r="UGL11" s="128"/>
      <c r="UGM11" s="128"/>
      <c r="UGN11" s="128"/>
      <c r="UGO11" s="118"/>
      <c r="UGP11" s="128"/>
      <c r="UGQ11" s="128"/>
      <c r="UGR11" s="991"/>
      <c r="UGS11" s="128"/>
      <c r="UGT11" s="170"/>
      <c r="UGU11" s="170"/>
      <c r="UGV11" s="1018"/>
      <c r="UGW11" s="1018"/>
      <c r="UGX11" s="1018"/>
      <c r="UGY11" s="1018"/>
      <c r="UGZ11" s="1019"/>
      <c r="UHA11" s="1019"/>
      <c r="UHB11" s="1019"/>
      <c r="UHC11" s="1018"/>
      <c r="UHD11" s="1018"/>
      <c r="UHE11" s="1018"/>
      <c r="UHF11" s="1018"/>
      <c r="UHG11" s="1018"/>
      <c r="UHH11" s="1018"/>
      <c r="UHI11" s="139"/>
      <c r="UHJ11" s="128"/>
      <c r="UHK11" s="128"/>
      <c r="UHL11" s="128"/>
      <c r="UHM11" s="128"/>
      <c r="UHN11" s="118"/>
      <c r="UHO11" s="128"/>
      <c r="UHP11" s="128"/>
      <c r="UHQ11" s="991"/>
      <c r="UHR11" s="128"/>
      <c r="UHS11" s="170"/>
      <c r="UHT11" s="170"/>
      <c r="UHU11" s="1018"/>
      <c r="UHV11" s="1018"/>
      <c r="UHW11" s="1018"/>
      <c r="UHX11" s="1018"/>
      <c r="UHY11" s="1019"/>
      <c r="UHZ11" s="1019"/>
      <c r="UIA11" s="1019"/>
      <c r="UIB11" s="1018"/>
      <c r="UIC11" s="1018"/>
      <c r="UID11" s="1018"/>
      <c r="UIE11" s="1018"/>
      <c r="UIF11" s="1018"/>
      <c r="UIG11" s="1018"/>
      <c r="UIH11" s="139"/>
      <c r="UII11" s="128"/>
      <c r="UIJ11" s="128"/>
      <c r="UIK11" s="128"/>
      <c r="UIL11" s="128"/>
      <c r="UIM11" s="118"/>
      <c r="UIN11" s="128"/>
      <c r="UIO11" s="128"/>
      <c r="UIP11" s="991"/>
      <c r="UIQ11" s="128"/>
      <c r="UIR11" s="170"/>
      <c r="UIS11" s="170"/>
      <c r="UIT11" s="1018"/>
      <c r="UIU11" s="1018"/>
      <c r="UIV11" s="1018"/>
      <c r="UIW11" s="1018"/>
      <c r="UIX11" s="1019"/>
      <c r="UIY11" s="1019"/>
      <c r="UIZ11" s="1019"/>
      <c r="UJA11" s="1018"/>
      <c r="UJB11" s="1018"/>
      <c r="UJC11" s="1018"/>
      <c r="UJD11" s="1018"/>
      <c r="UJE11" s="1018"/>
      <c r="UJF11" s="1018"/>
      <c r="UJG11" s="139"/>
      <c r="UJH11" s="128"/>
      <c r="UJI11" s="128"/>
      <c r="UJJ11" s="128"/>
      <c r="UJK11" s="128"/>
      <c r="UJL11" s="118"/>
      <c r="UJM11" s="128"/>
      <c r="UJN11" s="128"/>
      <c r="UJO11" s="991"/>
      <c r="UJP11" s="128"/>
      <c r="UJQ11" s="170"/>
      <c r="UJR11" s="170"/>
      <c r="UJS11" s="1018"/>
      <c r="UJT11" s="1018"/>
      <c r="UJU11" s="1018"/>
      <c r="UJV11" s="1018"/>
      <c r="UJW11" s="1019"/>
      <c r="UJX11" s="1019"/>
      <c r="UJY11" s="1019"/>
      <c r="UJZ11" s="1018"/>
      <c r="UKA11" s="1018"/>
      <c r="UKB11" s="1018"/>
      <c r="UKC11" s="1018"/>
      <c r="UKD11" s="1018"/>
      <c r="UKE11" s="1018"/>
      <c r="UKF11" s="139"/>
      <c r="UKG11" s="128"/>
      <c r="UKH11" s="128"/>
      <c r="UKI11" s="128"/>
      <c r="UKJ11" s="128"/>
      <c r="UKK11" s="118"/>
      <c r="UKL11" s="128"/>
      <c r="UKM11" s="128"/>
      <c r="UKN11" s="991"/>
      <c r="UKO11" s="128"/>
      <c r="UKP11" s="170"/>
      <c r="UKQ11" s="170"/>
      <c r="UKR11" s="1018"/>
      <c r="UKS11" s="1018"/>
      <c r="UKT11" s="1018"/>
      <c r="UKU11" s="1018"/>
      <c r="UKV11" s="1019"/>
      <c r="UKW11" s="1019"/>
      <c r="UKX11" s="1019"/>
      <c r="UKY11" s="1018"/>
      <c r="UKZ11" s="1018"/>
      <c r="ULA11" s="1018"/>
      <c r="ULB11" s="1018"/>
      <c r="ULC11" s="1018"/>
      <c r="ULD11" s="1018"/>
      <c r="ULE11" s="139"/>
      <c r="ULF11" s="128"/>
      <c r="ULG11" s="128"/>
      <c r="ULH11" s="128"/>
      <c r="ULI11" s="128"/>
      <c r="ULJ11" s="118"/>
      <c r="ULK11" s="128"/>
      <c r="ULL11" s="128"/>
      <c r="ULM11" s="991"/>
      <c r="ULN11" s="128"/>
      <c r="ULO11" s="170"/>
      <c r="ULP11" s="170"/>
      <c r="ULQ11" s="1018"/>
      <c r="ULR11" s="1018"/>
      <c r="ULS11" s="1018"/>
      <c r="ULT11" s="1018"/>
      <c r="ULU11" s="1019"/>
      <c r="ULV11" s="1019"/>
      <c r="ULW11" s="1019"/>
      <c r="ULX11" s="1018"/>
      <c r="ULY11" s="1018"/>
      <c r="ULZ11" s="1018"/>
      <c r="UMA11" s="1018"/>
      <c r="UMB11" s="1018"/>
      <c r="UMC11" s="1018"/>
      <c r="UMD11" s="139"/>
      <c r="UME11" s="128"/>
      <c r="UMF11" s="128"/>
      <c r="UMG11" s="128"/>
      <c r="UMH11" s="128"/>
      <c r="UMI11" s="118"/>
      <c r="UMJ11" s="128"/>
      <c r="UMK11" s="128"/>
      <c r="UML11" s="991"/>
      <c r="UMM11" s="128"/>
      <c r="UMN11" s="170"/>
      <c r="UMO11" s="170"/>
      <c r="UMP11" s="1018"/>
      <c r="UMQ11" s="1018"/>
      <c r="UMR11" s="1018"/>
      <c r="UMS11" s="1018"/>
      <c r="UMT11" s="1019"/>
      <c r="UMU11" s="1019"/>
      <c r="UMV11" s="1019"/>
      <c r="UMW11" s="1018"/>
      <c r="UMX11" s="1018"/>
      <c r="UMY11" s="1018"/>
      <c r="UMZ11" s="1018"/>
      <c r="UNA11" s="1018"/>
      <c r="UNB11" s="1018"/>
      <c r="UNC11" s="139"/>
      <c r="UND11" s="128"/>
      <c r="UNE11" s="128"/>
      <c r="UNF11" s="128"/>
      <c r="UNG11" s="128"/>
      <c r="UNH11" s="118"/>
      <c r="UNI11" s="128"/>
      <c r="UNJ11" s="128"/>
      <c r="UNK11" s="991"/>
      <c r="UNL11" s="128"/>
      <c r="UNM11" s="170"/>
      <c r="UNN11" s="170"/>
      <c r="UNO11" s="1018"/>
      <c r="UNP11" s="1018"/>
      <c r="UNQ11" s="1018"/>
      <c r="UNR11" s="1018"/>
      <c r="UNS11" s="1019"/>
      <c r="UNT11" s="1019"/>
      <c r="UNU11" s="1019"/>
      <c r="UNV11" s="1018"/>
      <c r="UNW11" s="1018"/>
      <c r="UNX11" s="1018"/>
      <c r="UNY11" s="1018"/>
      <c r="UNZ11" s="1018"/>
      <c r="UOA11" s="1018"/>
      <c r="UOB11" s="139"/>
      <c r="UOC11" s="128"/>
      <c r="UOD11" s="128"/>
      <c r="UOE11" s="128"/>
      <c r="UOF11" s="128"/>
      <c r="UOG11" s="118"/>
      <c r="UOH11" s="128"/>
      <c r="UOI11" s="128"/>
      <c r="UOJ11" s="991"/>
      <c r="UOK11" s="128"/>
      <c r="UOL11" s="170"/>
      <c r="UOM11" s="170"/>
      <c r="UON11" s="1018"/>
      <c r="UOO11" s="1018"/>
      <c r="UOP11" s="1018"/>
      <c r="UOQ11" s="1018"/>
      <c r="UOR11" s="1019"/>
      <c r="UOS11" s="1019"/>
      <c r="UOT11" s="1019"/>
      <c r="UOU11" s="1018"/>
      <c r="UOV11" s="1018"/>
      <c r="UOW11" s="1018"/>
      <c r="UOX11" s="1018"/>
      <c r="UOY11" s="1018"/>
      <c r="UOZ11" s="1018"/>
      <c r="UPA11" s="139"/>
      <c r="UPB11" s="128"/>
      <c r="UPC11" s="128"/>
      <c r="UPD11" s="128"/>
      <c r="UPE11" s="128"/>
      <c r="UPF11" s="118"/>
      <c r="UPG11" s="128"/>
      <c r="UPH11" s="128"/>
      <c r="UPI11" s="991"/>
      <c r="UPJ11" s="128"/>
      <c r="UPK11" s="170"/>
      <c r="UPL11" s="170"/>
      <c r="UPM11" s="1018"/>
      <c r="UPN11" s="1018"/>
      <c r="UPO11" s="1018"/>
      <c r="UPP11" s="1018"/>
      <c r="UPQ11" s="1019"/>
      <c r="UPR11" s="1019"/>
      <c r="UPS11" s="1019"/>
      <c r="UPT11" s="1018"/>
      <c r="UPU11" s="1018"/>
      <c r="UPV11" s="1018"/>
      <c r="UPW11" s="1018"/>
      <c r="UPX11" s="1018"/>
      <c r="UPY11" s="1018"/>
      <c r="UPZ11" s="139"/>
      <c r="UQA11" s="128"/>
      <c r="UQB11" s="128"/>
      <c r="UQC11" s="128"/>
      <c r="UQD11" s="128"/>
      <c r="UQE11" s="118"/>
      <c r="UQF11" s="128"/>
      <c r="UQG11" s="128"/>
      <c r="UQH11" s="991"/>
      <c r="UQI11" s="128"/>
      <c r="UQJ11" s="170"/>
      <c r="UQK11" s="170"/>
      <c r="UQL11" s="1018"/>
      <c r="UQM11" s="1018"/>
      <c r="UQN11" s="1018"/>
      <c r="UQO11" s="1018"/>
      <c r="UQP11" s="1019"/>
      <c r="UQQ11" s="1019"/>
      <c r="UQR11" s="1019"/>
      <c r="UQS11" s="1018"/>
      <c r="UQT11" s="1018"/>
      <c r="UQU11" s="1018"/>
      <c r="UQV11" s="1018"/>
      <c r="UQW11" s="1018"/>
      <c r="UQX11" s="1018"/>
      <c r="UQY11" s="139"/>
      <c r="UQZ11" s="128"/>
      <c r="URA11" s="128"/>
      <c r="URB11" s="128"/>
      <c r="URC11" s="128"/>
      <c r="URD11" s="118"/>
      <c r="URE11" s="128"/>
      <c r="URF11" s="128"/>
      <c r="URG11" s="991"/>
      <c r="URH11" s="128"/>
      <c r="URI11" s="170"/>
      <c r="URJ11" s="170"/>
      <c r="URK11" s="1018"/>
      <c r="URL11" s="1018"/>
      <c r="URM11" s="1018"/>
      <c r="URN11" s="1018"/>
      <c r="URO11" s="1019"/>
      <c r="URP11" s="1019"/>
      <c r="URQ11" s="1019"/>
      <c r="URR11" s="1018"/>
      <c r="URS11" s="1018"/>
      <c r="URT11" s="1018"/>
      <c r="URU11" s="1018"/>
      <c r="URV11" s="1018"/>
      <c r="URW11" s="1018"/>
      <c r="URX11" s="139"/>
      <c r="URY11" s="128"/>
      <c r="URZ11" s="128"/>
      <c r="USA11" s="128"/>
      <c r="USB11" s="128"/>
      <c r="USC11" s="118"/>
      <c r="USD11" s="128"/>
      <c r="USE11" s="128"/>
      <c r="USF11" s="991"/>
      <c r="USG11" s="128"/>
      <c r="USH11" s="170"/>
      <c r="USI11" s="170"/>
      <c r="USJ11" s="1018"/>
      <c r="USK11" s="1018"/>
      <c r="USL11" s="1018"/>
      <c r="USM11" s="1018"/>
      <c r="USN11" s="1019"/>
      <c r="USO11" s="1019"/>
      <c r="USP11" s="1019"/>
      <c r="USQ11" s="1018"/>
      <c r="USR11" s="1018"/>
      <c r="USS11" s="1018"/>
      <c r="UST11" s="1018"/>
      <c r="USU11" s="1018"/>
      <c r="USV11" s="1018"/>
      <c r="USW11" s="139"/>
      <c r="USX11" s="128"/>
      <c r="USY11" s="128"/>
      <c r="USZ11" s="128"/>
      <c r="UTA11" s="128"/>
      <c r="UTB11" s="118"/>
      <c r="UTC11" s="128"/>
      <c r="UTD11" s="128"/>
      <c r="UTE11" s="991"/>
      <c r="UTF11" s="128"/>
      <c r="UTG11" s="170"/>
      <c r="UTH11" s="170"/>
      <c r="UTI11" s="1018"/>
      <c r="UTJ11" s="1018"/>
      <c r="UTK11" s="1018"/>
      <c r="UTL11" s="1018"/>
      <c r="UTM11" s="1019"/>
      <c r="UTN11" s="1019"/>
      <c r="UTO11" s="1019"/>
      <c r="UTP11" s="1018"/>
      <c r="UTQ11" s="1018"/>
      <c r="UTR11" s="1018"/>
      <c r="UTS11" s="1018"/>
      <c r="UTT11" s="1018"/>
      <c r="UTU11" s="1018"/>
      <c r="UTV11" s="139"/>
      <c r="UTW11" s="128"/>
      <c r="UTX11" s="128"/>
      <c r="UTY11" s="128"/>
      <c r="UTZ11" s="128"/>
      <c r="UUA11" s="118"/>
      <c r="UUB11" s="128"/>
      <c r="UUC11" s="128"/>
      <c r="UUD11" s="991"/>
      <c r="UUE11" s="128"/>
      <c r="UUF11" s="170"/>
      <c r="UUG11" s="170"/>
      <c r="UUH11" s="1018"/>
      <c r="UUI11" s="1018"/>
      <c r="UUJ11" s="1018"/>
      <c r="UUK11" s="1018"/>
      <c r="UUL11" s="1019"/>
      <c r="UUM11" s="1019"/>
      <c r="UUN11" s="1019"/>
      <c r="UUO11" s="1018"/>
      <c r="UUP11" s="1018"/>
      <c r="UUQ11" s="1018"/>
      <c r="UUR11" s="1018"/>
      <c r="UUS11" s="1018"/>
      <c r="UUT11" s="1018"/>
      <c r="UUU11" s="139"/>
      <c r="UUV11" s="128"/>
      <c r="UUW11" s="128"/>
      <c r="UUX11" s="128"/>
      <c r="UUY11" s="128"/>
      <c r="UUZ11" s="118"/>
      <c r="UVA11" s="128"/>
      <c r="UVB11" s="128"/>
      <c r="UVC11" s="991"/>
      <c r="UVD11" s="128"/>
      <c r="UVE11" s="170"/>
      <c r="UVF11" s="170"/>
      <c r="UVG11" s="1018"/>
      <c r="UVH11" s="1018"/>
      <c r="UVI11" s="1018"/>
      <c r="UVJ11" s="1018"/>
      <c r="UVK11" s="1019"/>
      <c r="UVL11" s="1019"/>
      <c r="UVM11" s="1019"/>
      <c r="UVN11" s="1018"/>
      <c r="UVO11" s="1018"/>
      <c r="UVP11" s="1018"/>
      <c r="UVQ11" s="1018"/>
      <c r="UVR11" s="1018"/>
      <c r="UVS11" s="1018"/>
      <c r="UVT11" s="139"/>
      <c r="UVU11" s="128"/>
      <c r="UVV11" s="128"/>
      <c r="UVW11" s="128"/>
      <c r="UVX11" s="128"/>
      <c r="UVY11" s="118"/>
      <c r="UVZ11" s="128"/>
      <c r="UWA11" s="128"/>
      <c r="UWB11" s="991"/>
      <c r="UWC11" s="128"/>
      <c r="UWD11" s="170"/>
      <c r="UWE11" s="170"/>
      <c r="UWF11" s="1018"/>
      <c r="UWG11" s="1018"/>
      <c r="UWH11" s="1018"/>
      <c r="UWI11" s="1018"/>
      <c r="UWJ11" s="1019"/>
      <c r="UWK11" s="1019"/>
      <c r="UWL11" s="1019"/>
      <c r="UWM11" s="1018"/>
      <c r="UWN11" s="1018"/>
      <c r="UWO11" s="1018"/>
      <c r="UWP11" s="1018"/>
      <c r="UWQ11" s="1018"/>
      <c r="UWR11" s="1018"/>
      <c r="UWS11" s="139"/>
      <c r="UWT11" s="128"/>
      <c r="UWU11" s="128"/>
      <c r="UWV11" s="128"/>
      <c r="UWW11" s="128"/>
      <c r="UWX11" s="118"/>
      <c r="UWY11" s="128"/>
      <c r="UWZ11" s="128"/>
      <c r="UXA11" s="991"/>
      <c r="UXB11" s="128"/>
      <c r="UXC11" s="170"/>
      <c r="UXD11" s="170"/>
      <c r="UXE11" s="1018"/>
      <c r="UXF11" s="1018"/>
      <c r="UXG11" s="1018"/>
      <c r="UXH11" s="1018"/>
      <c r="UXI11" s="1019"/>
      <c r="UXJ11" s="1019"/>
      <c r="UXK11" s="1019"/>
      <c r="UXL11" s="1018"/>
      <c r="UXM11" s="1018"/>
      <c r="UXN11" s="1018"/>
      <c r="UXO11" s="1018"/>
      <c r="UXP11" s="1018"/>
      <c r="UXQ11" s="1018"/>
      <c r="UXR11" s="139"/>
      <c r="UXS11" s="128"/>
      <c r="UXT11" s="128"/>
      <c r="UXU11" s="128"/>
      <c r="UXV11" s="128"/>
      <c r="UXW11" s="118"/>
      <c r="UXX11" s="128"/>
      <c r="UXY11" s="128"/>
      <c r="UXZ11" s="991"/>
      <c r="UYA11" s="128"/>
      <c r="UYB11" s="170"/>
      <c r="UYC11" s="170"/>
      <c r="UYD11" s="1018"/>
      <c r="UYE11" s="1018"/>
      <c r="UYF11" s="1018"/>
      <c r="UYG11" s="1018"/>
      <c r="UYH11" s="1019"/>
      <c r="UYI11" s="1019"/>
      <c r="UYJ11" s="1019"/>
      <c r="UYK11" s="1018"/>
      <c r="UYL11" s="1018"/>
      <c r="UYM11" s="1018"/>
      <c r="UYN11" s="1018"/>
      <c r="UYO11" s="1018"/>
      <c r="UYP11" s="1018"/>
      <c r="UYQ11" s="139"/>
      <c r="UYR11" s="128"/>
      <c r="UYS11" s="128"/>
      <c r="UYT11" s="128"/>
      <c r="UYU11" s="128"/>
      <c r="UYV11" s="118"/>
      <c r="UYW11" s="128"/>
      <c r="UYX11" s="128"/>
      <c r="UYY11" s="991"/>
      <c r="UYZ11" s="128"/>
      <c r="UZA11" s="170"/>
      <c r="UZB11" s="170"/>
      <c r="UZC11" s="1018"/>
      <c r="UZD11" s="1018"/>
      <c r="UZE11" s="1018"/>
      <c r="UZF11" s="1018"/>
      <c r="UZG11" s="1019"/>
      <c r="UZH11" s="1019"/>
      <c r="UZI11" s="1019"/>
      <c r="UZJ11" s="1018"/>
      <c r="UZK11" s="1018"/>
      <c r="UZL11" s="1018"/>
      <c r="UZM11" s="1018"/>
      <c r="UZN11" s="1018"/>
      <c r="UZO11" s="1018"/>
      <c r="UZP11" s="139"/>
      <c r="UZQ11" s="128"/>
      <c r="UZR11" s="128"/>
      <c r="UZS11" s="128"/>
      <c r="UZT11" s="128"/>
      <c r="UZU11" s="118"/>
      <c r="UZV11" s="128"/>
      <c r="UZW11" s="128"/>
      <c r="UZX11" s="991"/>
      <c r="UZY11" s="128"/>
      <c r="UZZ11" s="170"/>
      <c r="VAA11" s="170"/>
      <c r="VAB11" s="1018"/>
      <c r="VAC11" s="1018"/>
      <c r="VAD11" s="1018"/>
      <c r="VAE11" s="1018"/>
      <c r="VAF11" s="1019"/>
      <c r="VAG11" s="1019"/>
      <c r="VAH11" s="1019"/>
      <c r="VAI11" s="1018"/>
      <c r="VAJ11" s="1018"/>
      <c r="VAK11" s="1018"/>
      <c r="VAL11" s="1018"/>
      <c r="VAM11" s="1018"/>
      <c r="VAN11" s="1018"/>
      <c r="VAO11" s="139"/>
      <c r="VAP11" s="128"/>
      <c r="VAQ11" s="128"/>
      <c r="VAR11" s="128"/>
      <c r="VAS11" s="128"/>
      <c r="VAT11" s="118"/>
      <c r="VAU11" s="128"/>
      <c r="VAV11" s="128"/>
      <c r="VAW11" s="991"/>
      <c r="VAX11" s="128"/>
      <c r="VAY11" s="170"/>
      <c r="VAZ11" s="170"/>
      <c r="VBA11" s="1018"/>
      <c r="VBB11" s="1018"/>
      <c r="VBC11" s="1018"/>
      <c r="VBD11" s="1018"/>
      <c r="VBE11" s="1019"/>
      <c r="VBF11" s="1019"/>
      <c r="VBG11" s="1019"/>
      <c r="VBH11" s="1018"/>
      <c r="VBI11" s="1018"/>
      <c r="VBJ11" s="1018"/>
      <c r="VBK11" s="1018"/>
      <c r="VBL11" s="1018"/>
      <c r="VBM11" s="1018"/>
      <c r="VBN11" s="139"/>
      <c r="VBO11" s="128"/>
      <c r="VBP11" s="128"/>
      <c r="VBQ11" s="128"/>
      <c r="VBR11" s="128"/>
      <c r="VBS11" s="118"/>
      <c r="VBT11" s="128"/>
      <c r="VBU11" s="128"/>
      <c r="VBV11" s="991"/>
      <c r="VBW11" s="128"/>
      <c r="VBX11" s="170"/>
      <c r="VBY11" s="170"/>
      <c r="VBZ11" s="1018"/>
      <c r="VCA11" s="1018"/>
      <c r="VCB11" s="1018"/>
      <c r="VCC11" s="1018"/>
      <c r="VCD11" s="1019"/>
      <c r="VCE11" s="1019"/>
      <c r="VCF11" s="1019"/>
      <c r="VCG11" s="1018"/>
      <c r="VCH11" s="1018"/>
      <c r="VCI11" s="1018"/>
      <c r="VCJ11" s="1018"/>
      <c r="VCK11" s="1018"/>
      <c r="VCL11" s="1018"/>
      <c r="VCM11" s="139"/>
      <c r="VCN11" s="128"/>
      <c r="VCO11" s="128"/>
      <c r="VCP11" s="128"/>
      <c r="VCQ11" s="128"/>
      <c r="VCR11" s="118"/>
      <c r="VCS11" s="128"/>
      <c r="VCT11" s="128"/>
      <c r="VCU11" s="991"/>
      <c r="VCV11" s="128"/>
      <c r="VCW11" s="170"/>
      <c r="VCX11" s="170"/>
      <c r="VCY11" s="1018"/>
      <c r="VCZ11" s="1018"/>
      <c r="VDA11" s="1018"/>
      <c r="VDB11" s="1018"/>
      <c r="VDC11" s="1019"/>
      <c r="VDD11" s="1019"/>
      <c r="VDE11" s="1019"/>
      <c r="VDF11" s="1018"/>
      <c r="VDG11" s="1018"/>
      <c r="VDH11" s="1018"/>
      <c r="VDI11" s="1018"/>
      <c r="VDJ11" s="1018"/>
      <c r="VDK11" s="1018"/>
      <c r="VDL11" s="139"/>
      <c r="VDM11" s="128"/>
      <c r="VDN11" s="128"/>
      <c r="VDO11" s="128"/>
      <c r="VDP11" s="128"/>
      <c r="VDQ11" s="118"/>
      <c r="VDR11" s="128"/>
      <c r="VDS11" s="128"/>
      <c r="VDT11" s="991"/>
      <c r="VDU11" s="128"/>
      <c r="VDV11" s="170"/>
      <c r="VDW11" s="170"/>
      <c r="VDX11" s="1018"/>
      <c r="VDY11" s="1018"/>
      <c r="VDZ11" s="1018"/>
      <c r="VEA11" s="1018"/>
      <c r="VEB11" s="1019"/>
      <c r="VEC11" s="1019"/>
      <c r="VED11" s="1019"/>
      <c r="VEE11" s="1018"/>
      <c r="VEF11" s="1018"/>
      <c r="VEG11" s="1018"/>
      <c r="VEH11" s="1018"/>
      <c r="VEI11" s="1018"/>
      <c r="VEJ11" s="1018"/>
      <c r="VEK11" s="139"/>
      <c r="VEL11" s="128"/>
      <c r="VEM11" s="128"/>
      <c r="VEN11" s="128"/>
      <c r="VEO11" s="128"/>
      <c r="VEP11" s="118"/>
      <c r="VEQ11" s="128"/>
      <c r="VER11" s="128"/>
      <c r="VES11" s="991"/>
      <c r="VET11" s="128"/>
      <c r="VEU11" s="170"/>
      <c r="VEV11" s="170"/>
      <c r="VEW11" s="1018"/>
      <c r="VEX11" s="1018"/>
      <c r="VEY11" s="1018"/>
      <c r="VEZ11" s="1018"/>
      <c r="VFA11" s="1019"/>
      <c r="VFB11" s="1019"/>
      <c r="VFC11" s="1019"/>
      <c r="VFD11" s="1018"/>
      <c r="VFE11" s="1018"/>
      <c r="VFF11" s="1018"/>
      <c r="VFG11" s="1018"/>
      <c r="VFH11" s="1018"/>
      <c r="VFI11" s="1018"/>
      <c r="VFJ11" s="139"/>
      <c r="VFK11" s="128"/>
      <c r="VFL11" s="128"/>
      <c r="VFM11" s="128"/>
      <c r="VFN11" s="128"/>
      <c r="VFO11" s="118"/>
      <c r="VFP11" s="128"/>
      <c r="VFQ11" s="128"/>
      <c r="VFR11" s="991"/>
      <c r="VFS11" s="128"/>
      <c r="VFT11" s="170"/>
      <c r="VFU11" s="170"/>
      <c r="VFV11" s="1018"/>
      <c r="VFW11" s="1018"/>
      <c r="VFX11" s="1018"/>
      <c r="VFY11" s="1018"/>
      <c r="VFZ11" s="1019"/>
      <c r="VGA11" s="1019"/>
      <c r="VGB11" s="1019"/>
      <c r="VGC11" s="1018"/>
      <c r="VGD11" s="1018"/>
      <c r="VGE11" s="1018"/>
      <c r="VGF11" s="1018"/>
      <c r="VGG11" s="1018"/>
      <c r="VGH11" s="1018"/>
      <c r="VGI11" s="139"/>
      <c r="VGJ11" s="128"/>
      <c r="VGK11" s="128"/>
      <c r="VGL11" s="128"/>
      <c r="VGM11" s="128"/>
      <c r="VGN11" s="118"/>
      <c r="VGO11" s="128"/>
      <c r="VGP11" s="128"/>
      <c r="VGQ11" s="991"/>
      <c r="VGR11" s="128"/>
      <c r="VGS11" s="170"/>
      <c r="VGT11" s="170"/>
      <c r="VGU11" s="1018"/>
      <c r="VGV11" s="1018"/>
      <c r="VGW11" s="1018"/>
      <c r="VGX11" s="1018"/>
      <c r="VGY11" s="1019"/>
      <c r="VGZ11" s="1019"/>
      <c r="VHA11" s="1019"/>
      <c r="VHB11" s="1018"/>
      <c r="VHC11" s="1018"/>
      <c r="VHD11" s="1018"/>
      <c r="VHE11" s="1018"/>
      <c r="VHF11" s="1018"/>
      <c r="VHG11" s="1018"/>
      <c r="VHH11" s="139"/>
      <c r="VHI11" s="128"/>
      <c r="VHJ11" s="128"/>
      <c r="VHK11" s="128"/>
      <c r="VHL11" s="128"/>
      <c r="VHM11" s="118"/>
      <c r="VHN11" s="128"/>
      <c r="VHO11" s="128"/>
      <c r="VHP11" s="991"/>
      <c r="VHQ11" s="128"/>
      <c r="VHR11" s="170"/>
      <c r="VHS11" s="170"/>
      <c r="VHT11" s="1018"/>
      <c r="VHU11" s="1018"/>
      <c r="VHV11" s="1018"/>
      <c r="VHW11" s="1018"/>
      <c r="VHX11" s="1019"/>
      <c r="VHY11" s="1019"/>
      <c r="VHZ11" s="1019"/>
      <c r="VIA11" s="1018"/>
      <c r="VIB11" s="1018"/>
      <c r="VIC11" s="1018"/>
      <c r="VID11" s="1018"/>
      <c r="VIE11" s="1018"/>
      <c r="VIF11" s="1018"/>
      <c r="VIG11" s="139"/>
      <c r="VIH11" s="128"/>
      <c r="VII11" s="128"/>
      <c r="VIJ11" s="128"/>
      <c r="VIK11" s="128"/>
      <c r="VIL11" s="118"/>
      <c r="VIM11" s="128"/>
      <c r="VIN11" s="128"/>
      <c r="VIO11" s="991"/>
      <c r="VIP11" s="128"/>
      <c r="VIQ11" s="170"/>
      <c r="VIR11" s="170"/>
      <c r="VIS11" s="1018"/>
      <c r="VIT11" s="1018"/>
      <c r="VIU11" s="1018"/>
      <c r="VIV11" s="1018"/>
      <c r="VIW11" s="1019"/>
      <c r="VIX11" s="1019"/>
      <c r="VIY11" s="1019"/>
      <c r="VIZ11" s="1018"/>
      <c r="VJA11" s="1018"/>
      <c r="VJB11" s="1018"/>
      <c r="VJC11" s="1018"/>
      <c r="VJD11" s="1018"/>
      <c r="VJE11" s="1018"/>
      <c r="VJF11" s="139"/>
      <c r="VJG11" s="128"/>
      <c r="VJH11" s="128"/>
      <c r="VJI11" s="128"/>
      <c r="VJJ11" s="128"/>
      <c r="VJK11" s="118"/>
      <c r="VJL11" s="128"/>
      <c r="VJM11" s="128"/>
      <c r="VJN11" s="991"/>
      <c r="VJO11" s="128"/>
      <c r="VJP11" s="170"/>
      <c r="VJQ11" s="170"/>
      <c r="VJR11" s="1018"/>
      <c r="VJS11" s="1018"/>
      <c r="VJT11" s="1018"/>
      <c r="VJU11" s="1018"/>
      <c r="VJV11" s="1019"/>
      <c r="VJW11" s="1019"/>
      <c r="VJX11" s="1019"/>
      <c r="VJY11" s="1018"/>
      <c r="VJZ11" s="1018"/>
      <c r="VKA11" s="1018"/>
      <c r="VKB11" s="1018"/>
      <c r="VKC11" s="1018"/>
      <c r="VKD11" s="1018"/>
      <c r="VKE11" s="139"/>
      <c r="VKF11" s="128"/>
      <c r="VKG11" s="128"/>
      <c r="VKH11" s="128"/>
      <c r="VKI11" s="128"/>
      <c r="VKJ11" s="118"/>
      <c r="VKK11" s="128"/>
      <c r="VKL11" s="128"/>
      <c r="VKM11" s="991"/>
      <c r="VKN11" s="128"/>
      <c r="VKO11" s="170"/>
      <c r="VKP11" s="170"/>
      <c r="VKQ11" s="1018"/>
      <c r="VKR11" s="1018"/>
      <c r="VKS11" s="1018"/>
      <c r="VKT11" s="1018"/>
      <c r="VKU11" s="1019"/>
      <c r="VKV11" s="1019"/>
      <c r="VKW11" s="1019"/>
      <c r="VKX11" s="1018"/>
      <c r="VKY11" s="1018"/>
      <c r="VKZ11" s="1018"/>
      <c r="VLA11" s="1018"/>
      <c r="VLB11" s="1018"/>
      <c r="VLC11" s="1018"/>
      <c r="VLD11" s="139"/>
      <c r="VLE11" s="128"/>
      <c r="VLF11" s="128"/>
      <c r="VLG11" s="128"/>
      <c r="VLH11" s="128"/>
      <c r="VLI11" s="118"/>
      <c r="VLJ11" s="128"/>
      <c r="VLK11" s="128"/>
      <c r="VLL11" s="991"/>
      <c r="VLM11" s="128"/>
      <c r="VLN11" s="170"/>
      <c r="VLO11" s="170"/>
      <c r="VLP11" s="1018"/>
      <c r="VLQ11" s="1018"/>
      <c r="VLR11" s="1018"/>
      <c r="VLS11" s="1018"/>
      <c r="VLT11" s="1019"/>
      <c r="VLU11" s="1019"/>
      <c r="VLV11" s="1019"/>
      <c r="VLW11" s="1018"/>
      <c r="VLX11" s="1018"/>
      <c r="VLY11" s="1018"/>
      <c r="VLZ11" s="1018"/>
      <c r="VMA11" s="1018"/>
      <c r="VMB11" s="1018"/>
      <c r="VMC11" s="139"/>
      <c r="VMD11" s="128"/>
      <c r="VME11" s="128"/>
      <c r="VMF11" s="128"/>
      <c r="VMG11" s="128"/>
      <c r="VMH11" s="118"/>
      <c r="VMI11" s="128"/>
      <c r="VMJ11" s="128"/>
      <c r="VMK11" s="991"/>
      <c r="VML11" s="128"/>
      <c r="VMM11" s="170"/>
      <c r="VMN11" s="170"/>
      <c r="VMO11" s="1018"/>
      <c r="VMP11" s="1018"/>
      <c r="VMQ11" s="1018"/>
      <c r="VMR11" s="1018"/>
      <c r="VMS11" s="1019"/>
      <c r="VMT11" s="1019"/>
      <c r="VMU11" s="1019"/>
      <c r="VMV11" s="1018"/>
      <c r="VMW11" s="1018"/>
      <c r="VMX11" s="1018"/>
      <c r="VMY11" s="1018"/>
      <c r="VMZ11" s="1018"/>
      <c r="VNA11" s="1018"/>
      <c r="VNB11" s="139"/>
      <c r="VNC11" s="128"/>
      <c r="VND11" s="128"/>
      <c r="VNE11" s="128"/>
      <c r="VNF11" s="128"/>
      <c r="VNG11" s="118"/>
      <c r="VNH11" s="128"/>
      <c r="VNI11" s="128"/>
      <c r="VNJ11" s="991"/>
      <c r="VNK11" s="128"/>
      <c r="VNL11" s="170"/>
      <c r="VNM11" s="170"/>
      <c r="VNN11" s="1018"/>
      <c r="VNO11" s="1018"/>
      <c r="VNP11" s="1018"/>
      <c r="VNQ11" s="1018"/>
      <c r="VNR11" s="1019"/>
      <c r="VNS11" s="1019"/>
      <c r="VNT11" s="1019"/>
      <c r="VNU11" s="1018"/>
      <c r="VNV11" s="1018"/>
      <c r="VNW11" s="1018"/>
      <c r="VNX11" s="1018"/>
      <c r="VNY11" s="1018"/>
      <c r="VNZ11" s="1018"/>
      <c r="VOA11" s="139"/>
      <c r="VOB11" s="128"/>
      <c r="VOC11" s="128"/>
      <c r="VOD11" s="128"/>
      <c r="VOE11" s="128"/>
      <c r="VOF11" s="118"/>
      <c r="VOG11" s="128"/>
      <c r="VOH11" s="128"/>
      <c r="VOI11" s="991"/>
      <c r="VOJ11" s="128"/>
      <c r="VOK11" s="170"/>
      <c r="VOL11" s="170"/>
      <c r="VOM11" s="1018"/>
      <c r="VON11" s="1018"/>
      <c r="VOO11" s="1018"/>
      <c r="VOP11" s="1018"/>
      <c r="VOQ11" s="1019"/>
      <c r="VOR11" s="1019"/>
      <c r="VOS11" s="1019"/>
      <c r="VOT11" s="1018"/>
      <c r="VOU11" s="1018"/>
      <c r="VOV11" s="1018"/>
      <c r="VOW11" s="1018"/>
      <c r="VOX11" s="1018"/>
      <c r="VOY11" s="1018"/>
      <c r="VOZ11" s="139"/>
      <c r="VPA11" s="128"/>
      <c r="VPB11" s="128"/>
      <c r="VPC11" s="128"/>
      <c r="VPD11" s="128"/>
      <c r="VPE11" s="118"/>
      <c r="VPF11" s="128"/>
      <c r="VPG11" s="128"/>
      <c r="VPH11" s="991"/>
      <c r="VPI11" s="128"/>
      <c r="VPJ11" s="170"/>
      <c r="VPK11" s="170"/>
      <c r="VPL11" s="1018"/>
      <c r="VPM11" s="1018"/>
      <c r="VPN11" s="1018"/>
      <c r="VPO11" s="1018"/>
      <c r="VPP11" s="1019"/>
      <c r="VPQ11" s="1019"/>
      <c r="VPR11" s="1019"/>
      <c r="VPS11" s="1018"/>
      <c r="VPT11" s="1018"/>
      <c r="VPU11" s="1018"/>
      <c r="VPV11" s="1018"/>
      <c r="VPW11" s="1018"/>
      <c r="VPX11" s="1018"/>
      <c r="VPY11" s="139"/>
      <c r="VPZ11" s="128"/>
      <c r="VQA11" s="128"/>
      <c r="VQB11" s="128"/>
      <c r="VQC11" s="128"/>
      <c r="VQD11" s="118"/>
      <c r="VQE11" s="128"/>
      <c r="VQF11" s="128"/>
      <c r="VQG11" s="991"/>
      <c r="VQH11" s="128"/>
      <c r="VQI11" s="170"/>
      <c r="VQJ11" s="170"/>
      <c r="VQK11" s="1018"/>
      <c r="VQL11" s="1018"/>
      <c r="VQM11" s="1018"/>
      <c r="VQN11" s="1018"/>
      <c r="VQO11" s="1019"/>
      <c r="VQP11" s="1019"/>
      <c r="VQQ11" s="1019"/>
      <c r="VQR11" s="1018"/>
      <c r="VQS11" s="1018"/>
      <c r="VQT11" s="1018"/>
      <c r="VQU11" s="1018"/>
      <c r="VQV11" s="1018"/>
      <c r="VQW11" s="1018"/>
      <c r="VQX11" s="139"/>
      <c r="VQY11" s="128"/>
      <c r="VQZ11" s="128"/>
      <c r="VRA11" s="128"/>
      <c r="VRB11" s="128"/>
      <c r="VRC11" s="118"/>
      <c r="VRD11" s="128"/>
      <c r="VRE11" s="128"/>
      <c r="VRF11" s="991"/>
      <c r="VRG11" s="128"/>
      <c r="VRH11" s="170"/>
      <c r="VRI11" s="170"/>
      <c r="VRJ11" s="1018"/>
      <c r="VRK11" s="1018"/>
      <c r="VRL11" s="1018"/>
      <c r="VRM11" s="1018"/>
      <c r="VRN11" s="1019"/>
      <c r="VRO11" s="1019"/>
      <c r="VRP11" s="1019"/>
      <c r="VRQ11" s="1018"/>
      <c r="VRR11" s="1018"/>
      <c r="VRS11" s="1018"/>
      <c r="VRT11" s="1018"/>
      <c r="VRU11" s="1018"/>
      <c r="VRV11" s="1018"/>
      <c r="VRW11" s="139"/>
      <c r="VRX11" s="128"/>
      <c r="VRY11" s="128"/>
      <c r="VRZ11" s="128"/>
      <c r="VSA11" s="128"/>
      <c r="VSB11" s="118"/>
      <c r="VSC11" s="128"/>
      <c r="VSD11" s="128"/>
      <c r="VSE11" s="991"/>
      <c r="VSF11" s="128"/>
      <c r="VSG11" s="170"/>
      <c r="VSH11" s="170"/>
      <c r="VSI11" s="1018"/>
      <c r="VSJ11" s="1018"/>
      <c r="VSK11" s="1018"/>
      <c r="VSL11" s="1018"/>
      <c r="VSM11" s="1019"/>
      <c r="VSN11" s="1019"/>
      <c r="VSO11" s="1019"/>
      <c r="VSP11" s="1018"/>
      <c r="VSQ11" s="1018"/>
      <c r="VSR11" s="1018"/>
      <c r="VSS11" s="1018"/>
      <c r="VST11" s="1018"/>
      <c r="VSU11" s="1018"/>
      <c r="VSV11" s="139"/>
      <c r="VSW11" s="128"/>
      <c r="VSX11" s="128"/>
      <c r="VSY11" s="128"/>
      <c r="VSZ11" s="128"/>
      <c r="VTA11" s="118"/>
      <c r="VTB11" s="128"/>
      <c r="VTC11" s="128"/>
      <c r="VTD11" s="991"/>
      <c r="VTE11" s="128"/>
      <c r="VTF11" s="170"/>
      <c r="VTG11" s="170"/>
      <c r="VTH11" s="1018"/>
      <c r="VTI11" s="1018"/>
      <c r="VTJ11" s="1018"/>
      <c r="VTK11" s="1018"/>
      <c r="VTL11" s="1019"/>
      <c r="VTM11" s="1019"/>
      <c r="VTN11" s="1019"/>
      <c r="VTO11" s="1018"/>
      <c r="VTP11" s="1018"/>
      <c r="VTQ11" s="1018"/>
      <c r="VTR11" s="1018"/>
      <c r="VTS11" s="1018"/>
      <c r="VTT11" s="1018"/>
      <c r="VTU11" s="139"/>
      <c r="VTV11" s="128"/>
      <c r="VTW11" s="128"/>
      <c r="VTX11" s="128"/>
      <c r="VTY11" s="128"/>
      <c r="VTZ11" s="118"/>
      <c r="VUA11" s="128"/>
      <c r="VUB11" s="128"/>
      <c r="VUC11" s="991"/>
      <c r="VUD11" s="128"/>
      <c r="VUE11" s="170"/>
      <c r="VUF11" s="170"/>
      <c r="VUG11" s="1018"/>
      <c r="VUH11" s="1018"/>
      <c r="VUI11" s="1018"/>
      <c r="VUJ11" s="1018"/>
      <c r="VUK11" s="1019"/>
      <c r="VUL11" s="1019"/>
      <c r="VUM11" s="1019"/>
      <c r="VUN11" s="1018"/>
      <c r="VUO11" s="1018"/>
      <c r="VUP11" s="1018"/>
      <c r="VUQ11" s="1018"/>
      <c r="VUR11" s="1018"/>
      <c r="VUS11" s="1018"/>
      <c r="VUT11" s="139"/>
      <c r="VUU11" s="128"/>
      <c r="VUV11" s="128"/>
      <c r="VUW11" s="128"/>
      <c r="VUX11" s="128"/>
      <c r="VUY11" s="118"/>
      <c r="VUZ11" s="128"/>
      <c r="VVA11" s="128"/>
      <c r="VVB11" s="991"/>
      <c r="VVC11" s="128"/>
      <c r="VVD11" s="170"/>
      <c r="VVE11" s="170"/>
      <c r="VVF11" s="1018"/>
      <c r="VVG11" s="1018"/>
      <c r="VVH11" s="1018"/>
      <c r="VVI11" s="1018"/>
      <c r="VVJ11" s="1019"/>
      <c r="VVK11" s="1019"/>
      <c r="VVL11" s="1019"/>
      <c r="VVM11" s="1018"/>
      <c r="VVN11" s="1018"/>
      <c r="VVO11" s="1018"/>
      <c r="VVP11" s="1018"/>
      <c r="VVQ11" s="1018"/>
      <c r="VVR11" s="1018"/>
      <c r="VVS11" s="139"/>
      <c r="VVT11" s="128"/>
      <c r="VVU11" s="128"/>
      <c r="VVV11" s="128"/>
      <c r="VVW11" s="128"/>
      <c r="VVX11" s="118"/>
      <c r="VVY11" s="128"/>
      <c r="VVZ11" s="128"/>
      <c r="VWA11" s="991"/>
      <c r="VWB11" s="128"/>
      <c r="VWC11" s="170"/>
      <c r="VWD11" s="170"/>
      <c r="VWE11" s="1018"/>
      <c r="VWF11" s="1018"/>
      <c r="VWG11" s="1018"/>
      <c r="VWH11" s="1018"/>
      <c r="VWI11" s="1019"/>
      <c r="VWJ11" s="1019"/>
      <c r="VWK11" s="1019"/>
      <c r="VWL11" s="1018"/>
      <c r="VWM11" s="1018"/>
      <c r="VWN11" s="1018"/>
      <c r="VWO11" s="1018"/>
      <c r="VWP11" s="1018"/>
      <c r="VWQ11" s="1018"/>
      <c r="VWR11" s="139"/>
      <c r="VWS11" s="128"/>
      <c r="VWT11" s="128"/>
      <c r="VWU11" s="128"/>
      <c r="VWV11" s="128"/>
      <c r="VWW11" s="118"/>
      <c r="VWX11" s="128"/>
      <c r="VWY11" s="128"/>
      <c r="VWZ11" s="991"/>
      <c r="VXA11" s="128"/>
      <c r="VXB11" s="170"/>
      <c r="VXC11" s="170"/>
      <c r="VXD11" s="1018"/>
      <c r="VXE11" s="1018"/>
      <c r="VXF11" s="1018"/>
      <c r="VXG11" s="1018"/>
      <c r="VXH11" s="1019"/>
      <c r="VXI11" s="1019"/>
      <c r="VXJ11" s="1019"/>
      <c r="VXK11" s="1018"/>
      <c r="VXL11" s="1018"/>
      <c r="VXM11" s="1018"/>
      <c r="VXN11" s="1018"/>
      <c r="VXO11" s="1018"/>
      <c r="VXP11" s="1018"/>
      <c r="VXQ11" s="139"/>
      <c r="VXR11" s="128"/>
      <c r="VXS11" s="128"/>
      <c r="VXT11" s="128"/>
      <c r="VXU11" s="128"/>
      <c r="VXV11" s="118"/>
      <c r="VXW11" s="128"/>
      <c r="VXX11" s="128"/>
      <c r="VXY11" s="991"/>
      <c r="VXZ11" s="128"/>
      <c r="VYA11" s="170"/>
      <c r="VYB11" s="170"/>
      <c r="VYC11" s="1018"/>
      <c r="VYD11" s="1018"/>
      <c r="VYE11" s="1018"/>
      <c r="VYF11" s="1018"/>
      <c r="VYG11" s="1019"/>
      <c r="VYH11" s="1019"/>
      <c r="VYI11" s="1019"/>
      <c r="VYJ11" s="1018"/>
      <c r="VYK11" s="1018"/>
      <c r="VYL11" s="1018"/>
      <c r="VYM11" s="1018"/>
      <c r="VYN11" s="1018"/>
      <c r="VYO11" s="1018"/>
      <c r="VYP11" s="139"/>
      <c r="VYQ11" s="128"/>
      <c r="VYR11" s="128"/>
      <c r="VYS11" s="128"/>
      <c r="VYT11" s="128"/>
      <c r="VYU11" s="118"/>
      <c r="VYV11" s="128"/>
      <c r="VYW11" s="128"/>
      <c r="VYX11" s="991"/>
      <c r="VYY11" s="128"/>
      <c r="VYZ11" s="170"/>
      <c r="VZA11" s="170"/>
      <c r="VZB11" s="1018"/>
      <c r="VZC11" s="1018"/>
      <c r="VZD11" s="1018"/>
      <c r="VZE11" s="1018"/>
      <c r="VZF11" s="1019"/>
      <c r="VZG11" s="1019"/>
      <c r="VZH11" s="1019"/>
      <c r="VZI11" s="1018"/>
      <c r="VZJ11" s="1018"/>
      <c r="VZK11" s="1018"/>
      <c r="VZL11" s="1018"/>
      <c r="VZM11" s="1018"/>
      <c r="VZN11" s="1018"/>
      <c r="VZO11" s="139"/>
      <c r="VZP11" s="128"/>
      <c r="VZQ11" s="128"/>
      <c r="VZR11" s="128"/>
      <c r="VZS11" s="128"/>
      <c r="VZT11" s="118"/>
      <c r="VZU11" s="128"/>
      <c r="VZV11" s="128"/>
      <c r="VZW11" s="991"/>
      <c r="VZX11" s="128"/>
      <c r="VZY11" s="170"/>
      <c r="VZZ11" s="170"/>
      <c r="WAA11" s="1018"/>
      <c r="WAB11" s="1018"/>
      <c r="WAC11" s="1018"/>
      <c r="WAD11" s="1018"/>
      <c r="WAE11" s="1019"/>
      <c r="WAF11" s="1019"/>
      <c r="WAG11" s="1019"/>
      <c r="WAH11" s="1018"/>
      <c r="WAI11" s="1018"/>
      <c r="WAJ11" s="1018"/>
      <c r="WAK11" s="1018"/>
      <c r="WAL11" s="1018"/>
      <c r="WAM11" s="1018"/>
      <c r="WAN11" s="139"/>
      <c r="WAO11" s="128"/>
      <c r="WAP11" s="128"/>
      <c r="WAQ11" s="128"/>
      <c r="WAR11" s="128"/>
      <c r="WAS11" s="118"/>
      <c r="WAT11" s="128"/>
      <c r="WAU11" s="128"/>
      <c r="WAV11" s="991"/>
      <c r="WAW11" s="128"/>
      <c r="WAX11" s="170"/>
      <c r="WAY11" s="170"/>
      <c r="WAZ11" s="1018"/>
      <c r="WBA11" s="1018"/>
      <c r="WBB11" s="1018"/>
      <c r="WBC11" s="1018"/>
      <c r="WBD11" s="1019"/>
      <c r="WBE11" s="1019"/>
      <c r="WBF11" s="1019"/>
      <c r="WBG11" s="1018"/>
      <c r="WBH11" s="1018"/>
      <c r="WBI11" s="1018"/>
      <c r="WBJ11" s="1018"/>
      <c r="WBK11" s="1018"/>
      <c r="WBL11" s="1018"/>
      <c r="WBM11" s="139"/>
      <c r="WBN11" s="128"/>
      <c r="WBO11" s="128"/>
      <c r="WBP11" s="128"/>
      <c r="WBQ11" s="128"/>
      <c r="WBR11" s="118"/>
      <c r="WBS11" s="128"/>
      <c r="WBT11" s="128"/>
      <c r="WBU11" s="991"/>
      <c r="WBV11" s="128"/>
      <c r="WBW11" s="170"/>
      <c r="WBX11" s="170"/>
      <c r="WBY11" s="1018"/>
      <c r="WBZ11" s="1018"/>
      <c r="WCA11" s="1018"/>
      <c r="WCB11" s="1018"/>
      <c r="WCC11" s="1019"/>
      <c r="WCD11" s="1019"/>
      <c r="WCE11" s="1019"/>
      <c r="WCF11" s="1018"/>
      <c r="WCG11" s="1018"/>
      <c r="WCH11" s="1018"/>
      <c r="WCI11" s="1018"/>
      <c r="WCJ11" s="1018"/>
      <c r="WCK11" s="1018"/>
      <c r="WCL11" s="139"/>
      <c r="WCM11" s="128"/>
      <c r="WCN11" s="128"/>
      <c r="WCO11" s="128"/>
      <c r="WCP11" s="128"/>
      <c r="WCQ11" s="118"/>
      <c r="WCR11" s="128"/>
      <c r="WCS11" s="128"/>
      <c r="WCT11" s="991"/>
      <c r="WCU11" s="128"/>
      <c r="WCV11" s="170"/>
      <c r="WCW11" s="170"/>
      <c r="WCX11" s="1018"/>
      <c r="WCY11" s="1018"/>
      <c r="WCZ11" s="1018"/>
      <c r="WDA11" s="1018"/>
      <c r="WDB11" s="1019"/>
      <c r="WDC11" s="1019"/>
      <c r="WDD11" s="1019"/>
      <c r="WDE11" s="1018"/>
      <c r="WDF11" s="1018"/>
      <c r="WDG11" s="1018"/>
      <c r="WDH11" s="1018"/>
      <c r="WDI11" s="1018"/>
      <c r="WDJ11" s="1018"/>
      <c r="WDK11" s="139"/>
      <c r="WDL11" s="128"/>
      <c r="WDM11" s="128"/>
      <c r="WDN11" s="128"/>
      <c r="WDO11" s="128"/>
      <c r="WDP11" s="118"/>
      <c r="WDQ11" s="128"/>
      <c r="WDR11" s="128"/>
      <c r="WDS11" s="991"/>
      <c r="WDT11" s="128"/>
      <c r="WDU11" s="170"/>
      <c r="WDV11" s="170"/>
      <c r="WDW11" s="1018"/>
      <c r="WDX11" s="1018"/>
      <c r="WDY11" s="1018"/>
      <c r="WDZ11" s="1018"/>
      <c r="WEA11" s="1019"/>
      <c r="WEB11" s="1019"/>
      <c r="WEC11" s="1019"/>
      <c r="WED11" s="1018"/>
      <c r="WEE11" s="1018"/>
      <c r="WEF11" s="1018"/>
      <c r="WEG11" s="1018"/>
      <c r="WEH11" s="1018"/>
      <c r="WEI11" s="1018"/>
      <c r="WEJ11" s="139"/>
      <c r="WEK11" s="128"/>
      <c r="WEL11" s="128"/>
      <c r="WEM11" s="128"/>
      <c r="WEN11" s="128"/>
      <c r="WEO11" s="118"/>
      <c r="WEP11" s="128"/>
      <c r="WEQ11" s="128"/>
      <c r="WER11" s="991"/>
      <c r="WES11" s="128"/>
      <c r="WET11" s="170"/>
      <c r="WEU11" s="170"/>
      <c r="WEV11" s="1018"/>
      <c r="WEW11" s="1018"/>
      <c r="WEX11" s="1018"/>
      <c r="WEY11" s="1018"/>
      <c r="WEZ11" s="1019"/>
      <c r="WFA11" s="1019"/>
      <c r="WFB11" s="1019"/>
      <c r="WFC11" s="1018"/>
      <c r="WFD11" s="1018"/>
      <c r="WFE11" s="1018"/>
      <c r="WFF11" s="1018"/>
      <c r="WFG11" s="1018"/>
      <c r="WFH11" s="1018"/>
      <c r="WFI11" s="139"/>
      <c r="WFJ11" s="128"/>
      <c r="WFK11" s="128"/>
      <c r="WFL11" s="128"/>
      <c r="WFM11" s="128"/>
      <c r="WFN11" s="118"/>
      <c r="WFO11" s="128"/>
      <c r="WFP11" s="128"/>
      <c r="WFQ11" s="991"/>
      <c r="WFR11" s="128"/>
      <c r="WFS11" s="170"/>
      <c r="WFT11" s="170"/>
      <c r="WFU11" s="1018"/>
      <c r="WFV11" s="1018"/>
      <c r="WFW11" s="1018"/>
      <c r="WFX11" s="1018"/>
      <c r="WFY11" s="1019"/>
      <c r="WFZ11" s="1019"/>
      <c r="WGA11" s="1019"/>
      <c r="WGB11" s="1018"/>
      <c r="WGC11" s="1018"/>
      <c r="WGD11" s="1018"/>
      <c r="WGE11" s="1018"/>
      <c r="WGF11" s="1018"/>
      <c r="WGG11" s="1018"/>
      <c r="WGH11" s="139"/>
      <c r="WGI11" s="128"/>
      <c r="WGJ11" s="128"/>
      <c r="WGK11" s="128"/>
      <c r="WGL11" s="128"/>
      <c r="WGM11" s="118"/>
      <c r="WGN11" s="128"/>
      <c r="WGO11" s="128"/>
      <c r="WGP11" s="991"/>
      <c r="WGQ11" s="128"/>
      <c r="WGR11" s="170"/>
      <c r="WGS11" s="170"/>
      <c r="WGT11" s="1018"/>
      <c r="WGU11" s="1018"/>
      <c r="WGV11" s="1018"/>
      <c r="WGW11" s="1018"/>
      <c r="WGX11" s="1019"/>
      <c r="WGY11" s="1019"/>
      <c r="WGZ11" s="1019"/>
      <c r="WHA11" s="1018"/>
      <c r="WHB11" s="1018"/>
      <c r="WHC11" s="1018"/>
      <c r="WHD11" s="1018"/>
      <c r="WHE11" s="1018"/>
      <c r="WHF11" s="1018"/>
      <c r="WHG11" s="139"/>
      <c r="WHH11" s="128"/>
      <c r="WHI11" s="128"/>
      <c r="WHJ11" s="128"/>
      <c r="WHK11" s="128"/>
      <c r="WHL11" s="118"/>
      <c r="WHM11" s="128"/>
      <c r="WHN11" s="128"/>
      <c r="WHO11" s="991"/>
      <c r="WHP11" s="128"/>
      <c r="WHQ11" s="170"/>
      <c r="WHR11" s="170"/>
      <c r="WHS11" s="1018"/>
      <c r="WHT11" s="1018"/>
      <c r="WHU11" s="1018"/>
      <c r="WHV11" s="1018"/>
      <c r="WHW11" s="1019"/>
      <c r="WHX11" s="1019"/>
      <c r="WHY11" s="1019"/>
      <c r="WHZ11" s="1018"/>
      <c r="WIA11" s="1018"/>
      <c r="WIB11" s="1018"/>
      <c r="WIC11" s="1018"/>
      <c r="WID11" s="1018"/>
      <c r="WIE11" s="1018"/>
      <c r="WIF11" s="139"/>
      <c r="WIG11" s="128"/>
      <c r="WIH11" s="128"/>
      <c r="WII11" s="128"/>
      <c r="WIJ11" s="128"/>
      <c r="WIK11" s="118"/>
      <c r="WIL11" s="128"/>
      <c r="WIM11" s="128"/>
      <c r="WIN11" s="991"/>
      <c r="WIO11" s="128"/>
      <c r="WIP11" s="170"/>
      <c r="WIQ11" s="170"/>
      <c r="WIR11" s="1018"/>
      <c r="WIS11" s="1018"/>
      <c r="WIT11" s="1018"/>
      <c r="WIU11" s="1018"/>
      <c r="WIV11" s="1019"/>
      <c r="WIW11" s="1019"/>
      <c r="WIX11" s="1019"/>
      <c r="WIY11" s="1018"/>
      <c r="WIZ11" s="1018"/>
      <c r="WJA11" s="1018"/>
      <c r="WJB11" s="1018"/>
      <c r="WJC11" s="1018"/>
      <c r="WJD11" s="1018"/>
      <c r="WJE11" s="139"/>
      <c r="WJF11" s="128"/>
      <c r="WJG11" s="128"/>
      <c r="WJH11" s="128"/>
      <c r="WJI11" s="128"/>
      <c r="WJJ11" s="118"/>
      <c r="WJK11" s="128"/>
      <c r="WJL11" s="128"/>
      <c r="WJM11" s="991"/>
      <c r="WJN11" s="128"/>
      <c r="WJO11" s="170"/>
      <c r="WJP11" s="170"/>
      <c r="WJQ11" s="1018"/>
      <c r="WJR11" s="1018"/>
      <c r="WJS11" s="1018"/>
      <c r="WJT11" s="1018"/>
      <c r="WJU11" s="1019"/>
      <c r="WJV11" s="1019"/>
      <c r="WJW11" s="1019"/>
      <c r="WJX11" s="1018"/>
      <c r="WJY11" s="1018"/>
      <c r="WJZ11" s="1018"/>
      <c r="WKA11" s="1018"/>
      <c r="WKB11" s="1018"/>
      <c r="WKC11" s="1018"/>
      <c r="WKD11" s="139"/>
      <c r="WKE11" s="128"/>
      <c r="WKF11" s="128"/>
      <c r="WKG11" s="128"/>
      <c r="WKH11" s="128"/>
      <c r="WKI11" s="118"/>
      <c r="WKJ11" s="128"/>
      <c r="WKK11" s="128"/>
      <c r="WKL11" s="991"/>
      <c r="WKM11" s="128"/>
      <c r="WKN11" s="170"/>
      <c r="WKO11" s="170"/>
      <c r="WKP11" s="1018"/>
      <c r="WKQ11" s="1018"/>
      <c r="WKR11" s="1018"/>
      <c r="WKS11" s="1018"/>
      <c r="WKT11" s="1019"/>
      <c r="WKU11" s="1019"/>
      <c r="WKV11" s="1019"/>
      <c r="WKW11" s="1018"/>
      <c r="WKX11" s="1018"/>
      <c r="WKY11" s="1018"/>
      <c r="WKZ11" s="1018"/>
      <c r="WLA11" s="1018"/>
      <c r="WLB11" s="1018"/>
      <c r="WLC11" s="139"/>
      <c r="WLD11" s="128"/>
      <c r="WLE11" s="128"/>
      <c r="WLF11" s="128"/>
      <c r="WLG11" s="128"/>
      <c r="WLH11" s="118"/>
      <c r="WLI11" s="128"/>
      <c r="WLJ11" s="128"/>
      <c r="WLK11" s="991"/>
      <c r="WLL11" s="128"/>
      <c r="WLM11" s="170"/>
      <c r="WLN11" s="170"/>
      <c r="WLO11" s="1018"/>
      <c r="WLP11" s="1018"/>
      <c r="WLQ11" s="1018"/>
      <c r="WLR11" s="1018"/>
      <c r="WLS11" s="1019"/>
      <c r="WLT11" s="1019"/>
      <c r="WLU11" s="1019"/>
      <c r="WLV11" s="1018"/>
      <c r="WLW11" s="1018"/>
      <c r="WLX11" s="1018"/>
      <c r="WLY11" s="1018"/>
      <c r="WLZ11" s="1018"/>
      <c r="WMA11" s="1018"/>
      <c r="WMB11" s="139"/>
      <c r="WMC11" s="128"/>
      <c r="WMD11" s="128"/>
      <c r="WME11" s="128"/>
      <c r="WMF11" s="128"/>
      <c r="WMG11" s="118"/>
      <c r="WMH11" s="128"/>
      <c r="WMI11" s="128"/>
      <c r="WMJ11" s="991"/>
      <c r="WMK11" s="128"/>
      <c r="WML11" s="170"/>
      <c r="WMM11" s="170"/>
      <c r="WMN11" s="1018"/>
      <c r="WMO11" s="1018"/>
      <c r="WMP11" s="1018"/>
      <c r="WMQ11" s="1018"/>
      <c r="WMR11" s="1019"/>
      <c r="WMS11" s="1019"/>
      <c r="WMT11" s="1019"/>
      <c r="WMU11" s="1018"/>
      <c r="WMV11" s="1018"/>
      <c r="WMW11" s="1018"/>
      <c r="WMX11" s="1018"/>
      <c r="WMY11" s="1018"/>
      <c r="WMZ11" s="1018"/>
      <c r="WNA11" s="139"/>
      <c r="WNB11" s="128"/>
      <c r="WNC11" s="128"/>
      <c r="WND11" s="128"/>
      <c r="WNE11" s="128"/>
      <c r="WNF11" s="118"/>
      <c r="WNG11" s="128"/>
      <c r="WNH11" s="128"/>
      <c r="WNI11" s="991"/>
      <c r="WNJ11" s="128"/>
      <c r="WNK11" s="170"/>
      <c r="WNL11" s="170"/>
      <c r="WNM11" s="1018"/>
      <c r="WNN11" s="1018"/>
      <c r="WNO11" s="1018"/>
      <c r="WNP11" s="1018"/>
      <c r="WNQ11" s="1019"/>
      <c r="WNR11" s="1019"/>
      <c r="WNS11" s="1019"/>
      <c r="WNT11" s="1018"/>
      <c r="WNU11" s="1018"/>
      <c r="WNV11" s="1018"/>
      <c r="WNW11" s="1018"/>
      <c r="WNX11" s="1018"/>
      <c r="WNY11" s="1018"/>
      <c r="WNZ11" s="139"/>
      <c r="WOA11" s="128"/>
      <c r="WOB11" s="128"/>
      <c r="WOC11" s="128"/>
      <c r="WOD11" s="128"/>
      <c r="WOE11" s="118"/>
      <c r="WOF11" s="128"/>
      <c r="WOG11" s="128"/>
      <c r="WOH11" s="991"/>
      <c r="WOI11" s="128"/>
      <c r="WOJ11" s="170"/>
      <c r="WOK11" s="170"/>
      <c r="WOL11" s="1018"/>
      <c r="WOM11" s="1018"/>
      <c r="WON11" s="1018"/>
      <c r="WOO11" s="1018"/>
      <c r="WOP11" s="1019"/>
      <c r="WOQ11" s="1019"/>
      <c r="WOR11" s="1019"/>
      <c r="WOS11" s="1018"/>
      <c r="WOT11" s="1018"/>
      <c r="WOU11" s="1018"/>
      <c r="WOV11" s="1018"/>
      <c r="WOW11" s="1018"/>
      <c r="WOX11" s="1018"/>
      <c r="WOY11" s="139"/>
      <c r="WOZ11" s="128"/>
      <c r="WPA11" s="128"/>
      <c r="WPB11" s="128"/>
      <c r="WPC11" s="128"/>
      <c r="WPD11" s="118"/>
      <c r="WPE11" s="128"/>
      <c r="WPF11" s="128"/>
      <c r="WPG11" s="991"/>
      <c r="WPH11" s="128"/>
      <c r="WPI11" s="170"/>
      <c r="WPJ11" s="170"/>
      <c r="WPK11" s="1018"/>
      <c r="WPL11" s="1018"/>
      <c r="WPM11" s="1018"/>
      <c r="WPN11" s="1018"/>
      <c r="WPO11" s="1019"/>
      <c r="WPP11" s="1019"/>
      <c r="WPQ11" s="1019"/>
      <c r="WPR11" s="1018"/>
      <c r="WPS11" s="1018"/>
      <c r="WPT11" s="1018"/>
      <c r="WPU11" s="1018"/>
      <c r="WPV11" s="1018"/>
      <c r="WPW11" s="1018"/>
      <c r="WPX11" s="139"/>
      <c r="WPY11" s="128"/>
      <c r="WPZ11" s="128"/>
      <c r="WQA11" s="128"/>
      <c r="WQB11" s="128"/>
      <c r="WQC11" s="118"/>
      <c r="WQD11" s="128"/>
      <c r="WQE11" s="128"/>
      <c r="WQF11" s="991"/>
      <c r="WQG11" s="128"/>
      <c r="WQH11" s="170"/>
      <c r="WQI11" s="170"/>
      <c r="WQJ11" s="1018"/>
      <c r="WQK11" s="1018"/>
      <c r="WQL11" s="1018"/>
      <c r="WQM11" s="1018"/>
      <c r="WQN11" s="1019"/>
      <c r="WQO11" s="1019"/>
      <c r="WQP11" s="1019"/>
      <c r="WQQ11" s="1018"/>
      <c r="WQR11" s="1018"/>
      <c r="WQS11" s="1018"/>
      <c r="WQT11" s="1018"/>
      <c r="WQU11" s="1018"/>
      <c r="WQV11" s="1018"/>
      <c r="WQW11" s="139"/>
      <c r="WQX11" s="128"/>
      <c r="WQY11" s="128"/>
      <c r="WQZ11" s="128"/>
      <c r="WRA11" s="128"/>
      <c r="WRB11" s="118"/>
      <c r="WRC11" s="128"/>
      <c r="WRD11" s="128"/>
      <c r="WRE11" s="991"/>
      <c r="WRF11" s="128"/>
      <c r="WRG11" s="170"/>
      <c r="WRH11" s="170"/>
      <c r="WRI11" s="1018"/>
      <c r="WRJ11" s="1018"/>
      <c r="WRK11" s="1018"/>
      <c r="WRL11" s="1018"/>
      <c r="WRM11" s="1019"/>
      <c r="WRN11" s="1019"/>
      <c r="WRO11" s="1019"/>
      <c r="WRP11" s="1018"/>
      <c r="WRQ11" s="1018"/>
      <c r="WRR11" s="1018"/>
      <c r="WRS11" s="1018"/>
      <c r="WRT11" s="1018"/>
      <c r="WRU11" s="1018"/>
      <c r="WRV11" s="139"/>
      <c r="WRW11" s="128"/>
      <c r="WRX11" s="128"/>
      <c r="WRY11" s="128"/>
      <c r="WRZ11" s="128"/>
      <c r="WSA11" s="118"/>
      <c r="WSB11" s="128"/>
      <c r="WSC11" s="128"/>
      <c r="WSD11" s="991"/>
      <c r="WSE11" s="128"/>
      <c r="WSF11" s="170"/>
      <c r="WSG11" s="170"/>
      <c r="WSH11" s="1018"/>
      <c r="WSI11" s="1018"/>
      <c r="WSJ11" s="1018"/>
      <c r="WSK11" s="1018"/>
      <c r="WSL11" s="1019"/>
      <c r="WSM11" s="1019"/>
      <c r="WSN11" s="1019"/>
      <c r="WSO11" s="1018"/>
      <c r="WSP11" s="1018"/>
      <c r="WSQ11" s="1018"/>
      <c r="WSR11" s="1018"/>
      <c r="WSS11" s="1018"/>
      <c r="WST11" s="1018"/>
      <c r="WSU11" s="139"/>
      <c r="WSV11" s="128"/>
      <c r="WSW11" s="128"/>
      <c r="WSX11" s="128"/>
      <c r="WSY11" s="128"/>
      <c r="WSZ11" s="118"/>
      <c r="WTA11" s="128"/>
      <c r="WTB11" s="128"/>
      <c r="WTC11" s="991"/>
      <c r="WTD11" s="128"/>
      <c r="WTE11" s="170"/>
      <c r="WTF11" s="170"/>
      <c r="WTG11" s="1018"/>
      <c r="WTH11" s="1018"/>
      <c r="WTI11" s="1018"/>
      <c r="WTJ11" s="1018"/>
      <c r="WTK11" s="1019"/>
      <c r="WTL11" s="1019"/>
      <c r="WTM11" s="1019"/>
      <c r="WTN11" s="1018"/>
      <c r="WTO11" s="1018"/>
      <c r="WTP11" s="1018"/>
      <c r="WTQ11" s="1018"/>
      <c r="WTR11" s="1018"/>
      <c r="WTS11" s="1018"/>
      <c r="WTT11" s="139"/>
      <c r="WTU11" s="128"/>
      <c r="WTV11" s="128"/>
      <c r="WTW11" s="128"/>
      <c r="WTX11" s="128"/>
      <c r="WTY11" s="118"/>
      <c r="WTZ11" s="128"/>
      <c r="WUA11" s="128"/>
      <c r="WUB11" s="991"/>
      <c r="WUC11" s="128"/>
      <c r="WUD11" s="170"/>
      <c r="WUE11" s="170"/>
      <c r="WUF11" s="1018"/>
      <c r="WUG11" s="1018"/>
      <c r="WUH11" s="1018"/>
      <c r="WUI11" s="1018"/>
      <c r="WUJ11" s="1019"/>
      <c r="WUK11" s="1019"/>
      <c r="WUL11" s="1019"/>
      <c r="WUM11" s="1018"/>
      <c r="WUN11" s="1018"/>
      <c r="WUO11" s="1018"/>
      <c r="WUP11" s="1018"/>
      <c r="WUQ11" s="1018"/>
      <c r="WUR11" s="1018"/>
      <c r="WUS11" s="139"/>
      <c r="WUT11" s="128"/>
      <c r="WUU11" s="128"/>
      <c r="WUV11" s="128"/>
      <c r="WUW11" s="128"/>
      <c r="WUX11" s="118"/>
      <c r="WUY11" s="128"/>
      <c r="WUZ11" s="128"/>
      <c r="WVA11" s="991"/>
      <c r="WVB11" s="128"/>
      <c r="WVC11" s="170"/>
      <c r="WVD11" s="170"/>
      <c r="WVE11" s="1018"/>
      <c r="WVF11" s="1018"/>
      <c r="WVG11" s="1018"/>
      <c r="WVH11" s="1018"/>
      <c r="WVI11" s="1019"/>
      <c r="WVJ11" s="1019"/>
      <c r="WVK11" s="1019"/>
      <c r="WVL11" s="1018"/>
      <c r="WVM11" s="1018"/>
      <c r="WVN11" s="1018"/>
      <c r="WVO11" s="1018"/>
      <c r="WVP11" s="1018"/>
      <c r="WVQ11" s="1018"/>
      <c r="WVR11" s="139"/>
      <c r="WVS11" s="128"/>
      <c r="WVT11" s="128"/>
      <c r="WVU11" s="128"/>
      <c r="WVV11" s="128"/>
      <c r="WVW11" s="118"/>
      <c r="WVX11" s="128"/>
      <c r="WVY11" s="128"/>
      <c r="WVZ11" s="991"/>
      <c r="WWA11" s="128"/>
      <c r="WWB11" s="170"/>
      <c r="WWC11" s="170"/>
      <c r="WWD11" s="1018"/>
      <c r="WWE11" s="1018"/>
      <c r="WWF11" s="1018"/>
      <c r="WWG11" s="1018"/>
      <c r="WWH11" s="1019"/>
      <c r="WWI11" s="1019"/>
      <c r="WWJ11" s="1019"/>
      <c r="WWK11" s="1018"/>
      <c r="WWL11" s="1018"/>
      <c r="WWM11" s="1018"/>
      <c r="WWN11" s="1018"/>
      <c r="WWO11" s="1018"/>
      <c r="WWP11" s="1018"/>
      <c r="WWQ11" s="139"/>
      <c r="WWR11" s="128"/>
      <c r="WWS11" s="128"/>
      <c r="WWT11" s="128"/>
      <c r="WWU11" s="128"/>
      <c r="WWV11" s="118"/>
      <c r="WWW11" s="128"/>
      <c r="WWX11" s="128"/>
      <c r="WWY11" s="991"/>
      <c r="WWZ11" s="128"/>
      <c r="WXA11" s="170"/>
      <c r="WXB11" s="170"/>
      <c r="WXC11" s="1018"/>
      <c r="WXD11" s="1018"/>
      <c r="WXE11" s="1018"/>
      <c r="WXF11" s="1018"/>
      <c r="WXG11" s="1019"/>
      <c r="WXH11" s="1019"/>
      <c r="WXI11" s="1019"/>
      <c r="WXJ11" s="1018"/>
      <c r="WXK11" s="1018"/>
      <c r="WXL11" s="1018"/>
      <c r="WXM11" s="1018"/>
      <c r="WXN11" s="1018"/>
      <c r="WXO11" s="1018"/>
      <c r="WXP11" s="139"/>
      <c r="WXQ11" s="128"/>
      <c r="WXR11" s="128"/>
      <c r="WXS11" s="128"/>
      <c r="WXT11" s="128"/>
      <c r="WXU11" s="118"/>
      <c r="WXV11" s="128"/>
      <c r="WXW11" s="128"/>
      <c r="WXX11" s="991"/>
      <c r="WXY11" s="128"/>
      <c r="WXZ11" s="170"/>
      <c r="WYA11" s="170"/>
      <c r="WYB11" s="1018"/>
      <c r="WYC11" s="1018"/>
      <c r="WYD11" s="1018"/>
      <c r="WYE11" s="1018"/>
      <c r="WYF11" s="1019"/>
      <c r="WYG11" s="1019"/>
      <c r="WYH11" s="1019"/>
      <c r="WYI11" s="1018"/>
      <c r="WYJ11" s="1018"/>
      <c r="WYK11" s="1018"/>
      <c r="WYL11" s="1018"/>
      <c r="WYM11" s="1018"/>
      <c r="WYN11" s="1018"/>
      <c r="WYO11" s="139"/>
      <c r="WYP11" s="128"/>
      <c r="WYQ11" s="128"/>
      <c r="WYR11" s="128"/>
      <c r="WYS11" s="128"/>
      <c r="WYT11" s="118"/>
      <c r="WYU11" s="128"/>
      <c r="WYV11" s="128"/>
      <c r="WYW11" s="991"/>
      <c r="WYX11" s="128"/>
      <c r="WYY11" s="170"/>
      <c r="WYZ11" s="170"/>
      <c r="WZA11" s="1018"/>
      <c r="WZB11" s="1018"/>
      <c r="WZC11" s="1018"/>
      <c r="WZD11" s="1018"/>
      <c r="WZE11" s="1019"/>
      <c r="WZF11" s="1019"/>
      <c r="WZG11" s="1019"/>
      <c r="WZH11" s="1018"/>
      <c r="WZI11" s="1018"/>
      <c r="WZJ11" s="1018"/>
      <c r="WZK11" s="1018"/>
      <c r="WZL11" s="1018"/>
      <c r="WZM11" s="1018"/>
      <c r="WZN11" s="139"/>
      <c r="WZO11" s="128"/>
      <c r="WZP11" s="128"/>
      <c r="WZQ11" s="128"/>
      <c r="WZR11" s="128"/>
      <c r="WZS11" s="118"/>
      <c r="WZT11" s="128"/>
      <c r="WZU11" s="128"/>
      <c r="WZV11" s="991"/>
      <c r="WZW11" s="128"/>
      <c r="WZX11" s="170"/>
      <c r="WZY11" s="170"/>
      <c r="WZZ11" s="1018"/>
      <c r="XAA11" s="1018"/>
      <c r="XAB11" s="1018"/>
      <c r="XAC11" s="1018"/>
      <c r="XAD11" s="1019"/>
      <c r="XAE11" s="1019"/>
      <c r="XAF11" s="1019"/>
      <c r="XAG11" s="1018"/>
      <c r="XAH11" s="1018"/>
      <c r="XAI11" s="1018"/>
      <c r="XAJ11" s="1018"/>
      <c r="XAK11" s="1018"/>
      <c r="XAL11" s="1018"/>
      <c r="XAM11" s="139"/>
      <c r="XAN11" s="128"/>
      <c r="XAO11" s="128"/>
      <c r="XAP11" s="128"/>
      <c r="XAQ11" s="128"/>
      <c r="XAR11" s="118"/>
      <c r="XAS11" s="128"/>
      <c r="XAT11" s="128"/>
      <c r="XAU11" s="991"/>
      <c r="XAV11" s="128"/>
      <c r="XAW11" s="170"/>
      <c r="XAX11" s="170"/>
      <c r="XAY11" s="1018"/>
      <c r="XAZ11" s="1018"/>
      <c r="XBA11" s="1018"/>
      <c r="XBB11" s="1018"/>
      <c r="XBC11" s="1019"/>
      <c r="XBD11" s="1019"/>
      <c r="XBE11" s="1019"/>
      <c r="XBF11" s="1018"/>
      <c r="XBG11" s="1018"/>
      <c r="XBH11" s="1018"/>
      <c r="XBI11" s="1018"/>
      <c r="XBJ11" s="1018"/>
      <c r="XBK11" s="1018"/>
      <c r="XBL11" s="139"/>
      <c r="XBM11" s="128"/>
      <c r="XBN11" s="128"/>
      <c r="XBO11" s="128"/>
      <c r="XBP11" s="128"/>
      <c r="XBQ11" s="118"/>
      <c r="XBR11" s="128"/>
      <c r="XBS11" s="128"/>
      <c r="XBT11" s="991"/>
    </row>
    <row r="12" spans="1:16296" ht="27.6" customHeight="1">
      <c r="A12" s="139">
        <v>11</v>
      </c>
      <c r="B12" s="52" t="s">
        <v>336</v>
      </c>
      <c r="C12" s="52" t="s">
        <v>337</v>
      </c>
      <c r="D12" s="52">
        <v>6000</v>
      </c>
      <c r="E12" s="52">
        <v>6000</v>
      </c>
      <c r="F12" s="119">
        <v>45358</v>
      </c>
      <c r="G12" s="52"/>
      <c r="H12" s="52" t="s">
        <v>282</v>
      </c>
      <c r="I12" s="712">
        <f>E12/23*21</f>
        <v>5478.2608695652179</v>
      </c>
      <c r="J12" s="712">
        <f>E12/21*20</f>
        <v>5714.2857142857147</v>
      </c>
      <c r="K12" s="712">
        <f t="shared" si="2"/>
        <v>6000</v>
      </c>
      <c r="L12" s="712">
        <f>E12/23*20</f>
        <v>5217.391304347826</v>
      </c>
      <c r="M12" s="52" t="s">
        <v>1089</v>
      </c>
      <c r="N12" s="716"/>
      <c r="O12" s="716"/>
      <c r="P12" s="1014"/>
      <c r="Q12" s="1014">
        <f>I12</f>
        <v>5478.2608695652179</v>
      </c>
      <c r="R12" s="1014">
        <f>J12</f>
        <v>5714.2857142857147</v>
      </c>
      <c r="S12" s="1014">
        <f>K12</f>
        <v>6000</v>
      </c>
      <c r="T12" s="1016"/>
      <c r="U12" s="1016"/>
      <c r="V12" s="1016"/>
      <c r="W12" s="1014"/>
      <c r="X12" s="1014"/>
      <c r="Y12" s="1014"/>
      <c r="Z12" s="1014"/>
      <c r="AA12" s="1014"/>
      <c r="AB12" s="1014"/>
      <c r="AC12" s="1014"/>
      <c r="AD12" s="1014"/>
      <c r="AE12" s="1014"/>
      <c r="AF12" s="1014"/>
      <c r="AG12" s="1014"/>
      <c r="AH12" s="1014"/>
      <c r="AI12" s="1014"/>
    </row>
    <row r="13" spans="1:16296" ht="21" customHeight="1">
      <c r="A13" s="139">
        <v>12</v>
      </c>
      <c r="B13" s="128" t="s">
        <v>297</v>
      </c>
      <c r="C13" s="128" t="s">
        <v>337</v>
      </c>
      <c r="D13" s="128">
        <v>25000</v>
      </c>
      <c r="E13" s="128">
        <v>5000</v>
      </c>
      <c r="F13" s="118">
        <v>44937</v>
      </c>
      <c r="G13" s="128"/>
      <c r="H13" s="128" t="s">
        <v>282</v>
      </c>
      <c r="I13" s="991">
        <f>E13/23*17.5</f>
        <v>3804.3478260869565</v>
      </c>
      <c r="J13" s="991">
        <f>E13/21*20.5</f>
        <v>4880.9523809523807</v>
      </c>
      <c r="K13" s="991">
        <f t="shared" si="2"/>
        <v>5000</v>
      </c>
      <c r="L13" s="991">
        <f>E13/23*23</f>
        <v>5000</v>
      </c>
      <c r="M13" s="128"/>
      <c r="N13" s="170"/>
      <c r="O13" s="170"/>
      <c r="P13" s="1018">
        <f>SUM(M13:N13)</f>
        <v>0</v>
      </c>
      <c r="Q13" s="1018"/>
      <c r="R13" s="1018"/>
      <c r="S13" s="1018"/>
      <c r="T13" s="1019"/>
      <c r="U13" s="1019"/>
      <c r="V13" s="1019"/>
      <c r="W13" s="1018"/>
      <c r="X13" s="1018"/>
      <c r="Y13" s="1018"/>
      <c r="Z13" s="1018"/>
      <c r="AA13" s="1018"/>
      <c r="AB13" s="1018"/>
      <c r="AC13" s="1018"/>
      <c r="AD13" s="1018"/>
      <c r="AE13" s="1018"/>
      <c r="AF13" s="1018"/>
      <c r="AG13" s="1018"/>
      <c r="AH13" s="1018"/>
      <c r="AI13" s="1018"/>
    </row>
    <row r="14" spans="1:16296" ht="21" customHeight="1">
      <c r="A14" s="139">
        <v>13</v>
      </c>
      <c r="B14" s="128" t="s">
        <v>289</v>
      </c>
      <c r="C14" s="128" t="s">
        <v>72</v>
      </c>
      <c r="D14" s="128">
        <v>16000</v>
      </c>
      <c r="E14" s="128">
        <v>6000</v>
      </c>
      <c r="F14" s="118">
        <v>45608</v>
      </c>
      <c r="G14" s="128">
        <v>46338</v>
      </c>
      <c r="H14" s="128" t="s">
        <v>282</v>
      </c>
      <c r="I14" s="128">
        <f>E14/23*23</f>
        <v>6000</v>
      </c>
      <c r="J14" s="128">
        <f>E14/21*21</f>
        <v>6000</v>
      </c>
      <c r="K14" s="128">
        <f t="shared" si="2"/>
        <v>6000</v>
      </c>
      <c r="L14" s="128">
        <f>E14/23*23</f>
        <v>6000</v>
      </c>
      <c r="M14" s="170"/>
      <c r="N14" s="170"/>
      <c r="O14" s="170"/>
      <c r="P14" s="1018">
        <f>SUM(M14:N14)</f>
        <v>0</v>
      </c>
      <c r="Q14" s="1018"/>
      <c r="R14" s="1018"/>
      <c r="S14" s="1018"/>
      <c r="T14" s="1019"/>
      <c r="U14" s="1019"/>
      <c r="V14" s="1019"/>
      <c r="W14" s="1018"/>
      <c r="X14" s="1018"/>
      <c r="Y14" s="1018"/>
      <c r="Z14" s="1018"/>
      <c r="AA14" s="1018"/>
      <c r="AB14" s="1018"/>
      <c r="AC14" s="1018"/>
      <c r="AD14" s="1018"/>
      <c r="AE14" s="1018"/>
      <c r="AF14" s="1018"/>
      <c r="AG14" s="1018"/>
      <c r="AH14" s="1018"/>
      <c r="AI14" s="1018"/>
    </row>
    <row r="15" spans="1:16296" ht="33.6" customHeight="1">
      <c r="A15" s="139">
        <v>14</v>
      </c>
      <c r="B15" s="52" t="s">
        <v>288</v>
      </c>
      <c r="C15" s="52" t="s">
        <v>72</v>
      </c>
      <c r="D15" s="52">
        <v>10000</v>
      </c>
      <c r="E15" s="52">
        <v>10000</v>
      </c>
      <c r="F15" s="119">
        <v>45362</v>
      </c>
      <c r="G15" s="119">
        <v>45727</v>
      </c>
      <c r="H15" s="52" t="s">
        <v>282</v>
      </c>
      <c r="I15" s="712">
        <v>0</v>
      </c>
      <c r="J15" s="712">
        <f>E15/21*19</f>
        <v>9047.6190476190477</v>
      </c>
      <c r="K15" s="712">
        <v>9500</v>
      </c>
      <c r="L15" s="712">
        <f>E15/23*23</f>
        <v>10000</v>
      </c>
      <c r="M15" s="52"/>
      <c r="N15" s="52"/>
      <c r="O15" s="716"/>
      <c r="P15" s="1014">
        <f>SUM(M15:N15)</f>
        <v>0</v>
      </c>
      <c r="Q15" s="1014">
        <f>I15</f>
        <v>0</v>
      </c>
      <c r="R15" s="1014">
        <f>J15</f>
        <v>9047.6190476190477</v>
      </c>
      <c r="S15" s="1014">
        <f>K15</f>
        <v>9500</v>
      </c>
      <c r="T15" s="1022"/>
      <c r="U15" s="1016"/>
      <c r="V15" s="1016"/>
      <c r="W15" s="880"/>
      <c r="X15" s="880"/>
      <c r="Y15" s="1014"/>
      <c r="Z15" s="1014"/>
      <c r="AA15" s="1014"/>
      <c r="AB15" s="1014"/>
      <c r="AC15" s="1014"/>
      <c r="AD15" s="1014"/>
      <c r="AE15" s="1018"/>
      <c r="AF15" s="1018"/>
      <c r="AG15" s="1018"/>
      <c r="AH15" s="1018"/>
      <c r="AI15" s="1018"/>
    </row>
    <row r="16" spans="1:16296" ht="47.4" customHeight="1">
      <c r="A16" s="139">
        <v>15</v>
      </c>
      <c r="B16" s="128" t="s">
        <v>339</v>
      </c>
      <c r="C16" s="128" t="s">
        <v>72</v>
      </c>
      <c r="D16" s="128">
        <v>10000</v>
      </c>
      <c r="E16" s="128">
        <v>6000</v>
      </c>
      <c r="F16" s="118">
        <v>45286</v>
      </c>
      <c r="G16" s="118">
        <v>45834</v>
      </c>
      <c r="H16" s="128" t="s">
        <v>282</v>
      </c>
      <c r="I16" s="991">
        <f>E16/23*18</f>
        <v>4695.652173913044</v>
      </c>
      <c r="J16" s="991">
        <f>E16/21*21</f>
        <v>6000</v>
      </c>
      <c r="K16" s="991">
        <f t="shared" si="2"/>
        <v>6000</v>
      </c>
      <c r="L16" s="991">
        <f>E16/23*23</f>
        <v>6000</v>
      </c>
      <c r="M16" s="991"/>
      <c r="N16" s="170"/>
      <c r="O16" s="170"/>
      <c r="P16" s="1019"/>
      <c r="Q16" s="1019"/>
      <c r="R16" s="1019"/>
      <c r="S16" s="1019"/>
      <c r="T16" s="1019"/>
      <c r="U16" s="1019"/>
      <c r="V16" s="1019"/>
      <c r="W16" s="1019"/>
      <c r="X16" s="1018"/>
      <c r="Y16" s="1018"/>
      <c r="Z16" s="1019"/>
      <c r="AA16" s="1018"/>
      <c r="AB16" s="1018"/>
      <c r="AC16" s="1019"/>
      <c r="AD16" s="1019"/>
      <c r="AE16" s="1019"/>
      <c r="AF16" s="1019"/>
      <c r="AG16" s="1019"/>
      <c r="AH16" s="1019"/>
      <c r="AI16" s="1019"/>
    </row>
    <row r="17" spans="1:16277" ht="32.25" customHeight="1">
      <c r="A17" s="139">
        <v>16</v>
      </c>
      <c r="B17" s="128" t="s">
        <v>286</v>
      </c>
      <c r="C17" s="128" t="s">
        <v>76</v>
      </c>
      <c r="D17" s="128">
        <v>10000</v>
      </c>
      <c r="E17" s="128">
        <v>6000</v>
      </c>
      <c r="F17" s="118">
        <v>45271</v>
      </c>
      <c r="G17" s="118">
        <v>45819</v>
      </c>
      <c r="H17" s="128" t="s">
        <v>282</v>
      </c>
      <c r="I17" s="991">
        <v>4696</v>
      </c>
      <c r="J17" s="991">
        <v>6000</v>
      </c>
      <c r="K17" s="991">
        <v>0</v>
      </c>
      <c r="L17" s="991">
        <v>2000</v>
      </c>
      <c r="M17" s="991" t="s">
        <v>941</v>
      </c>
      <c r="N17" s="170" t="s">
        <v>1102</v>
      </c>
      <c r="O17" s="170"/>
      <c r="P17" s="1019"/>
      <c r="Q17" s="1019"/>
      <c r="R17" s="1018"/>
      <c r="S17" s="1018"/>
      <c r="T17" s="1019"/>
      <c r="U17" s="1019"/>
      <c r="V17" s="1019"/>
      <c r="W17" s="1018"/>
      <c r="X17" s="1018"/>
      <c r="Y17" s="1018"/>
      <c r="Z17" s="1018"/>
      <c r="AA17" s="1018"/>
      <c r="AB17" s="1018"/>
      <c r="AC17" s="1018"/>
      <c r="AD17" s="1018"/>
      <c r="AE17" s="1014"/>
      <c r="AF17" s="1014"/>
      <c r="AG17" s="1014"/>
      <c r="AH17" s="1014"/>
      <c r="AI17" s="1014"/>
    </row>
    <row r="18" spans="1:16277" ht="21" customHeight="1">
      <c r="A18" s="139">
        <v>17</v>
      </c>
      <c r="B18" s="128" t="s">
        <v>293</v>
      </c>
      <c r="C18" s="128" t="s">
        <v>341</v>
      </c>
      <c r="D18" s="128">
        <v>15000</v>
      </c>
      <c r="E18" s="128">
        <v>6000</v>
      </c>
      <c r="F18" s="994">
        <v>45728</v>
      </c>
      <c r="G18" s="994">
        <v>46093</v>
      </c>
      <c r="H18" s="128" t="s">
        <v>282</v>
      </c>
      <c r="I18" s="128">
        <f>E18/23*23</f>
        <v>6000</v>
      </c>
      <c r="J18" s="128">
        <f>E18/21*21</f>
        <v>6000</v>
      </c>
      <c r="K18" s="128">
        <f t="shared" si="2"/>
        <v>6000</v>
      </c>
      <c r="L18" s="991">
        <f>E18/23*22</f>
        <v>5739.130434782609</v>
      </c>
      <c r="M18" s="991" t="s">
        <v>1092</v>
      </c>
      <c r="N18" s="170"/>
      <c r="O18" s="170"/>
      <c r="P18" s="1018">
        <f>SUM(M18:N18)</f>
        <v>0</v>
      </c>
      <c r="Q18" s="1019"/>
      <c r="R18" s="1018"/>
      <c r="S18" s="1018"/>
      <c r="T18" s="1019"/>
      <c r="U18" s="1019"/>
      <c r="V18" s="1019"/>
      <c r="W18" s="1018"/>
      <c r="X18" s="1018"/>
      <c r="Y18" s="1018"/>
      <c r="Z18" s="1018"/>
      <c r="AA18" s="1018"/>
      <c r="AB18" s="1018"/>
      <c r="AC18" s="1018"/>
      <c r="AD18" s="1018"/>
      <c r="AE18" s="1018"/>
      <c r="AF18" s="1018"/>
      <c r="AG18" s="1018"/>
      <c r="AH18" s="1018"/>
      <c r="AI18" s="1018"/>
    </row>
    <row r="19" spans="1:16277" ht="42.6" customHeight="1">
      <c r="A19" s="139">
        <v>18</v>
      </c>
      <c r="B19" s="128" t="s">
        <v>340</v>
      </c>
      <c r="C19" s="128" t="s">
        <v>341</v>
      </c>
      <c r="D19" s="128">
        <v>6000</v>
      </c>
      <c r="E19" s="128">
        <v>4000</v>
      </c>
      <c r="F19" s="118">
        <v>45517</v>
      </c>
      <c r="G19" s="118">
        <v>46246</v>
      </c>
      <c r="H19" s="128" t="s">
        <v>282</v>
      </c>
      <c r="I19" s="991">
        <f>E19/27*26.5</f>
        <v>3925.9259259259261</v>
      </c>
      <c r="J19" s="991">
        <f>E19/26*26</f>
        <v>4000</v>
      </c>
      <c r="K19" s="991">
        <v>4000</v>
      </c>
      <c r="L19" s="991">
        <f>E19/23*20.5</f>
        <v>3565.217391304348</v>
      </c>
      <c r="M19" s="998" t="s">
        <v>937</v>
      </c>
      <c r="N19" s="170"/>
      <c r="O19" s="170"/>
      <c r="P19" s="1019"/>
      <c r="Q19" s="1019"/>
      <c r="R19" s="1019"/>
      <c r="S19" s="1019"/>
      <c r="T19" s="1019"/>
      <c r="U19" s="1019"/>
      <c r="V19" s="1019"/>
      <c r="W19" s="1019"/>
      <c r="X19" s="1019"/>
      <c r="Y19" s="1018"/>
      <c r="Z19" s="1019"/>
      <c r="AA19" s="1018"/>
      <c r="AB19" s="1019"/>
      <c r="AC19" s="1019"/>
      <c r="AD19" s="1019"/>
      <c r="AE19" s="1019"/>
      <c r="AF19" s="1019"/>
      <c r="AG19" s="1019"/>
      <c r="AH19" s="1019"/>
      <c r="AI19" s="1019"/>
    </row>
    <row r="20" spans="1:16277" ht="21" customHeight="1">
      <c r="A20" s="139">
        <v>19</v>
      </c>
      <c r="B20" s="128" t="s">
        <v>294</v>
      </c>
      <c r="C20" s="128" t="s">
        <v>341</v>
      </c>
      <c r="D20" s="128">
        <v>10000</v>
      </c>
      <c r="E20" s="128">
        <v>6000</v>
      </c>
      <c r="F20" s="118">
        <v>45227</v>
      </c>
      <c r="G20" s="118">
        <v>45775</v>
      </c>
      <c r="H20" s="128" t="s">
        <v>282</v>
      </c>
      <c r="I20" s="128">
        <f>E20/23*23</f>
        <v>6000</v>
      </c>
      <c r="J20" s="128">
        <f>E20/21*21</f>
        <v>6000</v>
      </c>
      <c r="K20" s="128">
        <f>E20/20*11</f>
        <v>3300</v>
      </c>
      <c r="L20" s="991">
        <f>E20/23*22</f>
        <v>5739.130434782609</v>
      </c>
      <c r="M20" s="991" t="s">
        <v>1092</v>
      </c>
      <c r="N20" s="170"/>
      <c r="O20" s="170"/>
      <c r="P20" s="1019">
        <f>SUM(M20:N20)</f>
        <v>0</v>
      </c>
      <c r="Q20" s="1019"/>
      <c r="R20" s="1019"/>
      <c r="S20" s="1019"/>
      <c r="T20" s="1019"/>
      <c r="U20" s="1019"/>
      <c r="V20" s="1019"/>
      <c r="W20" s="1019"/>
      <c r="X20" s="1019"/>
      <c r="Y20" s="1018"/>
      <c r="Z20" s="1019"/>
      <c r="AA20" s="1018"/>
      <c r="AB20" s="1019"/>
      <c r="AC20" s="1019"/>
      <c r="AD20" s="1019"/>
      <c r="AE20" s="1019"/>
      <c r="AF20" s="1019"/>
      <c r="AG20" s="1019"/>
      <c r="AH20" s="1019"/>
      <c r="AI20" s="1019"/>
    </row>
    <row r="21" spans="1:16277" ht="30" customHeight="1">
      <c r="A21" s="139">
        <v>20</v>
      </c>
      <c r="B21" s="52" t="s">
        <v>201</v>
      </c>
      <c r="C21" s="52" t="s">
        <v>342</v>
      </c>
      <c r="D21" s="52">
        <v>25000</v>
      </c>
      <c r="E21" s="52">
        <v>5000</v>
      </c>
      <c r="F21" s="119">
        <v>44830</v>
      </c>
      <c r="G21" s="119">
        <v>45195</v>
      </c>
      <c r="H21" s="52" t="s">
        <v>282</v>
      </c>
      <c r="I21" s="52">
        <v>0</v>
      </c>
      <c r="J21" s="52">
        <f>E21/21*21</f>
        <v>5000</v>
      </c>
      <c r="K21" s="52">
        <v>5000</v>
      </c>
      <c r="L21" s="52">
        <v>0</v>
      </c>
      <c r="M21" s="712"/>
      <c r="N21" s="716" t="s">
        <v>1103</v>
      </c>
      <c r="O21" s="716"/>
      <c r="P21" s="1014">
        <f>SUM(M21:N21)</f>
        <v>0</v>
      </c>
      <c r="Q21" s="1016">
        <f>I21</f>
        <v>0</v>
      </c>
      <c r="R21" s="1016">
        <f>J21</f>
        <v>5000</v>
      </c>
      <c r="S21" s="1016">
        <f>K21</f>
        <v>5000</v>
      </c>
      <c r="T21" s="1016"/>
      <c r="U21" s="1016"/>
      <c r="V21" s="1016"/>
      <c r="W21" s="1014"/>
      <c r="X21" s="1014"/>
      <c r="Y21" s="1014"/>
      <c r="Z21" s="1014"/>
      <c r="AA21" s="1014"/>
      <c r="AB21" s="1014"/>
      <c r="AC21" s="1014"/>
      <c r="AD21" s="1014"/>
      <c r="AE21" s="1014"/>
      <c r="AF21" s="1014"/>
      <c r="AG21" s="1014"/>
      <c r="AH21" s="1014"/>
      <c r="AI21" s="1014"/>
    </row>
    <row r="22" spans="1:16277" ht="30.45" customHeight="1">
      <c r="A22" s="139">
        <v>21</v>
      </c>
      <c r="B22" s="62" t="s">
        <v>343</v>
      </c>
      <c r="C22" s="62" t="s">
        <v>342</v>
      </c>
      <c r="D22" s="128">
        <v>10000</v>
      </c>
      <c r="E22" s="128">
        <v>6000</v>
      </c>
      <c r="F22" s="118">
        <v>45286</v>
      </c>
      <c r="G22" s="118">
        <v>45834</v>
      </c>
      <c r="H22" s="128" t="s">
        <v>282</v>
      </c>
      <c r="I22" s="991">
        <f>E22/23*19</f>
        <v>4956.521739130435</v>
      </c>
      <c r="J22" s="991">
        <f>E22/21*21</f>
        <v>6000</v>
      </c>
      <c r="K22" s="991">
        <f>E22/20*20</f>
        <v>6000</v>
      </c>
      <c r="L22" s="991">
        <v>2000</v>
      </c>
      <c r="M22" s="991" t="s">
        <v>1104</v>
      </c>
      <c r="N22" s="170"/>
      <c r="O22" s="170"/>
      <c r="P22" s="1019"/>
      <c r="Q22" s="1019"/>
      <c r="R22" s="1019"/>
      <c r="S22" s="1019"/>
      <c r="T22" s="1019"/>
      <c r="U22" s="1019"/>
      <c r="V22" s="1019"/>
      <c r="W22" s="1019"/>
      <c r="X22" s="1019"/>
      <c r="Y22" s="1018"/>
      <c r="Z22" s="1018"/>
      <c r="AA22" s="1018"/>
      <c r="AB22" s="1019"/>
      <c r="AC22" s="1019"/>
      <c r="AD22" s="1019"/>
      <c r="AE22" s="1019"/>
      <c r="AF22" s="1019"/>
      <c r="AG22" s="1019"/>
      <c r="AH22" s="1019"/>
      <c r="AI22" s="1019"/>
    </row>
    <row r="23" spans="1:16277" ht="21" customHeight="1">
      <c r="A23" s="139">
        <v>22</v>
      </c>
      <c r="B23" s="62" t="s">
        <v>344</v>
      </c>
      <c r="C23" s="62" t="s">
        <v>342</v>
      </c>
      <c r="D23" s="128">
        <v>10000</v>
      </c>
      <c r="E23" s="128">
        <v>6000</v>
      </c>
      <c r="F23" s="118">
        <v>45323</v>
      </c>
      <c r="G23" s="118">
        <v>46054</v>
      </c>
      <c r="H23" s="128" t="s">
        <v>282</v>
      </c>
      <c r="I23" s="991">
        <f>E23/23*18</f>
        <v>4695.652173913044</v>
      </c>
      <c r="J23" s="991">
        <f>E23/21*21</f>
        <v>6000</v>
      </c>
      <c r="K23" s="991">
        <f>E23/20*20</f>
        <v>6000</v>
      </c>
      <c r="L23" s="991">
        <f>E23/23*23</f>
        <v>6000</v>
      </c>
      <c r="M23" s="991"/>
      <c r="N23" s="170"/>
      <c r="O23" s="170"/>
      <c r="P23" s="1018"/>
      <c r="Q23" s="1019"/>
      <c r="R23" s="1018"/>
      <c r="S23" s="1018"/>
      <c r="T23" s="1019"/>
      <c r="U23" s="1019"/>
      <c r="V23" s="1019"/>
      <c r="W23" s="1018"/>
      <c r="X23" s="1018"/>
      <c r="Y23" s="1018"/>
      <c r="Z23" s="1018"/>
      <c r="AA23" s="1018"/>
      <c r="AB23" s="1018"/>
      <c r="AC23" s="1018"/>
      <c r="AD23" s="1018"/>
      <c r="AE23" s="1018"/>
      <c r="AF23" s="1018"/>
      <c r="AG23" s="1018"/>
      <c r="AH23" s="1018"/>
      <c r="AI23" s="1018"/>
    </row>
    <row r="24" spans="1:16277" ht="21" customHeight="1">
      <c r="A24" s="139">
        <v>23</v>
      </c>
      <c r="B24" s="142" t="s">
        <v>345</v>
      </c>
      <c r="C24" s="128" t="s">
        <v>341</v>
      </c>
      <c r="D24" s="142">
        <v>8000</v>
      </c>
      <c r="E24" s="142">
        <v>6000</v>
      </c>
      <c r="F24" s="143">
        <v>45369</v>
      </c>
      <c r="G24" s="143">
        <v>45553</v>
      </c>
      <c r="H24" s="128" t="s">
        <v>282</v>
      </c>
      <c r="I24" s="142">
        <f>E24/23*23</f>
        <v>6000</v>
      </c>
      <c r="J24" s="142">
        <f t="shared" ref="J24:J29" si="4">E24/21*21</f>
        <v>6000</v>
      </c>
      <c r="K24" s="142">
        <v>5500</v>
      </c>
      <c r="L24" s="1059">
        <f>E24/23*15</f>
        <v>3913.0434782608695</v>
      </c>
      <c r="M24" s="142" t="s">
        <v>1109</v>
      </c>
      <c r="N24" s="170"/>
      <c r="O24" s="170"/>
      <c r="P24" s="1018"/>
      <c r="Q24" s="1019"/>
      <c r="R24" s="1018"/>
      <c r="S24" s="1018"/>
      <c r="T24" s="1019"/>
      <c r="U24" s="1019"/>
      <c r="V24" s="1019"/>
      <c r="W24" s="1018"/>
      <c r="X24" s="1018"/>
      <c r="Y24" s="1018"/>
      <c r="Z24" s="1018"/>
      <c r="AA24" s="1018"/>
      <c r="AB24" s="1018"/>
      <c r="AC24" s="1018"/>
      <c r="AD24" s="1018"/>
      <c r="AE24" s="1018"/>
      <c r="AF24" s="1018"/>
      <c r="AG24" s="1018"/>
      <c r="AH24" s="1018"/>
      <c r="AI24" s="1018"/>
    </row>
    <row r="25" spans="1:16277" ht="21" customHeight="1">
      <c r="A25" s="139">
        <v>24</v>
      </c>
      <c r="B25" s="52" t="s">
        <v>346</v>
      </c>
      <c r="C25" s="52" t="s">
        <v>150</v>
      </c>
      <c r="D25" s="52">
        <v>6000</v>
      </c>
      <c r="E25" s="52">
        <v>6000</v>
      </c>
      <c r="F25" s="119">
        <v>45477</v>
      </c>
      <c r="G25" s="119"/>
      <c r="H25" s="705" t="s">
        <v>282</v>
      </c>
      <c r="I25" s="705">
        <f>E25/23*23</f>
        <v>6000</v>
      </c>
      <c r="J25" s="705">
        <f t="shared" si="4"/>
        <v>6000</v>
      </c>
      <c r="K25" s="705">
        <f>E25/20*20</f>
        <v>6000</v>
      </c>
      <c r="L25" s="1002">
        <f>E25/23*13</f>
        <v>3391.304347826087</v>
      </c>
      <c r="M25" s="52" t="s">
        <v>1091</v>
      </c>
      <c r="N25" s="716"/>
      <c r="O25" s="716"/>
      <c r="P25" s="1014"/>
      <c r="Q25" s="1014">
        <f t="shared" ref="Q25:S26" si="5">I25</f>
        <v>6000</v>
      </c>
      <c r="R25" s="1014">
        <f t="shared" si="5"/>
        <v>6000</v>
      </c>
      <c r="S25" s="1014">
        <f t="shared" si="5"/>
        <v>6000</v>
      </c>
      <c r="T25" s="1016"/>
      <c r="U25" s="1016"/>
      <c r="V25" s="1016"/>
      <c r="W25" s="1014"/>
      <c r="X25" s="1014"/>
      <c r="Y25" s="1014"/>
      <c r="Z25" s="1002"/>
      <c r="AA25" s="1014"/>
      <c r="AB25" s="1014"/>
      <c r="AC25" s="1014"/>
      <c r="AD25" s="1014"/>
      <c r="AE25" s="1014"/>
      <c r="AF25" s="1014"/>
      <c r="AG25" s="1014"/>
      <c r="AH25" s="1014"/>
      <c r="AI25" s="1014"/>
    </row>
    <row r="26" spans="1:16277" ht="37.200000000000003" customHeight="1">
      <c r="A26" s="139">
        <v>25</v>
      </c>
      <c r="B26" s="705" t="s">
        <v>347</v>
      </c>
      <c r="C26" s="705" t="s">
        <v>150</v>
      </c>
      <c r="D26" s="705">
        <v>6000</v>
      </c>
      <c r="E26" s="705">
        <v>6000</v>
      </c>
      <c r="F26" s="706"/>
      <c r="G26" s="706"/>
      <c r="H26" s="705" t="s">
        <v>282</v>
      </c>
      <c r="I26" s="705">
        <f>E26/23*23</f>
        <v>6000</v>
      </c>
      <c r="J26" s="705">
        <f t="shared" si="4"/>
        <v>6000</v>
      </c>
      <c r="K26" s="705">
        <f>E26/20*20</f>
        <v>6000</v>
      </c>
      <c r="L26" s="1002">
        <f>E26/23*20</f>
        <v>5217.391304347826</v>
      </c>
      <c r="M26" s="705" t="s">
        <v>1089</v>
      </c>
      <c r="N26" s="716"/>
      <c r="O26" s="716"/>
      <c r="P26" s="1014"/>
      <c r="Q26" s="1014">
        <f t="shared" si="5"/>
        <v>6000</v>
      </c>
      <c r="R26" s="1014">
        <f t="shared" si="5"/>
        <v>6000</v>
      </c>
      <c r="S26" s="1014">
        <f t="shared" si="5"/>
        <v>6000</v>
      </c>
      <c r="T26" s="1016"/>
      <c r="U26" s="1016"/>
      <c r="V26" s="1016"/>
      <c r="W26" s="1014"/>
      <c r="X26" s="705"/>
      <c r="Y26" s="1002"/>
      <c r="Z26" s="1002"/>
      <c r="AA26" s="1014"/>
      <c r="AB26" s="1014"/>
      <c r="AC26" s="1014"/>
      <c r="AD26" s="1014"/>
      <c r="AE26" s="1014"/>
      <c r="AF26" s="1014"/>
      <c r="AG26" s="1014"/>
      <c r="AH26" s="1014"/>
      <c r="AI26" s="1014"/>
    </row>
    <row r="27" spans="1:16277" ht="94.2" customHeight="1">
      <c r="A27" s="139">
        <v>26</v>
      </c>
      <c r="B27" s="703" t="s">
        <v>911</v>
      </c>
      <c r="C27" s="703" t="s">
        <v>150</v>
      </c>
      <c r="D27" s="703">
        <v>6000</v>
      </c>
      <c r="E27" s="703">
        <v>6000</v>
      </c>
      <c r="F27" s="703"/>
      <c r="G27" s="703"/>
      <c r="H27" s="703" t="s">
        <v>282</v>
      </c>
      <c r="I27" s="703" t="s">
        <v>968</v>
      </c>
      <c r="J27" s="703">
        <f t="shared" si="4"/>
        <v>6000</v>
      </c>
      <c r="K27" s="703">
        <f>E27/20*20</f>
        <v>6000</v>
      </c>
      <c r="L27" s="703">
        <f t="shared" ref="L27:L32" si="6">E27/23*23</f>
        <v>6000</v>
      </c>
      <c r="M27" s="703" t="s">
        <v>1093</v>
      </c>
      <c r="N27" s="714"/>
      <c r="O27" s="714"/>
      <c r="P27" s="1033">
        <f>SUM(M27:N27)</f>
        <v>0</v>
      </c>
      <c r="Q27" s="1033">
        <f>SUM(N27:O27)</f>
        <v>0</v>
      </c>
      <c r="R27" s="1033">
        <f>J27</f>
        <v>6000</v>
      </c>
      <c r="S27" s="1033">
        <f>K27</f>
        <v>6000</v>
      </c>
      <c r="T27" s="1034"/>
      <c r="U27" s="1034"/>
      <c r="V27" s="1034"/>
      <c r="W27" s="1034"/>
      <c r="X27" s="1034"/>
      <c r="Y27" s="1034"/>
      <c r="Z27" s="1033"/>
      <c r="AA27" s="1033"/>
      <c r="AB27" s="1033"/>
      <c r="AC27" s="1033">
        <f t="shared" ref="AC27" si="7">N27</f>
        <v>0</v>
      </c>
      <c r="AD27" s="1033"/>
      <c r="AE27" s="1033"/>
      <c r="AF27" s="1033"/>
      <c r="AG27" s="1033"/>
      <c r="AH27" s="1033"/>
      <c r="AI27" s="1033"/>
    </row>
    <row r="28" spans="1:16277" ht="96" customHeight="1">
      <c r="A28" s="139">
        <v>27</v>
      </c>
      <c r="B28" s="1106" t="s">
        <v>221</v>
      </c>
      <c r="C28" s="1106" t="s">
        <v>150</v>
      </c>
      <c r="D28" s="1106">
        <v>15000</v>
      </c>
      <c r="E28" s="1106">
        <v>10000</v>
      </c>
      <c r="F28" s="1106">
        <v>44936</v>
      </c>
      <c r="G28" s="1106">
        <v>45301</v>
      </c>
      <c r="H28" s="1106" t="s">
        <v>282</v>
      </c>
      <c r="I28" s="1106">
        <v>0</v>
      </c>
      <c r="J28" s="1106">
        <f t="shared" si="4"/>
        <v>10000</v>
      </c>
      <c r="K28" s="1106">
        <f>E28/20*20</f>
        <v>10000</v>
      </c>
      <c r="L28" s="1106">
        <f t="shared" si="6"/>
        <v>10000</v>
      </c>
      <c r="M28" s="1106" t="s">
        <v>1093</v>
      </c>
      <c r="N28" s="1106"/>
      <c r="O28" s="1107">
        <f>SUM(M28:N28)</f>
        <v>0</v>
      </c>
      <c r="P28" s="1107">
        <f>O28-AB28</f>
        <v>0</v>
      </c>
      <c r="Q28" s="1108"/>
      <c r="R28" s="1108"/>
      <c r="S28" s="1107"/>
      <c r="T28" s="1107"/>
      <c r="U28" s="1107"/>
      <c r="V28" s="1107"/>
      <c r="W28" s="1108"/>
      <c r="X28" s="1108"/>
      <c r="Y28" s="1108"/>
      <c r="Z28" s="1108"/>
      <c r="AA28" s="1108"/>
      <c r="AB28" s="1107"/>
      <c r="AC28" s="1108">
        <f>SUM(R28:AB28)</f>
        <v>0</v>
      </c>
      <c r="AD28" s="1108"/>
      <c r="AE28" s="1109"/>
      <c r="AF28" s="1109"/>
      <c r="AG28" s="1109"/>
      <c r="AH28" s="1109"/>
      <c r="AI28" s="1108">
        <f>O28-AC28</f>
        <v>0</v>
      </c>
    </row>
    <row r="29" spans="1:16277" ht="36" customHeight="1">
      <c r="A29" s="139">
        <v>28</v>
      </c>
      <c r="B29" s="52" t="s">
        <v>87</v>
      </c>
      <c r="C29" s="52" t="s">
        <v>224</v>
      </c>
      <c r="D29" s="52">
        <v>52000</v>
      </c>
      <c r="E29" s="52">
        <v>5000</v>
      </c>
      <c r="F29" s="119">
        <v>44491</v>
      </c>
      <c r="G29" s="119">
        <v>44856</v>
      </c>
      <c r="H29" s="52" t="s">
        <v>282</v>
      </c>
      <c r="I29" s="712">
        <v>0</v>
      </c>
      <c r="J29" s="712">
        <f t="shared" si="4"/>
        <v>5000</v>
      </c>
      <c r="K29" s="712">
        <f>E29/20*20</f>
        <v>5000</v>
      </c>
      <c r="L29" s="712">
        <f t="shared" si="6"/>
        <v>5000</v>
      </c>
      <c r="M29" s="52"/>
      <c r="N29" s="716"/>
      <c r="O29" s="716"/>
      <c r="P29" s="1014">
        <f>SUM(M29:N29)</f>
        <v>0</v>
      </c>
      <c r="Q29" s="1014">
        <f>I29</f>
        <v>0</v>
      </c>
      <c r="R29" s="1014">
        <f>J29</f>
        <v>5000</v>
      </c>
      <c r="S29" s="1014">
        <f>K29</f>
        <v>5000</v>
      </c>
      <c r="T29" s="1022"/>
      <c r="U29" s="1016"/>
      <c r="V29" s="1016"/>
      <c r="W29" s="880"/>
      <c r="X29" s="880"/>
      <c r="Y29" s="1014"/>
      <c r="Z29" s="1014"/>
      <c r="AA29" s="1014"/>
      <c r="AB29" s="1014"/>
      <c r="AC29" s="1014">
        <f t="shared" ref="AC29" si="8">N29</f>
        <v>0</v>
      </c>
      <c r="AD29" s="1014"/>
      <c r="AE29" s="1014"/>
      <c r="AF29" s="1014"/>
      <c r="AG29" s="1014"/>
      <c r="AH29" s="1014"/>
      <c r="AI29" s="1014"/>
    </row>
    <row r="30" spans="1:16277" ht="37.950000000000003" customHeight="1">
      <c r="A30" s="139">
        <v>29</v>
      </c>
      <c r="B30" s="128" t="s">
        <v>309</v>
      </c>
      <c r="C30" s="128" t="s">
        <v>224</v>
      </c>
      <c r="D30" s="128">
        <v>20000</v>
      </c>
      <c r="E30" s="128">
        <v>5000</v>
      </c>
      <c r="F30" s="118">
        <v>45364</v>
      </c>
      <c r="G30" s="118">
        <v>45729</v>
      </c>
      <c r="H30" s="128" t="s">
        <v>282</v>
      </c>
      <c r="I30" s="991">
        <f>E30/23*22.5</f>
        <v>4891.304347826087</v>
      </c>
      <c r="J30" s="991">
        <f>E30/21*19.5</f>
        <v>4642.8571428571431</v>
      </c>
      <c r="K30" s="991">
        <v>4500</v>
      </c>
      <c r="L30" s="991">
        <v>2500</v>
      </c>
      <c r="M30" s="142" t="s">
        <v>1105</v>
      </c>
      <c r="N30" s="170"/>
      <c r="O30" s="170"/>
      <c r="P30" s="1018">
        <f>SUM(M30:N30)</f>
        <v>0</v>
      </c>
      <c r="Q30" s="1018"/>
      <c r="R30" s="1018"/>
      <c r="S30" s="1018"/>
      <c r="T30" s="1019"/>
      <c r="U30" s="1019"/>
      <c r="V30" s="1019"/>
      <c r="W30" s="1018"/>
      <c r="X30" s="1018"/>
      <c r="Y30" s="1018"/>
      <c r="Z30" s="1018"/>
      <c r="AA30" s="1018"/>
      <c r="AB30" s="1018"/>
      <c r="AC30" s="1018"/>
      <c r="AD30" s="1018"/>
      <c r="AE30" s="280"/>
      <c r="AF30" s="280"/>
      <c r="AG30" s="280"/>
      <c r="AH30" s="280"/>
      <c r="AI30" s="280"/>
    </row>
    <row r="31" spans="1:16277" s="1036" customFormat="1" ht="36" customHeight="1">
      <c r="A31" s="139">
        <v>30</v>
      </c>
      <c r="B31" s="705" t="s">
        <v>97</v>
      </c>
      <c r="C31" s="705" t="s">
        <v>224</v>
      </c>
      <c r="D31" s="705">
        <v>30000</v>
      </c>
      <c r="E31" s="705">
        <v>5000</v>
      </c>
      <c r="F31" s="706">
        <v>45383</v>
      </c>
      <c r="G31" s="706">
        <v>45748</v>
      </c>
      <c r="H31" s="705" t="s">
        <v>282</v>
      </c>
      <c r="I31" s="705">
        <f>E31/23*23</f>
        <v>5000</v>
      </c>
      <c r="J31" s="705">
        <f>E31/21*21</f>
        <v>5000</v>
      </c>
      <c r="K31" s="705">
        <f>E31/20*20</f>
        <v>5000</v>
      </c>
      <c r="L31" s="705">
        <f t="shared" si="6"/>
        <v>5000</v>
      </c>
      <c r="M31" s="716"/>
      <c r="N31" s="716"/>
      <c r="O31" s="716"/>
      <c r="P31" s="1014"/>
      <c r="Q31" s="1014">
        <f>I31</f>
        <v>5000</v>
      </c>
      <c r="R31" s="1014">
        <f>J31</f>
        <v>5000</v>
      </c>
      <c r="S31" s="1014">
        <f>K31</f>
        <v>5000</v>
      </c>
      <c r="T31" s="1016"/>
      <c r="U31" s="1016"/>
      <c r="V31" s="1016"/>
      <c r="W31" s="880"/>
      <c r="X31" s="880"/>
      <c r="Y31" s="1014"/>
      <c r="Z31" s="1014"/>
      <c r="AA31" s="1014"/>
      <c r="AB31" s="1014"/>
      <c r="AC31" s="1014"/>
      <c r="AD31" s="1014"/>
      <c r="AE31" s="719"/>
      <c r="AF31" s="719"/>
      <c r="AG31" s="719"/>
      <c r="AH31" s="719"/>
      <c r="AI31" s="719"/>
      <c r="AJ31" s="1000"/>
      <c r="AK31" s="1000"/>
      <c r="AL31" s="1000"/>
      <c r="AM31" s="1000"/>
      <c r="AN31" s="1000"/>
      <c r="AO31" s="1000"/>
      <c r="AP31" s="1000"/>
      <c r="AQ31" s="1000"/>
      <c r="AR31" s="1000"/>
      <c r="AS31" s="1000"/>
      <c r="AT31" s="1000"/>
      <c r="AU31" s="1000"/>
      <c r="AV31" s="1000"/>
      <c r="AW31" s="1000"/>
      <c r="AX31" s="1000"/>
      <c r="AY31" s="1000"/>
      <c r="AZ31" s="1000"/>
      <c r="BA31" s="1000"/>
      <c r="BB31" s="1000"/>
      <c r="BC31" s="1000"/>
      <c r="BD31" s="1000"/>
      <c r="BE31" s="1000"/>
      <c r="BF31" s="1000"/>
      <c r="BG31" s="1000"/>
      <c r="BH31" s="1000"/>
      <c r="BI31" s="1000"/>
      <c r="BJ31" s="1000"/>
      <c r="BK31" s="1000"/>
      <c r="BL31" s="1000"/>
      <c r="BM31" s="1000"/>
      <c r="BN31" s="1000"/>
      <c r="BO31" s="1000"/>
      <c r="BP31" s="1000"/>
      <c r="BQ31" s="1000"/>
      <c r="BR31" s="1000"/>
      <c r="BS31" s="1000"/>
      <c r="BT31" s="1000"/>
      <c r="BU31" s="1000"/>
      <c r="BV31" s="1000"/>
      <c r="BW31" s="1000"/>
      <c r="BX31" s="1000"/>
      <c r="BY31" s="1000"/>
      <c r="BZ31" s="1000"/>
      <c r="CA31" s="1000"/>
      <c r="CB31" s="1000"/>
      <c r="CC31" s="1000"/>
      <c r="CD31" s="1000"/>
      <c r="CE31" s="1000"/>
      <c r="CF31" s="1000"/>
      <c r="CG31" s="1000"/>
      <c r="CH31" s="1000"/>
      <c r="CI31" s="1000"/>
      <c r="CJ31" s="1000"/>
      <c r="CK31" s="1000"/>
      <c r="CL31" s="1000"/>
      <c r="CM31" s="1000"/>
      <c r="CN31" s="1000"/>
      <c r="CO31" s="1000"/>
      <c r="CP31" s="1000"/>
      <c r="CQ31" s="1000"/>
      <c r="CR31" s="1000"/>
      <c r="CS31" s="1000"/>
      <c r="CT31" s="1000"/>
      <c r="CU31" s="1000"/>
      <c r="CV31" s="1000"/>
      <c r="CW31" s="1000"/>
      <c r="CX31" s="1000"/>
      <c r="CY31" s="1000"/>
      <c r="CZ31" s="1000"/>
      <c r="DA31" s="1000"/>
      <c r="DB31" s="1000"/>
      <c r="DC31" s="1000"/>
      <c r="DD31" s="1000"/>
      <c r="DE31" s="1000"/>
      <c r="DF31" s="1000"/>
      <c r="DG31" s="1000"/>
      <c r="DH31" s="1000"/>
      <c r="DI31" s="1000"/>
      <c r="DJ31" s="1000"/>
      <c r="DK31" s="1000"/>
      <c r="DL31" s="1000"/>
      <c r="DM31" s="1000"/>
      <c r="DN31" s="1000"/>
      <c r="DO31" s="1000"/>
      <c r="DP31" s="1000"/>
      <c r="DQ31" s="1000"/>
      <c r="DR31" s="1000"/>
      <c r="DS31" s="1000"/>
      <c r="DT31" s="1000"/>
      <c r="DU31" s="1000"/>
      <c r="DV31" s="1000"/>
      <c r="DW31" s="1000"/>
      <c r="DX31" s="1000"/>
      <c r="DY31" s="1000"/>
      <c r="DZ31" s="1000"/>
      <c r="EA31" s="1000"/>
      <c r="EB31" s="1000"/>
      <c r="EC31" s="1000"/>
      <c r="ED31" s="1000"/>
      <c r="EE31" s="1000"/>
      <c r="EF31" s="1000"/>
      <c r="EG31" s="1000"/>
      <c r="EH31" s="1000"/>
      <c r="EI31" s="1000"/>
      <c r="EJ31" s="1000"/>
      <c r="EK31" s="1000"/>
      <c r="EL31" s="1000"/>
      <c r="EM31" s="1000"/>
      <c r="EN31" s="1000"/>
      <c r="EO31" s="1000"/>
      <c r="EP31" s="1000"/>
      <c r="EQ31" s="1000"/>
      <c r="ER31" s="1000"/>
      <c r="ES31" s="1000"/>
      <c r="ET31" s="1000"/>
      <c r="EU31" s="1000"/>
      <c r="EV31" s="1000"/>
      <c r="EW31" s="1000"/>
      <c r="EX31" s="1000"/>
      <c r="EY31" s="1000"/>
      <c r="EZ31" s="1000"/>
      <c r="FA31" s="1000"/>
      <c r="FB31" s="1000"/>
      <c r="FC31" s="1000"/>
      <c r="FD31" s="1000"/>
      <c r="FE31" s="1000"/>
      <c r="FF31" s="1000"/>
      <c r="FG31" s="1000"/>
      <c r="FH31" s="1000"/>
      <c r="FI31" s="1000"/>
      <c r="FJ31" s="1000"/>
      <c r="FK31" s="1000"/>
      <c r="FL31" s="1000"/>
      <c r="FM31" s="1000"/>
      <c r="FN31" s="1000"/>
      <c r="FO31" s="1000"/>
      <c r="FP31" s="1000"/>
      <c r="FQ31" s="1000"/>
      <c r="FR31" s="1000"/>
      <c r="FS31" s="1000"/>
      <c r="FT31" s="1000"/>
      <c r="FU31" s="1000"/>
      <c r="FV31" s="1000"/>
      <c r="FW31" s="1000"/>
      <c r="FX31" s="1000"/>
      <c r="FY31" s="1000"/>
      <c r="FZ31" s="1000"/>
      <c r="GA31" s="1000"/>
      <c r="GB31" s="1000"/>
      <c r="GC31" s="1000"/>
      <c r="GD31" s="1000"/>
      <c r="GE31" s="1000"/>
      <c r="GF31" s="1000"/>
      <c r="GG31" s="1000"/>
      <c r="GH31" s="1000"/>
      <c r="GI31" s="1000"/>
      <c r="GJ31" s="1000"/>
      <c r="GK31" s="1000"/>
      <c r="GL31" s="1000"/>
      <c r="GM31" s="1000"/>
      <c r="GN31" s="1000"/>
      <c r="GO31" s="1000"/>
      <c r="GP31" s="1000"/>
      <c r="GQ31" s="1000"/>
      <c r="GR31" s="1000"/>
      <c r="GS31" s="1000"/>
      <c r="GT31" s="1000"/>
      <c r="GU31" s="1000"/>
      <c r="GV31" s="1000"/>
      <c r="GW31" s="1000"/>
      <c r="GX31" s="1000"/>
      <c r="GY31" s="1000"/>
      <c r="GZ31" s="1000"/>
      <c r="HA31" s="1000"/>
      <c r="HB31" s="1000"/>
      <c r="HC31" s="1000"/>
      <c r="HD31" s="1000"/>
      <c r="HE31" s="1000"/>
      <c r="HF31" s="1000"/>
      <c r="HG31" s="1000"/>
      <c r="HH31" s="1000"/>
      <c r="HI31" s="1000"/>
      <c r="HJ31" s="1000"/>
      <c r="HK31" s="1000"/>
      <c r="HL31" s="1000"/>
      <c r="HM31" s="1000"/>
      <c r="HN31" s="1000"/>
      <c r="HO31" s="1000"/>
      <c r="HP31" s="1000"/>
      <c r="HQ31" s="1000"/>
      <c r="HR31" s="1000"/>
      <c r="HS31" s="1000"/>
      <c r="HT31" s="1000"/>
      <c r="HU31" s="1000"/>
      <c r="HV31" s="1000"/>
      <c r="HW31" s="1000"/>
      <c r="HX31" s="1000"/>
      <c r="HY31" s="1000"/>
      <c r="HZ31" s="1000"/>
      <c r="IA31" s="1000"/>
      <c r="IB31" s="1000"/>
      <c r="IC31" s="1000"/>
      <c r="ID31" s="1000"/>
      <c r="IE31" s="1000"/>
      <c r="IF31" s="1000"/>
      <c r="IG31" s="1000"/>
      <c r="IH31" s="1000"/>
      <c r="II31" s="1000"/>
      <c r="IJ31" s="1000"/>
      <c r="IK31" s="1000"/>
      <c r="IL31" s="1000"/>
      <c r="IM31" s="1000"/>
      <c r="IN31" s="1000"/>
      <c r="IO31" s="1000"/>
      <c r="IP31" s="1000"/>
      <c r="IQ31" s="1000"/>
      <c r="IR31" s="1000"/>
      <c r="IS31" s="1000"/>
      <c r="IT31" s="1000"/>
      <c r="IU31" s="1000"/>
      <c r="IV31" s="1000"/>
      <c r="IW31" s="1000"/>
      <c r="IX31" s="1000"/>
      <c r="IY31" s="1000"/>
      <c r="IZ31" s="1000"/>
      <c r="JA31" s="1000"/>
      <c r="JB31" s="1000"/>
      <c r="JC31" s="1000"/>
      <c r="JD31" s="1000"/>
      <c r="JE31" s="1000"/>
      <c r="JF31" s="1000"/>
      <c r="JG31" s="1000"/>
      <c r="JH31" s="1000"/>
      <c r="JI31" s="1000"/>
      <c r="JJ31" s="1000"/>
      <c r="JK31" s="1000"/>
      <c r="JL31" s="1000"/>
      <c r="JM31" s="1000"/>
      <c r="JN31" s="1000"/>
      <c r="JO31" s="1000"/>
      <c r="JP31" s="1000"/>
      <c r="JQ31" s="1000"/>
      <c r="JR31" s="1000"/>
      <c r="JS31" s="1000"/>
      <c r="JT31" s="1000"/>
      <c r="JU31" s="1000"/>
      <c r="JV31" s="1000"/>
      <c r="JW31" s="1000"/>
      <c r="JX31" s="1000"/>
      <c r="JY31" s="1000"/>
      <c r="JZ31" s="1000"/>
      <c r="KA31" s="1000"/>
      <c r="KB31" s="1000"/>
      <c r="KC31" s="1000"/>
      <c r="KD31" s="1000"/>
      <c r="KE31" s="1000"/>
      <c r="KF31" s="1000"/>
      <c r="KG31" s="1000"/>
      <c r="KH31" s="1000"/>
      <c r="KI31" s="1000"/>
      <c r="KJ31" s="1000"/>
      <c r="KK31" s="1000"/>
      <c r="KL31" s="1000"/>
      <c r="KM31" s="1000"/>
      <c r="KN31" s="1000"/>
      <c r="KO31" s="1000"/>
      <c r="KP31" s="1000"/>
      <c r="KQ31" s="1000"/>
      <c r="KR31" s="1000"/>
      <c r="KS31" s="1000"/>
      <c r="KT31" s="1000"/>
      <c r="KU31" s="1000"/>
      <c r="KV31" s="1000"/>
      <c r="KW31" s="1000"/>
      <c r="KX31" s="1000"/>
      <c r="KY31" s="1000"/>
      <c r="KZ31" s="1000"/>
      <c r="LA31" s="1000"/>
      <c r="LB31" s="1000"/>
      <c r="LC31" s="1000"/>
      <c r="LD31" s="1000"/>
      <c r="LE31" s="1000"/>
      <c r="LF31" s="1000"/>
      <c r="LG31" s="1000"/>
      <c r="LH31" s="1000"/>
      <c r="LI31" s="1000"/>
      <c r="LJ31" s="1000"/>
      <c r="LK31" s="1000"/>
      <c r="LL31" s="1000"/>
      <c r="LM31" s="1000"/>
      <c r="LN31" s="1000"/>
      <c r="LO31" s="1000"/>
      <c r="LP31" s="1000"/>
      <c r="LQ31" s="1000"/>
      <c r="LR31" s="1000"/>
      <c r="LS31" s="1000"/>
      <c r="LT31" s="1000"/>
      <c r="LU31" s="1000"/>
      <c r="LV31" s="1000"/>
      <c r="LW31" s="1000"/>
      <c r="LX31" s="1000"/>
      <c r="LY31" s="1000"/>
      <c r="LZ31" s="1000"/>
      <c r="MA31" s="1000"/>
      <c r="MB31" s="1000"/>
      <c r="MC31" s="1000"/>
      <c r="MD31" s="1000"/>
      <c r="ME31" s="1000"/>
      <c r="MF31" s="1000"/>
      <c r="MG31" s="1000"/>
      <c r="MH31" s="1000"/>
      <c r="MI31" s="1000"/>
      <c r="MJ31" s="1000"/>
      <c r="MK31" s="1000"/>
      <c r="ML31" s="1000"/>
      <c r="MM31" s="1000"/>
      <c r="MN31" s="1000"/>
      <c r="MO31" s="1000"/>
      <c r="MP31" s="1000"/>
      <c r="MQ31" s="1000"/>
      <c r="MR31" s="1000"/>
      <c r="MS31" s="1000"/>
      <c r="MT31" s="1000"/>
      <c r="MU31" s="1000"/>
      <c r="MV31" s="1000"/>
      <c r="MW31" s="1000"/>
      <c r="MX31" s="1000"/>
      <c r="MY31" s="1000"/>
      <c r="MZ31" s="1000"/>
      <c r="NA31" s="1000"/>
      <c r="NB31" s="1000"/>
      <c r="NC31" s="1000"/>
      <c r="ND31" s="1000"/>
      <c r="NE31" s="1000"/>
      <c r="NF31" s="1000"/>
      <c r="NG31" s="1000"/>
      <c r="NH31" s="1000"/>
      <c r="NI31" s="1000"/>
      <c r="NJ31" s="1000"/>
      <c r="NK31" s="1000"/>
      <c r="NL31" s="1000"/>
      <c r="NM31" s="1000"/>
      <c r="NN31" s="1000"/>
      <c r="NO31" s="1000"/>
      <c r="NP31" s="1000"/>
      <c r="NQ31" s="1000"/>
      <c r="NR31" s="1000"/>
      <c r="NS31" s="1000"/>
      <c r="NT31" s="1000"/>
      <c r="NU31" s="1000"/>
      <c r="NV31" s="1000"/>
      <c r="NW31" s="1000"/>
      <c r="NX31" s="1000"/>
      <c r="NY31" s="1000"/>
      <c r="NZ31" s="1000"/>
      <c r="OA31" s="1000"/>
      <c r="OB31" s="1000"/>
      <c r="OC31" s="1000"/>
      <c r="OD31" s="1000"/>
      <c r="OE31" s="1000"/>
      <c r="OF31" s="1000"/>
      <c r="OG31" s="1000"/>
      <c r="OH31" s="1000"/>
      <c r="OI31" s="1000"/>
      <c r="OJ31" s="1000"/>
      <c r="OK31" s="1000"/>
      <c r="OL31" s="1000"/>
      <c r="OM31" s="1000"/>
      <c r="ON31" s="1000"/>
      <c r="OO31" s="1000"/>
      <c r="OP31" s="1000"/>
      <c r="OQ31" s="1000"/>
      <c r="OR31" s="1000"/>
      <c r="OS31" s="1000"/>
      <c r="OT31" s="1000"/>
      <c r="OU31" s="1000"/>
      <c r="OV31" s="1000"/>
      <c r="OW31" s="1000"/>
      <c r="OX31" s="1000"/>
      <c r="OY31" s="1000"/>
      <c r="OZ31" s="1000"/>
      <c r="PA31" s="1000"/>
      <c r="PB31" s="1000"/>
      <c r="PC31" s="1000"/>
      <c r="PD31" s="1000"/>
      <c r="PE31" s="1000"/>
      <c r="PF31" s="1000"/>
      <c r="PG31" s="1000"/>
      <c r="PH31" s="1000"/>
      <c r="PI31" s="1000"/>
      <c r="PJ31" s="1000"/>
      <c r="PK31" s="1000"/>
      <c r="PL31" s="1000"/>
      <c r="PM31" s="1000"/>
      <c r="PN31" s="1000"/>
      <c r="PO31" s="1000"/>
      <c r="PP31" s="1000"/>
      <c r="PQ31" s="1000"/>
      <c r="PR31" s="1000"/>
      <c r="PS31" s="1000"/>
      <c r="PT31" s="1000"/>
      <c r="PU31" s="1000"/>
      <c r="PV31" s="1000"/>
      <c r="PW31" s="1000"/>
      <c r="PX31" s="1000"/>
      <c r="PY31" s="1000"/>
      <c r="PZ31" s="1000"/>
      <c r="QA31" s="1000"/>
      <c r="QB31" s="1000"/>
      <c r="QC31" s="1000"/>
      <c r="QD31" s="1000"/>
      <c r="QE31" s="1000"/>
      <c r="QF31" s="1000"/>
      <c r="QG31" s="1000"/>
      <c r="QH31" s="1000"/>
      <c r="QI31" s="1000"/>
      <c r="QJ31" s="1000"/>
      <c r="QK31" s="1000"/>
      <c r="QL31" s="1000"/>
      <c r="QM31" s="1000"/>
      <c r="QN31" s="1000"/>
      <c r="QO31" s="1000"/>
      <c r="QP31" s="1000"/>
      <c r="QQ31" s="1000"/>
      <c r="QR31" s="1000"/>
      <c r="QS31" s="1000"/>
      <c r="QT31" s="1000"/>
      <c r="QU31" s="1000"/>
      <c r="QV31" s="1000"/>
      <c r="QW31" s="1000"/>
      <c r="QX31" s="1000"/>
      <c r="QY31" s="1000"/>
      <c r="QZ31" s="1000"/>
      <c r="RA31" s="1000"/>
      <c r="RB31" s="1000"/>
      <c r="RC31" s="1000"/>
      <c r="RD31" s="1000"/>
      <c r="RE31" s="1000"/>
      <c r="RF31" s="1000"/>
      <c r="RG31" s="1000"/>
      <c r="RH31" s="1000"/>
      <c r="RI31" s="1000"/>
      <c r="RJ31" s="1000"/>
      <c r="RK31" s="1000"/>
      <c r="RL31" s="1000"/>
      <c r="RM31" s="1000"/>
      <c r="RN31" s="1000"/>
      <c r="RO31" s="1000"/>
      <c r="RP31" s="1000"/>
      <c r="RQ31" s="1000"/>
      <c r="RR31" s="1000"/>
      <c r="RS31" s="1000"/>
      <c r="RT31" s="1000"/>
      <c r="RU31" s="1000"/>
      <c r="RV31" s="1000"/>
      <c r="RW31" s="1000"/>
      <c r="RX31" s="1000"/>
      <c r="RY31" s="1000"/>
      <c r="RZ31" s="1000"/>
      <c r="SA31" s="1000"/>
      <c r="SB31" s="1000"/>
      <c r="SC31" s="1000"/>
      <c r="SD31" s="1000"/>
      <c r="SE31" s="1000"/>
      <c r="SF31" s="1000"/>
      <c r="SG31" s="1000"/>
      <c r="SH31" s="1000"/>
      <c r="SI31" s="1000"/>
      <c r="SJ31" s="1000"/>
      <c r="SK31" s="1000"/>
      <c r="SL31" s="1000"/>
      <c r="SM31" s="1000"/>
      <c r="SN31" s="1000"/>
      <c r="SO31" s="1000"/>
      <c r="SP31" s="1000"/>
      <c r="SQ31" s="1000"/>
      <c r="SR31" s="1000"/>
      <c r="SS31" s="1000"/>
      <c r="ST31" s="1000"/>
      <c r="SU31" s="1000"/>
      <c r="SV31" s="1000"/>
      <c r="SW31" s="1000"/>
      <c r="SX31" s="1000"/>
      <c r="SY31" s="1000"/>
      <c r="SZ31" s="1000"/>
      <c r="TA31" s="1000"/>
      <c r="TB31" s="1000"/>
      <c r="TC31" s="1000"/>
      <c r="TD31" s="1000"/>
      <c r="TE31" s="1000"/>
      <c r="TF31" s="1000"/>
      <c r="TG31" s="1000"/>
      <c r="TH31" s="1000"/>
      <c r="TI31" s="1000"/>
      <c r="TJ31" s="1000"/>
      <c r="TK31" s="1000"/>
      <c r="TL31" s="1000"/>
      <c r="TM31" s="1000"/>
      <c r="TN31" s="1000"/>
      <c r="TO31" s="1000"/>
      <c r="TP31" s="1000"/>
      <c r="TQ31" s="1000"/>
      <c r="TR31" s="1000"/>
      <c r="TS31" s="1000"/>
      <c r="TT31" s="1000"/>
      <c r="TU31" s="1000"/>
      <c r="TV31" s="1000"/>
      <c r="TW31" s="1000"/>
      <c r="TX31" s="1000"/>
      <c r="TY31" s="1000"/>
      <c r="TZ31" s="1000"/>
      <c r="UA31" s="1000"/>
      <c r="UB31" s="1000"/>
      <c r="UC31" s="1000"/>
      <c r="UD31" s="1000"/>
      <c r="UE31" s="1000"/>
      <c r="UF31" s="1000"/>
      <c r="UG31" s="1000"/>
      <c r="UH31" s="1000"/>
      <c r="UI31" s="1000"/>
      <c r="UJ31" s="1000"/>
      <c r="UK31" s="1000"/>
      <c r="UL31" s="1000"/>
      <c r="UM31" s="1000"/>
      <c r="UN31" s="1000"/>
      <c r="UO31" s="1000"/>
      <c r="UP31" s="1000"/>
      <c r="UQ31" s="1000"/>
      <c r="UR31" s="1000"/>
      <c r="US31" s="1000"/>
      <c r="UT31" s="1000"/>
      <c r="UU31" s="1000"/>
      <c r="UV31" s="1000"/>
      <c r="UW31" s="1000"/>
      <c r="UX31" s="1000"/>
      <c r="UY31" s="1000"/>
      <c r="UZ31" s="1000"/>
      <c r="VA31" s="1000"/>
      <c r="VB31" s="1000"/>
      <c r="VC31" s="1000"/>
      <c r="VD31" s="1000"/>
      <c r="VE31" s="1000"/>
      <c r="VF31" s="1000"/>
      <c r="VG31" s="1000"/>
      <c r="VH31" s="1000"/>
      <c r="VI31" s="1000"/>
      <c r="VJ31" s="1000"/>
      <c r="VK31" s="1000"/>
      <c r="VL31" s="1000"/>
      <c r="VM31" s="1000"/>
      <c r="VN31" s="1000"/>
      <c r="VO31" s="1000"/>
      <c r="VP31" s="1000"/>
      <c r="VQ31" s="1000"/>
      <c r="VR31" s="1000"/>
      <c r="VS31" s="1000"/>
      <c r="VT31" s="1000"/>
      <c r="VU31" s="1000"/>
      <c r="VV31" s="1000"/>
      <c r="VW31" s="1000"/>
      <c r="VX31" s="1000"/>
      <c r="VY31" s="1000"/>
      <c r="VZ31" s="1000"/>
      <c r="WA31" s="1000"/>
      <c r="WB31" s="1000"/>
      <c r="WC31" s="1000"/>
      <c r="WD31" s="1000"/>
      <c r="WE31" s="1000"/>
      <c r="WF31" s="1000"/>
      <c r="WG31" s="1000"/>
      <c r="WH31" s="1000"/>
      <c r="WI31" s="1000"/>
      <c r="WJ31" s="1000"/>
      <c r="WK31" s="1000"/>
      <c r="WL31" s="1000"/>
      <c r="WM31" s="1000"/>
      <c r="WN31" s="1000"/>
      <c r="WO31" s="1000"/>
      <c r="WP31" s="1000"/>
      <c r="WQ31" s="1000"/>
      <c r="WR31" s="1000"/>
      <c r="WS31" s="1000"/>
      <c r="WT31" s="1000"/>
      <c r="WU31" s="1000"/>
      <c r="WV31" s="1000"/>
      <c r="WW31" s="1000"/>
      <c r="WX31" s="1000"/>
      <c r="WY31" s="1000"/>
      <c r="WZ31" s="1000"/>
      <c r="XA31" s="1000"/>
      <c r="XB31" s="1000"/>
      <c r="XC31" s="1000"/>
      <c r="XD31" s="1000"/>
      <c r="XE31" s="1000"/>
      <c r="XF31" s="1000"/>
      <c r="XG31" s="1000"/>
      <c r="XH31" s="1000"/>
      <c r="XI31" s="1000"/>
      <c r="XJ31" s="1000"/>
      <c r="XK31" s="1000"/>
      <c r="XL31" s="1000"/>
      <c r="XM31" s="1000"/>
      <c r="XN31" s="1000"/>
      <c r="XO31" s="1000"/>
      <c r="XP31" s="1000"/>
      <c r="XQ31" s="1000"/>
      <c r="XR31" s="1000"/>
      <c r="XS31" s="1000"/>
      <c r="XT31" s="1000"/>
      <c r="XU31" s="1000"/>
      <c r="XV31" s="1000"/>
      <c r="XW31" s="1000"/>
      <c r="XX31" s="1000"/>
      <c r="XY31" s="1000"/>
      <c r="XZ31" s="1000"/>
      <c r="YA31" s="1000"/>
      <c r="YB31" s="1000"/>
      <c r="YC31" s="1000"/>
      <c r="YD31" s="1000"/>
      <c r="YE31" s="1000"/>
      <c r="YF31" s="1000"/>
      <c r="YG31" s="1000"/>
      <c r="YH31" s="1000"/>
      <c r="YI31" s="1000"/>
      <c r="YJ31" s="1000"/>
      <c r="YK31" s="1000"/>
      <c r="YL31" s="1000"/>
      <c r="YM31" s="1000"/>
      <c r="YN31" s="1000"/>
      <c r="YO31" s="1000"/>
      <c r="YP31" s="1000"/>
      <c r="YQ31" s="1000"/>
      <c r="YR31" s="1000"/>
      <c r="YS31" s="1000"/>
      <c r="YT31" s="1000"/>
      <c r="YU31" s="1000"/>
      <c r="YV31" s="1000"/>
      <c r="YW31" s="1000"/>
      <c r="YX31" s="1000"/>
      <c r="YY31" s="1000"/>
      <c r="YZ31" s="1000"/>
      <c r="ZA31" s="1000"/>
      <c r="ZB31" s="1000"/>
      <c r="ZC31" s="1000"/>
      <c r="ZD31" s="1000"/>
      <c r="ZE31" s="1000"/>
      <c r="ZF31" s="1000"/>
      <c r="ZG31" s="1000"/>
      <c r="ZH31" s="1000"/>
      <c r="ZI31" s="1000"/>
      <c r="ZJ31" s="1000"/>
      <c r="ZK31" s="1000"/>
      <c r="ZL31" s="1000"/>
      <c r="ZM31" s="1000"/>
      <c r="ZN31" s="1000"/>
      <c r="ZO31" s="1000"/>
      <c r="ZP31" s="1000"/>
      <c r="ZQ31" s="1000"/>
      <c r="ZR31" s="1000"/>
      <c r="ZS31" s="1000"/>
      <c r="ZT31" s="1000"/>
      <c r="ZU31" s="1000"/>
      <c r="ZV31" s="1000"/>
      <c r="ZW31" s="1000"/>
      <c r="ZX31" s="1000"/>
      <c r="ZY31" s="1000"/>
      <c r="ZZ31" s="1000"/>
      <c r="AAA31" s="1000"/>
      <c r="AAB31" s="1000"/>
      <c r="AAC31" s="1000"/>
      <c r="AAD31" s="1000"/>
      <c r="AAE31" s="1000"/>
      <c r="AAF31" s="1000"/>
      <c r="AAG31" s="1000"/>
      <c r="AAH31" s="1000"/>
      <c r="AAI31" s="1000"/>
      <c r="AAJ31" s="1000"/>
      <c r="AAK31" s="1000"/>
      <c r="AAL31" s="1000"/>
      <c r="AAM31" s="1000"/>
      <c r="AAN31" s="1000"/>
      <c r="AAO31" s="1000"/>
      <c r="AAP31" s="1000"/>
      <c r="AAQ31" s="1000"/>
      <c r="AAR31" s="1000"/>
      <c r="AAS31" s="1000"/>
      <c r="AAT31" s="1000"/>
      <c r="AAU31" s="1000"/>
      <c r="AAV31" s="1000"/>
      <c r="AAW31" s="1000"/>
      <c r="AAX31" s="1000"/>
      <c r="AAY31" s="1000"/>
      <c r="AAZ31" s="1000"/>
      <c r="ABA31" s="1000"/>
      <c r="ABB31" s="1000"/>
      <c r="ABC31" s="1000"/>
      <c r="ABD31" s="1000"/>
      <c r="ABE31" s="1000"/>
      <c r="ABF31" s="1000"/>
      <c r="ABG31" s="1000"/>
      <c r="ABH31" s="1000"/>
      <c r="ABI31" s="1000"/>
      <c r="ABJ31" s="1000"/>
      <c r="ABK31" s="1000"/>
      <c r="ABL31" s="1000"/>
      <c r="ABM31" s="1000"/>
      <c r="ABN31" s="1000"/>
      <c r="ABO31" s="1000"/>
      <c r="ABP31" s="1000"/>
      <c r="ABQ31" s="1000"/>
      <c r="ABR31" s="1000"/>
      <c r="ABS31" s="1000"/>
      <c r="ABT31" s="1000"/>
      <c r="ABU31" s="1000"/>
      <c r="ABV31" s="1000"/>
      <c r="ABW31" s="1000"/>
      <c r="ABX31" s="1000"/>
      <c r="ABY31" s="1000"/>
      <c r="ABZ31" s="1000"/>
      <c r="ACA31" s="1000"/>
      <c r="ACB31" s="1000"/>
      <c r="ACC31" s="1000"/>
      <c r="ACD31" s="1000"/>
      <c r="ACE31" s="1000"/>
      <c r="ACF31" s="1000"/>
      <c r="ACG31" s="1000"/>
      <c r="ACH31" s="1000"/>
      <c r="ACI31" s="1000"/>
      <c r="ACJ31" s="1000"/>
      <c r="ACK31" s="1000"/>
      <c r="ACL31" s="1000"/>
      <c r="ACM31" s="1000"/>
      <c r="ACN31" s="1000"/>
      <c r="ACO31" s="1000"/>
      <c r="ACP31" s="1000"/>
      <c r="ACQ31" s="1000"/>
      <c r="ACR31" s="1000"/>
      <c r="ACS31" s="1000"/>
      <c r="ACT31" s="1000"/>
      <c r="ACU31" s="1000"/>
      <c r="ACV31" s="1000"/>
      <c r="ACW31" s="1000"/>
      <c r="ACX31" s="1000"/>
      <c r="ACY31" s="1000"/>
      <c r="ACZ31" s="1000"/>
      <c r="ADA31" s="1000"/>
      <c r="ADB31" s="1000"/>
      <c r="ADC31" s="1000"/>
      <c r="ADD31" s="1000"/>
      <c r="ADE31" s="1000"/>
      <c r="ADF31" s="1000"/>
      <c r="ADG31" s="1000"/>
      <c r="ADH31" s="1000"/>
      <c r="ADI31" s="1000"/>
      <c r="ADJ31" s="1000"/>
      <c r="ADK31" s="1000"/>
      <c r="ADL31" s="1000"/>
      <c r="ADM31" s="1000"/>
      <c r="ADN31" s="1000"/>
      <c r="ADO31" s="1000"/>
      <c r="ADP31" s="1000"/>
      <c r="ADQ31" s="1000"/>
      <c r="ADR31" s="1000"/>
      <c r="ADS31" s="1000"/>
      <c r="ADT31" s="1000"/>
      <c r="ADU31" s="1000"/>
      <c r="ADV31" s="1000"/>
      <c r="ADW31" s="1000"/>
      <c r="ADX31" s="1000"/>
      <c r="ADY31" s="1000"/>
      <c r="ADZ31" s="1000"/>
      <c r="AEA31" s="1000"/>
      <c r="AEB31" s="1000"/>
      <c r="AEC31" s="1000"/>
      <c r="AED31" s="1000"/>
      <c r="AEE31" s="1000"/>
      <c r="AEF31" s="1000"/>
      <c r="AEG31" s="1000"/>
      <c r="AEH31" s="1000"/>
      <c r="AEI31" s="1000"/>
      <c r="AEJ31" s="1000"/>
      <c r="AEK31" s="1000"/>
      <c r="AEL31" s="1000"/>
      <c r="AEM31" s="1000"/>
      <c r="AEN31" s="1000"/>
      <c r="AEO31" s="1000"/>
      <c r="AEP31" s="1000"/>
      <c r="AEQ31" s="1000"/>
      <c r="AER31" s="1000"/>
      <c r="AES31" s="1000"/>
      <c r="AET31" s="1000"/>
      <c r="AEU31" s="1000"/>
      <c r="AEV31" s="1000"/>
      <c r="AEW31" s="1000"/>
      <c r="AEX31" s="1000"/>
      <c r="AEY31" s="1000"/>
      <c r="AEZ31" s="1000"/>
      <c r="AFA31" s="1000"/>
      <c r="AFB31" s="1000"/>
      <c r="AFC31" s="1000"/>
      <c r="AFD31" s="1000"/>
      <c r="AFE31" s="1000"/>
      <c r="AFF31" s="1000"/>
      <c r="AFG31" s="1000"/>
      <c r="AFH31" s="1000"/>
      <c r="AFI31" s="1000"/>
      <c r="AFJ31" s="1000"/>
      <c r="AFK31" s="1000"/>
      <c r="AFL31" s="1000"/>
      <c r="AFM31" s="1000"/>
      <c r="AFN31" s="1000"/>
      <c r="AFO31" s="1000"/>
      <c r="AFP31" s="1000"/>
      <c r="AFQ31" s="1000"/>
      <c r="AFR31" s="1000"/>
      <c r="AFS31" s="1000"/>
      <c r="AFT31" s="1000"/>
      <c r="AFU31" s="1000"/>
      <c r="AFV31" s="1000"/>
      <c r="AFW31" s="1000"/>
      <c r="AFX31" s="1000"/>
      <c r="AFY31" s="1000"/>
      <c r="AFZ31" s="1000"/>
      <c r="AGA31" s="1000"/>
      <c r="AGB31" s="1000"/>
      <c r="AGC31" s="1000"/>
      <c r="AGD31" s="1000"/>
      <c r="AGE31" s="1000"/>
      <c r="AGF31" s="1000"/>
      <c r="AGG31" s="1000"/>
      <c r="AGH31" s="1000"/>
      <c r="AGI31" s="1000"/>
      <c r="AGJ31" s="1000"/>
      <c r="AGK31" s="1000"/>
      <c r="AGL31" s="1000"/>
      <c r="AGM31" s="1000"/>
      <c r="AGN31" s="1000"/>
      <c r="AGO31" s="1000"/>
      <c r="AGP31" s="1000"/>
      <c r="AGQ31" s="1000"/>
      <c r="AGR31" s="1000"/>
      <c r="AGS31" s="1000"/>
      <c r="AGT31" s="1000"/>
      <c r="AGU31" s="1000"/>
      <c r="AGV31" s="1000"/>
      <c r="AGW31" s="1000"/>
      <c r="AGX31" s="1000"/>
      <c r="AGY31" s="1000"/>
      <c r="AGZ31" s="1000"/>
      <c r="AHA31" s="1000"/>
      <c r="AHB31" s="1000"/>
      <c r="AHC31" s="1000"/>
      <c r="AHD31" s="1000"/>
      <c r="AHE31" s="1000"/>
      <c r="AHF31" s="1000"/>
      <c r="AHG31" s="1000"/>
      <c r="AHH31" s="1000"/>
      <c r="AHI31" s="1000"/>
      <c r="AHJ31" s="1000"/>
      <c r="AHK31" s="1000"/>
      <c r="AHL31" s="1000"/>
      <c r="AHM31" s="1000"/>
      <c r="AHN31" s="1000"/>
      <c r="AHO31" s="1000"/>
      <c r="AHP31" s="1000"/>
      <c r="AHQ31" s="1000"/>
      <c r="AHR31" s="1000"/>
      <c r="AHS31" s="1000"/>
      <c r="AHT31" s="1000"/>
      <c r="AHU31" s="1000"/>
      <c r="AHV31" s="1000"/>
      <c r="AHW31" s="1000"/>
      <c r="AHX31" s="1000"/>
      <c r="AHY31" s="1000"/>
      <c r="AHZ31" s="1000"/>
      <c r="AIA31" s="1000"/>
      <c r="AIB31" s="1000"/>
      <c r="AIC31" s="1000"/>
      <c r="AID31" s="1000"/>
      <c r="AIE31" s="1000"/>
      <c r="AIF31" s="1000"/>
      <c r="AIG31" s="1000"/>
      <c r="AIH31" s="1000"/>
      <c r="AII31" s="1000"/>
      <c r="AIJ31" s="1000"/>
      <c r="AIK31" s="1000"/>
      <c r="AIL31" s="1000"/>
      <c r="AIM31" s="1000"/>
      <c r="AIN31" s="1000"/>
      <c r="AIO31" s="1000"/>
      <c r="AIP31" s="1000"/>
      <c r="AIQ31" s="1000"/>
      <c r="AIR31" s="1000"/>
      <c r="AIS31" s="1000"/>
      <c r="AIT31" s="1000"/>
      <c r="AIU31" s="1000"/>
      <c r="AIV31" s="1000"/>
      <c r="AIW31" s="1000"/>
      <c r="AIX31" s="1000"/>
      <c r="AIY31" s="1000"/>
      <c r="AIZ31" s="1000"/>
      <c r="AJA31" s="1000"/>
      <c r="AJB31" s="1000"/>
      <c r="AJC31" s="1000"/>
      <c r="AJD31" s="1000"/>
      <c r="AJE31" s="1000"/>
      <c r="AJF31" s="1000"/>
      <c r="AJG31" s="1000"/>
      <c r="AJH31" s="1000"/>
      <c r="AJI31" s="1000"/>
      <c r="AJJ31" s="1000"/>
      <c r="AJK31" s="1000"/>
      <c r="AJL31" s="1000"/>
      <c r="AJM31" s="1000"/>
      <c r="AJN31" s="1000"/>
      <c r="AJO31" s="1000"/>
      <c r="AJP31" s="1000"/>
      <c r="AJQ31" s="1000"/>
      <c r="AJR31" s="1000"/>
      <c r="AJS31" s="1000"/>
      <c r="AJT31" s="1000"/>
      <c r="AJU31" s="1000"/>
      <c r="AJV31" s="1000"/>
      <c r="AJW31" s="1000"/>
      <c r="AJX31" s="1000"/>
      <c r="AJY31" s="1000"/>
      <c r="AJZ31" s="1000"/>
      <c r="AKA31" s="1000"/>
      <c r="AKB31" s="1000"/>
      <c r="AKC31" s="1000"/>
      <c r="AKD31" s="1000"/>
      <c r="AKE31" s="1000"/>
      <c r="AKF31" s="1000"/>
      <c r="AKG31" s="1000"/>
      <c r="AKH31" s="1000"/>
      <c r="AKI31" s="1000"/>
      <c r="AKJ31" s="1000"/>
      <c r="AKK31" s="1000"/>
      <c r="AKL31" s="1000"/>
      <c r="AKM31" s="1000"/>
      <c r="AKN31" s="1000"/>
      <c r="AKO31" s="1000"/>
      <c r="AKP31" s="1000"/>
      <c r="AKQ31" s="1000"/>
      <c r="AKR31" s="1000"/>
      <c r="AKS31" s="1000"/>
      <c r="AKT31" s="1000"/>
      <c r="AKU31" s="1000"/>
      <c r="AKV31" s="1000"/>
      <c r="AKW31" s="1000"/>
      <c r="AKX31" s="1000"/>
      <c r="AKY31" s="1000"/>
      <c r="AKZ31" s="1000"/>
      <c r="ALA31" s="1000"/>
      <c r="ALB31" s="1000"/>
      <c r="ALC31" s="1000"/>
      <c r="ALD31" s="1000"/>
      <c r="ALE31" s="1000"/>
      <c r="ALF31" s="1000"/>
      <c r="ALG31" s="1000"/>
      <c r="ALH31" s="1000"/>
      <c r="ALI31" s="1000"/>
      <c r="ALJ31" s="1000"/>
      <c r="ALK31" s="1000"/>
      <c r="ALL31" s="1000"/>
      <c r="ALM31" s="1000"/>
      <c r="ALN31" s="1000"/>
      <c r="ALO31" s="1000"/>
      <c r="ALP31" s="1000"/>
      <c r="ALQ31" s="1000"/>
      <c r="ALR31" s="1000"/>
      <c r="ALS31" s="1000"/>
      <c r="ALT31" s="1000"/>
      <c r="ALU31" s="1000"/>
      <c r="ALV31" s="1000"/>
      <c r="ALW31" s="1000"/>
      <c r="ALX31" s="1000"/>
      <c r="ALY31" s="1000"/>
      <c r="ALZ31" s="1000"/>
      <c r="AMA31" s="1000"/>
      <c r="AMB31" s="1000"/>
      <c r="AMC31" s="1000"/>
      <c r="AMD31" s="1000"/>
      <c r="AME31" s="1000"/>
      <c r="AMF31" s="1000"/>
      <c r="AMG31" s="1000"/>
      <c r="AMH31" s="1000"/>
      <c r="AMI31" s="1000"/>
      <c r="AMJ31" s="1000"/>
      <c r="AMK31" s="1000"/>
      <c r="AML31" s="1000"/>
      <c r="AMM31" s="1000"/>
      <c r="AMN31" s="1000"/>
      <c r="AMO31" s="1000"/>
      <c r="AMP31" s="1000"/>
      <c r="AMQ31" s="1000"/>
      <c r="AMR31" s="1000"/>
      <c r="AMS31" s="1000"/>
      <c r="AMT31" s="1000"/>
      <c r="AMU31" s="1000"/>
      <c r="AMV31" s="1000"/>
      <c r="AMW31" s="1000"/>
      <c r="AMX31" s="1000"/>
      <c r="AMY31" s="1000"/>
      <c r="AMZ31" s="1000"/>
      <c r="ANA31" s="1000"/>
      <c r="ANB31" s="1000"/>
      <c r="ANC31" s="1000"/>
      <c r="AND31" s="1000"/>
      <c r="ANE31" s="1000"/>
      <c r="ANF31" s="1000"/>
      <c r="ANG31" s="1000"/>
      <c r="ANH31" s="1000"/>
      <c r="ANI31" s="1000"/>
      <c r="ANJ31" s="1000"/>
      <c r="ANK31" s="1000"/>
      <c r="ANL31" s="1000"/>
      <c r="ANM31" s="1000"/>
      <c r="ANN31" s="1000"/>
      <c r="ANO31" s="1000"/>
      <c r="ANP31" s="1000"/>
      <c r="ANQ31" s="1000"/>
      <c r="ANR31" s="1000"/>
      <c r="ANS31" s="1000"/>
      <c r="ANT31" s="1000"/>
      <c r="ANU31" s="1000"/>
      <c r="ANV31" s="1000"/>
      <c r="ANW31" s="1000"/>
      <c r="ANX31" s="1000"/>
      <c r="ANY31" s="1000"/>
      <c r="ANZ31" s="1000"/>
      <c r="AOA31" s="1000"/>
      <c r="AOB31" s="1000"/>
      <c r="AOC31" s="1000"/>
      <c r="AOD31" s="1000"/>
      <c r="AOE31" s="1000"/>
      <c r="AOF31" s="1000"/>
      <c r="AOG31" s="1000"/>
      <c r="AOH31" s="1000"/>
      <c r="AOI31" s="1000"/>
      <c r="AOJ31" s="1000"/>
      <c r="AOK31" s="1000"/>
      <c r="AOL31" s="1000"/>
      <c r="AOM31" s="1000"/>
      <c r="AON31" s="1000"/>
      <c r="AOO31" s="1000"/>
      <c r="AOP31" s="1000"/>
      <c r="AOQ31" s="1000"/>
      <c r="AOR31" s="1000"/>
      <c r="AOS31" s="1000"/>
      <c r="AOT31" s="1000"/>
      <c r="AOU31" s="1000"/>
      <c r="AOV31" s="1000"/>
      <c r="AOW31" s="1000"/>
      <c r="AOX31" s="1000"/>
      <c r="AOY31" s="1000"/>
      <c r="AOZ31" s="1000"/>
      <c r="APA31" s="1000"/>
      <c r="APB31" s="1000"/>
      <c r="APC31" s="1000"/>
      <c r="APD31" s="1000"/>
      <c r="APE31" s="1000"/>
      <c r="APF31" s="1000"/>
      <c r="APG31" s="1000"/>
      <c r="APH31" s="1000"/>
      <c r="API31" s="1000"/>
      <c r="APJ31" s="1000"/>
      <c r="APK31" s="1000"/>
      <c r="APL31" s="1000"/>
      <c r="APM31" s="1000"/>
      <c r="APN31" s="1000"/>
      <c r="APO31" s="1000"/>
      <c r="APP31" s="1000"/>
      <c r="APQ31" s="1000"/>
      <c r="APR31" s="1000"/>
      <c r="APS31" s="1000"/>
      <c r="APT31" s="1000"/>
      <c r="APU31" s="1000"/>
      <c r="APV31" s="1000"/>
      <c r="APW31" s="1000"/>
      <c r="APX31" s="1000"/>
      <c r="APY31" s="1000"/>
      <c r="APZ31" s="1000"/>
      <c r="AQA31" s="1000"/>
      <c r="AQB31" s="1000"/>
      <c r="AQC31" s="1000"/>
      <c r="AQD31" s="1000"/>
      <c r="AQE31" s="1000"/>
      <c r="AQF31" s="1000"/>
      <c r="AQG31" s="1000"/>
      <c r="AQH31" s="1000"/>
      <c r="AQI31" s="1000"/>
      <c r="AQJ31" s="1000"/>
      <c r="AQK31" s="1000"/>
      <c r="AQL31" s="1000"/>
      <c r="AQM31" s="1000"/>
      <c r="AQN31" s="1000"/>
      <c r="AQO31" s="1000"/>
      <c r="AQP31" s="1000"/>
      <c r="AQQ31" s="1000"/>
      <c r="AQR31" s="1000"/>
      <c r="AQS31" s="1000"/>
      <c r="AQT31" s="1000"/>
      <c r="AQU31" s="1000"/>
      <c r="AQV31" s="1000"/>
      <c r="AQW31" s="1000"/>
      <c r="AQX31" s="1000"/>
      <c r="AQY31" s="1000"/>
      <c r="AQZ31" s="1000"/>
      <c r="ARA31" s="1000"/>
      <c r="ARB31" s="1000"/>
      <c r="ARC31" s="1000"/>
      <c r="ARD31" s="1000"/>
      <c r="ARE31" s="1000"/>
      <c r="ARF31" s="1000"/>
      <c r="ARG31" s="1000"/>
      <c r="ARH31" s="1000"/>
      <c r="ARI31" s="1000"/>
      <c r="ARJ31" s="1000"/>
      <c r="ARK31" s="1000"/>
      <c r="ARL31" s="1000"/>
      <c r="ARM31" s="1000"/>
      <c r="ARN31" s="1000"/>
      <c r="ARO31" s="1000"/>
      <c r="ARP31" s="1000"/>
      <c r="ARQ31" s="1000"/>
      <c r="ARR31" s="1000"/>
      <c r="ARS31" s="1000"/>
      <c r="ART31" s="1000"/>
      <c r="ARU31" s="1000"/>
      <c r="ARV31" s="1000"/>
      <c r="ARW31" s="1000"/>
      <c r="ARX31" s="1000"/>
      <c r="ARY31" s="1000"/>
      <c r="ARZ31" s="1000"/>
      <c r="ASA31" s="1000"/>
      <c r="ASB31" s="1000"/>
      <c r="ASC31" s="1000"/>
      <c r="ASD31" s="1000"/>
      <c r="ASE31" s="1000"/>
      <c r="ASF31" s="1000"/>
      <c r="ASG31" s="1000"/>
      <c r="ASH31" s="1000"/>
      <c r="ASI31" s="1000"/>
      <c r="ASJ31" s="1000"/>
      <c r="ASK31" s="1000"/>
      <c r="ASL31" s="1000"/>
      <c r="ASM31" s="1000"/>
      <c r="ASN31" s="1000"/>
      <c r="ASO31" s="1000"/>
      <c r="ASP31" s="1000"/>
      <c r="ASQ31" s="1000"/>
      <c r="ASR31" s="1000"/>
      <c r="ASS31" s="1000"/>
      <c r="AST31" s="1000"/>
      <c r="ASU31" s="1000"/>
      <c r="ASV31" s="1000"/>
      <c r="ASW31" s="1000"/>
      <c r="ASX31" s="1000"/>
      <c r="ASY31" s="1000"/>
      <c r="ASZ31" s="1000"/>
      <c r="ATA31" s="1000"/>
      <c r="ATB31" s="1000"/>
      <c r="ATC31" s="1000"/>
      <c r="ATD31" s="1000"/>
      <c r="ATE31" s="1000"/>
      <c r="ATF31" s="1000"/>
      <c r="ATG31" s="1000"/>
      <c r="ATH31" s="1000"/>
      <c r="ATI31" s="1000"/>
      <c r="ATJ31" s="1000"/>
      <c r="ATK31" s="1000"/>
      <c r="ATL31" s="1000"/>
      <c r="ATM31" s="1000"/>
      <c r="ATN31" s="1000"/>
      <c r="ATO31" s="1000"/>
      <c r="ATP31" s="1000"/>
      <c r="ATQ31" s="1000"/>
      <c r="ATR31" s="1000"/>
      <c r="ATS31" s="1000"/>
      <c r="ATT31" s="1000"/>
      <c r="ATU31" s="1000"/>
      <c r="ATV31" s="1000"/>
      <c r="ATW31" s="1000"/>
      <c r="ATX31" s="1000"/>
      <c r="ATY31" s="1000"/>
      <c r="ATZ31" s="1000"/>
      <c r="AUA31" s="1000"/>
      <c r="AUB31" s="1000"/>
      <c r="AUC31" s="1000"/>
      <c r="AUD31" s="1000"/>
      <c r="AUE31" s="1000"/>
      <c r="AUF31" s="1000"/>
      <c r="AUG31" s="1000"/>
      <c r="AUH31" s="1000"/>
      <c r="AUI31" s="1000"/>
      <c r="AUJ31" s="1000"/>
      <c r="AUK31" s="1000"/>
      <c r="AUL31" s="1000"/>
      <c r="AUM31" s="1000"/>
      <c r="AUN31" s="1000"/>
      <c r="AUO31" s="1000"/>
      <c r="AUP31" s="1000"/>
      <c r="AUQ31" s="1000"/>
      <c r="AUR31" s="1000"/>
      <c r="AUS31" s="1000"/>
      <c r="AUT31" s="1000"/>
      <c r="AUU31" s="1000"/>
      <c r="AUV31" s="1000"/>
      <c r="AUW31" s="1000"/>
      <c r="AUX31" s="1000"/>
      <c r="AUY31" s="1000"/>
      <c r="AUZ31" s="1000"/>
      <c r="AVA31" s="1000"/>
      <c r="AVB31" s="1000"/>
      <c r="AVC31" s="1000"/>
      <c r="AVD31" s="1000"/>
      <c r="AVE31" s="1000"/>
      <c r="AVF31" s="1000"/>
      <c r="AVG31" s="1000"/>
      <c r="AVH31" s="1000"/>
      <c r="AVI31" s="1000"/>
      <c r="AVJ31" s="1000"/>
      <c r="AVK31" s="1000"/>
      <c r="AVL31" s="1000"/>
      <c r="AVM31" s="1000"/>
      <c r="AVN31" s="1000"/>
      <c r="AVO31" s="1000"/>
      <c r="AVP31" s="1000"/>
      <c r="AVQ31" s="1000"/>
      <c r="AVR31" s="1000"/>
      <c r="AVS31" s="1000"/>
      <c r="AVT31" s="1000"/>
      <c r="AVU31" s="1000"/>
      <c r="AVV31" s="1000"/>
      <c r="AVW31" s="1000"/>
      <c r="AVX31" s="1000"/>
      <c r="AVY31" s="1000"/>
      <c r="AVZ31" s="1000"/>
      <c r="AWA31" s="1000"/>
      <c r="AWB31" s="1000"/>
      <c r="AWC31" s="1000"/>
      <c r="AWD31" s="1000"/>
      <c r="AWE31" s="1000"/>
      <c r="AWF31" s="1000"/>
      <c r="AWG31" s="1000"/>
      <c r="AWH31" s="1000"/>
      <c r="AWI31" s="1000"/>
      <c r="AWJ31" s="1000"/>
      <c r="AWK31" s="1000"/>
      <c r="AWL31" s="1000"/>
      <c r="AWM31" s="1000"/>
      <c r="AWN31" s="1000"/>
      <c r="AWO31" s="1000"/>
      <c r="AWP31" s="1000"/>
      <c r="AWQ31" s="1000"/>
      <c r="AWR31" s="1000"/>
      <c r="AWS31" s="1000"/>
      <c r="AWT31" s="1000"/>
      <c r="AWU31" s="1000"/>
      <c r="AWV31" s="1000"/>
      <c r="AWW31" s="1000"/>
      <c r="AWX31" s="1000"/>
      <c r="AWY31" s="1000"/>
      <c r="AWZ31" s="1000"/>
      <c r="AXA31" s="1000"/>
      <c r="AXB31" s="1000"/>
      <c r="AXC31" s="1000"/>
      <c r="AXD31" s="1000"/>
      <c r="AXE31" s="1000"/>
      <c r="AXF31" s="1000"/>
      <c r="AXG31" s="1000"/>
      <c r="AXH31" s="1000"/>
      <c r="AXI31" s="1000"/>
      <c r="AXJ31" s="1000"/>
      <c r="AXK31" s="1000"/>
      <c r="AXL31" s="1000"/>
      <c r="AXM31" s="1000"/>
      <c r="AXN31" s="1000"/>
      <c r="AXO31" s="1000"/>
      <c r="AXP31" s="1000"/>
      <c r="AXQ31" s="1000"/>
      <c r="AXR31" s="1000"/>
      <c r="AXS31" s="1000"/>
      <c r="AXT31" s="1000"/>
      <c r="AXU31" s="1000"/>
      <c r="AXV31" s="1000"/>
      <c r="AXW31" s="1000"/>
      <c r="AXX31" s="1000"/>
      <c r="AXY31" s="1000"/>
      <c r="AXZ31" s="1000"/>
      <c r="AYA31" s="1000"/>
      <c r="AYB31" s="1000"/>
      <c r="AYC31" s="1000"/>
      <c r="AYD31" s="1000"/>
      <c r="AYE31" s="1000"/>
      <c r="AYF31" s="1000"/>
      <c r="AYG31" s="1000"/>
      <c r="AYH31" s="1000"/>
      <c r="AYI31" s="1000"/>
      <c r="AYJ31" s="1000"/>
      <c r="AYK31" s="1000"/>
      <c r="AYL31" s="1000"/>
      <c r="AYM31" s="1000"/>
      <c r="AYN31" s="1000"/>
      <c r="AYO31" s="1000"/>
      <c r="AYP31" s="1000"/>
      <c r="AYQ31" s="1000"/>
      <c r="AYR31" s="1000"/>
      <c r="AYS31" s="1000"/>
      <c r="AYT31" s="1000"/>
      <c r="AYU31" s="1000"/>
      <c r="AYV31" s="1000"/>
      <c r="AYW31" s="1000"/>
      <c r="AYX31" s="1000"/>
      <c r="AYY31" s="1000"/>
      <c r="AYZ31" s="1000"/>
      <c r="AZA31" s="1000"/>
      <c r="AZB31" s="1000"/>
      <c r="AZC31" s="1000"/>
      <c r="AZD31" s="1000"/>
      <c r="AZE31" s="1000"/>
      <c r="AZF31" s="1000"/>
      <c r="AZG31" s="1000"/>
      <c r="AZH31" s="1000"/>
      <c r="AZI31" s="1000"/>
      <c r="AZJ31" s="1000"/>
      <c r="AZK31" s="1000"/>
      <c r="AZL31" s="1000"/>
      <c r="AZM31" s="1000"/>
      <c r="AZN31" s="1000"/>
      <c r="AZO31" s="1000"/>
      <c r="AZP31" s="1000"/>
      <c r="AZQ31" s="1000"/>
      <c r="AZR31" s="1000"/>
      <c r="AZS31" s="1000"/>
      <c r="AZT31" s="1000"/>
      <c r="AZU31" s="1000"/>
      <c r="AZV31" s="1000"/>
      <c r="AZW31" s="1000"/>
      <c r="AZX31" s="1000"/>
      <c r="AZY31" s="1000"/>
      <c r="AZZ31" s="1000"/>
      <c r="BAA31" s="1000"/>
      <c r="BAB31" s="1000"/>
      <c r="BAC31" s="1000"/>
      <c r="BAD31" s="1000"/>
      <c r="BAE31" s="1000"/>
      <c r="BAF31" s="1000"/>
      <c r="BAG31" s="1000"/>
      <c r="BAH31" s="1000"/>
      <c r="BAI31" s="1000"/>
      <c r="BAJ31" s="1000"/>
      <c r="BAK31" s="1000"/>
      <c r="BAL31" s="1000"/>
      <c r="BAM31" s="1000"/>
      <c r="BAN31" s="1000"/>
      <c r="BAO31" s="1000"/>
      <c r="BAP31" s="1000"/>
      <c r="BAQ31" s="1000"/>
      <c r="BAR31" s="1000"/>
      <c r="BAS31" s="1000"/>
      <c r="BAT31" s="1000"/>
      <c r="BAU31" s="1000"/>
      <c r="BAV31" s="1000"/>
      <c r="BAW31" s="1000"/>
      <c r="BAX31" s="1000"/>
      <c r="BAY31" s="1000"/>
      <c r="BAZ31" s="1000"/>
      <c r="BBA31" s="1000"/>
      <c r="BBB31" s="1000"/>
      <c r="BBC31" s="1000"/>
      <c r="BBD31" s="1000"/>
      <c r="BBE31" s="1000"/>
      <c r="BBF31" s="1000"/>
      <c r="BBG31" s="1000"/>
      <c r="BBH31" s="1000"/>
      <c r="BBI31" s="1000"/>
      <c r="BBJ31" s="1000"/>
      <c r="BBK31" s="1000"/>
      <c r="BBL31" s="1000"/>
      <c r="BBM31" s="1000"/>
      <c r="BBN31" s="1000"/>
      <c r="BBO31" s="1000"/>
      <c r="BBP31" s="1000"/>
      <c r="BBQ31" s="1000"/>
      <c r="BBR31" s="1000"/>
      <c r="BBS31" s="1000"/>
      <c r="BBT31" s="1000"/>
      <c r="BBU31" s="1000"/>
      <c r="BBV31" s="1000"/>
      <c r="BBW31" s="1000"/>
      <c r="BBX31" s="1000"/>
      <c r="BBY31" s="1000"/>
      <c r="BBZ31" s="1000"/>
      <c r="BCA31" s="1000"/>
      <c r="BCB31" s="1000"/>
      <c r="BCC31" s="1000"/>
      <c r="BCD31" s="1000"/>
      <c r="BCE31" s="1000"/>
      <c r="BCF31" s="1000"/>
      <c r="BCG31" s="1000"/>
      <c r="BCH31" s="1000"/>
      <c r="BCI31" s="1000"/>
      <c r="BCJ31" s="1000"/>
      <c r="BCK31" s="1000"/>
      <c r="BCL31" s="1000"/>
      <c r="BCM31" s="1000"/>
      <c r="BCN31" s="1000"/>
      <c r="BCO31" s="1000"/>
      <c r="BCP31" s="1000"/>
      <c r="BCQ31" s="1000"/>
      <c r="BCR31" s="1000"/>
      <c r="BCS31" s="1000"/>
      <c r="BCT31" s="1000"/>
      <c r="BCU31" s="1000"/>
      <c r="BCV31" s="1000"/>
      <c r="BCW31" s="1000"/>
      <c r="BCX31" s="1000"/>
      <c r="BCY31" s="1000"/>
      <c r="BCZ31" s="1000"/>
      <c r="BDA31" s="1000"/>
      <c r="BDB31" s="1000"/>
      <c r="BDC31" s="1000"/>
      <c r="BDD31" s="1000"/>
      <c r="BDE31" s="1000"/>
      <c r="BDF31" s="1000"/>
      <c r="BDG31" s="1000"/>
      <c r="BDH31" s="1000"/>
      <c r="BDI31" s="1000"/>
      <c r="BDJ31" s="1000"/>
      <c r="BDK31" s="1000"/>
      <c r="BDL31" s="1000"/>
      <c r="BDM31" s="1000"/>
      <c r="BDN31" s="1000"/>
      <c r="BDO31" s="1000"/>
      <c r="BDP31" s="1000"/>
      <c r="BDQ31" s="1000"/>
      <c r="BDR31" s="1000"/>
      <c r="BDS31" s="1000"/>
      <c r="BDT31" s="1000"/>
      <c r="BDU31" s="1000"/>
      <c r="BDV31" s="1000"/>
      <c r="BDW31" s="1000"/>
      <c r="BDX31" s="1000"/>
      <c r="BDY31" s="1000"/>
      <c r="BDZ31" s="1000"/>
      <c r="BEA31" s="1000"/>
      <c r="BEB31" s="1000"/>
      <c r="BEC31" s="1000"/>
      <c r="BED31" s="1000"/>
      <c r="BEE31" s="1000"/>
      <c r="BEF31" s="1000"/>
      <c r="BEG31" s="1000"/>
      <c r="BEH31" s="1000"/>
      <c r="BEI31" s="1000"/>
      <c r="BEJ31" s="1000"/>
      <c r="BEK31" s="1000"/>
      <c r="BEL31" s="1000"/>
      <c r="BEM31" s="1000"/>
      <c r="BEN31" s="1000"/>
      <c r="BEO31" s="1000"/>
      <c r="BEP31" s="1000"/>
      <c r="BEQ31" s="1000"/>
      <c r="BER31" s="1000"/>
      <c r="BES31" s="1000"/>
      <c r="BET31" s="1000"/>
      <c r="BEU31" s="1000"/>
      <c r="BEV31" s="1000"/>
      <c r="BEW31" s="1000"/>
      <c r="BEX31" s="1000"/>
      <c r="BEY31" s="1000"/>
      <c r="BEZ31" s="1000"/>
      <c r="BFA31" s="1000"/>
      <c r="BFB31" s="1000"/>
      <c r="BFC31" s="1000"/>
      <c r="BFD31" s="1000"/>
      <c r="BFE31" s="1000"/>
      <c r="BFF31" s="1000"/>
      <c r="BFG31" s="1000"/>
      <c r="BFH31" s="1000"/>
      <c r="BFI31" s="1000"/>
      <c r="BFJ31" s="1000"/>
      <c r="BFK31" s="1000"/>
      <c r="BFL31" s="1000"/>
      <c r="BFM31" s="1000"/>
      <c r="BFN31" s="1000"/>
      <c r="BFO31" s="1000"/>
      <c r="BFP31" s="1000"/>
      <c r="BFQ31" s="1000"/>
      <c r="BFR31" s="1000"/>
      <c r="BFS31" s="1000"/>
      <c r="BFT31" s="1000"/>
      <c r="BFU31" s="1000"/>
      <c r="BFV31" s="1000"/>
      <c r="BFW31" s="1000"/>
      <c r="BFX31" s="1000"/>
      <c r="BFY31" s="1000"/>
      <c r="BFZ31" s="1000"/>
      <c r="BGA31" s="1000"/>
      <c r="BGB31" s="1000"/>
      <c r="BGC31" s="1000"/>
      <c r="BGD31" s="1000"/>
      <c r="BGE31" s="1000"/>
      <c r="BGF31" s="1000"/>
      <c r="BGG31" s="1000"/>
      <c r="BGH31" s="1000"/>
      <c r="BGI31" s="1000"/>
      <c r="BGJ31" s="1000"/>
      <c r="BGK31" s="1000"/>
      <c r="BGL31" s="1000"/>
      <c r="BGM31" s="1000"/>
      <c r="BGN31" s="1000"/>
      <c r="BGO31" s="1000"/>
      <c r="BGP31" s="1000"/>
      <c r="BGQ31" s="1000"/>
      <c r="BGR31" s="1000"/>
      <c r="BGS31" s="1000"/>
      <c r="BGT31" s="1000"/>
      <c r="BGU31" s="1000"/>
      <c r="BGV31" s="1000"/>
      <c r="BGW31" s="1000"/>
      <c r="BGX31" s="1000"/>
      <c r="BGY31" s="1000"/>
      <c r="BGZ31" s="1000"/>
      <c r="BHA31" s="1000"/>
      <c r="BHB31" s="1000"/>
      <c r="BHC31" s="1000"/>
      <c r="BHD31" s="1000"/>
      <c r="BHE31" s="1000"/>
      <c r="BHF31" s="1000"/>
      <c r="BHG31" s="1000"/>
      <c r="BHH31" s="1000"/>
      <c r="BHI31" s="1000"/>
      <c r="BHJ31" s="1000"/>
      <c r="BHK31" s="1000"/>
      <c r="BHL31" s="1000"/>
      <c r="BHM31" s="1000"/>
      <c r="BHN31" s="1000"/>
      <c r="BHO31" s="1000"/>
      <c r="BHP31" s="1000"/>
      <c r="BHQ31" s="1000"/>
      <c r="BHR31" s="1000"/>
      <c r="BHS31" s="1000"/>
      <c r="BHT31" s="1000"/>
      <c r="BHU31" s="1000"/>
      <c r="BHV31" s="1000"/>
      <c r="BHW31" s="1000"/>
      <c r="BHX31" s="1000"/>
      <c r="BHY31" s="1000"/>
      <c r="BHZ31" s="1000"/>
      <c r="BIA31" s="1000"/>
      <c r="BIB31" s="1000"/>
      <c r="BIC31" s="1000"/>
      <c r="BID31" s="1000"/>
      <c r="BIE31" s="1000"/>
      <c r="BIF31" s="1000"/>
      <c r="BIG31" s="1000"/>
      <c r="BIH31" s="1000"/>
      <c r="BII31" s="1000"/>
      <c r="BIJ31" s="1000"/>
      <c r="BIK31" s="1000"/>
      <c r="BIL31" s="1000"/>
      <c r="BIM31" s="1000"/>
      <c r="BIN31" s="1000"/>
      <c r="BIO31" s="1000"/>
      <c r="BIP31" s="1000"/>
      <c r="BIQ31" s="1000"/>
      <c r="BIR31" s="1000"/>
      <c r="BIS31" s="1000"/>
      <c r="BIT31" s="1000"/>
      <c r="BIU31" s="1000"/>
      <c r="BIV31" s="1000"/>
      <c r="BIW31" s="1000"/>
      <c r="BIX31" s="1000"/>
      <c r="BIY31" s="1000"/>
      <c r="BIZ31" s="1000"/>
      <c r="BJA31" s="1000"/>
      <c r="BJB31" s="1000"/>
      <c r="BJC31" s="1000"/>
      <c r="BJD31" s="1000"/>
      <c r="BJE31" s="1000"/>
      <c r="BJF31" s="1000"/>
      <c r="BJG31" s="1000"/>
      <c r="BJH31" s="1000"/>
      <c r="BJI31" s="1000"/>
      <c r="BJJ31" s="1000"/>
      <c r="BJK31" s="1000"/>
      <c r="BJL31" s="1000"/>
      <c r="BJM31" s="1000"/>
      <c r="BJN31" s="1000"/>
      <c r="BJO31" s="1000"/>
      <c r="BJP31" s="1000"/>
      <c r="BJQ31" s="1000"/>
      <c r="BJR31" s="1000"/>
      <c r="BJS31" s="1000"/>
      <c r="BJT31" s="1000"/>
      <c r="BJU31" s="1000"/>
      <c r="BJV31" s="1000"/>
      <c r="BJW31" s="1000"/>
      <c r="BJX31" s="1000"/>
      <c r="BJY31" s="1000"/>
      <c r="BJZ31" s="1000"/>
      <c r="BKA31" s="1000"/>
      <c r="BKB31" s="1000"/>
      <c r="BKC31" s="1000"/>
      <c r="BKD31" s="1000"/>
      <c r="BKE31" s="1000"/>
      <c r="BKF31" s="1000"/>
      <c r="BKG31" s="1000"/>
      <c r="BKH31" s="1000"/>
      <c r="BKI31" s="1000"/>
      <c r="BKJ31" s="1000"/>
      <c r="BKK31" s="1000"/>
      <c r="BKL31" s="1000"/>
      <c r="BKM31" s="1000"/>
      <c r="BKN31" s="1000"/>
      <c r="BKO31" s="1000"/>
      <c r="BKP31" s="1000"/>
      <c r="BKQ31" s="1000"/>
      <c r="BKR31" s="1000"/>
      <c r="BKS31" s="1000"/>
      <c r="BKT31" s="1000"/>
      <c r="BKU31" s="1000"/>
      <c r="BKV31" s="1000"/>
      <c r="BKW31" s="1000"/>
      <c r="BKX31" s="1000"/>
      <c r="BKY31" s="1000"/>
      <c r="BKZ31" s="1000"/>
      <c r="BLA31" s="1000"/>
      <c r="BLB31" s="1000"/>
      <c r="BLC31" s="1000"/>
      <c r="BLD31" s="1000"/>
      <c r="BLE31" s="1000"/>
      <c r="BLF31" s="1000"/>
      <c r="BLG31" s="1000"/>
      <c r="BLH31" s="1000"/>
      <c r="BLI31" s="1000"/>
      <c r="BLJ31" s="1000"/>
      <c r="BLK31" s="1000"/>
      <c r="BLL31" s="1000"/>
      <c r="BLM31" s="1000"/>
      <c r="BLN31" s="1000"/>
      <c r="BLO31" s="1000"/>
      <c r="BLP31" s="1000"/>
      <c r="BLQ31" s="1000"/>
      <c r="BLR31" s="1000"/>
      <c r="BLS31" s="1000"/>
      <c r="BLT31" s="1000"/>
      <c r="BLU31" s="1000"/>
      <c r="BLV31" s="1000"/>
      <c r="BLW31" s="1000"/>
      <c r="BLX31" s="1000"/>
      <c r="BLY31" s="1000"/>
      <c r="BLZ31" s="1000"/>
      <c r="BMA31" s="1000"/>
      <c r="BMB31" s="1000"/>
      <c r="BMC31" s="1000"/>
      <c r="BMD31" s="1000"/>
      <c r="BME31" s="1000"/>
      <c r="BMF31" s="1000"/>
      <c r="BMG31" s="1000"/>
      <c r="BMH31" s="1000"/>
      <c r="BMI31" s="1000"/>
      <c r="BMJ31" s="1000"/>
      <c r="BMK31" s="1000"/>
      <c r="BML31" s="1000"/>
      <c r="BMM31" s="1000"/>
      <c r="BMN31" s="1000"/>
      <c r="BMO31" s="1000"/>
      <c r="BMP31" s="1000"/>
      <c r="BMQ31" s="1000"/>
      <c r="BMR31" s="1000"/>
      <c r="BMS31" s="1000"/>
      <c r="BMT31" s="1000"/>
      <c r="BMU31" s="1000"/>
      <c r="BMV31" s="1000"/>
      <c r="BMW31" s="1000"/>
      <c r="BMX31" s="1000"/>
      <c r="BMY31" s="1000"/>
      <c r="BMZ31" s="1000"/>
      <c r="BNA31" s="1000"/>
      <c r="BNB31" s="1000"/>
      <c r="BNC31" s="1000"/>
      <c r="BND31" s="1000"/>
      <c r="BNE31" s="1000"/>
      <c r="BNF31" s="1000"/>
      <c r="BNG31" s="1000"/>
      <c r="BNH31" s="1000"/>
      <c r="BNI31" s="1000"/>
      <c r="BNJ31" s="1000"/>
      <c r="BNK31" s="1000"/>
      <c r="BNL31" s="1000"/>
      <c r="BNM31" s="1000"/>
      <c r="BNN31" s="1000"/>
      <c r="BNO31" s="1000"/>
      <c r="BNP31" s="1000"/>
      <c r="BNQ31" s="1000"/>
      <c r="BNR31" s="1000"/>
      <c r="BNS31" s="1000"/>
      <c r="BNT31" s="1000"/>
      <c r="BNU31" s="1000"/>
      <c r="BNV31" s="1000"/>
      <c r="BNW31" s="1000"/>
      <c r="BNX31" s="1000"/>
      <c r="BNY31" s="1000"/>
      <c r="BNZ31" s="1000"/>
      <c r="BOA31" s="1000"/>
      <c r="BOB31" s="1000"/>
      <c r="BOC31" s="1000"/>
      <c r="BOD31" s="1000"/>
      <c r="BOE31" s="1000"/>
      <c r="BOF31" s="1000"/>
      <c r="BOG31" s="1000"/>
      <c r="BOH31" s="1000"/>
      <c r="BOI31" s="1000"/>
      <c r="BOJ31" s="1000"/>
      <c r="BOK31" s="1000"/>
      <c r="BOL31" s="1000"/>
      <c r="BOM31" s="1000"/>
      <c r="BON31" s="1000"/>
      <c r="BOO31" s="1000"/>
      <c r="BOP31" s="1000"/>
      <c r="BOQ31" s="1000"/>
      <c r="BOR31" s="1000"/>
      <c r="BOS31" s="1000"/>
      <c r="BOT31" s="1000"/>
      <c r="BOU31" s="1000"/>
      <c r="BOV31" s="1000"/>
      <c r="BOW31" s="1000"/>
      <c r="BOX31" s="1000"/>
      <c r="BOY31" s="1000"/>
      <c r="BOZ31" s="1000"/>
      <c r="BPA31" s="1000"/>
      <c r="BPB31" s="1000"/>
      <c r="BPC31" s="1000"/>
      <c r="BPD31" s="1000"/>
      <c r="BPE31" s="1000"/>
      <c r="BPF31" s="1000"/>
      <c r="BPG31" s="1000"/>
      <c r="BPH31" s="1000"/>
      <c r="BPI31" s="1000"/>
      <c r="BPJ31" s="1000"/>
      <c r="BPK31" s="1000"/>
      <c r="BPL31" s="1000"/>
      <c r="BPM31" s="1000"/>
      <c r="BPN31" s="1000"/>
      <c r="BPO31" s="1000"/>
      <c r="BPP31" s="1000"/>
      <c r="BPQ31" s="1000"/>
      <c r="BPR31" s="1000"/>
      <c r="BPS31" s="1000"/>
      <c r="BPT31" s="1000"/>
      <c r="BPU31" s="1000"/>
      <c r="BPV31" s="1000"/>
      <c r="BPW31" s="1000"/>
      <c r="BPX31" s="1000"/>
      <c r="BPY31" s="1000"/>
      <c r="BPZ31" s="1000"/>
      <c r="BQA31" s="1000"/>
      <c r="BQB31" s="1000"/>
      <c r="BQC31" s="1000"/>
      <c r="BQD31" s="1000"/>
      <c r="BQE31" s="1000"/>
      <c r="BQF31" s="1000"/>
      <c r="BQG31" s="1000"/>
      <c r="BQH31" s="1000"/>
      <c r="BQI31" s="1000"/>
      <c r="BQJ31" s="1000"/>
      <c r="BQK31" s="1000"/>
      <c r="BQL31" s="1000"/>
      <c r="BQM31" s="1000"/>
      <c r="BQN31" s="1000"/>
      <c r="BQO31" s="1000"/>
      <c r="BQP31" s="1000"/>
      <c r="BQQ31" s="1000"/>
      <c r="BQR31" s="1000"/>
      <c r="BQS31" s="1000"/>
      <c r="BQT31" s="1000"/>
      <c r="BQU31" s="1000"/>
      <c r="BQV31" s="1000"/>
      <c r="BQW31" s="1000"/>
      <c r="BQX31" s="1000"/>
      <c r="BQY31" s="1000"/>
      <c r="BQZ31" s="1000"/>
      <c r="BRA31" s="1000"/>
      <c r="BRB31" s="1000"/>
      <c r="BRC31" s="1000"/>
      <c r="BRD31" s="1000"/>
      <c r="BRE31" s="1000"/>
      <c r="BRF31" s="1000"/>
      <c r="BRG31" s="1000"/>
      <c r="BRH31" s="1000"/>
      <c r="BRI31" s="1000"/>
      <c r="BRJ31" s="1000"/>
      <c r="BRK31" s="1000"/>
      <c r="BRL31" s="1000"/>
      <c r="BRM31" s="1000"/>
      <c r="BRN31" s="1000"/>
      <c r="BRO31" s="1000"/>
      <c r="BRP31" s="1000"/>
      <c r="BRQ31" s="1000"/>
      <c r="BRR31" s="1000"/>
      <c r="BRS31" s="1000"/>
      <c r="BRT31" s="1000"/>
      <c r="BRU31" s="1000"/>
      <c r="BRV31" s="1000"/>
      <c r="BRW31" s="1000"/>
      <c r="BRX31" s="1000"/>
      <c r="BRY31" s="1000"/>
      <c r="BRZ31" s="1000"/>
      <c r="BSA31" s="1000"/>
      <c r="BSB31" s="1000"/>
      <c r="BSC31" s="1000"/>
      <c r="BSD31" s="1000"/>
      <c r="BSE31" s="1000"/>
      <c r="BSF31" s="1000"/>
      <c r="BSG31" s="1000"/>
      <c r="BSH31" s="1000"/>
      <c r="BSI31" s="1000"/>
      <c r="BSJ31" s="1000"/>
      <c r="BSK31" s="1000"/>
      <c r="BSL31" s="1000"/>
      <c r="BSM31" s="1000"/>
      <c r="BSN31" s="1000"/>
      <c r="BSO31" s="1000"/>
      <c r="BSP31" s="1000"/>
      <c r="BSQ31" s="1000"/>
      <c r="BSR31" s="1000"/>
      <c r="BSS31" s="1000"/>
      <c r="BST31" s="1000"/>
      <c r="BSU31" s="1000"/>
      <c r="BSV31" s="1000"/>
      <c r="BSW31" s="1000"/>
      <c r="BSX31" s="1000"/>
      <c r="BSY31" s="1000"/>
      <c r="BSZ31" s="1000"/>
      <c r="BTA31" s="1000"/>
      <c r="BTB31" s="1000"/>
      <c r="BTC31" s="1000"/>
      <c r="BTD31" s="1000"/>
      <c r="BTE31" s="1000"/>
      <c r="BTF31" s="1000"/>
      <c r="BTG31" s="1000"/>
      <c r="BTH31" s="1000"/>
      <c r="BTI31" s="1000"/>
      <c r="BTJ31" s="1000"/>
      <c r="BTK31" s="1000"/>
      <c r="BTL31" s="1000"/>
      <c r="BTM31" s="1000"/>
      <c r="BTN31" s="1000"/>
      <c r="BTO31" s="1000"/>
      <c r="BTP31" s="1000"/>
      <c r="BTQ31" s="1000"/>
      <c r="BTR31" s="1000"/>
      <c r="BTS31" s="1000"/>
      <c r="BTT31" s="1000"/>
      <c r="BTU31" s="1000"/>
      <c r="BTV31" s="1000"/>
      <c r="BTW31" s="1000"/>
      <c r="BTX31" s="1000"/>
      <c r="BTY31" s="1000"/>
      <c r="BTZ31" s="1000"/>
      <c r="BUA31" s="1000"/>
      <c r="BUB31" s="1000"/>
      <c r="BUC31" s="1000"/>
      <c r="BUD31" s="1000"/>
      <c r="BUE31" s="1000"/>
      <c r="BUF31" s="1000"/>
      <c r="BUG31" s="1000"/>
      <c r="BUH31" s="1000"/>
      <c r="BUI31" s="1000"/>
      <c r="BUJ31" s="1000"/>
      <c r="BUK31" s="1000"/>
      <c r="BUL31" s="1000"/>
      <c r="BUM31" s="1000"/>
      <c r="BUN31" s="1000"/>
      <c r="BUO31" s="1000"/>
      <c r="BUP31" s="1000"/>
      <c r="BUQ31" s="1000"/>
      <c r="BUR31" s="1000"/>
      <c r="BUS31" s="1000"/>
      <c r="BUT31" s="1000"/>
      <c r="BUU31" s="1000"/>
      <c r="BUV31" s="1000"/>
      <c r="BUW31" s="1000"/>
      <c r="BUX31" s="1000"/>
      <c r="BUY31" s="1000"/>
      <c r="BUZ31" s="1000"/>
      <c r="BVA31" s="1000"/>
      <c r="BVB31" s="1000"/>
      <c r="BVC31" s="1000"/>
      <c r="BVD31" s="1000"/>
      <c r="BVE31" s="1000"/>
      <c r="BVF31" s="1000"/>
      <c r="BVG31" s="1000"/>
      <c r="BVH31" s="1000"/>
      <c r="BVI31" s="1000"/>
      <c r="BVJ31" s="1000"/>
      <c r="BVK31" s="1000"/>
      <c r="BVL31" s="1000"/>
      <c r="BVM31" s="1000"/>
      <c r="BVN31" s="1000"/>
      <c r="BVO31" s="1000"/>
      <c r="BVP31" s="1000"/>
      <c r="BVQ31" s="1000"/>
      <c r="BVR31" s="1000"/>
      <c r="BVS31" s="1000"/>
      <c r="BVT31" s="1000"/>
      <c r="BVU31" s="1000"/>
      <c r="BVV31" s="1000"/>
      <c r="BVW31" s="1000"/>
      <c r="BVX31" s="1000"/>
      <c r="BVY31" s="1000"/>
      <c r="BVZ31" s="1000"/>
      <c r="BWA31" s="1000"/>
      <c r="BWB31" s="1000"/>
      <c r="BWC31" s="1000"/>
      <c r="BWD31" s="1000"/>
      <c r="BWE31" s="1000"/>
      <c r="BWF31" s="1000"/>
      <c r="BWG31" s="1000"/>
      <c r="BWH31" s="1000"/>
      <c r="BWI31" s="1000"/>
      <c r="BWJ31" s="1000"/>
      <c r="BWK31" s="1000"/>
      <c r="BWL31" s="1000"/>
      <c r="BWM31" s="1000"/>
      <c r="BWN31" s="1000"/>
      <c r="BWO31" s="1000"/>
      <c r="BWP31" s="1000"/>
      <c r="BWQ31" s="1000"/>
      <c r="BWR31" s="1000"/>
      <c r="BWS31" s="1000"/>
      <c r="BWT31" s="1000"/>
      <c r="BWU31" s="1000"/>
      <c r="BWV31" s="1000"/>
      <c r="BWW31" s="1000"/>
      <c r="BWX31" s="1000"/>
      <c r="BWY31" s="1000"/>
      <c r="BWZ31" s="1000"/>
      <c r="BXA31" s="1000"/>
      <c r="BXB31" s="1000"/>
      <c r="BXC31" s="1000"/>
      <c r="BXD31" s="1000"/>
      <c r="BXE31" s="1000"/>
      <c r="BXF31" s="1000"/>
      <c r="BXG31" s="1000"/>
      <c r="BXH31" s="1000"/>
      <c r="BXI31" s="1000"/>
      <c r="BXJ31" s="1000"/>
      <c r="BXK31" s="1000"/>
      <c r="BXL31" s="1000"/>
      <c r="BXM31" s="1000"/>
      <c r="BXN31" s="1000"/>
      <c r="BXO31" s="1000"/>
      <c r="BXP31" s="1000"/>
      <c r="BXQ31" s="1000"/>
      <c r="BXR31" s="1000"/>
      <c r="BXS31" s="1000"/>
      <c r="BXT31" s="1000"/>
      <c r="BXU31" s="1000"/>
      <c r="BXV31" s="1000"/>
      <c r="BXW31" s="1000"/>
      <c r="BXX31" s="1000"/>
      <c r="BXY31" s="1000"/>
      <c r="BXZ31" s="1000"/>
      <c r="BYA31" s="1000"/>
      <c r="BYB31" s="1000"/>
      <c r="BYC31" s="1000"/>
      <c r="BYD31" s="1000"/>
      <c r="BYE31" s="1000"/>
      <c r="BYF31" s="1000"/>
      <c r="BYG31" s="1000"/>
      <c r="BYH31" s="1000"/>
      <c r="BYI31" s="1000"/>
      <c r="BYJ31" s="1000"/>
      <c r="BYK31" s="1000"/>
      <c r="BYL31" s="1000"/>
      <c r="BYM31" s="1000"/>
      <c r="BYN31" s="1000"/>
      <c r="BYO31" s="1000"/>
      <c r="BYP31" s="1000"/>
      <c r="BYQ31" s="1000"/>
      <c r="BYR31" s="1000"/>
      <c r="BYS31" s="1000"/>
      <c r="BYT31" s="1000"/>
      <c r="BYU31" s="1000"/>
      <c r="BYV31" s="1000"/>
      <c r="BYW31" s="1000"/>
      <c r="BYX31" s="1000"/>
      <c r="BYY31" s="1000"/>
      <c r="BYZ31" s="1000"/>
      <c r="BZA31" s="1000"/>
      <c r="BZB31" s="1000"/>
      <c r="BZC31" s="1000"/>
      <c r="BZD31" s="1000"/>
      <c r="BZE31" s="1000"/>
      <c r="BZF31" s="1000"/>
      <c r="BZG31" s="1000"/>
      <c r="BZH31" s="1000"/>
      <c r="BZI31" s="1000"/>
      <c r="BZJ31" s="1000"/>
      <c r="BZK31" s="1000"/>
      <c r="BZL31" s="1000"/>
      <c r="BZM31" s="1000"/>
      <c r="BZN31" s="1000"/>
      <c r="BZO31" s="1000"/>
      <c r="BZP31" s="1000"/>
      <c r="BZQ31" s="1000"/>
      <c r="BZR31" s="1000"/>
      <c r="BZS31" s="1000"/>
      <c r="BZT31" s="1000"/>
      <c r="BZU31" s="1000"/>
      <c r="BZV31" s="1000"/>
      <c r="BZW31" s="1000"/>
      <c r="BZX31" s="1000"/>
      <c r="BZY31" s="1000"/>
      <c r="BZZ31" s="1000"/>
      <c r="CAA31" s="1000"/>
      <c r="CAB31" s="1000"/>
      <c r="CAC31" s="1000"/>
      <c r="CAD31" s="1000"/>
      <c r="CAE31" s="1000"/>
      <c r="CAF31" s="1000"/>
      <c r="CAG31" s="1000"/>
      <c r="CAH31" s="1000"/>
      <c r="CAI31" s="1000"/>
      <c r="CAJ31" s="1000"/>
      <c r="CAK31" s="1000"/>
      <c r="CAL31" s="1000"/>
      <c r="CAM31" s="1000"/>
      <c r="CAN31" s="1000"/>
      <c r="CAO31" s="1000"/>
      <c r="CAP31" s="1000"/>
      <c r="CAQ31" s="1000"/>
      <c r="CAR31" s="1000"/>
      <c r="CAS31" s="1000"/>
      <c r="CAT31" s="1000"/>
      <c r="CAU31" s="1000"/>
      <c r="CAV31" s="1000"/>
      <c r="CAW31" s="1000"/>
      <c r="CAX31" s="1000"/>
      <c r="CAY31" s="1000"/>
      <c r="CAZ31" s="1000"/>
      <c r="CBA31" s="1000"/>
      <c r="CBB31" s="1000"/>
      <c r="CBC31" s="1000"/>
      <c r="CBD31" s="1000"/>
      <c r="CBE31" s="1000"/>
      <c r="CBF31" s="1000"/>
      <c r="CBG31" s="1000"/>
      <c r="CBH31" s="1000"/>
      <c r="CBI31" s="1000"/>
      <c r="CBJ31" s="1000"/>
      <c r="CBK31" s="1000"/>
      <c r="CBL31" s="1000"/>
      <c r="CBM31" s="1000"/>
      <c r="CBN31" s="1000"/>
      <c r="CBO31" s="1000"/>
      <c r="CBP31" s="1000"/>
      <c r="CBQ31" s="1000"/>
      <c r="CBR31" s="1000"/>
      <c r="CBS31" s="1000"/>
      <c r="CBT31" s="1000"/>
      <c r="CBU31" s="1000"/>
      <c r="CBV31" s="1000"/>
      <c r="CBW31" s="1000"/>
      <c r="CBX31" s="1000"/>
      <c r="CBY31" s="1000"/>
      <c r="CBZ31" s="1000"/>
      <c r="CCA31" s="1000"/>
      <c r="CCB31" s="1000"/>
      <c r="CCC31" s="1000"/>
      <c r="CCD31" s="1000"/>
      <c r="CCE31" s="1000"/>
      <c r="CCF31" s="1000"/>
      <c r="CCG31" s="1000"/>
      <c r="CCH31" s="1000"/>
      <c r="CCI31" s="1000"/>
      <c r="CCJ31" s="1000"/>
      <c r="CCK31" s="1000"/>
      <c r="CCL31" s="1000"/>
      <c r="CCM31" s="1000"/>
      <c r="CCN31" s="1000"/>
      <c r="CCO31" s="1000"/>
      <c r="CCP31" s="1000"/>
      <c r="CCQ31" s="1000"/>
      <c r="CCR31" s="1000"/>
      <c r="CCS31" s="1000"/>
      <c r="CCT31" s="1000"/>
      <c r="CCU31" s="1000"/>
      <c r="CCV31" s="1000"/>
      <c r="CCW31" s="1000"/>
      <c r="CCX31" s="1000"/>
      <c r="CCY31" s="1000"/>
      <c r="CCZ31" s="1000"/>
      <c r="CDA31" s="1000"/>
      <c r="CDB31" s="1000"/>
      <c r="CDC31" s="1000"/>
      <c r="CDD31" s="1000"/>
      <c r="CDE31" s="1000"/>
      <c r="CDF31" s="1000"/>
      <c r="CDG31" s="1000"/>
      <c r="CDH31" s="1000"/>
      <c r="CDI31" s="1000"/>
      <c r="CDJ31" s="1000"/>
      <c r="CDK31" s="1000"/>
      <c r="CDL31" s="1000"/>
      <c r="CDM31" s="1000"/>
      <c r="CDN31" s="1000"/>
      <c r="CDO31" s="1000"/>
      <c r="CDP31" s="1000"/>
      <c r="CDQ31" s="1000"/>
      <c r="CDR31" s="1000"/>
      <c r="CDS31" s="1000"/>
      <c r="CDT31" s="1000"/>
      <c r="CDU31" s="1000"/>
      <c r="CDV31" s="1000"/>
      <c r="CDW31" s="1000"/>
      <c r="CDX31" s="1000"/>
      <c r="CDY31" s="1000"/>
      <c r="CDZ31" s="1000"/>
      <c r="CEA31" s="1000"/>
      <c r="CEB31" s="1000"/>
      <c r="CEC31" s="1000"/>
      <c r="CED31" s="1000"/>
      <c r="CEE31" s="1000"/>
      <c r="CEF31" s="1000"/>
      <c r="CEG31" s="1000"/>
      <c r="CEH31" s="1000"/>
      <c r="CEI31" s="1000"/>
      <c r="CEJ31" s="1000"/>
      <c r="CEK31" s="1000"/>
      <c r="CEL31" s="1000"/>
      <c r="CEM31" s="1000"/>
      <c r="CEN31" s="1000"/>
      <c r="CEO31" s="1000"/>
      <c r="CEP31" s="1000"/>
      <c r="CEQ31" s="1000"/>
      <c r="CER31" s="1000"/>
      <c r="CES31" s="1000"/>
      <c r="CET31" s="1000"/>
      <c r="CEU31" s="1000"/>
      <c r="CEV31" s="1000"/>
      <c r="CEW31" s="1000"/>
      <c r="CEX31" s="1000"/>
      <c r="CEY31" s="1000"/>
      <c r="CEZ31" s="1000"/>
      <c r="CFA31" s="1000"/>
      <c r="CFB31" s="1000"/>
      <c r="CFC31" s="1000"/>
      <c r="CFD31" s="1000"/>
      <c r="CFE31" s="1000"/>
      <c r="CFF31" s="1000"/>
      <c r="CFG31" s="1000"/>
      <c r="CFH31" s="1000"/>
      <c r="CFI31" s="1000"/>
      <c r="CFJ31" s="1000"/>
      <c r="CFK31" s="1000"/>
      <c r="CFL31" s="1000"/>
      <c r="CFM31" s="1000"/>
      <c r="CFN31" s="1000"/>
      <c r="CFO31" s="1000"/>
      <c r="CFP31" s="1000"/>
      <c r="CFQ31" s="1000"/>
      <c r="CFR31" s="1000"/>
      <c r="CFS31" s="1000"/>
      <c r="CFT31" s="1000"/>
      <c r="CFU31" s="1000"/>
      <c r="CFV31" s="1000"/>
      <c r="CFW31" s="1000"/>
      <c r="CFX31" s="1000"/>
      <c r="CFY31" s="1000"/>
      <c r="CFZ31" s="1000"/>
      <c r="CGA31" s="1000"/>
      <c r="CGB31" s="1000"/>
      <c r="CGC31" s="1000"/>
      <c r="CGD31" s="1000"/>
      <c r="CGE31" s="1000"/>
      <c r="CGF31" s="1000"/>
      <c r="CGG31" s="1000"/>
      <c r="CGH31" s="1000"/>
      <c r="CGI31" s="1000"/>
      <c r="CGJ31" s="1000"/>
      <c r="CGK31" s="1000"/>
      <c r="CGL31" s="1000"/>
      <c r="CGM31" s="1000"/>
      <c r="CGN31" s="1000"/>
      <c r="CGO31" s="1000"/>
      <c r="CGP31" s="1000"/>
      <c r="CGQ31" s="1000"/>
      <c r="CGR31" s="1000"/>
      <c r="CGS31" s="1000"/>
      <c r="CGT31" s="1000"/>
      <c r="CGU31" s="1000"/>
      <c r="CGV31" s="1000"/>
      <c r="CGW31" s="1000"/>
      <c r="CGX31" s="1000"/>
      <c r="CGY31" s="1000"/>
      <c r="CGZ31" s="1000"/>
      <c r="CHA31" s="1000"/>
      <c r="CHB31" s="1000"/>
      <c r="CHC31" s="1000"/>
      <c r="CHD31" s="1000"/>
      <c r="CHE31" s="1000"/>
      <c r="CHF31" s="1000"/>
      <c r="CHG31" s="1000"/>
      <c r="CHH31" s="1000"/>
      <c r="CHI31" s="1000"/>
      <c r="CHJ31" s="1000"/>
      <c r="CHK31" s="1000"/>
      <c r="CHL31" s="1000"/>
      <c r="CHM31" s="1000"/>
      <c r="CHN31" s="1000"/>
      <c r="CHO31" s="1000"/>
      <c r="CHP31" s="1000"/>
      <c r="CHQ31" s="1000"/>
      <c r="CHR31" s="1000"/>
      <c r="CHS31" s="1000"/>
      <c r="CHT31" s="1000"/>
      <c r="CHU31" s="1000"/>
      <c r="CHV31" s="1000"/>
      <c r="CHW31" s="1000"/>
      <c r="CHX31" s="1000"/>
      <c r="CHY31" s="1000"/>
      <c r="CHZ31" s="1000"/>
      <c r="CIA31" s="1000"/>
      <c r="CIB31" s="1000"/>
      <c r="CIC31" s="1000"/>
      <c r="CID31" s="1000"/>
      <c r="CIE31" s="1000"/>
      <c r="CIF31" s="1000"/>
      <c r="CIG31" s="1000"/>
      <c r="CIH31" s="1000"/>
      <c r="CII31" s="1000"/>
      <c r="CIJ31" s="1000"/>
      <c r="CIK31" s="1000"/>
      <c r="CIL31" s="1000"/>
      <c r="CIM31" s="1000"/>
      <c r="CIN31" s="1000"/>
      <c r="CIO31" s="1000"/>
      <c r="CIP31" s="1000"/>
      <c r="CIQ31" s="1000"/>
      <c r="CIR31" s="1000"/>
      <c r="CIS31" s="1000"/>
      <c r="CIT31" s="1000"/>
      <c r="CIU31" s="1000"/>
      <c r="CIV31" s="1000"/>
      <c r="CIW31" s="1000"/>
      <c r="CIX31" s="1000"/>
      <c r="CIY31" s="1000"/>
      <c r="CIZ31" s="1000"/>
      <c r="CJA31" s="1000"/>
      <c r="CJB31" s="1000"/>
      <c r="CJC31" s="1000"/>
      <c r="CJD31" s="1000"/>
      <c r="CJE31" s="1000"/>
      <c r="CJF31" s="1000"/>
      <c r="CJG31" s="1000"/>
      <c r="CJH31" s="1000"/>
      <c r="CJI31" s="1000"/>
      <c r="CJJ31" s="1000"/>
      <c r="CJK31" s="1000"/>
      <c r="CJL31" s="1000"/>
      <c r="CJM31" s="1000"/>
      <c r="CJN31" s="1000"/>
      <c r="CJO31" s="1000"/>
      <c r="CJP31" s="1000"/>
      <c r="CJQ31" s="1000"/>
      <c r="CJR31" s="1000"/>
      <c r="CJS31" s="1000"/>
      <c r="CJT31" s="1000"/>
      <c r="CJU31" s="1000"/>
      <c r="CJV31" s="1000"/>
      <c r="CJW31" s="1000"/>
      <c r="CJX31" s="1000"/>
      <c r="CJY31" s="1000"/>
      <c r="CJZ31" s="1000"/>
      <c r="CKA31" s="1000"/>
      <c r="CKB31" s="1000"/>
      <c r="CKC31" s="1000"/>
      <c r="CKD31" s="1000"/>
      <c r="CKE31" s="1000"/>
      <c r="CKF31" s="1000"/>
      <c r="CKG31" s="1000"/>
      <c r="CKH31" s="1000"/>
      <c r="CKI31" s="1000"/>
      <c r="CKJ31" s="1000"/>
      <c r="CKK31" s="1000"/>
      <c r="CKL31" s="1000"/>
      <c r="CKM31" s="1000"/>
      <c r="CKN31" s="1000"/>
      <c r="CKO31" s="1000"/>
      <c r="CKP31" s="1000"/>
      <c r="CKQ31" s="1000"/>
      <c r="CKR31" s="1000"/>
      <c r="CKS31" s="1000"/>
      <c r="CKT31" s="1000"/>
      <c r="CKU31" s="1000"/>
      <c r="CKV31" s="1000"/>
      <c r="CKW31" s="1000"/>
      <c r="CKX31" s="1000"/>
      <c r="CKY31" s="1000"/>
      <c r="CKZ31" s="1000"/>
      <c r="CLA31" s="1000"/>
      <c r="CLB31" s="1000"/>
      <c r="CLC31" s="1000"/>
      <c r="CLD31" s="1000"/>
      <c r="CLE31" s="1000"/>
      <c r="CLF31" s="1000"/>
      <c r="CLG31" s="1000"/>
      <c r="CLH31" s="1000"/>
      <c r="CLI31" s="1000"/>
      <c r="CLJ31" s="1000"/>
      <c r="CLK31" s="1000"/>
      <c r="CLL31" s="1000"/>
      <c r="CLM31" s="1000"/>
      <c r="CLN31" s="1000"/>
      <c r="CLO31" s="1000"/>
      <c r="CLP31" s="1000"/>
      <c r="CLQ31" s="1000"/>
      <c r="CLR31" s="1000"/>
      <c r="CLS31" s="1000"/>
      <c r="CLT31" s="1000"/>
      <c r="CLU31" s="1000"/>
      <c r="CLV31" s="1000"/>
      <c r="CLW31" s="1000"/>
      <c r="CLX31" s="1000"/>
      <c r="CLY31" s="1000"/>
      <c r="CLZ31" s="1000"/>
      <c r="CMA31" s="1000"/>
      <c r="CMB31" s="1000"/>
      <c r="CMC31" s="1000"/>
      <c r="CMD31" s="1000"/>
      <c r="CME31" s="1000"/>
      <c r="CMF31" s="1000"/>
      <c r="CMG31" s="1000"/>
      <c r="CMH31" s="1000"/>
      <c r="CMI31" s="1000"/>
      <c r="CMJ31" s="1000"/>
      <c r="CMK31" s="1000"/>
      <c r="CML31" s="1000"/>
      <c r="CMM31" s="1000"/>
      <c r="CMN31" s="1000"/>
      <c r="CMO31" s="1000"/>
      <c r="CMP31" s="1000"/>
      <c r="CMQ31" s="1000"/>
      <c r="CMR31" s="1000"/>
      <c r="CMS31" s="1000"/>
      <c r="CMT31" s="1000"/>
      <c r="CMU31" s="1000"/>
      <c r="CMV31" s="1000"/>
      <c r="CMW31" s="1000"/>
      <c r="CMX31" s="1000"/>
      <c r="CMY31" s="1000"/>
      <c r="CMZ31" s="1000"/>
      <c r="CNA31" s="1000"/>
      <c r="CNB31" s="1000"/>
      <c r="CNC31" s="1000"/>
      <c r="CND31" s="1000"/>
      <c r="CNE31" s="1000"/>
      <c r="CNF31" s="1000"/>
      <c r="CNG31" s="1000"/>
      <c r="CNH31" s="1000"/>
      <c r="CNI31" s="1000"/>
      <c r="CNJ31" s="1000"/>
      <c r="CNK31" s="1000"/>
      <c r="CNL31" s="1000"/>
      <c r="CNM31" s="1000"/>
      <c r="CNN31" s="1000"/>
      <c r="CNO31" s="1000"/>
      <c r="CNP31" s="1000"/>
      <c r="CNQ31" s="1000"/>
      <c r="CNR31" s="1000"/>
      <c r="CNS31" s="1000"/>
      <c r="CNT31" s="1000"/>
      <c r="CNU31" s="1000"/>
      <c r="CNV31" s="1000"/>
      <c r="CNW31" s="1000"/>
      <c r="CNX31" s="1000"/>
      <c r="CNY31" s="1000"/>
      <c r="CNZ31" s="1000"/>
      <c r="COA31" s="1000"/>
      <c r="COB31" s="1000"/>
      <c r="COC31" s="1000"/>
      <c r="COD31" s="1000"/>
      <c r="COE31" s="1000"/>
      <c r="COF31" s="1000"/>
      <c r="COG31" s="1000"/>
      <c r="COH31" s="1000"/>
      <c r="COI31" s="1000"/>
      <c r="COJ31" s="1000"/>
      <c r="COK31" s="1000"/>
      <c r="COL31" s="1000"/>
      <c r="COM31" s="1000"/>
      <c r="CON31" s="1000"/>
      <c r="COO31" s="1000"/>
      <c r="COP31" s="1000"/>
      <c r="COQ31" s="1000"/>
      <c r="COR31" s="1000"/>
      <c r="COS31" s="1000"/>
      <c r="COT31" s="1000"/>
      <c r="COU31" s="1000"/>
      <c r="COV31" s="1000"/>
      <c r="COW31" s="1000"/>
      <c r="COX31" s="1000"/>
      <c r="COY31" s="1000"/>
      <c r="COZ31" s="1000"/>
      <c r="CPA31" s="1000"/>
      <c r="CPB31" s="1000"/>
      <c r="CPC31" s="1000"/>
      <c r="CPD31" s="1000"/>
      <c r="CPE31" s="1000"/>
      <c r="CPF31" s="1000"/>
      <c r="CPG31" s="1000"/>
      <c r="CPH31" s="1000"/>
      <c r="CPI31" s="1000"/>
      <c r="CPJ31" s="1000"/>
      <c r="CPK31" s="1000"/>
      <c r="CPL31" s="1000"/>
      <c r="CPM31" s="1000"/>
      <c r="CPN31" s="1000"/>
      <c r="CPO31" s="1000"/>
      <c r="CPP31" s="1000"/>
      <c r="CPQ31" s="1000"/>
      <c r="CPR31" s="1000"/>
      <c r="CPS31" s="1000"/>
      <c r="CPT31" s="1000"/>
      <c r="CPU31" s="1000"/>
      <c r="CPV31" s="1000"/>
      <c r="CPW31" s="1000"/>
      <c r="CPX31" s="1000"/>
      <c r="CPY31" s="1000"/>
      <c r="CPZ31" s="1000"/>
      <c r="CQA31" s="1000"/>
      <c r="CQB31" s="1000"/>
      <c r="CQC31" s="1000"/>
      <c r="CQD31" s="1000"/>
      <c r="CQE31" s="1000"/>
      <c r="CQF31" s="1000"/>
      <c r="CQG31" s="1000"/>
      <c r="CQH31" s="1000"/>
      <c r="CQI31" s="1000"/>
      <c r="CQJ31" s="1000"/>
      <c r="CQK31" s="1000"/>
      <c r="CQL31" s="1000"/>
      <c r="CQM31" s="1000"/>
      <c r="CQN31" s="1000"/>
      <c r="CQO31" s="1000"/>
      <c r="CQP31" s="1000"/>
      <c r="CQQ31" s="1000"/>
      <c r="CQR31" s="1000"/>
      <c r="CQS31" s="1000"/>
      <c r="CQT31" s="1000"/>
      <c r="CQU31" s="1000"/>
      <c r="CQV31" s="1000"/>
      <c r="CQW31" s="1000"/>
      <c r="CQX31" s="1000"/>
      <c r="CQY31" s="1000"/>
      <c r="CQZ31" s="1000"/>
      <c r="CRA31" s="1000"/>
      <c r="CRB31" s="1000"/>
      <c r="CRC31" s="1000"/>
      <c r="CRD31" s="1000"/>
      <c r="CRE31" s="1000"/>
      <c r="CRF31" s="1000"/>
      <c r="CRG31" s="1000"/>
      <c r="CRH31" s="1000"/>
      <c r="CRI31" s="1000"/>
      <c r="CRJ31" s="1000"/>
      <c r="CRK31" s="1000"/>
      <c r="CRL31" s="1000"/>
      <c r="CRM31" s="1000"/>
      <c r="CRN31" s="1000"/>
      <c r="CRO31" s="1000"/>
      <c r="CRP31" s="1000"/>
      <c r="CRQ31" s="1000"/>
      <c r="CRR31" s="1000"/>
      <c r="CRS31" s="1000"/>
      <c r="CRT31" s="1000"/>
      <c r="CRU31" s="1000"/>
      <c r="CRV31" s="1000"/>
      <c r="CRW31" s="1000"/>
      <c r="CRX31" s="1000"/>
      <c r="CRY31" s="1000"/>
      <c r="CRZ31" s="1000"/>
      <c r="CSA31" s="1000"/>
      <c r="CSB31" s="1000"/>
      <c r="CSC31" s="1000"/>
      <c r="CSD31" s="1000"/>
      <c r="CSE31" s="1000"/>
      <c r="CSF31" s="1000"/>
      <c r="CSG31" s="1000"/>
      <c r="CSH31" s="1000"/>
      <c r="CSI31" s="1000"/>
      <c r="CSJ31" s="1000"/>
      <c r="CSK31" s="1000"/>
      <c r="CSL31" s="1000"/>
      <c r="CSM31" s="1000"/>
      <c r="CSN31" s="1000"/>
      <c r="CSO31" s="1000"/>
      <c r="CSP31" s="1000"/>
      <c r="CSQ31" s="1000"/>
      <c r="CSR31" s="1000"/>
      <c r="CSS31" s="1000"/>
      <c r="CST31" s="1000"/>
      <c r="CSU31" s="1000"/>
      <c r="CSV31" s="1000"/>
      <c r="CSW31" s="1000"/>
      <c r="CSX31" s="1000"/>
      <c r="CSY31" s="1000"/>
      <c r="CSZ31" s="1000"/>
      <c r="CTA31" s="1000"/>
      <c r="CTB31" s="1000"/>
      <c r="CTC31" s="1000"/>
      <c r="CTD31" s="1000"/>
      <c r="CTE31" s="1000"/>
      <c r="CTF31" s="1000"/>
      <c r="CTG31" s="1000"/>
      <c r="CTH31" s="1000"/>
      <c r="CTI31" s="1000"/>
      <c r="CTJ31" s="1000"/>
      <c r="CTK31" s="1000"/>
      <c r="CTL31" s="1000"/>
      <c r="CTM31" s="1000"/>
      <c r="CTN31" s="1000"/>
      <c r="CTO31" s="1000"/>
      <c r="CTP31" s="1000"/>
      <c r="CTQ31" s="1000"/>
      <c r="CTR31" s="1000"/>
      <c r="CTS31" s="1000"/>
      <c r="CTT31" s="1000"/>
      <c r="CTU31" s="1000"/>
      <c r="CTV31" s="1000"/>
      <c r="CTW31" s="1000"/>
      <c r="CTX31" s="1000"/>
      <c r="CTY31" s="1000"/>
      <c r="CTZ31" s="1000"/>
      <c r="CUA31" s="1000"/>
      <c r="CUB31" s="1000"/>
      <c r="CUC31" s="1000"/>
      <c r="CUD31" s="1000"/>
      <c r="CUE31" s="1000"/>
      <c r="CUF31" s="1000"/>
      <c r="CUG31" s="1000"/>
      <c r="CUH31" s="1000"/>
      <c r="CUI31" s="1000"/>
      <c r="CUJ31" s="1000"/>
      <c r="CUK31" s="1000"/>
      <c r="CUL31" s="1000"/>
      <c r="CUM31" s="1000"/>
      <c r="CUN31" s="1000"/>
      <c r="CUO31" s="1000"/>
      <c r="CUP31" s="1000"/>
      <c r="CUQ31" s="1000"/>
      <c r="CUR31" s="1000"/>
      <c r="CUS31" s="1000"/>
      <c r="CUT31" s="1000"/>
      <c r="CUU31" s="1000"/>
      <c r="CUV31" s="1000"/>
      <c r="CUW31" s="1000"/>
      <c r="CUX31" s="1000"/>
      <c r="CUY31" s="1000"/>
      <c r="CUZ31" s="1000"/>
      <c r="CVA31" s="1000"/>
      <c r="CVB31" s="1000"/>
      <c r="CVC31" s="1000"/>
      <c r="CVD31" s="1000"/>
      <c r="CVE31" s="1000"/>
      <c r="CVF31" s="1000"/>
      <c r="CVG31" s="1000"/>
      <c r="CVH31" s="1000"/>
      <c r="CVI31" s="1000"/>
      <c r="CVJ31" s="1000"/>
      <c r="CVK31" s="1000"/>
      <c r="CVL31" s="1000"/>
      <c r="CVM31" s="1000"/>
      <c r="CVN31" s="1000"/>
      <c r="CVO31" s="1000"/>
      <c r="CVP31" s="1000"/>
      <c r="CVQ31" s="1000"/>
      <c r="CVR31" s="1000"/>
      <c r="CVS31" s="1000"/>
      <c r="CVT31" s="1000"/>
      <c r="CVU31" s="1000"/>
      <c r="CVV31" s="1000"/>
      <c r="CVW31" s="1000"/>
      <c r="CVX31" s="1000"/>
      <c r="CVY31" s="1000"/>
      <c r="CVZ31" s="1000"/>
      <c r="CWA31" s="1000"/>
      <c r="CWB31" s="1000"/>
      <c r="CWC31" s="1000"/>
      <c r="CWD31" s="1000"/>
      <c r="CWE31" s="1000"/>
      <c r="CWF31" s="1000"/>
      <c r="CWG31" s="1000"/>
      <c r="CWH31" s="1000"/>
      <c r="CWI31" s="1000"/>
      <c r="CWJ31" s="1000"/>
      <c r="CWK31" s="1000"/>
      <c r="CWL31" s="1000"/>
      <c r="CWM31" s="1000"/>
      <c r="CWN31" s="1000"/>
      <c r="CWO31" s="1000"/>
      <c r="CWP31" s="1000"/>
      <c r="CWQ31" s="1000"/>
      <c r="CWR31" s="1000"/>
      <c r="CWS31" s="1000"/>
      <c r="CWT31" s="1000"/>
      <c r="CWU31" s="1000"/>
      <c r="CWV31" s="1000"/>
      <c r="CWW31" s="1000"/>
      <c r="CWX31" s="1000"/>
      <c r="CWY31" s="1000"/>
      <c r="CWZ31" s="1000"/>
      <c r="CXA31" s="1000"/>
      <c r="CXB31" s="1000"/>
      <c r="CXC31" s="1000"/>
      <c r="CXD31" s="1000"/>
      <c r="CXE31" s="1000"/>
      <c r="CXF31" s="1000"/>
      <c r="CXG31" s="1000"/>
      <c r="CXH31" s="1000"/>
      <c r="CXI31" s="1000"/>
      <c r="CXJ31" s="1000"/>
      <c r="CXK31" s="1000"/>
      <c r="CXL31" s="1000"/>
      <c r="CXM31" s="1000"/>
      <c r="CXN31" s="1000"/>
      <c r="CXO31" s="1000"/>
      <c r="CXP31" s="1000"/>
      <c r="CXQ31" s="1000"/>
      <c r="CXR31" s="1000"/>
      <c r="CXS31" s="1000"/>
      <c r="CXT31" s="1000"/>
      <c r="CXU31" s="1000"/>
      <c r="CXV31" s="1000"/>
      <c r="CXW31" s="1000"/>
      <c r="CXX31" s="1000"/>
      <c r="CXY31" s="1000"/>
      <c r="CXZ31" s="1000"/>
      <c r="CYA31" s="1000"/>
      <c r="CYB31" s="1000"/>
      <c r="CYC31" s="1000"/>
      <c r="CYD31" s="1000"/>
      <c r="CYE31" s="1000"/>
      <c r="CYF31" s="1000"/>
      <c r="CYG31" s="1000"/>
      <c r="CYH31" s="1000"/>
      <c r="CYI31" s="1000"/>
      <c r="CYJ31" s="1000"/>
      <c r="CYK31" s="1000"/>
      <c r="CYL31" s="1000"/>
      <c r="CYM31" s="1000"/>
      <c r="CYN31" s="1000"/>
      <c r="CYO31" s="1000"/>
      <c r="CYP31" s="1000"/>
      <c r="CYQ31" s="1000"/>
      <c r="CYR31" s="1000"/>
      <c r="CYS31" s="1000"/>
      <c r="CYT31" s="1000"/>
      <c r="CYU31" s="1000"/>
      <c r="CYV31" s="1000"/>
      <c r="CYW31" s="1000"/>
      <c r="CYX31" s="1000"/>
      <c r="CYY31" s="1000"/>
      <c r="CYZ31" s="1000"/>
      <c r="CZA31" s="1000"/>
      <c r="CZB31" s="1000"/>
      <c r="CZC31" s="1000"/>
      <c r="CZD31" s="1000"/>
      <c r="CZE31" s="1000"/>
      <c r="CZF31" s="1000"/>
      <c r="CZG31" s="1000"/>
      <c r="CZH31" s="1000"/>
      <c r="CZI31" s="1000"/>
      <c r="CZJ31" s="1000"/>
      <c r="CZK31" s="1000"/>
      <c r="CZL31" s="1000"/>
      <c r="CZM31" s="1000"/>
      <c r="CZN31" s="1000"/>
      <c r="CZO31" s="1000"/>
      <c r="CZP31" s="1000"/>
      <c r="CZQ31" s="1000"/>
      <c r="CZR31" s="1000"/>
      <c r="CZS31" s="1000"/>
      <c r="CZT31" s="1000"/>
      <c r="CZU31" s="1000"/>
      <c r="CZV31" s="1000"/>
      <c r="CZW31" s="1000"/>
      <c r="CZX31" s="1000"/>
      <c r="CZY31" s="1000"/>
      <c r="CZZ31" s="1000"/>
      <c r="DAA31" s="1000"/>
      <c r="DAB31" s="1000"/>
      <c r="DAC31" s="1000"/>
      <c r="DAD31" s="1000"/>
      <c r="DAE31" s="1000"/>
      <c r="DAF31" s="1000"/>
      <c r="DAG31" s="1000"/>
      <c r="DAH31" s="1000"/>
      <c r="DAI31" s="1000"/>
      <c r="DAJ31" s="1000"/>
      <c r="DAK31" s="1000"/>
      <c r="DAL31" s="1000"/>
      <c r="DAM31" s="1000"/>
      <c r="DAN31" s="1000"/>
      <c r="DAO31" s="1000"/>
      <c r="DAP31" s="1000"/>
      <c r="DAQ31" s="1000"/>
      <c r="DAR31" s="1000"/>
      <c r="DAS31" s="1000"/>
      <c r="DAT31" s="1000"/>
      <c r="DAU31" s="1000"/>
      <c r="DAV31" s="1000"/>
      <c r="DAW31" s="1000"/>
      <c r="DAX31" s="1000"/>
      <c r="DAY31" s="1000"/>
      <c r="DAZ31" s="1000"/>
      <c r="DBA31" s="1000"/>
      <c r="DBB31" s="1000"/>
      <c r="DBC31" s="1000"/>
      <c r="DBD31" s="1000"/>
      <c r="DBE31" s="1000"/>
      <c r="DBF31" s="1000"/>
      <c r="DBG31" s="1000"/>
      <c r="DBH31" s="1000"/>
      <c r="DBI31" s="1000"/>
      <c r="DBJ31" s="1000"/>
      <c r="DBK31" s="1000"/>
      <c r="DBL31" s="1000"/>
      <c r="DBM31" s="1000"/>
      <c r="DBN31" s="1000"/>
      <c r="DBO31" s="1000"/>
      <c r="DBP31" s="1000"/>
      <c r="DBQ31" s="1000"/>
      <c r="DBR31" s="1000"/>
      <c r="DBS31" s="1000"/>
      <c r="DBT31" s="1000"/>
      <c r="DBU31" s="1000"/>
      <c r="DBV31" s="1000"/>
      <c r="DBW31" s="1000"/>
      <c r="DBX31" s="1000"/>
      <c r="DBY31" s="1000"/>
      <c r="DBZ31" s="1000"/>
      <c r="DCA31" s="1000"/>
      <c r="DCB31" s="1000"/>
      <c r="DCC31" s="1000"/>
      <c r="DCD31" s="1000"/>
      <c r="DCE31" s="1000"/>
      <c r="DCF31" s="1000"/>
      <c r="DCG31" s="1000"/>
      <c r="DCH31" s="1000"/>
      <c r="DCI31" s="1000"/>
      <c r="DCJ31" s="1000"/>
      <c r="DCK31" s="1000"/>
      <c r="DCL31" s="1000"/>
      <c r="DCM31" s="1000"/>
      <c r="DCN31" s="1000"/>
      <c r="DCO31" s="1000"/>
      <c r="DCP31" s="1000"/>
      <c r="DCQ31" s="1000"/>
      <c r="DCR31" s="1000"/>
      <c r="DCS31" s="1000"/>
      <c r="DCT31" s="1000"/>
      <c r="DCU31" s="1000"/>
      <c r="DCV31" s="1000"/>
      <c r="DCW31" s="1000"/>
      <c r="DCX31" s="1000"/>
      <c r="DCY31" s="1000"/>
      <c r="DCZ31" s="1000"/>
      <c r="DDA31" s="1000"/>
      <c r="DDB31" s="1000"/>
      <c r="DDC31" s="1000"/>
      <c r="DDD31" s="1000"/>
      <c r="DDE31" s="1000"/>
      <c r="DDF31" s="1000"/>
      <c r="DDG31" s="1000"/>
      <c r="DDH31" s="1000"/>
      <c r="DDI31" s="1000"/>
      <c r="DDJ31" s="1000"/>
      <c r="DDK31" s="1000"/>
      <c r="DDL31" s="1000"/>
      <c r="DDM31" s="1000"/>
      <c r="DDN31" s="1000"/>
      <c r="DDO31" s="1000"/>
      <c r="DDP31" s="1000"/>
      <c r="DDQ31" s="1000"/>
      <c r="DDR31" s="1000"/>
      <c r="DDS31" s="1000"/>
      <c r="DDT31" s="1000"/>
      <c r="DDU31" s="1000"/>
      <c r="DDV31" s="1000"/>
      <c r="DDW31" s="1000"/>
      <c r="DDX31" s="1000"/>
      <c r="DDY31" s="1000"/>
      <c r="DDZ31" s="1000"/>
      <c r="DEA31" s="1000"/>
      <c r="DEB31" s="1000"/>
      <c r="DEC31" s="1000"/>
      <c r="DED31" s="1000"/>
      <c r="DEE31" s="1000"/>
      <c r="DEF31" s="1000"/>
      <c r="DEG31" s="1000"/>
      <c r="DEH31" s="1000"/>
      <c r="DEI31" s="1000"/>
      <c r="DEJ31" s="1000"/>
      <c r="DEK31" s="1000"/>
      <c r="DEL31" s="1000"/>
      <c r="DEM31" s="1000"/>
      <c r="DEN31" s="1000"/>
      <c r="DEO31" s="1000"/>
      <c r="DEP31" s="1000"/>
      <c r="DEQ31" s="1000"/>
      <c r="DER31" s="1000"/>
      <c r="DES31" s="1000"/>
      <c r="DET31" s="1000"/>
      <c r="DEU31" s="1000"/>
      <c r="DEV31" s="1000"/>
      <c r="DEW31" s="1000"/>
      <c r="DEX31" s="1000"/>
      <c r="DEY31" s="1000"/>
      <c r="DEZ31" s="1000"/>
      <c r="DFA31" s="1000"/>
      <c r="DFB31" s="1000"/>
      <c r="DFC31" s="1000"/>
      <c r="DFD31" s="1000"/>
      <c r="DFE31" s="1000"/>
      <c r="DFF31" s="1000"/>
      <c r="DFG31" s="1000"/>
      <c r="DFH31" s="1000"/>
      <c r="DFI31" s="1000"/>
      <c r="DFJ31" s="1000"/>
      <c r="DFK31" s="1000"/>
      <c r="DFL31" s="1000"/>
      <c r="DFM31" s="1000"/>
      <c r="DFN31" s="1000"/>
      <c r="DFO31" s="1000"/>
      <c r="DFP31" s="1000"/>
      <c r="DFQ31" s="1000"/>
      <c r="DFR31" s="1000"/>
      <c r="DFS31" s="1000"/>
      <c r="DFT31" s="1000"/>
      <c r="DFU31" s="1000"/>
      <c r="DFV31" s="1000"/>
      <c r="DFW31" s="1000"/>
      <c r="DFX31" s="1000"/>
      <c r="DFY31" s="1000"/>
      <c r="DFZ31" s="1000"/>
      <c r="DGA31" s="1000"/>
      <c r="DGB31" s="1000"/>
      <c r="DGC31" s="1000"/>
      <c r="DGD31" s="1000"/>
      <c r="DGE31" s="1000"/>
      <c r="DGF31" s="1000"/>
      <c r="DGG31" s="1000"/>
      <c r="DGH31" s="1000"/>
      <c r="DGI31" s="1000"/>
      <c r="DGJ31" s="1000"/>
      <c r="DGK31" s="1000"/>
      <c r="DGL31" s="1000"/>
      <c r="DGM31" s="1000"/>
      <c r="DGN31" s="1000"/>
      <c r="DGO31" s="1000"/>
      <c r="DGP31" s="1000"/>
      <c r="DGQ31" s="1000"/>
      <c r="DGR31" s="1000"/>
      <c r="DGS31" s="1000"/>
      <c r="DGT31" s="1000"/>
      <c r="DGU31" s="1000"/>
      <c r="DGV31" s="1000"/>
      <c r="DGW31" s="1000"/>
      <c r="DGX31" s="1000"/>
      <c r="DGY31" s="1000"/>
      <c r="DGZ31" s="1000"/>
      <c r="DHA31" s="1000"/>
      <c r="DHB31" s="1000"/>
      <c r="DHC31" s="1000"/>
      <c r="DHD31" s="1000"/>
      <c r="DHE31" s="1000"/>
      <c r="DHF31" s="1000"/>
      <c r="DHG31" s="1000"/>
      <c r="DHH31" s="1000"/>
      <c r="DHI31" s="1000"/>
      <c r="DHJ31" s="1000"/>
      <c r="DHK31" s="1000"/>
      <c r="DHL31" s="1000"/>
      <c r="DHM31" s="1000"/>
      <c r="DHN31" s="1000"/>
      <c r="DHO31" s="1000"/>
      <c r="DHP31" s="1000"/>
      <c r="DHQ31" s="1000"/>
      <c r="DHR31" s="1000"/>
      <c r="DHS31" s="1000"/>
      <c r="DHT31" s="1000"/>
      <c r="DHU31" s="1000"/>
      <c r="DHV31" s="1000"/>
      <c r="DHW31" s="1000"/>
      <c r="DHX31" s="1000"/>
      <c r="DHY31" s="1000"/>
      <c r="DHZ31" s="1000"/>
      <c r="DIA31" s="1000"/>
      <c r="DIB31" s="1000"/>
      <c r="DIC31" s="1000"/>
      <c r="DID31" s="1000"/>
      <c r="DIE31" s="1000"/>
      <c r="DIF31" s="1000"/>
      <c r="DIG31" s="1000"/>
      <c r="DIH31" s="1000"/>
      <c r="DII31" s="1000"/>
      <c r="DIJ31" s="1000"/>
      <c r="DIK31" s="1000"/>
      <c r="DIL31" s="1000"/>
      <c r="DIM31" s="1000"/>
      <c r="DIN31" s="1000"/>
      <c r="DIO31" s="1000"/>
      <c r="DIP31" s="1000"/>
      <c r="DIQ31" s="1000"/>
      <c r="DIR31" s="1000"/>
      <c r="DIS31" s="1000"/>
      <c r="DIT31" s="1000"/>
      <c r="DIU31" s="1000"/>
      <c r="DIV31" s="1000"/>
      <c r="DIW31" s="1000"/>
      <c r="DIX31" s="1000"/>
      <c r="DIY31" s="1000"/>
      <c r="DIZ31" s="1000"/>
      <c r="DJA31" s="1000"/>
      <c r="DJB31" s="1000"/>
      <c r="DJC31" s="1000"/>
      <c r="DJD31" s="1000"/>
      <c r="DJE31" s="1000"/>
      <c r="DJF31" s="1000"/>
      <c r="DJG31" s="1000"/>
      <c r="DJH31" s="1000"/>
      <c r="DJI31" s="1000"/>
      <c r="DJJ31" s="1000"/>
      <c r="DJK31" s="1000"/>
      <c r="DJL31" s="1000"/>
      <c r="DJM31" s="1000"/>
      <c r="DJN31" s="1000"/>
      <c r="DJO31" s="1000"/>
      <c r="DJP31" s="1000"/>
      <c r="DJQ31" s="1000"/>
      <c r="DJR31" s="1000"/>
      <c r="DJS31" s="1000"/>
      <c r="DJT31" s="1000"/>
      <c r="DJU31" s="1000"/>
      <c r="DJV31" s="1000"/>
      <c r="DJW31" s="1000"/>
      <c r="DJX31" s="1000"/>
      <c r="DJY31" s="1000"/>
      <c r="DJZ31" s="1000"/>
      <c r="DKA31" s="1000"/>
      <c r="DKB31" s="1000"/>
      <c r="DKC31" s="1000"/>
      <c r="DKD31" s="1000"/>
      <c r="DKE31" s="1000"/>
      <c r="DKF31" s="1000"/>
      <c r="DKG31" s="1000"/>
      <c r="DKH31" s="1000"/>
      <c r="DKI31" s="1000"/>
      <c r="DKJ31" s="1000"/>
      <c r="DKK31" s="1000"/>
      <c r="DKL31" s="1000"/>
      <c r="DKM31" s="1000"/>
      <c r="DKN31" s="1000"/>
      <c r="DKO31" s="1000"/>
      <c r="DKP31" s="1000"/>
      <c r="DKQ31" s="1000"/>
      <c r="DKR31" s="1000"/>
      <c r="DKS31" s="1000"/>
      <c r="DKT31" s="1000"/>
      <c r="DKU31" s="1000"/>
      <c r="DKV31" s="1000"/>
      <c r="DKW31" s="1000"/>
      <c r="DKX31" s="1000"/>
      <c r="DKY31" s="1000"/>
      <c r="DKZ31" s="1000"/>
      <c r="DLA31" s="1000"/>
      <c r="DLB31" s="1000"/>
      <c r="DLC31" s="1000"/>
      <c r="DLD31" s="1000"/>
      <c r="DLE31" s="1000"/>
      <c r="DLF31" s="1000"/>
      <c r="DLG31" s="1000"/>
      <c r="DLH31" s="1000"/>
      <c r="DLI31" s="1000"/>
      <c r="DLJ31" s="1000"/>
      <c r="DLK31" s="1000"/>
      <c r="DLL31" s="1000"/>
      <c r="DLM31" s="1000"/>
      <c r="DLN31" s="1000"/>
      <c r="DLO31" s="1000"/>
      <c r="DLP31" s="1000"/>
      <c r="DLQ31" s="1000"/>
      <c r="DLR31" s="1000"/>
      <c r="DLS31" s="1000"/>
      <c r="DLT31" s="1000"/>
      <c r="DLU31" s="1000"/>
      <c r="DLV31" s="1000"/>
      <c r="DLW31" s="1000"/>
      <c r="DLX31" s="1000"/>
      <c r="DLY31" s="1000"/>
      <c r="DLZ31" s="1000"/>
      <c r="DMA31" s="1000"/>
      <c r="DMB31" s="1000"/>
      <c r="DMC31" s="1000"/>
      <c r="DMD31" s="1000"/>
      <c r="DME31" s="1000"/>
      <c r="DMF31" s="1000"/>
      <c r="DMG31" s="1000"/>
      <c r="DMH31" s="1000"/>
      <c r="DMI31" s="1000"/>
      <c r="DMJ31" s="1000"/>
      <c r="DMK31" s="1000"/>
      <c r="DML31" s="1000"/>
      <c r="DMM31" s="1000"/>
      <c r="DMN31" s="1000"/>
      <c r="DMO31" s="1000"/>
      <c r="DMP31" s="1000"/>
      <c r="DMQ31" s="1000"/>
      <c r="DMR31" s="1000"/>
      <c r="DMS31" s="1000"/>
      <c r="DMT31" s="1000"/>
      <c r="DMU31" s="1000"/>
      <c r="DMV31" s="1000"/>
      <c r="DMW31" s="1000"/>
      <c r="DMX31" s="1000"/>
      <c r="DMY31" s="1000"/>
      <c r="DMZ31" s="1000"/>
      <c r="DNA31" s="1000"/>
      <c r="DNB31" s="1000"/>
      <c r="DNC31" s="1000"/>
      <c r="DND31" s="1000"/>
      <c r="DNE31" s="1000"/>
      <c r="DNF31" s="1000"/>
      <c r="DNG31" s="1000"/>
      <c r="DNH31" s="1000"/>
      <c r="DNI31" s="1000"/>
      <c r="DNJ31" s="1000"/>
      <c r="DNK31" s="1000"/>
      <c r="DNL31" s="1000"/>
      <c r="DNM31" s="1000"/>
      <c r="DNN31" s="1000"/>
      <c r="DNO31" s="1000"/>
      <c r="DNP31" s="1000"/>
      <c r="DNQ31" s="1000"/>
      <c r="DNR31" s="1000"/>
      <c r="DNS31" s="1000"/>
      <c r="DNT31" s="1000"/>
      <c r="DNU31" s="1000"/>
      <c r="DNV31" s="1000"/>
      <c r="DNW31" s="1000"/>
      <c r="DNX31" s="1000"/>
      <c r="DNY31" s="1000"/>
      <c r="DNZ31" s="1000"/>
      <c r="DOA31" s="1000"/>
      <c r="DOB31" s="1000"/>
      <c r="DOC31" s="1000"/>
      <c r="DOD31" s="1000"/>
      <c r="DOE31" s="1000"/>
      <c r="DOF31" s="1000"/>
      <c r="DOG31" s="1000"/>
      <c r="DOH31" s="1000"/>
      <c r="DOI31" s="1000"/>
      <c r="DOJ31" s="1000"/>
      <c r="DOK31" s="1000"/>
      <c r="DOL31" s="1000"/>
      <c r="DOM31" s="1000"/>
      <c r="DON31" s="1000"/>
      <c r="DOO31" s="1000"/>
      <c r="DOP31" s="1000"/>
      <c r="DOQ31" s="1000"/>
      <c r="DOR31" s="1000"/>
      <c r="DOS31" s="1000"/>
      <c r="DOT31" s="1000"/>
      <c r="DOU31" s="1000"/>
      <c r="DOV31" s="1000"/>
      <c r="DOW31" s="1000"/>
      <c r="DOX31" s="1000"/>
      <c r="DOY31" s="1000"/>
      <c r="DOZ31" s="1000"/>
      <c r="DPA31" s="1000"/>
      <c r="DPB31" s="1000"/>
      <c r="DPC31" s="1000"/>
      <c r="DPD31" s="1000"/>
      <c r="DPE31" s="1000"/>
      <c r="DPF31" s="1000"/>
      <c r="DPG31" s="1000"/>
      <c r="DPH31" s="1000"/>
      <c r="DPI31" s="1000"/>
      <c r="DPJ31" s="1000"/>
      <c r="DPK31" s="1000"/>
      <c r="DPL31" s="1000"/>
      <c r="DPM31" s="1000"/>
      <c r="DPN31" s="1000"/>
      <c r="DPO31" s="1000"/>
      <c r="DPP31" s="1000"/>
      <c r="DPQ31" s="1000"/>
      <c r="DPR31" s="1000"/>
      <c r="DPS31" s="1000"/>
      <c r="DPT31" s="1000"/>
      <c r="DPU31" s="1000"/>
      <c r="DPV31" s="1000"/>
      <c r="DPW31" s="1000"/>
      <c r="DPX31" s="1000"/>
      <c r="DPY31" s="1000"/>
      <c r="DPZ31" s="1000"/>
      <c r="DQA31" s="1000"/>
      <c r="DQB31" s="1000"/>
      <c r="DQC31" s="1000"/>
      <c r="DQD31" s="1000"/>
      <c r="DQE31" s="1000"/>
      <c r="DQF31" s="1000"/>
      <c r="DQG31" s="1000"/>
      <c r="DQH31" s="1000"/>
      <c r="DQI31" s="1000"/>
      <c r="DQJ31" s="1000"/>
      <c r="DQK31" s="1000"/>
      <c r="DQL31" s="1000"/>
      <c r="DQM31" s="1000"/>
      <c r="DQN31" s="1000"/>
      <c r="DQO31" s="1000"/>
      <c r="DQP31" s="1000"/>
      <c r="DQQ31" s="1000"/>
      <c r="DQR31" s="1000"/>
      <c r="DQS31" s="1000"/>
      <c r="DQT31" s="1000"/>
      <c r="DQU31" s="1000"/>
      <c r="DQV31" s="1000"/>
      <c r="DQW31" s="1000"/>
      <c r="DQX31" s="1000"/>
      <c r="DQY31" s="1000"/>
      <c r="DQZ31" s="1000"/>
      <c r="DRA31" s="1000"/>
      <c r="DRB31" s="1000"/>
      <c r="DRC31" s="1000"/>
      <c r="DRD31" s="1000"/>
      <c r="DRE31" s="1000"/>
      <c r="DRF31" s="1000"/>
      <c r="DRG31" s="1000"/>
      <c r="DRH31" s="1000"/>
      <c r="DRI31" s="1000"/>
      <c r="DRJ31" s="1000"/>
      <c r="DRK31" s="1000"/>
      <c r="DRL31" s="1000"/>
      <c r="DRM31" s="1000"/>
      <c r="DRN31" s="1000"/>
      <c r="DRO31" s="1000"/>
      <c r="DRP31" s="1000"/>
      <c r="DRQ31" s="1000"/>
      <c r="DRR31" s="1000"/>
      <c r="DRS31" s="1000"/>
      <c r="DRT31" s="1000"/>
      <c r="DRU31" s="1000"/>
      <c r="DRV31" s="1000"/>
      <c r="DRW31" s="1000"/>
      <c r="DRX31" s="1000"/>
      <c r="DRY31" s="1000"/>
      <c r="DRZ31" s="1000"/>
      <c r="DSA31" s="1000"/>
      <c r="DSB31" s="1000"/>
      <c r="DSC31" s="1000"/>
      <c r="DSD31" s="1000"/>
      <c r="DSE31" s="1000"/>
      <c r="DSF31" s="1000"/>
      <c r="DSG31" s="1000"/>
      <c r="DSH31" s="1000"/>
      <c r="DSI31" s="1000"/>
      <c r="DSJ31" s="1000"/>
      <c r="DSK31" s="1000"/>
      <c r="DSL31" s="1000"/>
      <c r="DSM31" s="1000"/>
      <c r="DSN31" s="1000"/>
      <c r="DSO31" s="1000"/>
      <c r="DSP31" s="1000"/>
      <c r="DSQ31" s="1000"/>
      <c r="DSR31" s="1000"/>
      <c r="DSS31" s="1000"/>
      <c r="DST31" s="1000"/>
      <c r="DSU31" s="1000"/>
      <c r="DSV31" s="1000"/>
      <c r="DSW31" s="1000"/>
      <c r="DSX31" s="1000"/>
      <c r="DSY31" s="1000"/>
      <c r="DSZ31" s="1000"/>
      <c r="DTA31" s="1000"/>
      <c r="DTB31" s="1000"/>
      <c r="DTC31" s="1000"/>
      <c r="DTD31" s="1000"/>
      <c r="DTE31" s="1000"/>
      <c r="DTF31" s="1000"/>
      <c r="DTG31" s="1000"/>
      <c r="DTH31" s="1000"/>
      <c r="DTI31" s="1000"/>
      <c r="DTJ31" s="1000"/>
      <c r="DTK31" s="1000"/>
      <c r="DTL31" s="1000"/>
      <c r="DTM31" s="1000"/>
      <c r="DTN31" s="1000"/>
      <c r="DTO31" s="1000"/>
      <c r="DTP31" s="1000"/>
      <c r="DTQ31" s="1000"/>
      <c r="DTR31" s="1000"/>
      <c r="DTS31" s="1000"/>
      <c r="DTT31" s="1000"/>
      <c r="DTU31" s="1000"/>
      <c r="DTV31" s="1000"/>
      <c r="DTW31" s="1000"/>
      <c r="DTX31" s="1000"/>
      <c r="DTY31" s="1000"/>
      <c r="DTZ31" s="1000"/>
      <c r="DUA31" s="1000"/>
      <c r="DUB31" s="1000"/>
      <c r="DUC31" s="1000"/>
      <c r="DUD31" s="1000"/>
      <c r="DUE31" s="1000"/>
      <c r="DUF31" s="1000"/>
      <c r="DUG31" s="1000"/>
      <c r="DUH31" s="1000"/>
      <c r="DUI31" s="1000"/>
      <c r="DUJ31" s="1000"/>
      <c r="DUK31" s="1000"/>
      <c r="DUL31" s="1000"/>
      <c r="DUM31" s="1000"/>
      <c r="DUN31" s="1000"/>
      <c r="DUO31" s="1000"/>
      <c r="DUP31" s="1000"/>
      <c r="DUQ31" s="1000"/>
      <c r="DUR31" s="1000"/>
      <c r="DUS31" s="1000"/>
      <c r="DUT31" s="1000"/>
      <c r="DUU31" s="1000"/>
      <c r="DUV31" s="1000"/>
      <c r="DUW31" s="1000"/>
      <c r="DUX31" s="1000"/>
      <c r="DUY31" s="1000"/>
      <c r="DUZ31" s="1000"/>
      <c r="DVA31" s="1000"/>
      <c r="DVB31" s="1000"/>
      <c r="DVC31" s="1000"/>
      <c r="DVD31" s="1000"/>
      <c r="DVE31" s="1000"/>
      <c r="DVF31" s="1000"/>
      <c r="DVG31" s="1000"/>
      <c r="DVH31" s="1000"/>
      <c r="DVI31" s="1000"/>
      <c r="DVJ31" s="1000"/>
      <c r="DVK31" s="1000"/>
      <c r="DVL31" s="1000"/>
      <c r="DVM31" s="1000"/>
      <c r="DVN31" s="1000"/>
      <c r="DVO31" s="1000"/>
      <c r="DVP31" s="1000"/>
      <c r="DVQ31" s="1000"/>
      <c r="DVR31" s="1000"/>
      <c r="DVS31" s="1000"/>
      <c r="DVT31" s="1000"/>
      <c r="DVU31" s="1000"/>
      <c r="DVV31" s="1000"/>
      <c r="DVW31" s="1000"/>
      <c r="DVX31" s="1000"/>
      <c r="DVY31" s="1000"/>
      <c r="DVZ31" s="1000"/>
      <c r="DWA31" s="1000"/>
      <c r="DWB31" s="1000"/>
      <c r="DWC31" s="1000"/>
      <c r="DWD31" s="1000"/>
      <c r="DWE31" s="1000"/>
      <c r="DWF31" s="1000"/>
      <c r="DWG31" s="1000"/>
      <c r="DWH31" s="1000"/>
      <c r="DWI31" s="1000"/>
      <c r="DWJ31" s="1000"/>
      <c r="DWK31" s="1000"/>
      <c r="DWL31" s="1000"/>
      <c r="DWM31" s="1000"/>
      <c r="DWN31" s="1000"/>
      <c r="DWO31" s="1000"/>
      <c r="DWP31" s="1000"/>
      <c r="DWQ31" s="1000"/>
      <c r="DWR31" s="1000"/>
      <c r="DWS31" s="1000"/>
      <c r="DWT31" s="1000"/>
      <c r="DWU31" s="1000"/>
      <c r="DWV31" s="1000"/>
      <c r="DWW31" s="1000"/>
      <c r="DWX31" s="1000"/>
      <c r="DWY31" s="1000"/>
      <c r="DWZ31" s="1000"/>
      <c r="DXA31" s="1000"/>
      <c r="DXB31" s="1000"/>
      <c r="DXC31" s="1000"/>
      <c r="DXD31" s="1000"/>
      <c r="DXE31" s="1000"/>
      <c r="DXF31" s="1000"/>
      <c r="DXG31" s="1000"/>
      <c r="DXH31" s="1000"/>
      <c r="DXI31" s="1000"/>
      <c r="DXJ31" s="1000"/>
      <c r="DXK31" s="1000"/>
      <c r="DXL31" s="1000"/>
      <c r="DXM31" s="1000"/>
      <c r="DXN31" s="1000"/>
      <c r="DXO31" s="1000"/>
      <c r="DXP31" s="1000"/>
      <c r="DXQ31" s="1000"/>
      <c r="DXR31" s="1000"/>
      <c r="DXS31" s="1000"/>
      <c r="DXT31" s="1000"/>
      <c r="DXU31" s="1000"/>
      <c r="DXV31" s="1000"/>
      <c r="DXW31" s="1000"/>
      <c r="DXX31" s="1000"/>
      <c r="DXY31" s="1000"/>
      <c r="DXZ31" s="1000"/>
      <c r="DYA31" s="1000"/>
      <c r="DYB31" s="1000"/>
      <c r="DYC31" s="1000"/>
      <c r="DYD31" s="1000"/>
      <c r="DYE31" s="1000"/>
      <c r="DYF31" s="1000"/>
      <c r="DYG31" s="1000"/>
      <c r="DYH31" s="1000"/>
      <c r="DYI31" s="1000"/>
      <c r="DYJ31" s="1000"/>
      <c r="DYK31" s="1000"/>
      <c r="DYL31" s="1000"/>
      <c r="DYM31" s="1000"/>
      <c r="DYN31" s="1000"/>
      <c r="DYO31" s="1000"/>
      <c r="DYP31" s="1000"/>
      <c r="DYQ31" s="1000"/>
      <c r="DYR31" s="1000"/>
      <c r="DYS31" s="1000"/>
      <c r="DYT31" s="1000"/>
      <c r="DYU31" s="1000"/>
      <c r="DYV31" s="1000"/>
      <c r="DYW31" s="1000"/>
      <c r="DYX31" s="1000"/>
      <c r="DYY31" s="1000"/>
      <c r="DYZ31" s="1000"/>
      <c r="DZA31" s="1000"/>
      <c r="DZB31" s="1000"/>
      <c r="DZC31" s="1000"/>
      <c r="DZD31" s="1000"/>
      <c r="DZE31" s="1000"/>
      <c r="DZF31" s="1000"/>
      <c r="DZG31" s="1000"/>
      <c r="DZH31" s="1000"/>
      <c r="DZI31" s="1000"/>
      <c r="DZJ31" s="1000"/>
      <c r="DZK31" s="1000"/>
      <c r="DZL31" s="1000"/>
      <c r="DZM31" s="1000"/>
      <c r="DZN31" s="1000"/>
      <c r="DZO31" s="1000"/>
      <c r="DZP31" s="1000"/>
      <c r="DZQ31" s="1000"/>
      <c r="DZR31" s="1000"/>
      <c r="DZS31" s="1000"/>
      <c r="DZT31" s="1000"/>
      <c r="DZU31" s="1000"/>
      <c r="DZV31" s="1000"/>
      <c r="DZW31" s="1000"/>
      <c r="DZX31" s="1000"/>
      <c r="DZY31" s="1000"/>
      <c r="DZZ31" s="1000"/>
      <c r="EAA31" s="1000"/>
      <c r="EAB31" s="1000"/>
      <c r="EAC31" s="1000"/>
      <c r="EAD31" s="1000"/>
      <c r="EAE31" s="1000"/>
      <c r="EAF31" s="1000"/>
      <c r="EAG31" s="1000"/>
      <c r="EAH31" s="1000"/>
      <c r="EAI31" s="1000"/>
      <c r="EAJ31" s="1000"/>
      <c r="EAK31" s="1000"/>
      <c r="EAL31" s="1000"/>
      <c r="EAM31" s="1000"/>
      <c r="EAN31" s="1000"/>
      <c r="EAO31" s="1000"/>
      <c r="EAP31" s="1000"/>
      <c r="EAQ31" s="1000"/>
      <c r="EAR31" s="1000"/>
      <c r="EAS31" s="1000"/>
      <c r="EAT31" s="1000"/>
      <c r="EAU31" s="1000"/>
      <c r="EAV31" s="1000"/>
      <c r="EAW31" s="1000"/>
      <c r="EAX31" s="1000"/>
      <c r="EAY31" s="1000"/>
      <c r="EAZ31" s="1000"/>
      <c r="EBA31" s="1000"/>
      <c r="EBB31" s="1000"/>
      <c r="EBC31" s="1000"/>
      <c r="EBD31" s="1000"/>
      <c r="EBE31" s="1000"/>
      <c r="EBF31" s="1000"/>
      <c r="EBG31" s="1000"/>
      <c r="EBH31" s="1000"/>
      <c r="EBI31" s="1000"/>
      <c r="EBJ31" s="1000"/>
      <c r="EBK31" s="1000"/>
      <c r="EBL31" s="1000"/>
      <c r="EBM31" s="1000"/>
      <c r="EBN31" s="1000"/>
      <c r="EBO31" s="1000"/>
      <c r="EBP31" s="1000"/>
      <c r="EBQ31" s="1000"/>
      <c r="EBR31" s="1000"/>
      <c r="EBS31" s="1000"/>
      <c r="EBT31" s="1000"/>
      <c r="EBU31" s="1000"/>
      <c r="EBV31" s="1000"/>
      <c r="EBW31" s="1000"/>
      <c r="EBX31" s="1000"/>
      <c r="EBY31" s="1000"/>
      <c r="EBZ31" s="1000"/>
      <c r="ECA31" s="1000"/>
      <c r="ECB31" s="1000"/>
      <c r="ECC31" s="1000"/>
      <c r="ECD31" s="1000"/>
      <c r="ECE31" s="1000"/>
      <c r="ECF31" s="1000"/>
      <c r="ECG31" s="1000"/>
      <c r="ECH31" s="1000"/>
      <c r="ECI31" s="1000"/>
      <c r="ECJ31" s="1000"/>
      <c r="ECK31" s="1000"/>
      <c r="ECL31" s="1000"/>
      <c r="ECM31" s="1000"/>
      <c r="ECN31" s="1000"/>
      <c r="ECO31" s="1000"/>
      <c r="ECP31" s="1000"/>
      <c r="ECQ31" s="1000"/>
      <c r="ECR31" s="1000"/>
      <c r="ECS31" s="1000"/>
      <c r="ECT31" s="1000"/>
      <c r="ECU31" s="1000"/>
      <c r="ECV31" s="1000"/>
      <c r="ECW31" s="1000"/>
      <c r="ECX31" s="1000"/>
      <c r="ECY31" s="1000"/>
      <c r="ECZ31" s="1000"/>
      <c r="EDA31" s="1000"/>
      <c r="EDB31" s="1000"/>
      <c r="EDC31" s="1000"/>
      <c r="EDD31" s="1000"/>
      <c r="EDE31" s="1000"/>
      <c r="EDF31" s="1000"/>
      <c r="EDG31" s="1000"/>
      <c r="EDH31" s="1000"/>
      <c r="EDI31" s="1000"/>
      <c r="EDJ31" s="1000"/>
      <c r="EDK31" s="1000"/>
      <c r="EDL31" s="1000"/>
      <c r="EDM31" s="1000"/>
      <c r="EDN31" s="1000"/>
      <c r="EDO31" s="1000"/>
      <c r="EDP31" s="1000"/>
      <c r="EDQ31" s="1000"/>
      <c r="EDR31" s="1000"/>
      <c r="EDS31" s="1000"/>
      <c r="EDT31" s="1000"/>
      <c r="EDU31" s="1000"/>
      <c r="EDV31" s="1000"/>
      <c r="EDW31" s="1000"/>
      <c r="EDX31" s="1000"/>
      <c r="EDY31" s="1000"/>
      <c r="EDZ31" s="1000"/>
      <c r="EEA31" s="1000"/>
      <c r="EEB31" s="1000"/>
      <c r="EEC31" s="1000"/>
      <c r="EED31" s="1000"/>
      <c r="EEE31" s="1000"/>
      <c r="EEF31" s="1000"/>
      <c r="EEG31" s="1000"/>
      <c r="EEH31" s="1000"/>
      <c r="EEI31" s="1000"/>
      <c r="EEJ31" s="1000"/>
      <c r="EEK31" s="1000"/>
      <c r="EEL31" s="1000"/>
      <c r="EEM31" s="1000"/>
      <c r="EEN31" s="1000"/>
      <c r="EEO31" s="1000"/>
      <c r="EEP31" s="1000"/>
      <c r="EEQ31" s="1000"/>
      <c r="EER31" s="1000"/>
      <c r="EES31" s="1000"/>
      <c r="EET31" s="1000"/>
      <c r="EEU31" s="1000"/>
      <c r="EEV31" s="1000"/>
      <c r="EEW31" s="1000"/>
      <c r="EEX31" s="1000"/>
      <c r="EEY31" s="1000"/>
      <c r="EEZ31" s="1000"/>
      <c r="EFA31" s="1000"/>
      <c r="EFB31" s="1000"/>
      <c r="EFC31" s="1000"/>
      <c r="EFD31" s="1000"/>
      <c r="EFE31" s="1000"/>
      <c r="EFF31" s="1000"/>
      <c r="EFG31" s="1000"/>
      <c r="EFH31" s="1000"/>
      <c r="EFI31" s="1000"/>
      <c r="EFJ31" s="1000"/>
      <c r="EFK31" s="1000"/>
      <c r="EFL31" s="1000"/>
      <c r="EFM31" s="1000"/>
      <c r="EFN31" s="1000"/>
      <c r="EFO31" s="1000"/>
      <c r="EFP31" s="1000"/>
      <c r="EFQ31" s="1000"/>
      <c r="EFR31" s="1000"/>
      <c r="EFS31" s="1000"/>
      <c r="EFT31" s="1000"/>
      <c r="EFU31" s="1000"/>
      <c r="EFV31" s="1000"/>
      <c r="EFW31" s="1000"/>
      <c r="EFX31" s="1000"/>
      <c r="EFY31" s="1000"/>
      <c r="EFZ31" s="1000"/>
      <c r="EGA31" s="1000"/>
      <c r="EGB31" s="1000"/>
      <c r="EGC31" s="1000"/>
      <c r="EGD31" s="1000"/>
      <c r="EGE31" s="1000"/>
      <c r="EGF31" s="1000"/>
      <c r="EGG31" s="1000"/>
      <c r="EGH31" s="1000"/>
      <c r="EGI31" s="1000"/>
      <c r="EGJ31" s="1000"/>
      <c r="EGK31" s="1000"/>
      <c r="EGL31" s="1000"/>
      <c r="EGM31" s="1000"/>
      <c r="EGN31" s="1000"/>
      <c r="EGO31" s="1000"/>
      <c r="EGP31" s="1000"/>
      <c r="EGQ31" s="1000"/>
      <c r="EGR31" s="1000"/>
      <c r="EGS31" s="1000"/>
      <c r="EGT31" s="1000"/>
      <c r="EGU31" s="1000"/>
      <c r="EGV31" s="1000"/>
      <c r="EGW31" s="1000"/>
      <c r="EGX31" s="1000"/>
      <c r="EGY31" s="1000"/>
      <c r="EGZ31" s="1000"/>
      <c r="EHA31" s="1000"/>
      <c r="EHB31" s="1000"/>
      <c r="EHC31" s="1000"/>
      <c r="EHD31" s="1000"/>
      <c r="EHE31" s="1000"/>
      <c r="EHF31" s="1000"/>
      <c r="EHG31" s="1000"/>
      <c r="EHH31" s="1000"/>
      <c r="EHI31" s="1000"/>
      <c r="EHJ31" s="1000"/>
      <c r="EHK31" s="1000"/>
      <c r="EHL31" s="1000"/>
      <c r="EHM31" s="1000"/>
      <c r="EHN31" s="1000"/>
      <c r="EHO31" s="1000"/>
      <c r="EHP31" s="1000"/>
      <c r="EHQ31" s="1000"/>
      <c r="EHR31" s="1000"/>
      <c r="EHS31" s="1000"/>
      <c r="EHT31" s="1000"/>
      <c r="EHU31" s="1000"/>
      <c r="EHV31" s="1000"/>
      <c r="EHW31" s="1000"/>
      <c r="EHX31" s="1000"/>
      <c r="EHY31" s="1000"/>
      <c r="EHZ31" s="1000"/>
      <c r="EIA31" s="1000"/>
      <c r="EIB31" s="1000"/>
      <c r="EIC31" s="1000"/>
      <c r="EID31" s="1000"/>
      <c r="EIE31" s="1000"/>
      <c r="EIF31" s="1000"/>
      <c r="EIG31" s="1000"/>
      <c r="EIH31" s="1000"/>
      <c r="EII31" s="1000"/>
      <c r="EIJ31" s="1000"/>
      <c r="EIK31" s="1000"/>
      <c r="EIL31" s="1000"/>
      <c r="EIM31" s="1000"/>
      <c r="EIN31" s="1000"/>
      <c r="EIO31" s="1000"/>
      <c r="EIP31" s="1000"/>
      <c r="EIQ31" s="1000"/>
      <c r="EIR31" s="1000"/>
      <c r="EIS31" s="1000"/>
      <c r="EIT31" s="1000"/>
      <c r="EIU31" s="1000"/>
      <c r="EIV31" s="1000"/>
      <c r="EIW31" s="1000"/>
      <c r="EIX31" s="1000"/>
      <c r="EIY31" s="1000"/>
      <c r="EIZ31" s="1000"/>
      <c r="EJA31" s="1000"/>
      <c r="EJB31" s="1000"/>
      <c r="EJC31" s="1000"/>
      <c r="EJD31" s="1000"/>
      <c r="EJE31" s="1000"/>
      <c r="EJF31" s="1000"/>
      <c r="EJG31" s="1000"/>
      <c r="EJH31" s="1000"/>
      <c r="EJI31" s="1000"/>
      <c r="EJJ31" s="1000"/>
      <c r="EJK31" s="1000"/>
      <c r="EJL31" s="1000"/>
      <c r="EJM31" s="1000"/>
      <c r="EJN31" s="1000"/>
      <c r="EJO31" s="1000"/>
      <c r="EJP31" s="1000"/>
      <c r="EJQ31" s="1000"/>
      <c r="EJR31" s="1000"/>
      <c r="EJS31" s="1000"/>
      <c r="EJT31" s="1000"/>
      <c r="EJU31" s="1000"/>
      <c r="EJV31" s="1000"/>
      <c r="EJW31" s="1000"/>
      <c r="EJX31" s="1000"/>
      <c r="EJY31" s="1000"/>
      <c r="EJZ31" s="1000"/>
      <c r="EKA31" s="1000"/>
      <c r="EKB31" s="1000"/>
      <c r="EKC31" s="1000"/>
      <c r="EKD31" s="1000"/>
      <c r="EKE31" s="1000"/>
      <c r="EKF31" s="1000"/>
      <c r="EKG31" s="1000"/>
      <c r="EKH31" s="1000"/>
      <c r="EKI31" s="1000"/>
      <c r="EKJ31" s="1000"/>
      <c r="EKK31" s="1000"/>
      <c r="EKL31" s="1000"/>
      <c r="EKM31" s="1000"/>
      <c r="EKN31" s="1000"/>
      <c r="EKO31" s="1000"/>
      <c r="EKP31" s="1000"/>
      <c r="EKQ31" s="1000"/>
      <c r="EKR31" s="1000"/>
      <c r="EKS31" s="1000"/>
      <c r="EKT31" s="1000"/>
      <c r="EKU31" s="1000"/>
      <c r="EKV31" s="1000"/>
      <c r="EKW31" s="1000"/>
      <c r="EKX31" s="1000"/>
      <c r="EKY31" s="1000"/>
      <c r="EKZ31" s="1000"/>
      <c r="ELA31" s="1000"/>
      <c r="ELB31" s="1000"/>
      <c r="ELC31" s="1000"/>
      <c r="ELD31" s="1000"/>
      <c r="ELE31" s="1000"/>
      <c r="ELF31" s="1000"/>
      <c r="ELG31" s="1000"/>
      <c r="ELH31" s="1000"/>
      <c r="ELI31" s="1000"/>
      <c r="ELJ31" s="1000"/>
      <c r="ELK31" s="1000"/>
      <c r="ELL31" s="1000"/>
      <c r="ELM31" s="1000"/>
      <c r="ELN31" s="1000"/>
      <c r="ELO31" s="1000"/>
      <c r="ELP31" s="1000"/>
      <c r="ELQ31" s="1000"/>
      <c r="ELR31" s="1000"/>
      <c r="ELS31" s="1000"/>
      <c r="ELT31" s="1000"/>
      <c r="ELU31" s="1000"/>
      <c r="ELV31" s="1000"/>
      <c r="ELW31" s="1000"/>
      <c r="ELX31" s="1000"/>
      <c r="ELY31" s="1000"/>
      <c r="ELZ31" s="1000"/>
      <c r="EMA31" s="1000"/>
      <c r="EMB31" s="1000"/>
      <c r="EMC31" s="1000"/>
      <c r="EMD31" s="1000"/>
      <c r="EME31" s="1000"/>
      <c r="EMF31" s="1000"/>
      <c r="EMG31" s="1000"/>
      <c r="EMH31" s="1000"/>
      <c r="EMI31" s="1000"/>
      <c r="EMJ31" s="1000"/>
      <c r="EMK31" s="1000"/>
      <c r="EML31" s="1000"/>
      <c r="EMM31" s="1000"/>
      <c r="EMN31" s="1000"/>
      <c r="EMO31" s="1000"/>
      <c r="EMP31" s="1000"/>
      <c r="EMQ31" s="1000"/>
      <c r="EMR31" s="1000"/>
      <c r="EMS31" s="1000"/>
      <c r="EMT31" s="1000"/>
      <c r="EMU31" s="1000"/>
      <c r="EMV31" s="1000"/>
      <c r="EMW31" s="1000"/>
      <c r="EMX31" s="1000"/>
      <c r="EMY31" s="1000"/>
      <c r="EMZ31" s="1000"/>
      <c r="ENA31" s="1000"/>
      <c r="ENB31" s="1000"/>
      <c r="ENC31" s="1000"/>
      <c r="END31" s="1000"/>
      <c r="ENE31" s="1000"/>
      <c r="ENF31" s="1000"/>
      <c r="ENG31" s="1000"/>
      <c r="ENH31" s="1000"/>
      <c r="ENI31" s="1000"/>
      <c r="ENJ31" s="1000"/>
      <c r="ENK31" s="1000"/>
      <c r="ENL31" s="1000"/>
      <c r="ENM31" s="1000"/>
      <c r="ENN31" s="1000"/>
      <c r="ENO31" s="1000"/>
      <c r="ENP31" s="1000"/>
      <c r="ENQ31" s="1000"/>
      <c r="ENR31" s="1000"/>
      <c r="ENS31" s="1000"/>
      <c r="ENT31" s="1000"/>
      <c r="ENU31" s="1000"/>
      <c r="ENV31" s="1000"/>
      <c r="ENW31" s="1000"/>
      <c r="ENX31" s="1000"/>
      <c r="ENY31" s="1000"/>
      <c r="ENZ31" s="1000"/>
      <c r="EOA31" s="1000"/>
      <c r="EOB31" s="1000"/>
      <c r="EOC31" s="1000"/>
      <c r="EOD31" s="1000"/>
      <c r="EOE31" s="1000"/>
      <c r="EOF31" s="1000"/>
      <c r="EOG31" s="1000"/>
      <c r="EOH31" s="1000"/>
      <c r="EOI31" s="1000"/>
      <c r="EOJ31" s="1000"/>
      <c r="EOK31" s="1000"/>
      <c r="EOL31" s="1000"/>
      <c r="EOM31" s="1000"/>
      <c r="EON31" s="1000"/>
      <c r="EOO31" s="1000"/>
      <c r="EOP31" s="1000"/>
      <c r="EOQ31" s="1000"/>
      <c r="EOR31" s="1000"/>
      <c r="EOS31" s="1000"/>
      <c r="EOT31" s="1000"/>
      <c r="EOU31" s="1000"/>
      <c r="EOV31" s="1000"/>
      <c r="EOW31" s="1000"/>
      <c r="EOX31" s="1000"/>
      <c r="EOY31" s="1000"/>
      <c r="EOZ31" s="1000"/>
      <c r="EPA31" s="1000"/>
      <c r="EPB31" s="1000"/>
      <c r="EPC31" s="1000"/>
      <c r="EPD31" s="1000"/>
      <c r="EPE31" s="1000"/>
      <c r="EPF31" s="1000"/>
      <c r="EPG31" s="1000"/>
      <c r="EPH31" s="1000"/>
      <c r="EPI31" s="1000"/>
      <c r="EPJ31" s="1000"/>
      <c r="EPK31" s="1000"/>
      <c r="EPL31" s="1000"/>
      <c r="EPM31" s="1000"/>
      <c r="EPN31" s="1000"/>
      <c r="EPO31" s="1000"/>
      <c r="EPP31" s="1000"/>
      <c r="EPQ31" s="1000"/>
      <c r="EPR31" s="1000"/>
      <c r="EPS31" s="1000"/>
      <c r="EPT31" s="1000"/>
      <c r="EPU31" s="1000"/>
      <c r="EPV31" s="1000"/>
      <c r="EPW31" s="1000"/>
      <c r="EPX31" s="1000"/>
      <c r="EPY31" s="1000"/>
      <c r="EPZ31" s="1000"/>
      <c r="EQA31" s="1000"/>
      <c r="EQB31" s="1000"/>
      <c r="EQC31" s="1000"/>
      <c r="EQD31" s="1000"/>
      <c r="EQE31" s="1000"/>
      <c r="EQF31" s="1000"/>
      <c r="EQG31" s="1000"/>
      <c r="EQH31" s="1000"/>
      <c r="EQI31" s="1000"/>
      <c r="EQJ31" s="1000"/>
      <c r="EQK31" s="1000"/>
      <c r="EQL31" s="1000"/>
      <c r="EQM31" s="1000"/>
      <c r="EQN31" s="1000"/>
      <c r="EQO31" s="1000"/>
      <c r="EQP31" s="1000"/>
      <c r="EQQ31" s="1000"/>
      <c r="EQR31" s="1000"/>
      <c r="EQS31" s="1000"/>
      <c r="EQT31" s="1000"/>
      <c r="EQU31" s="1000"/>
      <c r="EQV31" s="1000"/>
      <c r="EQW31" s="1000"/>
      <c r="EQX31" s="1000"/>
      <c r="EQY31" s="1000"/>
      <c r="EQZ31" s="1000"/>
      <c r="ERA31" s="1000"/>
      <c r="ERB31" s="1000"/>
      <c r="ERC31" s="1000"/>
      <c r="ERD31" s="1000"/>
      <c r="ERE31" s="1000"/>
      <c r="ERF31" s="1000"/>
      <c r="ERG31" s="1000"/>
      <c r="ERH31" s="1000"/>
      <c r="ERI31" s="1000"/>
      <c r="ERJ31" s="1000"/>
      <c r="ERK31" s="1000"/>
      <c r="ERL31" s="1000"/>
      <c r="ERM31" s="1000"/>
      <c r="ERN31" s="1000"/>
      <c r="ERO31" s="1000"/>
      <c r="ERP31" s="1000"/>
      <c r="ERQ31" s="1000"/>
      <c r="ERR31" s="1000"/>
      <c r="ERS31" s="1000"/>
      <c r="ERT31" s="1000"/>
      <c r="ERU31" s="1000"/>
      <c r="ERV31" s="1000"/>
      <c r="ERW31" s="1000"/>
      <c r="ERX31" s="1000"/>
      <c r="ERY31" s="1000"/>
      <c r="ERZ31" s="1000"/>
      <c r="ESA31" s="1000"/>
      <c r="ESB31" s="1000"/>
      <c r="ESC31" s="1000"/>
      <c r="ESD31" s="1000"/>
      <c r="ESE31" s="1000"/>
      <c r="ESF31" s="1000"/>
      <c r="ESG31" s="1000"/>
      <c r="ESH31" s="1000"/>
      <c r="ESI31" s="1000"/>
      <c r="ESJ31" s="1000"/>
      <c r="ESK31" s="1000"/>
      <c r="ESL31" s="1000"/>
      <c r="ESM31" s="1000"/>
      <c r="ESN31" s="1000"/>
      <c r="ESO31" s="1000"/>
      <c r="ESP31" s="1000"/>
      <c r="ESQ31" s="1000"/>
      <c r="ESR31" s="1000"/>
      <c r="ESS31" s="1000"/>
      <c r="EST31" s="1000"/>
      <c r="ESU31" s="1000"/>
      <c r="ESV31" s="1000"/>
      <c r="ESW31" s="1000"/>
      <c r="ESX31" s="1000"/>
      <c r="ESY31" s="1000"/>
      <c r="ESZ31" s="1000"/>
      <c r="ETA31" s="1000"/>
      <c r="ETB31" s="1000"/>
      <c r="ETC31" s="1000"/>
      <c r="ETD31" s="1000"/>
      <c r="ETE31" s="1000"/>
      <c r="ETF31" s="1000"/>
      <c r="ETG31" s="1000"/>
      <c r="ETH31" s="1000"/>
      <c r="ETI31" s="1000"/>
      <c r="ETJ31" s="1000"/>
      <c r="ETK31" s="1000"/>
      <c r="ETL31" s="1000"/>
      <c r="ETM31" s="1000"/>
      <c r="ETN31" s="1000"/>
      <c r="ETO31" s="1000"/>
      <c r="ETP31" s="1000"/>
      <c r="ETQ31" s="1000"/>
      <c r="ETR31" s="1000"/>
      <c r="ETS31" s="1000"/>
      <c r="ETT31" s="1000"/>
      <c r="ETU31" s="1000"/>
      <c r="ETV31" s="1000"/>
      <c r="ETW31" s="1000"/>
      <c r="ETX31" s="1000"/>
      <c r="ETY31" s="1000"/>
      <c r="ETZ31" s="1000"/>
      <c r="EUA31" s="1000"/>
      <c r="EUB31" s="1000"/>
      <c r="EUC31" s="1000"/>
      <c r="EUD31" s="1000"/>
      <c r="EUE31" s="1000"/>
      <c r="EUF31" s="1000"/>
      <c r="EUG31" s="1000"/>
      <c r="EUH31" s="1000"/>
      <c r="EUI31" s="1000"/>
      <c r="EUJ31" s="1000"/>
      <c r="EUK31" s="1000"/>
      <c r="EUL31" s="1000"/>
      <c r="EUM31" s="1000"/>
      <c r="EUN31" s="1000"/>
      <c r="EUO31" s="1000"/>
      <c r="EUP31" s="1000"/>
      <c r="EUQ31" s="1000"/>
      <c r="EUR31" s="1000"/>
      <c r="EUS31" s="1000"/>
      <c r="EUT31" s="1000"/>
      <c r="EUU31" s="1000"/>
      <c r="EUV31" s="1000"/>
      <c r="EUW31" s="1000"/>
      <c r="EUX31" s="1000"/>
      <c r="EUY31" s="1000"/>
      <c r="EUZ31" s="1000"/>
      <c r="EVA31" s="1000"/>
      <c r="EVB31" s="1000"/>
      <c r="EVC31" s="1000"/>
      <c r="EVD31" s="1000"/>
      <c r="EVE31" s="1000"/>
      <c r="EVF31" s="1000"/>
      <c r="EVG31" s="1000"/>
      <c r="EVH31" s="1000"/>
      <c r="EVI31" s="1000"/>
      <c r="EVJ31" s="1000"/>
      <c r="EVK31" s="1000"/>
      <c r="EVL31" s="1000"/>
      <c r="EVM31" s="1000"/>
      <c r="EVN31" s="1000"/>
      <c r="EVO31" s="1000"/>
      <c r="EVP31" s="1000"/>
      <c r="EVQ31" s="1000"/>
      <c r="EVR31" s="1000"/>
      <c r="EVS31" s="1000"/>
      <c r="EVT31" s="1000"/>
      <c r="EVU31" s="1000"/>
      <c r="EVV31" s="1000"/>
      <c r="EVW31" s="1000"/>
      <c r="EVX31" s="1000"/>
      <c r="EVY31" s="1000"/>
      <c r="EVZ31" s="1000"/>
      <c r="EWA31" s="1000"/>
      <c r="EWB31" s="1000"/>
      <c r="EWC31" s="1000"/>
      <c r="EWD31" s="1000"/>
      <c r="EWE31" s="1000"/>
      <c r="EWF31" s="1000"/>
      <c r="EWG31" s="1000"/>
      <c r="EWH31" s="1000"/>
      <c r="EWI31" s="1000"/>
      <c r="EWJ31" s="1000"/>
      <c r="EWK31" s="1000"/>
      <c r="EWL31" s="1000"/>
      <c r="EWM31" s="1000"/>
      <c r="EWN31" s="1000"/>
      <c r="EWO31" s="1000"/>
      <c r="EWP31" s="1000"/>
      <c r="EWQ31" s="1000"/>
      <c r="EWR31" s="1000"/>
      <c r="EWS31" s="1000"/>
      <c r="EWT31" s="1000"/>
      <c r="EWU31" s="1000"/>
      <c r="EWV31" s="1000"/>
      <c r="EWW31" s="1000"/>
      <c r="EWX31" s="1000"/>
      <c r="EWY31" s="1000"/>
      <c r="EWZ31" s="1000"/>
      <c r="EXA31" s="1000"/>
      <c r="EXB31" s="1000"/>
      <c r="EXC31" s="1000"/>
      <c r="EXD31" s="1000"/>
      <c r="EXE31" s="1000"/>
      <c r="EXF31" s="1000"/>
      <c r="EXG31" s="1000"/>
      <c r="EXH31" s="1000"/>
      <c r="EXI31" s="1000"/>
      <c r="EXJ31" s="1000"/>
      <c r="EXK31" s="1000"/>
      <c r="EXL31" s="1000"/>
      <c r="EXM31" s="1000"/>
      <c r="EXN31" s="1000"/>
      <c r="EXO31" s="1000"/>
      <c r="EXP31" s="1000"/>
      <c r="EXQ31" s="1000"/>
      <c r="EXR31" s="1000"/>
      <c r="EXS31" s="1000"/>
      <c r="EXT31" s="1000"/>
      <c r="EXU31" s="1000"/>
      <c r="EXV31" s="1000"/>
      <c r="EXW31" s="1000"/>
      <c r="EXX31" s="1000"/>
      <c r="EXY31" s="1000"/>
      <c r="EXZ31" s="1000"/>
      <c r="EYA31" s="1000"/>
      <c r="EYB31" s="1000"/>
      <c r="EYC31" s="1000"/>
      <c r="EYD31" s="1000"/>
      <c r="EYE31" s="1000"/>
      <c r="EYF31" s="1000"/>
      <c r="EYG31" s="1000"/>
      <c r="EYH31" s="1000"/>
      <c r="EYI31" s="1000"/>
      <c r="EYJ31" s="1000"/>
      <c r="EYK31" s="1000"/>
      <c r="EYL31" s="1000"/>
      <c r="EYM31" s="1000"/>
      <c r="EYN31" s="1000"/>
      <c r="EYO31" s="1000"/>
      <c r="EYP31" s="1000"/>
      <c r="EYQ31" s="1000"/>
      <c r="EYR31" s="1000"/>
      <c r="EYS31" s="1000"/>
      <c r="EYT31" s="1000"/>
      <c r="EYU31" s="1000"/>
      <c r="EYV31" s="1000"/>
      <c r="EYW31" s="1000"/>
      <c r="EYX31" s="1000"/>
      <c r="EYY31" s="1000"/>
      <c r="EYZ31" s="1000"/>
      <c r="EZA31" s="1000"/>
      <c r="EZB31" s="1000"/>
      <c r="EZC31" s="1000"/>
      <c r="EZD31" s="1000"/>
      <c r="EZE31" s="1000"/>
      <c r="EZF31" s="1000"/>
      <c r="EZG31" s="1000"/>
      <c r="EZH31" s="1000"/>
      <c r="EZI31" s="1000"/>
      <c r="EZJ31" s="1000"/>
      <c r="EZK31" s="1000"/>
      <c r="EZL31" s="1000"/>
      <c r="EZM31" s="1000"/>
      <c r="EZN31" s="1000"/>
      <c r="EZO31" s="1000"/>
      <c r="EZP31" s="1000"/>
      <c r="EZQ31" s="1000"/>
      <c r="EZR31" s="1000"/>
      <c r="EZS31" s="1000"/>
      <c r="EZT31" s="1000"/>
      <c r="EZU31" s="1000"/>
      <c r="EZV31" s="1000"/>
      <c r="EZW31" s="1000"/>
      <c r="EZX31" s="1000"/>
      <c r="EZY31" s="1000"/>
      <c r="EZZ31" s="1000"/>
      <c r="FAA31" s="1000"/>
      <c r="FAB31" s="1000"/>
      <c r="FAC31" s="1000"/>
      <c r="FAD31" s="1000"/>
      <c r="FAE31" s="1000"/>
      <c r="FAF31" s="1000"/>
      <c r="FAG31" s="1000"/>
      <c r="FAH31" s="1000"/>
      <c r="FAI31" s="1000"/>
      <c r="FAJ31" s="1000"/>
      <c r="FAK31" s="1000"/>
      <c r="FAL31" s="1000"/>
      <c r="FAM31" s="1000"/>
      <c r="FAN31" s="1000"/>
      <c r="FAO31" s="1000"/>
      <c r="FAP31" s="1000"/>
      <c r="FAQ31" s="1000"/>
      <c r="FAR31" s="1000"/>
      <c r="FAS31" s="1000"/>
      <c r="FAT31" s="1000"/>
      <c r="FAU31" s="1000"/>
      <c r="FAV31" s="1000"/>
      <c r="FAW31" s="1000"/>
      <c r="FAX31" s="1000"/>
      <c r="FAY31" s="1000"/>
      <c r="FAZ31" s="1000"/>
      <c r="FBA31" s="1000"/>
      <c r="FBB31" s="1000"/>
      <c r="FBC31" s="1000"/>
      <c r="FBD31" s="1000"/>
      <c r="FBE31" s="1000"/>
      <c r="FBF31" s="1000"/>
      <c r="FBG31" s="1000"/>
      <c r="FBH31" s="1000"/>
      <c r="FBI31" s="1000"/>
      <c r="FBJ31" s="1000"/>
      <c r="FBK31" s="1000"/>
      <c r="FBL31" s="1000"/>
      <c r="FBM31" s="1000"/>
      <c r="FBN31" s="1000"/>
      <c r="FBO31" s="1000"/>
      <c r="FBP31" s="1000"/>
      <c r="FBQ31" s="1000"/>
      <c r="FBR31" s="1000"/>
      <c r="FBS31" s="1000"/>
      <c r="FBT31" s="1000"/>
      <c r="FBU31" s="1000"/>
      <c r="FBV31" s="1000"/>
      <c r="FBW31" s="1000"/>
      <c r="FBX31" s="1000"/>
      <c r="FBY31" s="1000"/>
      <c r="FBZ31" s="1000"/>
      <c r="FCA31" s="1000"/>
      <c r="FCB31" s="1000"/>
      <c r="FCC31" s="1000"/>
      <c r="FCD31" s="1000"/>
      <c r="FCE31" s="1000"/>
      <c r="FCF31" s="1000"/>
      <c r="FCG31" s="1000"/>
      <c r="FCH31" s="1000"/>
      <c r="FCI31" s="1000"/>
      <c r="FCJ31" s="1000"/>
      <c r="FCK31" s="1000"/>
      <c r="FCL31" s="1000"/>
      <c r="FCM31" s="1000"/>
      <c r="FCN31" s="1000"/>
      <c r="FCO31" s="1000"/>
      <c r="FCP31" s="1000"/>
      <c r="FCQ31" s="1000"/>
      <c r="FCR31" s="1000"/>
      <c r="FCS31" s="1000"/>
      <c r="FCT31" s="1000"/>
      <c r="FCU31" s="1000"/>
      <c r="FCV31" s="1000"/>
      <c r="FCW31" s="1000"/>
      <c r="FCX31" s="1000"/>
      <c r="FCY31" s="1000"/>
      <c r="FCZ31" s="1000"/>
      <c r="FDA31" s="1000"/>
      <c r="FDB31" s="1000"/>
      <c r="FDC31" s="1000"/>
      <c r="FDD31" s="1000"/>
      <c r="FDE31" s="1000"/>
      <c r="FDF31" s="1000"/>
      <c r="FDG31" s="1000"/>
      <c r="FDH31" s="1000"/>
      <c r="FDI31" s="1000"/>
      <c r="FDJ31" s="1000"/>
      <c r="FDK31" s="1000"/>
      <c r="FDL31" s="1000"/>
      <c r="FDM31" s="1000"/>
      <c r="FDN31" s="1000"/>
      <c r="FDO31" s="1000"/>
      <c r="FDP31" s="1000"/>
      <c r="FDQ31" s="1000"/>
      <c r="FDR31" s="1000"/>
      <c r="FDS31" s="1000"/>
      <c r="FDT31" s="1000"/>
      <c r="FDU31" s="1000"/>
      <c r="FDV31" s="1000"/>
      <c r="FDW31" s="1000"/>
      <c r="FDX31" s="1000"/>
      <c r="FDY31" s="1000"/>
      <c r="FDZ31" s="1000"/>
      <c r="FEA31" s="1000"/>
      <c r="FEB31" s="1000"/>
      <c r="FEC31" s="1000"/>
      <c r="FED31" s="1000"/>
      <c r="FEE31" s="1000"/>
      <c r="FEF31" s="1000"/>
      <c r="FEG31" s="1000"/>
      <c r="FEH31" s="1000"/>
      <c r="FEI31" s="1000"/>
      <c r="FEJ31" s="1000"/>
      <c r="FEK31" s="1000"/>
      <c r="FEL31" s="1000"/>
      <c r="FEM31" s="1000"/>
      <c r="FEN31" s="1000"/>
      <c r="FEO31" s="1000"/>
      <c r="FEP31" s="1000"/>
      <c r="FEQ31" s="1000"/>
      <c r="FER31" s="1000"/>
      <c r="FES31" s="1000"/>
      <c r="FET31" s="1000"/>
      <c r="FEU31" s="1000"/>
      <c r="FEV31" s="1000"/>
      <c r="FEW31" s="1000"/>
      <c r="FEX31" s="1000"/>
      <c r="FEY31" s="1000"/>
      <c r="FEZ31" s="1000"/>
      <c r="FFA31" s="1000"/>
      <c r="FFB31" s="1000"/>
      <c r="FFC31" s="1000"/>
      <c r="FFD31" s="1000"/>
      <c r="FFE31" s="1000"/>
      <c r="FFF31" s="1000"/>
      <c r="FFG31" s="1000"/>
      <c r="FFH31" s="1000"/>
      <c r="FFI31" s="1000"/>
      <c r="FFJ31" s="1000"/>
      <c r="FFK31" s="1000"/>
      <c r="FFL31" s="1000"/>
      <c r="FFM31" s="1000"/>
      <c r="FFN31" s="1000"/>
      <c r="FFO31" s="1000"/>
      <c r="FFP31" s="1000"/>
      <c r="FFQ31" s="1000"/>
      <c r="FFR31" s="1000"/>
      <c r="FFS31" s="1000"/>
      <c r="FFT31" s="1000"/>
      <c r="FFU31" s="1000"/>
      <c r="FFV31" s="1000"/>
      <c r="FFW31" s="1000"/>
      <c r="FFX31" s="1000"/>
      <c r="FFY31" s="1000"/>
      <c r="FFZ31" s="1000"/>
      <c r="FGA31" s="1000"/>
      <c r="FGB31" s="1000"/>
      <c r="FGC31" s="1000"/>
      <c r="FGD31" s="1000"/>
      <c r="FGE31" s="1000"/>
      <c r="FGF31" s="1000"/>
      <c r="FGG31" s="1000"/>
      <c r="FGH31" s="1000"/>
      <c r="FGI31" s="1000"/>
      <c r="FGJ31" s="1000"/>
      <c r="FGK31" s="1000"/>
      <c r="FGL31" s="1000"/>
      <c r="FGM31" s="1000"/>
      <c r="FGN31" s="1000"/>
      <c r="FGO31" s="1000"/>
      <c r="FGP31" s="1000"/>
      <c r="FGQ31" s="1000"/>
      <c r="FGR31" s="1000"/>
      <c r="FGS31" s="1000"/>
      <c r="FGT31" s="1000"/>
      <c r="FGU31" s="1000"/>
      <c r="FGV31" s="1000"/>
      <c r="FGW31" s="1000"/>
      <c r="FGX31" s="1000"/>
      <c r="FGY31" s="1000"/>
      <c r="FGZ31" s="1000"/>
      <c r="FHA31" s="1000"/>
      <c r="FHB31" s="1000"/>
      <c r="FHC31" s="1000"/>
      <c r="FHD31" s="1000"/>
      <c r="FHE31" s="1000"/>
      <c r="FHF31" s="1000"/>
      <c r="FHG31" s="1000"/>
      <c r="FHH31" s="1000"/>
      <c r="FHI31" s="1000"/>
      <c r="FHJ31" s="1000"/>
      <c r="FHK31" s="1000"/>
      <c r="FHL31" s="1000"/>
      <c r="FHM31" s="1000"/>
      <c r="FHN31" s="1000"/>
      <c r="FHO31" s="1000"/>
      <c r="FHP31" s="1000"/>
      <c r="FHQ31" s="1000"/>
      <c r="FHR31" s="1000"/>
      <c r="FHS31" s="1000"/>
      <c r="FHT31" s="1000"/>
      <c r="FHU31" s="1000"/>
      <c r="FHV31" s="1000"/>
      <c r="FHW31" s="1000"/>
      <c r="FHX31" s="1000"/>
      <c r="FHY31" s="1000"/>
      <c r="FHZ31" s="1000"/>
      <c r="FIA31" s="1000"/>
      <c r="FIB31" s="1000"/>
      <c r="FIC31" s="1000"/>
      <c r="FID31" s="1000"/>
      <c r="FIE31" s="1000"/>
      <c r="FIF31" s="1000"/>
      <c r="FIG31" s="1000"/>
      <c r="FIH31" s="1000"/>
      <c r="FII31" s="1000"/>
      <c r="FIJ31" s="1000"/>
      <c r="FIK31" s="1000"/>
      <c r="FIL31" s="1000"/>
      <c r="FIM31" s="1000"/>
      <c r="FIN31" s="1000"/>
      <c r="FIO31" s="1000"/>
      <c r="FIP31" s="1000"/>
      <c r="FIQ31" s="1000"/>
      <c r="FIR31" s="1000"/>
      <c r="FIS31" s="1000"/>
      <c r="FIT31" s="1000"/>
      <c r="FIU31" s="1000"/>
      <c r="FIV31" s="1000"/>
      <c r="FIW31" s="1000"/>
      <c r="FIX31" s="1000"/>
      <c r="FIY31" s="1000"/>
      <c r="FIZ31" s="1000"/>
      <c r="FJA31" s="1000"/>
      <c r="FJB31" s="1000"/>
      <c r="FJC31" s="1000"/>
      <c r="FJD31" s="1000"/>
      <c r="FJE31" s="1000"/>
      <c r="FJF31" s="1000"/>
      <c r="FJG31" s="1000"/>
      <c r="FJH31" s="1000"/>
      <c r="FJI31" s="1000"/>
      <c r="FJJ31" s="1000"/>
      <c r="FJK31" s="1000"/>
      <c r="FJL31" s="1000"/>
      <c r="FJM31" s="1000"/>
      <c r="FJN31" s="1000"/>
      <c r="FJO31" s="1000"/>
      <c r="FJP31" s="1000"/>
      <c r="FJQ31" s="1000"/>
      <c r="FJR31" s="1000"/>
      <c r="FJS31" s="1000"/>
      <c r="FJT31" s="1000"/>
      <c r="FJU31" s="1000"/>
      <c r="FJV31" s="1000"/>
      <c r="FJW31" s="1000"/>
      <c r="FJX31" s="1000"/>
      <c r="FJY31" s="1000"/>
      <c r="FJZ31" s="1000"/>
      <c r="FKA31" s="1000"/>
      <c r="FKB31" s="1000"/>
      <c r="FKC31" s="1000"/>
      <c r="FKD31" s="1000"/>
      <c r="FKE31" s="1000"/>
      <c r="FKF31" s="1000"/>
      <c r="FKG31" s="1000"/>
      <c r="FKH31" s="1000"/>
      <c r="FKI31" s="1000"/>
      <c r="FKJ31" s="1000"/>
      <c r="FKK31" s="1000"/>
      <c r="FKL31" s="1000"/>
      <c r="FKM31" s="1000"/>
      <c r="FKN31" s="1000"/>
      <c r="FKO31" s="1000"/>
      <c r="FKP31" s="1000"/>
      <c r="FKQ31" s="1000"/>
      <c r="FKR31" s="1000"/>
      <c r="FKS31" s="1000"/>
      <c r="FKT31" s="1000"/>
      <c r="FKU31" s="1000"/>
      <c r="FKV31" s="1000"/>
      <c r="FKW31" s="1000"/>
      <c r="FKX31" s="1000"/>
      <c r="FKY31" s="1000"/>
      <c r="FKZ31" s="1000"/>
      <c r="FLA31" s="1000"/>
      <c r="FLB31" s="1000"/>
      <c r="FLC31" s="1000"/>
      <c r="FLD31" s="1000"/>
      <c r="FLE31" s="1000"/>
      <c r="FLF31" s="1000"/>
      <c r="FLG31" s="1000"/>
      <c r="FLH31" s="1000"/>
      <c r="FLI31" s="1000"/>
      <c r="FLJ31" s="1000"/>
      <c r="FLK31" s="1000"/>
      <c r="FLL31" s="1000"/>
      <c r="FLM31" s="1000"/>
      <c r="FLN31" s="1000"/>
      <c r="FLO31" s="1000"/>
      <c r="FLP31" s="1000"/>
      <c r="FLQ31" s="1000"/>
      <c r="FLR31" s="1000"/>
      <c r="FLS31" s="1000"/>
      <c r="FLT31" s="1000"/>
      <c r="FLU31" s="1000"/>
      <c r="FLV31" s="1000"/>
      <c r="FLW31" s="1000"/>
      <c r="FLX31" s="1000"/>
      <c r="FLY31" s="1000"/>
      <c r="FLZ31" s="1000"/>
      <c r="FMA31" s="1000"/>
      <c r="FMB31" s="1000"/>
      <c r="FMC31" s="1000"/>
      <c r="FMD31" s="1000"/>
      <c r="FME31" s="1000"/>
      <c r="FMF31" s="1000"/>
      <c r="FMG31" s="1000"/>
      <c r="FMH31" s="1000"/>
      <c r="FMI31" s="1000"/>
      <c r="FMJ31" s="1000"/>
      <c r="FMK31" s="1000"/>
      <c r="FML31" s="1000"/>
      <c r="FMM31" s="1000"/>
      <c r="FMN31" s="1000"/>
      <c r="FMO31" s="1000"/>
      <c r="FMP31" s="1000"/>
      <c r="FMQ31" s="1000"/>
      <c r="FMR31" s="1000"/>
      <c r="FMS31" s="1000"/>
      <c r="FMT31" s="1000"/>
      <c r="FMU31" s="1000"/>
      <c r="FMV31" s="1000"/>
      <c r="FMW31" s="1000"/>
      <c r="FMX31" s="1000"/>
      <c r="FMY31" s="1000"/>
      <c r="FMZ31" s="1000"/>
      <c r="FNA31" s="1000"/>
      <c r="FNB31" s="1000"/>
      <c r="FNC31" s="1000"/>
      <c r="FND31" s="1000"/>
      <c r="FNE31" s="1000"/>
      <c r="FNF31" s="1000"/>
      <c r="FNG31" s="1000"/>
      <c r="FNH31" s="1000"/>
      <c r="FNI31" s="1000"/>
      <c r="FNJ31" s="1000"/>
      <c r="FNK31" s="1000"/>
      <c r="FNL31" s="1000"/>
      <c r="FNM31" s="1000"/>
      <c r="FNN31" s="1000"/>
      <c r="FNO31" s="1000"/>
      <c r="FNP31" s="1000"/>
      <c r="FNQ31" s="1000"/>
      <c r="FNR31" s="1000"/>
      <c r="FNS31" s="1000"/>
      <c r="FNT31" s="1000"/>
      <c r="FNU31" s="1000"/>
      <c r="FNV31" s="1000"/>
      <c r="FNW31" s="1000"/>
      <c r="FNX31" s="1000"/>
      <c r="FNY31" s="1000"/>
      <c r="FNZ31" s="1000"/>
      <c r="FOA31" s="1000"/>
      <c r="FOB31" s="1000"/>
      <c r="FOC31" s="1000"/>
      <c r="FOD31" s="1000"/>
      <c r="FOE31" s="1000"/>
      <c r="FOF31" s="1000"/>
      <c r="FOG31" s="1000"/>
      <c r="FOH31" s="1000"/>
      <c r="FOI31" s="1000"/>
      <c r="FOJ31" s="1000"/>
      <c r="FOK31" s="1000"/>
      <c r="FOL31" s="1000"/>
      <c r="FOM31" s="1000"/>
      <c r="FON31" s="1000"/>
      <c r="FOO31" s="1000"/>
      <c r="FOP31" s="1000"/>
      <c r="FOQ31" s="1000"/>
      <c r="FOR31" s="1000"/>
      <c r="FOS31" s="1000"/>
      <c r="FOT31" s="1000"/>
      <c r="FOU31" s="1000"/>
      <c r="FOV31" s="1000"/>
      <c r="FOW31" s="1000"/>
      <c r="FOX31" s="1000"/>
      <c r="FOY31" s="1000"/>
      <c r="FOZ31" s="1000"/>
      <c r="FPA31" s="1000"/>
      <c r="FPB31" s="1000"/>
      <c r="FPC31" s="1000"/>
      <c r="FPD31" s="1000"/>
      <c r="FPE31" s="1000"/>
      <c r="FPF31" s="1000"/>
      <c r="FPG31" s="1000"/>
      <c r="FPH31" s="1000"/>
      <c r="FPI31" s="1000"/>
      <c r="FPJ31" s="1000"/>
      <c r="FPK31" s="1000"/>
      <c r="FPL31" s="1000"/>
      <c r="FPM31" s="1000"/>
      <c r="FPN31" s="1000"/>
      <c r="FPO31" s="1000"/>
      <c r="FPP31" s="1000"/>
      <c r="FPQ31" s="1000"/>
      <c r="FPR31" s="1000"/>
      <c r="FPS31" s="1000"/>
      <c r="FPT31" s="1000"/>
      <c r="FPU31" s="1000"/>
      <c r="FPV31" s="1000"/>
      <c r="FPW31" s="1000"/>
      <c r="FPX31" s="1000"/>
      <c r="FPY31" s="1000"/>
      <c r="FPZ31" s="1000"/>
      <c r="FQA31" s="1000"/>
      <c r="FQB31" s="1000"/>
      <c r="FQC31" s="1000"/>
      <c r="FQD31" s="1000"/>
      <c r="FQE31" s="1000"/>
      <c r="FQF31" s="1000"/>
      <c r="FQG31" s="1000"/>
      <c r="FQH31" s="1000"/>
      <c r="FQI31" s="1000"/>
      <c r="FQJ31" s="1000"/>
      <c r="FQK31" s="1000"/>
      <c r="FQL31" s="1000"/>
      <c r="FQM31" s="1000"/>
      <c r="FQN31" s="1000"/>
      <c r="FQO31" s="1000"/>
      <c r="FQP31" s="1000"/>
      <c r="FQQ31" s="1000"/>
      <c r="FQR31" s="1000"/>
      <c r="FQS31" s="1000"/>
      <c r="FQT31" s="1000"/>
      <c r="FQU31" s="1000"/>
      <c r="FQV31" s="1000"/>
      <c r="FQW31" s="1000"/>
      <c r="FQX31" s="1000"/>
      <c r="FQY31" s="1000"/>
      <c r="FQZ31" s="1000"/>
      <c r="FRA31" s="1000"/>
      <c r="FRB31" s="1000"/>
      <c r="FRC31" s="1000"/>
      <c r="FRD31" s="1000"/>
      <c r="FRE31" s="1000"/>
      <c r="FRF31" s="1000"/>
      <c r="FRG31" s="1000"/>
      <c r="FRH31" s="1000"/>
      <c r="FRI31" s="1000"/>
      <c r="FRJ31" s="1000"/>
      <c r="FRK31" s="1000"/>
      <c r="FRL31" s="1000"/>
      <c r="FRM31" s="1000"/>
      <c r="FRN31" s="1000"/>
      <c r="FRO31" s="1000"/>
      <c r="FRP31" s="1000"/>
      <c r="FRQ31" s="1000"/>
      <c r="FRR31" s="1000"/>
      <c r="FRS31" s="1000"/>
      <c r="FRT31" s="1000"/>
      <c r="FRU31" s="1000"/>
      <c r="FRV31" s="1000"/>
      <c r="FRW31" s="1000"/>
      <c r="FRX31" s="1000"/>
      <c r="FRY31" s="1000"/>
      <c r="FRZ31" s="1000"/>
      <c r="FSA31" s="1000"/>
      <c r="FSB31" s="1000"/>
      <c r="FSC31" s="1000"/>
      <c r="FSD31" s="1000"/>
      <c r="FSE31" s="1000"/>
      <c r="FSF31" s="1000"/>
      <c r="FSG31" s="1000"/>
      <c r="FSH31" s="1000"/>
      <c r="FSI31" s="1000"/>
      <c r="FSJ31" s="1000"/>
      <c r="FSK31" s="1000"/>
      <c r="FSL31" s="1000"/>
      <c r="FSM31" s="1000"/>
      <c r="FSN31" s="1000"/>
      <c r="FSO31" s="1000"/>
      <c r="FSP31" s="1000"/>
      <c r="FSQ31" s="1000"/>
      <c r="FSR31" s="1000"/>
      <c r="FSS31" s="1000"/>
      <c r="FST31" s="1000"/>
      <c r="FSU31" s="1000"/>
      <c r="FSV31" s="1000"/>
      <c r="FSW31" s="1000"/>
      <c r="FSX31" s="1000"/>
      <c r="FSY31" s="1000"/>
      <c r="FSZ31" s="1000"/>
      <c r="FTA31" s="1000"/>
      <c r="FTB31" s="1000"/>
      <c r="FTC31" s="1000"/>
      <c r="FTD31" s="1000"/>
      <c r="FTE31" s="1000"/>
      <c r="FTF31" s="1000"/>
      <c r="FTG31" s="1000"/>
      <c r="FTH31" s="1000"/>
      <c r="FTI31" s="1000"/>
      <c r="FTJ31" s="1000"/>
      <c r="FTK31" s="1000"/>
      <c r="FTL31" s="1000"/>
      <c r="FTM31" s="1000"/>
      <c r="FTN31" s="1000"/>
      <c r="FTO31" s="1000"/>
      <c r="FTP31" s="1000"/>
      <c r="FTQ31" s="1000"/>
      <c r="FTR31" s="1000"/>
      <c r="FTS31" s="1000"/>
      <c r="FTT31" s="1000"/>
      <c r="FTU31" s="1000"/>
      <c r="FTV31" s="1000"/>
      <c r="FTW31" s="1000"/>
      <c r="FTX31" s="1000"/>
      <c r="FTY31" s="1000"/>
      <c r="FTZ31" s="1000"/>
      <c r="FUA31" s="1000"/>
      <c r="FUB31" s="1000"/>
      <c r="FUC31" s="1000"/>
      <c r="FUD31" s="1000"/>
      <c r="FUE31" s="1000"/>
      <c r="FUF31" s="1000"/>
      <c r="FUG31" s="1000"/>
      <c r="FUH31" s="1000"/>
      <c r="FUI31" s="1000"/>
      <c r="FUJ31" s="1000"/>
      <c r="FUK31" s="1000"/>
      <c r="FUL31" s="1000"/>
      <c r="FUM31" s="1000"/>
      <c r="FUN31" s="1000"/>
      <c r="FUO31" s="1000"/>
      <c r="FUP31" s="1000"/>
      <c r="FUQ31" s="1000"/>
      <c r="FUR31" s="1000"/>
      <c r="FUS31" s="1000"/>
      <c r="FUT31" s="1000"/>
      <c r="FUU31" s="1000"/>
      <c r="FUV31" s="1000"/>
      <c r="FUW31" s="1000"/>
      <c r="FUX31" s="1000"/>
      <c r="FUY31" s="1000"/>
      <c r="FUZ31" s="1000"/>
      <c r="FVA31" s="1000"/>
      <c r="FVB31" s="1000"/>
      <c r="FVC31" s="1000"/>
      <c r="FVD31" s="1000"/>
      <c r="FVE31" s="1000"/>
      <c r="FVF31" s="1000"/>
      <c r="FVG31" s="1000"/>
      <c r="FVH31" s="1000"/>
      <c r="FVI31" s="1000"/>
      <c r="FVJ31" s="1000"/>
      <c r="FVK31" s="1000"/>
      <c r="FVL31" s="1000"/>
      <c r="FVM31" s="1000"/>
      <c r="FVN31" s="1000"/>
      <c r="FVO31" s="1000"/>
      <c r="FVP31" s="1000"/>
      <c r="FVQ31" s="1000"/>
      <c r="FVR31" s="1000"/>
      <c r="FVS31" s="1000"/>
      <c r="FVT31" s="1000"/>
      <c r="FVU31" s="1000"/>
      <c r="FVV31" s="1000"/>
      <c r="FVW31" s="1000"/>
      <c r="FVX31" s="1000"/>
      <c r="FVY31" s="1000"/>
      <c r="FVZ31" s="1000"/>
      <c r="FWA31" s="1000"/>
      <c r="FWB31" s="1000"/>
      <c r="FWC31" s="1000"/>
      <c r="FWD31" s="1000"/>
      <c r="FWE31" s="1000"/>
      <c r="FWF31" s="1000"/>
      <c r="FWG31" s="1000"/>
      <c r="FWH31" s="1000"/>
      <c r="FWI31" s="1000"/>
      <c r="FWJ31" s="1000"/>
      <c r="FWK31" s="1000"/>
      <c r="FWL31" s="1000"/>
      <c r="FWM31" s="1000"/>
      <c r="FWN31" s="1000"/>
      <c r="FWO31" s="1000"/>
      <c r="FWP31" s="1000"/>
      <c r="FWQ31" s="1000"/>
      <c r="FWR31" s="1000"/>
      <c r="FWS31" s="1000"/>
      <c r="FWT31" s="1000"/>
      <c r="FWU31" s="1000"/>
      <c r="FWV31" s="1000"/>
      <c r="FWW31" s="1000"/>
      <c r="FWX31" s="1000"/>
      <c r="FWY31" s="1000"/>
      <c r="FWZ31" s="1000"/>
      <c r="FXA31" s="1000"/>
      <c r="FXB31" s="1000"/>
      <c r="FXC31" s="1000"/>
      <c r="FXD31" s="1000"/>
      <c r="FXE31" s="1000"/>
      <c r="FXF31" s="1000"/>
      <c r="FXG31" s="1000"/>
      <c r="FXH31" s="1000"/>
      <c r="FXI31" s="1000"/>
      <c r="FXJ31" s="1000"/>
      <c r="FXK31" s="1000"/>
      <c r="FXL31" s="1000"/>
      <c r="FXM31" s="1000"/>
      <c r="FXN31" s="1000"/>
      <c r="FXO31" s="1000"/>
      <c r="FXP31" s="1000"/>
      <c r="FXQ31" s="1000"/>
      <c r="FXR31" s="1000"/>
      <c r="FXS31" s="1000"/>
      <c r="FXT31" s="1000"/>
      <c r="FXU31" s="1000"/>
      <c r="FXV31" s="1000"/>
      <c r="FXW31" s="1000"/>
      <c r="FXX31" s="1000"/>
      <c r="FXY31" s="1000"/>
      <c r="FXZ31" s="1000"/>
      <c r="FYA31" s="1000"/>
      <c r="FYB31" s="1000"/>
      <c r="FYC31" s="1000"/>
      <c r="FYD31" s="1000"/>
      <c r="FYE31" s="1000"/>
      <c r="FYF31" s="1000"/>
      <c r="FYG31" s="1000"/>
      <c r="FYH31" s="1000"/>
      <c r="FYI31" s="1000"/>
      <c r="FYJ31" s="1000"/>
      <c r="FYK31" s="1000"/>
      <c r="FYL31" s="1000"/>
      <c r="FYM31" s="1000"/>
      <c r="FYN31" s="1000"/>
      <c r="FYO31" s="1000"/>
      <c r="FYP31" s="1000"/>
      <c r="FYQ31" s="1000"/>
      <c r="FYR31" s="1000"/>
      <c r="FYS31" s="1000"/>
      <c r="FYT31" s="1000"/>
      <c r="FYU31" s="1000"/>
      <c r="FYV31" s="1000"/>
      <c r="FYW31" s="1000"/>
      <c r="FYX31" s="1000"/>
      <c r="FYY31" s="1000"/>
      <c r="FYZ31" s="1000"/>
      <c r="FZA31" s="1000"/>
      <c r="FZB31" s="1000"/>
      <c r="FZC31" s="1000"/>
      <c r="FZD31" s="1000"/>
      <c r="FZE31" s="1000"/>
      <c r="FZF31" s="1000"/>
      <c r="FZG31" s="1000"/>
      <c r="FZH31" s="1000"/>
      <c r="FZI31" s="1000"/>
      <c r="FZJ31" s="1000"/>
      <c r="FZK31" s="1000"/>
      <c r="FZL31" s="1000"/>
      <c r="FZM31" s="1000"/>
      <c r="FZN31" s="1000"/>
      <c r="FZO31" s="1000"/>
      <c r="FZP31" s="1000"/>
      <c r="FZQ31" s="1000"/>
      <c r="FZR31" s="1000"/>
      <c r="FZS31" s="1000"/>
      <c r="FZT31" s="1000"/>
      <c r="FZU31" s="1000"/>
      <c r="FZV31" s="1000"/>
      <c r="FZW31" s="1000"/>
      <c r="FZX31" s="1000"/>
      <c r="FZY31" s="1000"/>
      <c r="FZZ31" s="1000"/>
      <c r="GAA31" s="1000"/>
      <c r="GAB31" s="1000"/>
      <c r="GAC31" s="1000"/>
      <c r="GAD31" s="1000"/>
      <c r="GAE31" s="1000"/>
      <c r="GAF31" s="1000"/>
      <c r="GAG31" s="1000"/>
      <c r="GAH31" s="1000"/>
      <c r="GAI31" s="1000"/>
      <c r="GAJ31" s="1000"/>
      <c r="GAK31" s="1000"/>
      <c r="GAL31" s="1000"/>
      <c r="GAM31" s="1000"/>
      <c r="GAN31" s="1000"/>
      <c r="GAO31" s="1000"/>
      <c r="GAP31" s="1000"/>
      <c r="GAQ31" s="1000"/>
      <c r="GAR31" s="1000"/>
      <c r="GAS31" s="1000"/>
      <c r="GAT31" s="1000"/>
      <c r="GAU31" s="1000"/>
      <c r="GAV31" s="1000"/>
      <c r="GAW31" s="1000"/>
      <c r="GAX31" s="1000"/>
      <c r="GAY31" s="1000"/>
      <c r="GAZ31" s="1000"/>
      <c r="GBA31" s="1000"/>
      <c r="GBB31" s="1000"/>
      <c r="GBC31" s="1000"/>
      <c r="GBD31" s="1000"/>
      <c r="GBE31" s="1000"/>
      <c r="GBF31" s="1000"/>
      <c r="GBG31" s="1000"/>
      <c r="GBH31" s="1000"/>
      <c r="GBI31" s="1000"/>
      <c r="GBJ31" s="1000"/>
      <c r="GBK31" s="1000"/>
      <c r="GBL31" s="1000"/>
      <c r="GBM31" s="1000"/>
      <c r="GBN31" s="1000"/>
      <c r="GBO31" s="1000"/>
      <c r="GBP31" s="1000"/>
      <c r="GBQ31" s="1000"/>
      <c r="GBR31" s="1000"/>
      <c r="GBS31" s="1000"/>
      <c r="GBT31" s="1000"/>
      <c r="GBU31" s="1000"/>
      <c r="GBV31" s="1000"/>
      <c r="GBW31" s="1000"/>
      <c r="GBX31" s="1000"/>
      <c r="GBY31" s="1000"/>
      <c r="GBZ31" s="1000"/>
      <c r="GCA31" s="1000"/>
      <c r="GCB31" s="1000"/>
      <c r="GCC31" s="1000"/>
      <c r="GCD31" s="1000"/>
      <c r="GCE31" s="1000"/>
      <c r="GCF31" s="1000"/>
      <c r="GCG31" s="1000"/>
      <c r="GCH31" s="1000"/>
      <c r="GCI31" s="1000"/>
      <c r="GCJ31" s="1000"/>
      <c r="GCK31" s="1000"/>
      <c r="GCL31" s="1000"/>
      <c r="GCM31" s="1000"/>
      <c r="GCN31" s="1000"/>
      <c r="GCO31" s="1000"/>
      <c r="GCP31" s="1000"/>
      <c r="GCQ31" s="1000"/>
      <c r="GCR31" s="1000"/>
      <c r="GCS31" s="1000"/>
      <c r="GCT31" s="1000"/>
      <c r="GCU31" s="1000"/>
      <c r="GCV31" s="1000"/>
      <c r="GCW31" s="1000"/>
      <c r="GCX31" s="1000"/>
      <c r="GCY31" s="1000"/>
      <c r="GCZ31" s="1000"/>
      <c r="GDA31" s="1000"/>
      <c r="GDB31" s="1000"/>
      <c r="GDC31" s="1000"/>
      <c r="GDD31" s="1000"/>
      <c r="GDE31" s="1000"/>
      <c r="GDF31" s="1000"/>
      <c r="GDG31" s="1000"/>
      <c r="GDH31" s="1000"/>
      <c r="GDI31" s="1000"/>
      <c r="GDJ31" s="1000"/>
      <c r="GDK31" s="1000"/>
      <c r="GDL31" s="1000"/>
      <c r="GDM31" s="1000"/>
      <c r="GDN31" s="1000"/>
      <c r="GDO31" s="1000"/>
      <c r="GDP31" s="1000"/>
      <c r="GDQ31" s="1000"/>
      <c r="GDR31" s="1000"/>
      <c r="GDS31" s="1000"/>
      <c r="GDT31" s="1000"/>
      <c r="GDU31" s="1000"/>
      <c r="GDV31" s="1000"/>
      <c r="GDW31" s="1000"/>
      <c r="GDX31" s="1000"/>
      <c r="GDY31" s="1000"/>
      <c r="GDZ31" s="1000"/>
      <c r="GEA31" s="1000"/>
      <c r="GEB31" s="1000"/>
      <c r="GEC31" s="1000"/>
      <c r="GED31" s="1000"/>
      <c r="GEE31" s="1000"/>
      <c r="GEF31" s="1000"/>
      <c r="GEG31" s="1000"/>
      <c r="GEH31" s="1000"/>
      <c r="GEI31" s="1000"/>
      <c r="GEJ31" s="1000"/>
      <c r="GEK31" s="1000"/>
      <c r="GEL31" s="1000"/>
      <c r="GEM31" s="1000"/>
      <c r="GEN31" s="1000"/>
      <c r="GEO31" s="1000"/>
      <c r="GEP31" s="1000"/>
      <c r="GEQ31" s="1000"/>
      <c r="GER31" s="1000"/>
      <c r="GES31" s="1000"/>
      <c r="GET31" s="1000"/>
      <c r="GEU31" s="1000"/>
      <c r="GEV31" s="1000"/>
      <c r="GEW31" s="1000"/>
      <c r="GEX31" s="1000"/>
      <c r="GEY31" s="1000"/>
      <c r="GEZ31" s="1000"/>
      <c r="GFA31" s="1000"/>
      <c r="GFB31" s="1000"/>
      <c r="GFC31" s="1000"/>
      <c r="GFD31" s="1000"/>
      <c r="GFE31" s="1000"/>
      <c r="GFF31" s="1000"/>
      <c r="GFG31" s="1000"/>
      <c r="GFH31" s="1000"/>
      <c r="GFI31" s="1000"/>
      <c r="GFJ31" s="1000"/>
      <c r="GFK31" s="1000"/>
      <c r="GFL31" s="1000"/>
      <c r="GFM31" s="1000"/>
      <c r="GFN31" s="1000"/>
      <c r="GFO31" s="1000"/>
      <c r="GFP31" s="1000"/>
      <c r="GFQ31" s="1000"/>
      <c r="GFR31" s="1000"/>
      <c r="GFS31" s="1000"/>
      <c r="GFT31" s="1000"/>
      <c r="GFU31" s="1000"/>
      <c r="GFV31" s="1000"/>
      <c r="GFW31" s="1000"/>
      <c r="GFX31" s="1000"/>
      <c r="GFY31" s="1000"/>
      <c r="GFZ31" s="1000"/>
      <c r="GGA31" s="1000"/>
      <c r="GGB31" s="1000"/>
      <c r="GGC31" s="1000"/>
      <c r="GGD31" s="1000"/>
      <c r="GGE31" s="1000"/>
      <c r="GGF31" s="1000"/>
      <c r="GGG31" s="1000"/>
      <c r="GGH31" s="1000"/>
      <c r="GGI31" s="1000"/>
      <c r="GGJ31" s="1000"/>
      <c r="GGK31" s="1000"/>
      <c r="GGL31" s="1000"/>
      <c r="GGM31" s="1000"/>
      <c r="GGN31" s="1000"/>
      <c r="GGO31" s="1000"/>
      <c r="GGP31" s="1000"/>
      <c r="GGQ31" s="1000"/>
      <c r="GGR31" s="1000"/>
      <c r="GGS31" s="1000"/>
      <c r="GGT31" s="1000"/>
      <c r="GGU31" s="1000"/>
      <c r="GGV31" s="1000"/>
      <c r="GGW31" s="1000"/>
      <c r="GGX31" s="1000"/>
      <c r="GGY31" s="1000"/>
      <c r="GGZ31" s="1000"/>
      <c r="GHA31" s="1000"/>
      <c r="GHB31" s="1000"/>
      <c r="GHC31" s="1000"/>
      <c r="GHD31" s="1000"/>
      <c r="GHE31" s="1000"/>
      <c r="GHF31" s="1000"/>
      <c r="GHG31" s="1000"/>
      <c r="GHH31" s="1000"/>
      <c r="GHI31" s="1000"/>
      <c r="GHJ31" s="1000"/>
      <c r="GHK31" s="1000"/>
      <c r="GHL31" s="1000"/>
      <c r="GHM31" s="1000"/>
      <c r="GHN31" s="1000"/>
      <c r="GHO31" s="1000"/>
      <c r="GHP31" s="1000"/>
      <c r="GHQ31" s="1000"/>
      <c r="GHR31" s="1000"/>
      <c r="GHS31" s="1000"/>
      <c r="GHT31" s="1000"/>
      <c r="GHU31" s="1000"/>
      <c r="GHV31" s="1000"/>
      <c r="GHW31" s="1000"/>
      <c r="GHX31" s="1000"/>
      <c r="GHY31" s="1000"/>
      <c r="GHZ31" s="1000"/>
      <c r="GIA31" s="1000"/>
      <c r="GIB31" s="1000"/>
      <c r="GIC31" s="1000"/>
      <c r="GID31" s="1000"/>
      <c r="GIE31" s="1000"/>
      <c r="GIF31" s="1000"/>
      <c r="GIG31" s="1000"/>
      <c r="GIH31" s="1000"/>
      <c r="GII31" s="1000"/>
      <c r="GIJ31" s="1000"/>
      <c r="GIK31" s="1000"/>
      <c r="GIL31" s="1000"/>
      <c r="GIM31" s="1000"/>
      <c r="GIN31" s="1000"/>
      <c r="GIO31" s="1000"/>
      <c r="GIP31" s="1000"/>
      <c r="GIQ31" s="1000"/>
      <c r="GIR31" s="1000"/>
      <c r="GIS31" s="1000"/>
      <c r="GIT31" s="1000"/>
      <c r="GIU31" s="1000"/>
      <c r="GIV31" s="1000"/>
      <c r="GIW31" s="1000"/>
      <c r="GIX31" s="1000"/>
      <c r="GIY31" s="1000"/>
      <c r="GIZ31" s="1000"/>
      <c r="GJA31" s="1000"/>
      <c r="GJB31" s="1000"/>
      <c r="GJC31" s="1000"/>
      <c r="GJD31" s="1000"/>
      <c r="GJE31" s="1000"/>
      <c r="GJF31" s="1000"/>
      <c r="GJG31" s="1000"/>
      <c r="GJH31" s="1000"/>
      <c r="GJI31" s="1000"/>
      <c r="GJJ31" s="1000"/>
      <c r="GJK31" s="1000"/>
      <c r="GJL31" s="1000"/>
      <c r="GJM31" s="1000"/>
      <c r="GJN31" s="1000"/>
      <c r="GJO31" s="1000"/>
      <c r="GJP31" s="1000"/>
      <c r="GJQ31" s="1000"/>
      <c r="GJR31" s="1000"/>
      <c r="GJS31" s="1000"/>
      <c r="GJT31" s="1000"/>
      <c r="GJU31" s="1000"/>
      <c r="GJV31" s="1000"/>
      <c r="GJW31" s="1000"/>
      <c r="GJX31" s="1000"/>
      <c r="GJY31" s="1000"/>
      <c r="GJZ31" s="1000"/>
      <c r="GKA31" s="1000"/>
      <c r="GKB31" s="1000"/>
      <c r="GKC31" s="1000"/>
      <c r="GKD31" s="1000"/>
      <c r="GKE31" s="1000"/>
      <c r="GKF31" s="1000"/>
      <c r="GKG31" s="1000"/>
      <c r="GKH31" s="1000"/>
      <c r="GKI31" s="1000"/>
      <c r="GKJ31" s="1000"/>
      <c r="GKK31" s="1000"/>
      <c r="GKL31" s="1000"/>
      <c r="GKM31" s="1000"/>
      <c r="GKN31" s="1000"/>
      <c r="GKO31" s="1000"/>
      <c r="GKP31" s="1000"/>
      <c r="GKQ31" s="1000"/>
      <c r="GKR31" s="1000"/>
      <c r="GKS31" s="1000"/>
      <c r="GKT31" s="1000"/>
      <c r="GKU31" s="1000"/>
      <c r="GKV31" s="1000"/>
      <c r="GKW31" s="1000"/>
      <c r="GKX31" s="1000"/>
      <c r="GKY31" s="1000"/>
      <c r="GKZ31" s="1000"/>
      <c r="GLA31" s="1000"/>
      <c r="GLB31" s="1000"/>
      <c r="GLC31" s="1000"/>
      <c r="GLD31" s="1000"/>
      <c r="GLE31" s="1000"/>
      <c r="GLF31" s="1000"/>
      <c r="GLG31" s="1000"/>
      <c r="GLH31" s="1000"/>
      <c r="GLI31" s="1000"/>
      <c r="GLJ31" s="1000"/>
      <c r="GLK31" s="1000"/>
      <c r="GLL31" s="1000"/>
      <c r="GLM31" s="1000"/>
      <c r="GLN31" s="1000"/>
      <c r="GLO31" s="1000"/>
      <c r="GLP31" s="1000"/>
      <c r="GLQ31" s="1000"/>
      <c r="GLR31" s="1000"/>
      <c r="GLS31" s="1000"/>
      <c r="GLT31" s="1000"/>
      <c r="GLU31" s="1000"/>
      <c r="GLV31" s="1000"/>
      <c r="GLW31" s="1000"/>
      <c r="GLX31" s="1000"/>
      <c r="GLY31" s="1000"/>
      <c r="GLZ31" s="1000"/>
      <c r="GMA31" s="1000"/>
      <c r="GMB31" s="1000"/>
      <c r="GMC31" s="1000"/>
      <c r="GMD31" s="1000"/>
      <c r="GME31" s="1000"/>
      <c r="GMF31" s="1000"/>
      <c r="GMG31" s="1000"/>
      <c r="GMH31" s="1000"/>
      <c r="GMI31" s="1000"/>
      <c r="GMJ31" s="1000"/>
      <c r="GMK31" s="1000"/>
      <c r="GML31" s="1000"/>
      <c r="GMM31" s="1000"/>
      <c r="GMN31" s="1000"/>
      <c r="GMO31" s="1000"/>
      <c r="GMP31" s="1000"/>
      <c r="GMQ31" s="1000"/>
      <c r="GMR31" s="1000"/>
      <c r="GMS31" s="1000"/>
      <c r="GMT31" s="1000"/>
      <c r="GMU31" s="1000"/>
      <c r="GMV31" s="1000"/>
      <c r="GMW31" s="1000"/>
      <c r="GMX31" s="1000"/>
      <c r="GMY31" s="1000"/>
      <c r="GMZ31" s="1000"/>
      <c r="GNA31" s="1000"/>
      <c r="GNB31" s="1000"/>
      <c r="GNC31" s="1000"/>
      <c r="GND31" s="1000"/>
      <c r="GNE31" s="1000"/>
      <c r="GNF31" s="1000"/>
      <c r="GNG31" s="1000"/>
      <c r="GNH31" s="1000"/>
      <c r="GNI31" s="1000"/>
      <c r="GNJ31" s="1000"/>
      <c r="GNK31" s="1000"/>
      <c r="GNL31" s="1000"/>
      <c r="GNM31" s="1000"/>
      <c r="GNN31" s="1000"/>
      <c r="GNO31" s="1000"/>
      <c r="GNP31" s="1000"/>
      <c r="GNQ31" s="1000"/>
      <c r="GNR31" s="1000"/>
      <c r="GNS31" s="1000"/>
      <c r="GNT31" s="1000"/>
      <c r="GNU31" s="1000"/>
      <c r="GNV31" s="1000"/>
      <c r="GNW31" s="1000"/>
      <c r="GNX31" s="1000"/>
      <c r="GNY31" s="1000"/>
      <c r="GNZ31" s="1000"/>
      <c r="GOA31" s="1000"/>
      <c r="GOB31" s="1000"/>
      <c r="GOC31" s="1000"/>
      <c r="GOD31" s="1000"/>
      <c r="GOE31" s="1000"/>
      <c r="GOF31" s="1000"/>
      <c r="GOG31" s="1000"/>
      <c r="GOH31" s="1000"/>
      <c r="GOI31" s="1000"/>
      <c r="GOJ31" s="1000"/>
      <c r="GOK31" s="1000"/>
      <c r="GOL31" s="1000"/>
      <c r="GOM31" s="1000"/>
      <c r="GON31" s="1000"/>
      <c r="GOO31" s="1000"/>
      <c r="GOP31" s="1000"/>
      <c r="GOQ31" s="1000"/>
      <c r="GOR31" s="1000"/>
      <c r="GOS31" s="1000"/>
      <c r="GOT31" s="1000"/>
      <c r="GOU31" s="1000"/>
      <c r="GOV31" s="1000"/>
      <c r="GOW31" s="1000"/>
      <c r="GOX31" s="1000"/>
      <c r="GOY31" s="1000"/>
      <c r="GOZ31" s="1000"/>
      <c r="GPA31" s="1000"/>
      <c r="GPB31" s="1000"/>
      <c r="GPC31" s="1000"/>
      <c r="GPD31" s="1000"/>
      <c r="GPE31" s="1000"/>
      <c r="GPF31" s="1000"/>
      <c r="GPG31" s="1000"/>
      <c r="GPH31" s="1000"/>
      <c r="GPI31" s="1000"/>
      <c r="GPJ31" s="1000"/>
      <c r="GPK31" s="1000"/>
      <c r="GPL31" s="1000"/>
      <c r="GPM31" s="1000"/>
      <c r="GPN31" s="1000"/>
      <c r="GPO31" s="1000"/>
      <c r="GPP31" s="1000"/>
      <c r="GPQ31" s="1000"/>
      <c r="GPR31" s="1000"/>
      <c r="GPS31" s="1000"/>
      <c r="GPT31" s="1000"/>
      <c r="GPU31" s="1000"/>
      <c r="GPV31" s="1000"/>
      <c r="GPW31" s="1000"/>
      <c r="GPX31" s="1000"/>
      <c r="GPY31" s="1000"/>
      <c r="GPZ31" s="1000"/>
      <c r="GQA31" s="1000"/>
      <c r="GQB31" s="1000"/>
      <c r="GQC31" s="1000"/>
      <c r="GQD31" s="1000"/>
      <c r="GQE31" s="1000"/>
      <c r="GQF31" s="1000"/>
      <c r="GQG31" s="1000"/>
      <c r="GQH31" s="1000"/>
      <c r="GQI31" s="1000"/>
      <c r="GQJ31" s="1000"/>
      <c r="GQK31" s="1000"/>
      <c r="GQL31" s="1000"/>
      <c r="GQM31" s="1000"/>
      <c r="GQN31" s="1000"/>
      <c r="GQO31" s="1000"/>
      <c r="GQP31" s="1000"/>
      <c r="GQQ31" s="1000"/>
      <c r="GQR31" s="1000"/>
      <c r="GQS31" s="1000"/>
      <c r="GQT31" s="1000"/>
      <c r="GQU31" s="1000"/>
      <c r="GQV31" s="1000"/>
      <c r="GQW31" s="1000"/>
      <c r="GQX31" s="1000"/>
      <c r="GQY31" s="1000"/>
      <c r="GQZ31" s="1000"/>
      <c r="GRA31" s="1000"/>
      <c r="GRB31" s="1000"/>
      <c r="GRC31" s="1000"/>
      <c r="GRD31" s="1000"/>
      <c r="GRE31" s="1000"/>
      <c r="GRF31" s="1000"/>
      <c r="GRG31" s="1000"/>
      <c r="GRH31" s="1000"/>
      <c r="GRI31" s="1000"/>
      <c r="GRJ31" s="1000"/>
      <c r="GRK31" s="1000"/>
      <c r="GRL31" s="1000"/>
      <c r="GRM31" s="1000"/>
      <c r="GRN31" s="1000"/>
      <c r="GRO31" s="1000"/>
      <c r="GRP31" s="1000"/>
      <c r="GRQ31" s="1000"/>
      <c r="GRR31" s="1000"/>
      <c r="GRS31" s="1000"/>
      <c r="GRT31" s="1000"/>
      <c r="GRU31" s="1000"/>
      <c r="GRV31" s="1000"/>
      <c r="GRW31" s="1000"/>
      <c r="GRX31" s="1000"/>
      <c r="GRY31" s="1000"/>
      <c r="GRZ31" s="1000"/>
      <c r="GSA31" s="1000"/>
      <c r="GSB31" s="1000"/>
      <c r="GSC31" s="1000"/>
      <c r="GSD31" s="1000"/>
      <c r="GSE31" s="1000"/>
      <c r="GSF31" s="1000"/>
      <c r="GSG31" s="1000"/>
      <c r="GSH31" s="1000"/>
      <c r="GSI31" s="1000"/>
      <c r="GSJ31" s="1000"/>
      <c r="GSK31" s="1000"/>
      <c r="GSL31" s="1000"/>
      <c r="GSM31" s="1000"/>
      <c r="GSN31" s="1000"/>
      <c r="GSO31" s="1000"/>
      <c r="GSP31" s="1000"/>
      <c r="GSQ31" s="1000"/>
      <c r="GSR31" s="1000"/>
      <c r="GSS31" s="1000"/>
      <c r="GST31" s="1000"/>
      <c r="GSU31" s="1000"/>
      <c r="GSV31" s="1000"/>
      <c r="GSW31" s="1000"/>
      <c r="GSX31" s="1000"/>
      <c r="GSY31" s="1000"/>
      <c r="GSZ31" s="1000"/>
      <c r="GTA31" s="1000"/>
      <c r="GTB31" s="1000"/>
      <c r="GTC31" s="1000"/>
      <c r="GTD31" s="1000"/>
      <c r="GTE31" s="1000"/>
      <c r="GTF31" s="1000"/>
      <c r="GTG31" s="1000"/>
      <c r="GTH31" s="1000"/>
      <c r="GTI31" s="1000"/>
      <c r="GTJ31" s="1000"/>
      <c r="GTK31" s="1000"/>
      <c r="GTL31" s="1000"/>
      <c r="GTM31" s="1000"/>
      <c r="GTN31" s="1000"/>
      <c r="GTO31" s="1000"/>
      <c r="GTP31" s="1000"/>
      <c r="GTQ31" s="1000"/>
      <c r="GTR31" s="1000"/>
      <c r="GTS31" s="1000"/>
      <c r="GTT31" s="1000"/>
      <c r="GTU31" s="1000"/>
      <c r="GTV31" s="1000"/>
      <c r="GTW31" s="1000"/>
      <c r="GTX31" s="1000"/>
      <c r="GTY31" s="1000"/>
      <c r="GTZ31" s="1000"/>
      <c r="GUA31" s="1000"/>
      <c r="GUB31" s="1000"/>
      <c r="GUC31" s="1000"/>
      <c r="GUD31" s="1000"/>
      <c r="GUE31" s="1000"/>
      <c r="GUF31" s="1000"/>
      <c r="GUG31" s="1000"/>
      <c r="GUH31" s="1000"/>
      <c r="GUI31" s="1000"/>
      <c r="GUJ31" s="1000"/>
      <c r="GUK31" s="1000"/>
      <c r="GUL31" s="1000"/>
      <c r="GUM31" s="1000"/>
      <c r="GUN31" s="1000"/>
      <c r="GUO31" s="1000"/>
      <c r="GUP31" s="1000"/>
      <c r="GUQ31" s="1000"/>
      <c r="GUR31" s="1000"/>
      <c r="GUS31" s="1000"/>
      <c r="GUT31" s="1000"/>
      <c r="GUU31" s="1000"/>
      <c r="GUV31" s="1000"/>
      <c r="GUW31" s="1000"/>
      <c r="GUX31" s="1000"/>
      <c r="GUY31" s="1000"/>
      <c r="GUZ31" s="1000"/>
      <c r="GVA31" s="1000"/>
      <c r="GVB31" s="1000"/>
      <c r="GVC31" s="1000"/>
      <c r="GVD31" s="1000"/>
      <c r="GVE31" s="1000"/>
      <c r="GVF31" s="1000"/>
      <c r="GVG31" s="1000"/>
      <c r="GVH31" s="1000"/>
      <c r="GVI31" s="1000"/>
      <c r="GVJ31" s="1000"/>
      <c r="GVK31" s="1000"/>
      <c r="GVL31" s="1000"/>
      <c r="GVM31" s="1000"/>
      <c r="GVN31" s="1000"/>
      <c r="GVO31" s="1000"/>
      <c r="GVP31" s="1000"/>
      <c r="GVQ31" s="1000"/>
      <c r="GVR31" s="1000"/>
      <c r="GVS31" s="1000"/>
      <c r="GVT31" s="1000"/>
      <c r="GVU31" s="1000"/>
      <c r="GVV31" s="1000"/>
      <c r="GVW31" s="1000"/>
      <c r="GVX31" s="1000"/>
      <c r="GVY31" s="1000"/>
      <c r="GVZ31" s="1000"/>
      <c r="GWA31" s="1000"/>
      <c r="GWB31" s="1000"/>
      <c r="GWC31" s="1000"/>
      <c r="GWD31" s="1000"/>
      <c r="GWE31" s="1000"/>
      <c r="GWF31" s="1000"/>
      <c r="GWG31" s="1000"/>
      <c r="GWH31" s="1000"/>
      <c r="GWI31" s="1000"/>
      <c r="GWJ31" s="1000"/>
      <c r="GWK31" s="1000"/>
      <c r="GWL31" s="1000"/>
      <c r="GWM31" s="1000"/>
      <c r="GWN31" s="1000"/>
      <c r="GWO31" s="1000"/>
      <c r="GWP31" s="1000"/>
      <c r="GWQ31" s="1000"/>
      <c r="GWR31" s="1000"/>
      <c r="GWS31" s="1000"/>
      <c r="GWT31" s="1000"/>
      <c r="GWU31" s="1000"/>
      <c r="GWV31" s="1000"/>
      <c r="GWW31" s="1000"/>
      <c r="GWX31" s="1000"/>
      <c r="GWY31" s="1000"/>
      <c r="GWZ31" s="1000"/>
      <c r="GXA31" s="1000"/>
      <c r="GXB31" s="1000"/>
      <c r="GXC31" s="1000"/>
      <c r="GXD31" s="1000"/>
      <c r="GXE31" s="1000"/>
      <c r="GXF31" s="1000"/>
      <c r="GXG31" s="1000"/>
      <c r="GXH31" s="1000"/>
      <c r="GXI31" s="1000"/>
      <c r="GXJ31" s="1000"/>
      <c r="GXK31" s="1000"/>
      <c r="GXL31" s="1000"/>
      <c r="GXM31" s="1000"/>
      <c r="GXN31" s="1000"/>
      <c r="GXO31" s="1000"/>
      <c r="GXP31" s="1000"/>
      <c r="GXQ31" s="1000"/>
      <c r="GXR31" s="1000"/>
      <c r="GXS31" s="1000"/>
      <c r="GXT31" s="1000"/>
      <c r="GXU31" s="1000"/>
      <c r="GXV31" s="1000"/>
      <c r="GXW31" s="1000"/>
      <c r="GXX31" s="1000"/>
      <c r="GXY31" s="1000"/>
      <c r="GXZ31" s="1000"/>
      <c r="GYA31" s="1000"/>
      <c r="GYB31" s="1000"/>
      <c r="GYC31" s="1000"/>
      <c r="GYD31" s="1000"/>
      <c r="GYE31" s="1000"/>
      <c r="GYF31" s="1000"/>
      <c r="GYG31" s="1000"/>
      <c r="GYH31" s="1000"/>
      <c r="GYI31" s="1000"/>
      <c r="GYJ31" s="1000"/>
      <c r="GYK31" s="1000"/>
      <c r="GYL31" s="1000"/>
      <c r="GYM31" s="1000"/>
      <c r="GYN31" s="1000"/>
      <c r="GYO31" s="1000"/>
      <c r="GYP31" s="1000"/>
      <c r="GYQ31" s="1000"/>
      <c r="GYR31" s="1000"/>
      <c r="GYS31" s="1000"/>
      <c r="GYT31" s="1000"/>
      <c r="GYU31" s="1000"/>
      <c r="GYV31" s="1000"/>
      <c r="GYW31" s="1000"/>
      <c r="GYX31" s="1000"/>
      <c r="GYY31" s="1000"/>
      <c r="GYZ31" s="1000"/>
      <c r="GZA31" s="1000"/>
      <c r="GZB31" s="1000"/>
      <c r="GZC31" s="1000"/>
      <c r="GZD31" s="1000"/>
      <c r="GZE31" s="1000"/>
      <c r="GZF31" s="1000"/>
      <c r="GZG31" s="1000"/>
      <c r="GZH31" s="1000"/>
      <c r="GZI31" s="1000"/>
      <c r="GZJ31" s="1000"/>
      <c r="GZK31" s="1000"/>
      <c r="GZL31" s="1000"/>
      <c r="GZM31" s="1000"/>
      <c r="GZN31" s="1000"/>
      <c r="GZO31" s="1000"/>
      <c r="GZP31" s="1000"/>
      <c r="GZQ31" s="1000"/>
      <c r="GZR31" s="1000"/>
      <c r="GZS31" s="1000"/>
      <c r="GZT31" s="1000"/>
      <c r="GZU31" s="1000"/>
      <c r="GZV31" s="1000"/>
      <c r="GZW31" s="1000"/>
      <c r="GZX31" s="1000"/>
      <c r="GZY31" s="1000"/>
      <c r="GZZ31" s="1000"/>
      <c r="HAA31" s="1000"/>
      <c r="HAB31" s="1000"/>
      <c r="HAC31" s="1000"/>
      <c r="HAD31" s="1000"/>
      <c r="HAE31" s="1000"/>
      <c r="HAF31" s="1000"/>
      <c r="HAG31" s="1000"/>
      <c r="HAH31" s="1000"/>
      <c r="HAI31" s="1000"/>
      <c r="HAJ31" s="1000"/>
      <c r="HAK31" s="1000"/>
      <c r="HAL31" s="1000"/>
      <c r="HAM31" s="1000"/>
      <c r="HAN31" s="1000"/>
      <c r="HAO31" s="1000"/>
      <c r="HAP31" s="1000"/>
      <c r="HAQ31" s="1000"/>
      <c r="HAR31" s="1000"/>
      <c r="HAS31" s="1000"/>
      <c r="HAT31" s="1000"/>
      <c r="HAU31" s="1000"/>
      <c r="HAV31" s="1000"/>
      <c r="HAW31" s="1000"/>
      <c r="HAX31" s="1000"/>
      <c r="HAY31" s="1000"/>
      <c r="HAZ31" s="1000"/>
      <c r="HBA31" s="1000"/>
      <c r="HBB31" s="1000"/>
      <c r="HBC31" s="1000"/>
      <c r="HBD31" s="1000"/>
      <c r="HBE31" s="1000"/>
      <c r="HBF31" s="1000"/>
      <c r="HBG31" s="1000"/>
      <c r="HBH31" s="1000"/>
      <c r="HBI31" s="1000"/>
      <c r="HBJ31" s="1000"/>
      <c r="HBK31" s="1000"/>
      <c r="HBL31" s="1000"/>
      <c r="HBM31" s="1000"/>
      <c r="HBN31" s="1000"/>
      <c r="HBO31" s="1000"/>
      <c r="HBP31" s="1000"/>
      <c r="HBQ31" s="1000"/>
      <c r="HBR31" s="1000"/>
      <c r="HBS31" s="1000"/>
      <c r="HBT31" s="1000"/>
      <c r="HBU31" s="1000"/>
      <c r="HBV31" s="1000"/>
      <c r="HBW31" s="1000"/>
      <c r="HBX31" s="1000"/>
      <c r="HBY31" s="1000"/>
      <c r="HBZ31" s="1000"/>
      <c r="HCA31" s="1000"/>
      <c r="HCB31" s="1000"/>
      <c r="HCC31" s="1000"/>
      <c r="HCD31" s="1000"/>
      <c r="HCE31" s="1000"/>
      <c r="HCF31" s="1000"/>
      <c r="HCG31" s="1000"/>
      <c r="HCH31" s="1000"/>
      <c r="HCI31" s="1000"/>
      <c r="HCJ31" s="1000"/>
      <c r="HCK31" s="1000"/>
      <c r="HCL31" s="1000"/>
      <c r="HCM31" s="1000"/>
      <c r="HCN31" s="1000"/>
      <c r="HCO31" s="1000"/>
      <c r="HCP31" s="1000"/>
      <c r="HCQ31" s="1000"/>
      <c r="HCR31" s="1000"/>
      <c r="HCS31" s="1000"/>
      <c r="HCT31" s="1000"/>
      <c r="HCU31" s="1000"/>
      <c r="HCV31" s="1000"/>
      <c r="HCW31" s="1000"/>
      <c r="HCX31" s="1000"/>
      <c r="HCY31" s="1000"/>
      <c r="HCZ31" s="1000"/>
      <c r="HDA31" s="1000"/>
      <c r="HDB31" s="1000"/>
      <c r="HDC31" s="1000"/>
      <c r="HDD31" s="1000"/>
      <c r="HDE31" s="1000"/>
      <c r="HDF31" s="1000"/>
      <c r="HDG31" s="1000"/>
      <c r="HDH31" s="1000"/>
      <c r="HDI31" s="1000"/>
      <c r="HDJ31" s="1000"/>
      <c r="HDK31" s="1000"/>
      <c r="HDL31" s="1000"/>
      <c r="HDM31" s="1000"/>
      <c r="HDN31" s="1000"/>
      <c r="HDO31" s="1000"/>
      <c r="HDP31" s="1000"/>
      <c r="HDQ31" s="1000"/>
      <c r="HDR31" s="1000"/>
      <c r="HDS31" s="1000"/>
      <c r="HDT31" s="1000"/>
      <c r="HDU31" s="1000"/>
      <c r="HDV31" s="1000"/>
      <c r="HDW31" s="1000"/>
      <c r="HDX31" s="1000"/>
      <c r="HDY31" s="1000"/>
      <c r="HDZ31" s="1000"/>
      <c r="HEA31" s="1000"/>
      <c r="HEB31" s="1000"/>
      <c r="HEC31" s="1000"/>
      <c r="HED31" s="1000"/>
      <c r="HEE31" s="1000"/>
      <c r="HEF31" s="1000"/>
      <c r="HEG31" s="1000"/>
      <c r="HEH31" s="1000"/>
      <c r="HEI31" s="1000"/>
      <c r="HEJ31" s="1000"/>
      <c r="HEK31" s="1000"/>
      <c r="HEL31" s="1000"/>
      <c r="HEM31" s="1000"/>
      <c r="HEN31" s="1000"/>
      <c r="HEO31" s="1000"/>
      <c r="HEP31" s="1000"/>
      <c r="HEQ31" s="1000"/>
      <c r="HER31" s="1000"/>
      <c r="HES31" s="1000"/>
      <c r="HET31" s="1000"/>
      <c r="HEU31" s="1000"/>
      <c r="HEV31" s="1000"/>
      <c r="HEW31" s="1000"/>
      <c r="HEX31" s="1000"/>
      <c r="HEY31" s="1000"/>
      <c r="HEZ31" s="1000"/>
      <c r="HFA31" s="1000"/>
      <c r="HFB31" s="1000"/>
      <c r="HFC31" s="1000"/>
      <c r="HFD31" s="1000"/>
      <c r="HFE31" s="1000"/>
      <c r="HFF31" s="1000"/>
      <c r="HFG31" s="1000"/>
      <c r="HFH31" s="1000"/>
      <c r="HFI31" s="1000"/>
      <c r="HFJ31" s="1000"/>
      <c r="HFK31" s="1000"/>
      <c r="HFL31" s="1000"/>
      <c r="HFM31" s="1000"/>
      <c r="HFN31" s="1000"/>
      <c r="HFO31" s="1000"/>
      <c r="HFP31" s="1000"/>
      <c r="HFQ31" s="1000"/>
      <c r="HFR31" s="1000"/>
      <c r="HFS31" s="1000"/>
      <c r="HFT31" s="1000"/>
      <c r="HFU31" s="1000"/>
      <c r="HFV31" s="1000"/>
      <c r="HFW31" s="1000"/>
      <c r="HFX31" s="1000"/>
      <c r="HFY31" s="1000"/>
      <c r="HFZ31" s="1000"/>
      <c r="HGA31" s="1000"/>
      <c r="HGB31" s="1000"/>
      <c r="HGC31" s="1000"/>
      <c r="HGD31" s="1000"/>
      <c r="HGE31" s="1000"/>
      <c r="HGF31" s="1000"/>
      <c r="HGG31" s="1000"/>
      <c r="HGH31" s="1000"/>
      <c r="HGI31" s="1000"/>
      <c r="HGJ31" s="1000"/>
      <c r="HGK31" s="1000"/>
      <c r="HGL31" s="1000"/>
      <c r="HGM31" s="1000"/>
      <c r="HGN31" s="1000"/>
      <c r="HGO31" s="1000"/>
      <c r="HGP31" s="1000"/>
      <c r="HGQ31" s="1000"/>
      <c r="HGR31" s="1000"/>
      <c r="HGS31" s="1000"/>
      <c r="HGT31" s="1000"/>
      <c r="HGU31" s="1000"/>
      <c r="HGV31" s="1000"/>
      <c r="HGW31" s="1000"/>
      <c r="HGX31" s="1000"/>
      <c r="HGY31" s="1000"/>
      <c r="HGZ31" s="1000"/>
      <c r="HHA31" s="1000"/>
      <c r="HHB31" s="1000"/>
      <c r="HHC31" s="1000"/>
      <c r="HHD31" s="1000"/>
      <c r="HHE31" s="1000"/>
      <c r="HHF31" s="1000"/>
      <c r="HHG31" s="1000"/>
      <c r="HHH31" s="1000"/>
      <c r="HHI31" s="1000"/>
      <c r="HHJ31" s="1000"/>
      <c r="HHK31" s="1000"/>
      <c r="HHL31" s="1000"/>
      <c r="HHM31" s="1000"/>
      <c r="HHN31" s="1000"/>
      <c r="HHO31" s="1000"/>
      <c r="HHP31" s="1000"/>
      <c r="HHQ31" s="1000"/>
      <c r="HHR31" s="1000"/>
      <c r="HHS31" s="1000"/>
      <c r="HHT31" s="1000"/>
      <c r="HHU31" s="1000"/>
      <c r="HHV31" s="1000"/>
      <c r="HHW31" s="1000"/>
      <c r="HHX31" s="1000"/>
      <c r="HHY31" s="1000"/>
      <c r="HHZ31" s="1000"/>
      <c r="HIA31" s="1000"/>
      <c r="HIB31" s="1000"/>
      <c r="HIC31" s="1000"/>
      <c r="HID31" s="1000"/>
      <c r="HIE31" s="1000"/>
      <c r="HIF31" s="1000"/>
      <c r="HIG31" s="1000"/>
      <c r="HIH31" s="1000"/>
      <c r="HII31" s="1000"/>
      <c r="HIJ31" s="1000"/>
      <c r="HIK31" s="1000"/>
      <c r="HIL31" s="1000"/>
      <c r="HIM31" s="1000"/>
      <c r="HIN31" s="1000"/>
      <c r="HIO31" s="1000"/>
      <c r="HIP31" s="1000"/>
      <c r="HIQ31" s="1000"/>
      <c r="HIR31" s="1000"/>
      <c r="HIS31" s="1000"/>
      <c r="HIT31" s="1000"/>
      <c r="HIU31" s="1000"/>
      <c r="HIV31" s="1000"/>
      <c r="HIW31" s="1000"/>
      <c r="HIX31" s="1000"/>
      <c r="HIY31" s="1000"/>
      <c r="HIZ31" s="1000"/>
      <c r="HJA31" s="1000"/>
      <c r="HJB31" s="1000"/>
      <c r="HJC31" s="1000"/>
      <c r="HJD31" s="1000"/>
      <c r="HJE31" s="1000"/>
      <c r="HJF31" s="1000"/>
      <c r="HJG31" s="1000"/>
      <c r="HJH31" s="1000"/>
      <c r="HJI31" s="1000"/>
      <c r="HJJ31" s="1000"/>
      <c r="HJK31" s="1000"/>
      <c r="HJL31" s="1000"/>
      <c r="HJM31" s="1000"/>
      <c r="HJN31" s="1000"/>
      <c r="HJO31" s="1000"/>
      <c r="HJP31" s="1000"/>
      <c r="HJQ31" s="1000"/>
      <c r="HJR31" s="1000"/>
      <c r="HJS31" s="1000"/>
      <c r="HJT31" s="1000"/>
      <c r="HJU31" s="1000"/>
      <c r="HJV31" s="1000"/>
      <c r="HJW31" s="1000"/>
      <c r="HJX31" s="1000"/>
      <c r="HJY31" s="1000"/>
      <c r="HJZ31" s="1000"/>
      <c r="HKA31" s="1000"/>
      <c r="HKB31" s="1000"/>
      <c r="HKC31" s="1000"/>
      <c r="HKD31" s="1000"/>
      <c r="HKE31" s="1000"/>
      <c r="HKF31" s="1000"/>
      <c r="HKG31" s="1000"/>
      <c r="HKH31" s="1000"/>
      <c r="HKI31" s="1000"/>
      <c r="HKJ31" s="1000"/>
      <c r="HKK31" s="1000"/>
      <c r="HKL31" s="1000"/>
      <c r="HKM31" s="1000"/>
      <c r="HKN31" s="1000"/>
      <c r="HKO31" s="1000"/>
      <c r="HKP31" s="1000"/>
      <c r="HKQ31" s="1000"/>
      <c r="HKR31" s="1000"/>
      <c r="HKS31" s="1000"/>
      <c r="HKT31" s="1000"/>
      <c r="HKU31" s="1000"/>
      <c r="HKV31" s="1000"/>
      <c r="HKW31" s="1000"/>
      <c r="HKX31" s="1000"/>
      <c r="HKY31" s="1000"/>
      <c r="HKZ31" s="1000"/>
      <c r="HLA31" s="1000"/>
      <c r="HLB31" s="1000"/>
      <c r="HLC31" s="1000"/>
      <c r="HLD31" s="1000"/>
      <c r="HLE31" s="1000"/>
      <c r="HLF31" s="1000"/>
      <c r="HLG31" s="1000"/>
      <c r="HLH31" s="1000"/>
      <c r="HLI31" s="1000"/>
      <c r="HLJ31" s="1000"/>
      <c r="HLK31" s="1000"/>
      <c r="HLL31" s="1000"/>
      <c r="HLM31" s="1000"/>
      <c r="HLN31" s="1000"/>
      <c r="HLO31" s="1000"/>
      <c r="HLP31" s="1000"/>
      <c r="HLQ31" s="1000"/>
      <c r="HLR31" s="1000"/>
      <c r="HLS31" s="1000"/>
      <c r="HLT31" s="1000"/>
      <c r="HLU31" s="1000"/>
      <c r="HLV31" s="1000"/>
      <c r="HLW31" s="1000"/>
      <c r="HLX31" s="1000"/>
      <c r="HLY31" s="1000"/>
      <c r="HLZ31" s="1000"/>
      <c r="HMA31" s="1000"/>
      <c r="HMB31" s="1000"/>
      <c r="HMC31" s="1000"/>
      <c r="HMD31" s="1000"/>
      <c r="HME31" s="1000"/>
      <c r="HMF31" s="1000"/>
      <c r="HMG31" s="1000"/>
      <c r="HMH31" s="1000"/>
      <c r="HMI31" s="1000"/>
      <c r="HMJ31" s="1000"/>
      <c r="HMK31" s="1000"/>
      <c r="HML31" s="1000"/>
      <c r="HMM31" s="1000"/>
      <c r="HMN31" s="1000"/>
      <c r="HMO31" s="1000"/>
      <c r="HMP31" s="1000"/>
      <c r="HMQ31" s="1000"/>
      <c r="HMR31" s="1000"/>
      <c r="HMS31" s="1000"/>
      <c r="HMT31" s="1000"/>
      <c r="HMU31" s="1000"/>
      <c r="HMV31" s="1000"/>
      <c r="HMW31" s="1000"/>
      <c r="HMX31" s="1000"/>
      <c r="HMY31" s="1000"/>
      <c r="HMZ31" s="1000"/>
      <c r="HNA31" s="1000"/>
      <c r="HNB31" s="1000"/>
      <c r="HNC31" s="1000"/>
      <c r="HND31" s="1000"/>
      <c r="HNE31" s="1000"/>
      <c r="HNF31" s="1000"/>
      <c r="HNG31" s="1000"/>
      <c r="HNH31" s="1000"/>
      <c r="HNI31" s="1000"/>
      <c r="HNJ31" s="1000"/>
      <c r="HNK31" s="1000"/>
      <c r="HNL31" s="1000"/>
      <c r="HNM31" s="1000"/>
      <c r="HNN31" s="1000"/>
      <c r="HNO31" s="1000"/>
      <c r="HNP31" s="1000"/>
      <c r="HNQ31" s="1000"/>
      <c r="HNR31" s="1000"/>
      <c r="HNS31" s="1000"/>
      <c r="HNT31" s="1000"/>
      <c r="HNU31" s="1000"/>
      <c r="HNV31" s="1000"/>
      <c r="HNW31" s="1000"/>
      <c r="HNX31" s="1000"/>
      <c r="HNY31" s="1000"/>
      <c r="HNZ31" s="1000"/>
      <c r="HOA31" s="1000"/>
      <c r="HOB31" s="1000"/>
      <c r="HOC31" s="1000"/>
      <c r="HOD31" s="1000"/>
      <c r="HOE31" s="1000"/>
      <c r="HOF31" s="1000"/>
      <c r="HOG31" s="1000"/>
      <c r="HOH31" s="1000"/>
      <c r="HOI31" s="1000"/>
      <c r="HOJ31" s="1000"/>
      <c r="HOK31" s="1000"/>
      <c r="HOL31" s="1000"/>
      <c r="HOM31" s="1000"/>
      <c r="HON31" s="1000"/>
      <c r="HOO31" s="1000"/>
      <c r="HOP31" s="1000"/>
      <c r="HOQ31" s="1000"/>
      <c r="HOR31" s="1000"/>
      <c r="HOS31" s="1000"/>
      <c r="HOT31" s="1000"/>
      <c r="HOU31" s="1000"/>
      <c r="HOV31" s="1000"/>
      <c r="HOW31" s="1000"/>
      <c r="HOX31" s="1000"/>
      <c r="HOY31" s="1000"/>
      <c r="HOZ31" s="1000"/>
      <c r="HPA31" s="1000"/>
      <c r="HPB31" s="1000"/>
      <c r="HPC31" s="1000"/>
      <c r="HPD31" s="1000"/>
      <c r="HPE31" s="1000"/>
      <c r="HPF31" s="1000"/>
      <c r="HPG31" s="1000"/>
      <c r="HPH31" s="1000"/>
      <c r="HPI31" s="1000"/>
      <c r="HPJ31" s="1000"/>
      <c r="HPK31" s="1000"/>
      <c r="HPL31" s="1000"/>
      <c r="HPM31" s="1000"/>
      <c r="HPN31" s="1000"/>
      <c r="HPO31" s="1000"/>
      <c r="HPP31" s="1000"/>
      <c r="HPQ31" s="1000"/>
      <c r="HPR31" s="1000"/>
      <c r="HPS31" s="1000"/>
      <c r="HPT31" s="1000"/>
      <c r="HPU31" s="1000"/>
      <c r="HPV31" s="1000"/>
      <c r="HPW31" s="1000"/>
      <c r="HPX31" s="1000"/>
      <c r="HPY31" s="1000"/>
      <c r="HPZ31" s="1000"/>
      <c r="HQA31" s="1000"/>
      <c r="HQB31" s="1000"/>
      <c r="HQC31" s="1000"/>
      <c r="HQD31" s="1000"/>
      <c r="HQE31" s="1000"/>
      <c r="HQF31" s="1000"/>
      <c r="HQG31" s="1000"/>
      <c r="HQH31" s="1000"/>
      <c r="HQI31" s="1000"/>
      <c r="HQJ31" s="1000"/>
      <c r="HQK31" s="1000"/>
      <c r="HQL31" s="1000"/>
      <c r="HQM31" s="1000"/>
      <c r="HQN31" s="1000"/>
      <c r="HQO31" s="1000"/>
      <c r="HQP31" s="1000"/>
      <c r="HQQ31" s="1000"/>
      <c r="HQR31" s="1000"/>
      <c r="HQS31" s="1000"/>
      <c r="HQT31" s="1000"/>
      <c r="HQU31" s="1000"/>
      <c r="HQV31" s="1000"/>
      <c r="HQW31" s="1000"/>
      <c r="HQX31" s="1000"/>
      <c r="HQY31" s="1000"/>
      <c r="HQZ31" s="1000"/>
      <c r="HRA31" s="1000"/>
      <c r="HRB31" s="1000"/>
      <c r="HRC31" s="1000"/>
      <c r="HRD31" s="1000"/>
      <c r="HRE31" s="1000"/>
      <c r="HRF31" s="1000"/>
      <c r="HRG31" s="1000"/>
      <c r="HRH31" s="1000"/>
      <c r="HRI31" s="1000"/>
      <c r="HRJ31" s="1000"/>
      <c r="HRK31" s="1000"/>
      <c r="HRL31" s="1000"/>
      <c r="HRM31" s="1000"/>
      <c r="HRN31" s="1000"/>
      <c r="HRO31" s="1000"/>
      <c r="HRP31" s="1000"/>
      <c r="HRQ31" s="1000"/>
      <c r="HRR31" s="1000"/>
      <c r="HRS31" s="1000"/>
      <c r="HRT31" s="1000"/>
      <c r="HRU31" s="1000"/>
      <c r="HRV31" s="1000"/>
      <c r="HRW31" s="1000"/>
      <c r="HRX31" s="1000"/>
      <c r="HRY31" s="1000"/>
      <c r="HRZ31" s="1000"/>
      <c r="HSA31" s="1000"/>
      <c r="HSB31" s="1000"/>
      <c r="HSC31" s="1000"/>
      <c r="HSD31" s="1000"/>
      <c r="HSE31" s="1000"/>
      <c r="HSF31" s="1000"/>
      <c r="HSG31" s="1000"/>
      <c r="HSH31" s="1000"/>
      <c r="HSI31" s="1000"/>
      <c r="HSJ31" s="1000"/>
      <c r="HSK31" s="1000"/>
      <c r="HSL31" s="1000"/>
      <c r="HSM31" s="1000"/>
      <c r="HSN31" s="1000"/>
      <c r="HSO31" s="1000"/>
      <c r="HSP31" s="1000"/>
      <c r="HSQ31" s="1000"/>
      <c r="HSR31" s="1000"/>
      <c r="HSS31" s="1000"/>
      <c r="HST31" s="1000"/>
      <c r="HSU31" s="1000"/>
      <c r="HSV31" s="1000"/>
      <c r="HSW31" s="1000"/>
      <c r="HSX31" s="1000"/>
      <c r="HSY31" s="1000"/>
      <c r="HSZ31" s="1000"/>
      <c r="HTA31" s="1000"/>
      <c r="HTB31" s="1000"/>
      <c r="HTC31" s="1000"/>
      <c r="HTD31" s="1000"/>
      <c r="HTE31" s="1000"/>
      <c r="HTF31" s="1000"/>
      <c r="HTG31" s="1000"/>
      <c r="HTH31" s="1000"/>
      <c r="HTI31" s="1000"/>
      <c r="HTJ31" s="1000"/>
      <c r="HTK31" s="1000"/>
      <c r="HTL31" s="1000"/>
      <c r="HTM31" s="1000"/>
      <c r="HTN31" s="1000"/>
      <c r="HTO31" s="1000"/>
      <c r="HTP31" s="1000"/>
      <c r="HTQ31" s="1000"/>
      <c r="HTR31" s="1000"/>
      <c r="HTS31" s="1000"/>
      <c r="HTT31" s="1000"/>
      <c r="HTU31" s="1000"/>
      <c r="HTV31" s="1000"/>
      <c r="HTW31" s="1000"/>
      <c r="HTX31" s="1000"/>
      <c r="HTY31" s="1000"/>
      <c r="HTZ31" s="1000"/>
      <c r="HUA31" s="1000"/>
      <c r="HUB31" s="1000"/>
      <c r="HUC31" s="1000"/>
      <c r="HUD31" s="1000"/>
      <c r="HUE31" s="1000"/>
      <c r="HUF31" s="1000"/>
      <c r="HUG31" s="1000"/>
      <c r="HUH31" s="1000"/>
      <c r="HUI31" s="1000"/>
      <c r="HUJ31" s="1000"/>
      <c r="HUK31" s="1000"/>
      <c r="HUL31" s="1000"/>
      <c r="HUM31" s="1000"/>
      <c r="HUN31" s="1000"/>
      <c r="HUO31" s="1000"/>
      <c r="HUP31" s="1000"/>
      <c r="HUQ31" s="1000"/>
      <c r="HUR31" s="1000"/>
      <c r="HUS31" s="1000"/>
      <c r="HUT31" s="1000"/>
      <c r="HUU31" s="1000"/>
      <c r="HUV31" s="1000"/>
      <c r="HUW31" s="1000"/>
      <c r="HUX31" s="1000"/>
      <c r="HUY31" s="1000"/>
      <c r="HUZ31" s="1000"/>
      <c r="HVA31" s="1000"/>
      <c r="HVB31" s="1000"/>
      <c r="HVC31" s="1000"/>
      <c r="HVD31" s="1000"/>
      <c r="HVE31" s="1000"/>
      <c r="HVF31" s="1000"/>
      <c r="HVG31" s="1000"/>
      <c r="HVH31" s="1000"/>
      <c r="HVI31" s="1000"/>
      <c r="HVJ31" s="1000"/>
      <c r="HVK31" s="1000"/>
      <c r="HVL31" s="1000"/>
      <c r="HVM31" s="1000"/>
      <c r="HVN31" s="1000"/>
      <c r="HVO31" s="1000"/>
      <c r="HVP31" s="1000"/>
      <c r="HVQ31" s="1000"/>
      <c r="HVR31" s="1000"/>
      <c r="HVS31" s="1000"/>
      <c r="HVT31" s="1000"/>
      <c r="HVU31" s="1000"/>
      <c r="HVV31" s="1000"/>
      <c r="HVW31" s="1000"/>
      <c r="HVX31" s="1000"/>
      <c r="HVY31" s="1000"/>
      <c r="HVZ31" s="1000"/>
      <c r="HWA31" s="1000"/>
      <c r="HWB31" s="1000"/>
      <c r="HWC31" s="1000"/>
      <c r="HWD31" s="1000"/>
      <c r="HWE31" s="1000"/>
      <c r="HWF31" s="1000"/>
      <c r="HWG31" s="1000"/>
      <c r="HWH31" s="1000"/>
      <c r="HWI31" s="1000"/>
      <c r="HWJ31" s="1000"/>
      <c r="HWK31" s="1000"/>
      <c r="HWL31" s="1000"/>
      <c r="HWM31" s="1000"/>
      <c r="HWN31" s="1000"/>
      <c r="HWO31" s="1000"/>
      <c r="HWP31" s="1000"/>
      <c r="HWQ31" s="1000"/>
      <c r="HWR31" s="1000"/>
      <c r="HWS31" s="1000"/>
      <c r="HWT31" s="1000"/>
      <c r="HWU31" s="1000"/>
      <c r="HWV31" s="1000"/>
      <c r="HWW31" s="1000"/>
      <c r="HWX31" s="1000"/>
      <c r="HWY31" s="1000"/>
      <c r="HWZ31" s="1000"/>
      <c r="HXA31" s="1000"/>
      <c r="HXB31" s="1000"/>
      <c r="HXC31" s="1000"/>
      <c r="HXD31" s="1000"/>
      <c r="HXE31" s="1000"/>
      <c r="HXF31" s="1000"/>
      <c r="HXG31" s="1000"/>
      <c r="HXH31" s="1000"/>
      <c r="HXI31" s="1000"/>
      <c r="HXJ31" s="1000"/>
      <c r="HXK31" s="1000"/>
      <c r="HXL31" s="1000"/>
      <c r="HXM31" s="1000"/>
      <c r="HXN31" s="1000"/>
      <c r="HXO31" s="1000"/>
      <c r="HXP31" s="1000"/>
      <c r="HXQ31" s="1000"/>
      <c r="HXR31" s="1000"/>
      <c r="HXS31" s="1000"/>
      <c r="HXT31" s="1000"/>
      <c r="HXU31" s="1000"/>
      <c r="HXV31" s="1000"/>
      <c r="HXW31" s="1000"/>
      <c r="HXX31" s="1000"/>
      <c r="HXY31" s="1000"/>
      <c r="HXZ31" s="1000"/>
      <c r="HYA31" s="1000"/>
      <c r="HYB31" s="1000"/>
      <c r="HYC31" s="1000"/>
      <c r="HYD31" s="1000"/>
      <c r="HYE31" s="1000"/>
      <c r="HYF31" s="1000"/>
      <c r="HYG31" s="1000"/>
      <c r="HYH31" s="1000"/>
      <c r="HYI31" s="1000"/>
      <c r="HYJ31" s="1000"/>
      <c r="HYK31" s="1000"/>
      <c r="HYL31" s="1000"/>
      <c r="HYM31" s="1000"/>
      <c r="HYN31" s="1000"/>
      <c r="HYO31" s="1000"/>
      <c r="HYP31" s="1000"/>
      <c r="HYQ31" s="1000"/>
      <c r="HYR31" s="1000"/>
      <c r="HYS31" s="1000"/>
      <c r="HYT31" s="1000"/>
      <c r="HYU31" s="1000"/>
      <c r="HYV31" s="1000"/>
      <c r="HYW31" s="1000"/>
      <c r="HYX31" s="1000"/>
      <c r="HYY31" s="1000"/>
      <c r="HYZ31" s="1000"/>
      <c r="HZA31" s="1000"/>
      <c r="HZB31" s="1000"/>
      <c r="HZC31" s="1000"/>
      <c r="HZD31" s="1000"/>
      <c r="HZE31" s="1000"/>
      <c r="HZF31" s="1000"/>
      <c r="HZG31" s="1000"/>
      <c r="HZH31" s="1000"/>
      <c r="HZI31" s="1000"/>
      <c r="HZJ31" s="1000"/>
      <c r="HZK31" s="1000"/>
      <c r="HZL31" s="1000"/>
      <c r="HZM31" s="1000"/>
      <c r="HZN31" s="1000"/>
      <c r="HZO31" s="1000"/>
      <c r="HZP31" s="1000"/>
      <c r="HZQ31" s="1000"/>
      <c r="HZR31" s="1000"/>
      <c r="HZS31" s="1000"/>
      <c r="HZT31" s="1000"/>
      <c r="HZU31" s="1000"/>
      <c r="HZV31" s="1000"/>
      <c r="HZW31" s="1000"/>
      <c r="HZX31" s="1000"/>
      <c r="HZY31" s="1000"/>
      <c r="HZZ31" s="1000"/>
      <c r="IAA31" s="1000"/>
      <c r="IAB31" s="1000"/>
      <c r="IAC31" s="1000"/>
      <c r="IAD31" s="1000"/>
      <c r="IAE31" s="1000"/>
      <c r="IAF31" s="1000"/>
      <c r="IAG31" s="1000"/>
      <c r="IAH31" s="1000"/>
      <c r="IAI31" s="1000"/>
      <c r="IAJ31" s="1000"/>
      <c r="IAK31" s="1000"/>
      <c r="IAL31" s="1000"/>
      <c r="IAM31" s="1000"/>
      <c r="IAN31" s="1000"/>
      <c r="IAO31" s="1000"/>
      <c r="IAP31" s="1000"/>
      <c r="IAQ31" s="1000"/>
      <c r="IAR31" s="1000"/>
      <c r="IAS31" s="1000"/>
      <c r="IAT31" s="1000"/>
      <c r="IAU31" s="1000"/>
      <c r="IAV31" s="1000"/>
      <c r="IAW31" s="1000"/>
      <c r="IAX31" s="1000"/>
      <c r="IAY31" s="1000"/>
      <c r="IAZ31" s="1000"/>
      <c r="IBA31" s="1000"/>
      <c r="IBB31" s="1000"/>
      <c r="IBC31" s="1000"/>
      <c r="IBD31" s="1000"/>
      <c r="IBE31" s="1000"/>
      <c r="IBF31" s="1000"/>
      <c r="IBG31" s="1000"/>
      <c r="IBH31" s="1000"/>
      <c r="IBI31" s="1000"/>
      <c r="IBJ31" s="1000"/>
      <c r="IBK31" s="1000"/>
      <c r="IBL31" s="1000"/>
      <c r="IBM31" s="1000"/>
      <c r="IBN31" s="1000"/>
      <c r="IBO31" s="1000"/>
      <c r="IBP31" s="1000"/>
      <c r="IBQ31" s="1000"/>
      <c r="IBR31" s="1000"/>
      <c r="IBS31" s="1000"/>
      <c r="IBT31" s="1000"/>
      <c r="IBU31" s="1000"/>
      <c r="IBV31" s="1000"/>
      <c r="IBW31" s="1000"/>
      <c r="IBX31" s="1000"/>
      <c r="IBY31" s="1000"/>
      <c r="IBZ31" s="1000"/>
      <c r="ICA31" s="1000"/>
      <c r="ICB31" s="1000"/>
      <c r="ICC31" s="1000"/>
      <c r="ICD31" s="1000"/>
      <c r="ICE31" s="1000"/>
      <c r="ICF31" s="1000"/>
      <c r="ICG31" s="1000"/>
      <c r="ICH31" s="1000"/>
      <c r="ICI31" s="1000"/>
      <c r="ICJ31" s="1000"/>
      <c r="ICK31" s="1000"/>
      <c r="ICL31" s="1000"/>
      <c r="ICM31" s="1000"/>
      <c r="ICN31" s="1000"/>
      <c r="ICO31" s="1000"/>
      <c r="ICP31" s="1000"/>
      <c r="ICQ31" s="1000"/>
      <c r="ICR31" s="1000"/>
      <c r="ICS31" s="1000"/>
      <c r="ICT31" s="1000"/>
      <c r="ICU31" s="1000"/>
      <c r="ICV31" s="1000"/>
      <c r="ICW31" s="1000"/>
      <c r="ICX31" s="1000"/>
      <c r="ICY31" s="1000"/>
      <c r="ICZ31" s="1000"/>
      <c r="IDA31" s="1000"/>
      <c r="IDB31" s="1000"/>
      <c r="IDC31" s="1000"/>
      <c r="IDD31" s="1000"/>
      <c r="IDE31" s="1000"/>
      <c r="IDF31" s="1000"/>
      <c r="IDG31" s="1000"/>
      <c r="IDH31" s="1000"/>
      <c r="IDI31" s="1000"/>
      <c r="IDJ31" s="1000"/>
      <c r="IDK31" s="1000"/>
      <c r="IDL31" s="1000"/>
      <c r="IDM31" s="1000"/>
      <c r="IDN31" s="1000"/>
      <c r="IDO31" s="1000"/>
      <c r="IDP31" s="1000"/>
      <c r="IDQ31" s="1000"/>
      <c r="IDR31" s="1000"/>
      <c r="IDS31" s="1000"/>
      <c r="IDT31" s="1000"/>
      <c r="IDU31" s="1000"/>
      <c r="IDV31" s="1000"/>
      <c r="IDW31" s="1000"/>
      <c r="IDX31" s="1000"/>
      <c r="IDY31" s="1000"/>
      <c r="IDZ31" s="1000"/>
      <c r="IEA31" s="1000"/>
      <c r="IEB31" s="1000"/>
      <c r="IEC31" s="1000"/>
      <c r="IED31" s="1000"/>
      <c r="IEE31" s="1000"/>
      <c r="IEF31" s="1000"/>
      <c r="IEG31" s="1000"/>
      <c r="IEH31" s="1000"/>
      <c r="IEI31" s="1000"/>
      <c r="IEJ31" s="1000"/>
      <c r="IEK31" s="1000"/>
      <c r="IEL31" s="1000"/>
      <c r="IEM31" s="1000"/>
      <c r="IEN31" s="1000"/>
      <c r="IEO31" s="1000"/>
      <c r="IEP31" s="1000"/>
      <c r="IEQ31" s="1000"/>
      <c r="IER31" s="1000"/>
      <c r="IES31" s="1000"/>
      <c r="IET31" s="1000"/>
      <c r="IEU31" s="1000"/>
      <c r="IEV31" s="1000"/>
      <c r="IEW31" s="1000"/>
      <c r="IEX31" s="1000"/>
      <c r="IEY31" s="1000"/>
      <c r="IEZ31" s="1000"/>
      <c r="IFA31" s="1000"/>
      <c r="IFB31" s="1000"/>
      <c r="IFC31" s="1000"/>
      <c r="IFD31" s="1000"/>
      <c r="IFE31" s="1000"/>
      <c r="IFF31" s="1000"/>
      <c r="IFG31" s="1000"/>
      <c r="IFH31" s="1000"/>
      <c r="IFI31" s="1000"/>
      <c r="IFJ31" s="1000"/>
      <c r="IFK31" s="1000"/>
      <c r="IFL31" s="1000"/>
      <c r="IFM31" s="1000"/>
      <c r="IFN31" s="1000"/>
      <c r="IFO31" s="1000"/>
      <c r="IFP31" s="1000"/>
      <c r="IFQ31" s="1000"/>
      <c r="IFR31" s="1000"/>
      <c r="IFS31" s="1000"/>
      <c r="IFT31" s="1000"/>
      <c r="IFU31" s="1000"/>
      <c r="IFV31" s="1000"/>
      <c r="IFW31" s="1000"/>
      <c r="IFX31" s="1000"/>
      <c r="IFY31" s="1000"/>
      <c r="IFZ31" s="1000"/>
      <c r="IGA31" s="1000"/>
      <c r="IGB31" s="1000"/>
      <c r="IGC31" s="1000"/>
      <c r="IGD31" s="1000"/>
      <c r="IGE31" s="1000"/>
      <c r="IGF31" s="1000"/>
      <c r="IGG31" s="1000"/>
      <c r="IGH31" s="1000"/>
      <c r="IGI31" s="1000"/>
      <c r="IGJ31" s="1000"/>
      <c r="IGK31" s="1000"/>
      <c r="IGL31" s="1000"/>
      <c r="IGM31" s="1000"/>
      <c r="IGN31" s="1000"/>
      <c r="IGO31" s="1000"/>
      <c r="IGP31" s="1000"/>
      <c r="IGQ31" s="1000"/>
      <c r="IGR31" s="1000"/>
      <c r="IGS31" s="1000"/>
      <c r="IGT31" s="1000"/>
      <c r="IGU31" s="1000"/>
      <c r="IGV31" s="1000"/>
      <c r="IGW31" s="1000"/>
      <c r="IGX31" s="1000"/>
      <c r="IGY31" s="1000"/>
      <c r="IGZ31" s="1000"/>
      <c r="IHA31" s="1000"/>
      <c r="IHB31" s="1000"/>
      <c r="IHC31" s="1000"/>
      <c r="IHD31" s="1000"/>
      <c r="IHE31" s="1000"/>
      <c r="IHF31" s="1000"/>
      <c r="IHG31" s="1000"/>
      <c r="IHH31" s="1000"/>
      <c r="IHI31" s="1000"/>
      <c r="IHJ31" s="1000"/>
      <c r="IHK31" s="1000"/>
      <c r="IHL31" s="1000"/>
      <c r="IHM31" s="1000"/>
      <c r="IHN31" s="1000"/>
      <c r="IHO31" s="1000"/>
      <c r="IHP31" s="1000"/>
      <c r="IHQ31" s="1000"/>
      <c r="IHR31" s="1000"/>
      <c r="IHS31" s="1000"/>
      <c r="IHT31" s="1000"/>
      <c r="IHU31" s="1000"/>
      <c r="IHV31" s="1000"/>
      <c r="IHW31" s="1000"/>
      <c r="IHX31" s="1000"/>
      <c r="IHY31" s="1000"/>
      <c r="IHZ31" s="1000"/>
      <c r="IIA31" s="1000"/>
      <c r="IIB31" s="1000"/>
      <c r="IIC31" s="1000"/>
      <c r="IID31" s="1000"/>
      <c r="IIE31" s="1000"/>
      <c r="IIF31" s="1000"/>
      <c r="IIG31" s="1000"/>
      <c r="IIH31" s="1000"/>
      <c r="III31" s="1000"/>
      <c r="IIJ31" s="1000"/>
      <c r="IIK31" s="1000"/>
      <c r="IIL31" s="1000"/>
      <c r="IIM31" s="1000"/>
      <c r="IIN31" s="1000"/>
      <c r="IIO31" s="1000"/>
      <c r="IIP31" s="1000"/>
      <c r="IIQ31" s="1000"/>
      <c r="IIR31" s="1000"/>
      <c r="IIS31" s="1000"/>
      <c r="IIT31" s="1000"/>
      <c r="IIU31" s="1000"/>
      <c r="IIV31" s="1000"/>
      <c r="IIW31" s="1000"/>
      <c r="IIX31" s="1000"/>
      <c r="IIY31" s="1000"/>
      <c r="IIZ31" s="1000"/>
      <c r="IJA31" s="1000"/>
      <c r="IJB31" s="1000"/>
      <c r="IJC31" s="1000"/>
      <c r="IJD31" s="1000"/>
      <c r="IJE31" s="1000"/>
      <c r="IJF31" s="1000"/>
      <c r="IJG31" s="1000"/>
      <c r="IJH31" s="1000"/>
      <c r="IJI31" s="1000"/>
      <c r="IJJ31" s="1000"/>
      <c r="IJK31" s="1000"/>
      <c r="IJL31" s="1000"/>
      <c r="IJM31" s="1000"/>
      <c r="IJN31" s="1000"/>
      <c r="IJO31" s="1000"/>
      <c r="IJP31" s="1000"/>
      <c r="IJQ31" s="1000"/>
      <c r="IJR31" s="1000"/>
      <c r="IJS31" s="1000"/>
      <c r="IJT31" s="1000"/>
      <c r="IJU31" s="1000"/>
      <c r="IJV31" s="1000"/>
      <c r="IJW31" s="1000"/>
      <c r="IJX31" s="1000"/>
      <c r="IJY31" s="1000"/>
      <c r="IJZ31" s="1000"/>
      <c r="IKA31" s="1000"/>
      <c r="IKB31" s="1000"/>
      <c r="IKC31" s="1000"/>
      <c r="IKD31" s="1000"/>
      <c r="IKE31" s="1000"/>
      <c r="IKF31" s="1000"/>
      <c r="IKG31" s="1000"/>
      <c r="IKH31" s="1000"/>
      <c r="IKI31" s="1000"/>
      <c r="IKJ31" s="1000"/>
      <c r="IKK31" s="1000"/>
      <c r="IKL31" s="1000"/>
      <c r="IKM31" s="1000"/>
      <c r="IKN31" s="1000"/>
      <c r="IKO31" s="1000"/>
      <c r="IKP31" s="1000"/>
      <c r="IKQ31" s="1000"/>
      <c r="IKR31" s="1000"/>
      <c r="IKS31" s="1000"/>
      <c r="IKT31" s="1000"/>
      <c r="IKU31" s="1000"/>
      <c r="IKV31" s="1000"/>
      <c r="IKW31" s="1000"/>
      <c r="IKX31" s="1000"/>
      <c r="IKY31" s="1000"/>
      <c r="IKZ31" s="1000"/>
      <c r="ILA31" s="1000"/>
      <c r="ILB31" s="1000"/>
      <c r="ILC31" s="1000"/>
      <c r="ILD31" s="1000"/>
      <c r="ILE31" s="1000"/>
      <c r="ILF31" s="1000"/>
      <c r="ILG31" s="1000"/>
      <c r="ILH31" s="1000"/>
      <c r="ILI31" s="1000"/>
      <c r="ILJ31" s="1000"/>
      <c r="ILK31" s="1000"/>
      <c r="ILL31" s="1000"/>
      <c r="ILM31" s="1000"/>
      <c r="ILN31" s="1000"/>
      <c r="ILO31" s="1000"/>
      <c r="ILP31" s="1000"/>
      <c r="ILQ31" s="1000"/>
      <c r="ILR31" s="1000"/>
      <c r="ILS31" s="1000"/>
      <c r="ILT31" s="1000"/>
      <c r="ILU31" s="1000"/>
      <c r="ILV31" s="1000"/>
      <c r="ILW31" s="1000"/>
      <c r="ILX31" s="1000"/>
      <c r="ILY31" s="1000"/>
      <c r="ILZ31" s="1000"/>
      <c r="IMA31" s="1000"/>
      <c r="IMB31" s="1000"/>
      <c r="IMC31" s="1000"/>
      <c r="IMD31" s="1000"/>
      <c r="IME31" s="1000"/>
      <c r="IMF31" s="1000"/>
      <c r="IMG31" s="1000"/>
      <c r="IMH31" s="1000"/>
      <c r="IMI31" s="1000"/>
      <c r="IMJ31" s="1000"/>
      <c r="IMK31" s="1000"/>
      <c r="IML31" s="1000"/>
      <c r="IMM31" s="1000"/>
      <c r="IMN31" s="1000"/>
      <c r="IMO31" s="1000"/>
      <c r="IMP31" s="1000"/>
      <c r="IMQ31" s="1000"/>
      <c r="IMR31" s="1000"/>
      <c r="IMS31" s="1000"/>
      <c r="IMT31" s="1000"/>
      <c r="IMU31" s="1000"/>
      <c r="IMV31" s="1000"/>
      <c r="IMW31" s="1000"/>
      <c r="IMX31" s="1000"/>
      <c r="IMY31" s="1000"/>
      <c r="IMZ31" s="1000"/>
      <c r="INA31" s="1000"/>
      <c r="INB31" s="1000"/>
      <c r="INC31" s="1000"/>
      <c r="IND31" s="1000"/>
      <c r="INE31" s="1000"/>
      <c r="INF31" s="1000"/>
      <c r="ING31" s="1000"/>
      <c r="INH31" s="1000"/>
      <c r="INI31" s="1000"/>
      <c r="INJ31" s="1000"/>
      <c r="INK31" s="1000"/>
      <c r="INL31" s="1000"/>
      <c r="INM31" s="1000"/>
      <c r="INN31" s="1000"/>
      <c r="INO31" s="1000"/>
      <c r="INP31" s="1000"/>
      <c r="INQ31" s="1000"/>
      <c r="INR31" s="1000"/>
      <c r="INS31" s="1000"/>
      <c r="INT31" s="1000"/>
      <c r="INU31" s="1000"/>
      <c r="INV31" s="1000"/>
      <c r="INW31" s="1000"/>
      <c r="INX31" s="1000"/>
      <c r="INY31" s="1000"/>
      <c r="INZ31" s="1000"/>
      <c r="IOA31" s="1000"/>
      <c r="IOB31" s="1000"/>
      <c r="IOC31" s="1000"/>
      <c r="IOD31" s="1000"/>
      <c r="IOE31" s="1000"/>
      <c r="IOF31" s="1000"/>
      <c r="IOG31" s="1000"/>
      <c r="IOH31" s="1000"/>
      <c r="IOI31" s="1000"/>
      <c r="IOJ31" s="1000"/>
      <c r="IOK31" s="1000"/>
      <c r="IOL31" s="1000"/>
      <c r="IOM31" s="1000"/>
      <c r="ION31" s="1000"/>
      <c r="IOO31" s="1000"/>
      <c r="IOP31" s="1000"/>
      <c r="IOQ31" s="1000"/>
      <c r="IOR31" s="1000"/>
      <c r="IOS31" s="1000"/>
      <c r="IOT31" s="1000"/>
      <c r="IOU31" s="1000"/>
      <c r="IOV31" s="1000"/>
      <c r="IOW31" s="1000"/>
      <c r="IOX31" s="1000"/>
      <c r="IOY31" s="1000"/>
      <c r="IOZ31" s="1000"/>
      <c r="IPA31" s="1000"/>
      <c r="IPB31" s="1000"/>
      <c r="IPC31" s="1000"/>
      <c r="IPD31" s="1000"/>
      <c r="IPE31" s="1000"/>
      <c r="IPF31" s="1000"/>
      <c r="IPG31" s="1000"/>
      <c r="IPH31" s="1000"/>
      <c r="IPI31" s="1000"/>
      <c r="IPJ31" s="1000"/>
      <c r="IPK31" s="1000"/>
      <c r="IPL31" s="1000"/>
      <c r="IPM31" s="1000"/>
      <c r="IPN31" s="1000"/>
      <c r="IPO31" s="1000"/>
      <c r="IPP31" s="1000"/>
      <c r="IPQ31" s="1000"/>
      <c r="IPR31" s="1000"/>
      <c r="IPS31" s="1000"/>
      <c r="IPT31" s="1000"/>
      <c r="IPU31" s="1000"/>
      <c r="IPV31" s="1000"/>
      <c r="IPW31" s="1000"/>
      <c r="IPX31" s="1000"/>
      <c r="IPY31" s="1000"/>
      <c r="IPZ31" s="1000"/>
      <c r="IQA31" s="1000"/>
      <c r="IQB31" s="1000"/>
      <c r="IQC31" s="1000"/>
      <c r="IQD31" s="1000"/>
      <c r="IQE31" s="1000"/>
      <c r="IQF31" s="1000"/>
      <c r="IQG31" s="1000"/>
      <c r="IQH31" s="1000"/>
      <c r="IQI31" s="1000"/>
      <c r="IQJ31" s="1000"/>
      <c r="IQK31" s="1000"/>
      <c r="IQL31" s="1000"/>
      <c r="IQM31" s="1000"/>
      <c r="IQN31" s="1000"/>
      <c r="IQO31" s="1000"/>
      <c r="IQP31" s="1000"/>
      <c r="IQQ31" s="1000"/>
      <c r="IQR31" s="1000"/>
      <c r="IQS31" s="1000"/>
      <c r="IQT31" s="1000"/>
      <c r="IQU31" s="1000"/>
      <c r="IQV31" s="1000"/>
      <c r="IQW31" s="1000"/>
      <c r="IQX31" s="1000"/>
      <c r="IQY31" s="1000"/>
      <c r="IQZ31" s="1000"/>
      <c r="IRA31" s="1000"/>
      <c r="IRB31" s="1000"/>
      <c r="IRC31" s="1000"/>
      <c r="IRD31" s="1000"/>
      <c r="IRE31" s="1000"/>
      <c r="IRF31" s="1000"/>
      <c r="IRG31" s="1000"/>
      <c r="IRH31" s="1000"/>
      <c r="IRI31" s="1000"/>
      <c r="IRJ31" s="1000"/>
      <c r="IRK31" s="1000"/>
      <c r="IRL31" s="1000"/>
      <c r="IRM31" s="1000"/>
      <c r="IRN31" s="1000"/>
      <c r="IRO31" s="1000"/>
      <c r="IRP31" s="1000"/>
      <c r="IRQ31" s="1000"/>
      <c r="IRR31" s="1000"/>
      <c r="IRS31" s="1000"/>
      <c r="IRT31" s="1000"/>
      <c r="IRU31" s="1000"/>
      <c r="IRV31" s="1000"/>
      <c r="IRW31" s="1000"/>
      <c r="IRX31" s="1000"/>
      <c r="IRY31" s="1000"/>
      <c r="IRZ31" s="1000"/>
      <c r="ISA31" s="1000"/>
      <c r="ISB31" s="1000"/>
      <c r="ISC31" s="1000"/>
      <c r="ISD31" s="1000"/>
      <c r="ISE31" s="1000"/>
      <c r="ISF31" s="1000"/>
      <c r="ISG31" s="1000"/>
      <c r="ISH31" s="1000"/>
      <c r="ISI31" s="1000"/>
      <c r="ISJ31" s="1000"/>
      <c r="ISK31" s="1000"/>
      <c r="ISL31" s="1000"/>
      <c r="ISM31" s="1000"/>
      <c r="ISN31" s="1000"/>
      <c r="ISO31" s="1000"/>
      <c r="ISP31" s="1000"/>
      <c r="ISQ31" s="1000"/>
      <c r="ISR31" s="1000"/>
      <c r="ISS31" s="1000"/>
      <c r="IST31" s="1000"/>
      <c r="ISU31" s="1000"/>
      <c r="ISV31" s="1000"/>
      <c r="ISW31" s="1000"/>
      <c r="ISX31" s="1000"/>
      <c r="ISY31" s="1000"/>
      <c r="ISZ31" s="1000"/>
      <c r="ITA31" s="1000"/>
      <c r="ITB31" s="1000"/>
      <c r="ITC31" s="1000"/>
      <c r="ITD31" s="1000"/>
      <c r="ITE31" s="1000"/>
      <c r="ITF31" s="1000"/>
      <c r="ITG31" s="1000"/>
      <c r="ITH31" s="1000"/>
      <c r="ITI31" s="1000"/>
      <c r="ITJ31" s="1000"/>
      <c r="ITK31" s="1000"/>
      <c r="ITL31" s="1000"/>
      <c r="ITM31" s="1000"/>
      <c r="ITN31" s="1000"/>
      <c r="ITO31" s="1000"/>
      <c r="ITP31" s="1000"/>
      <c r="ITQ31" s="1000"/>
      <c r="ITR31" s="1000"/>
      <c r="ITS31" s="1000"/>
      <c r="ITT31" s="1000"/>
      <c r="ITU31" s="1000"/>
      <c r="ITV31" s="1000"/>
      <c r="ITW31" s="1000"/>
      <c r="ITX31" s="1000"/>
      <c r="ITY31" s="1000"/>
      <c r="ITZ31" s="1000"/>
      <c r="IUA31" s="1000"/>
      <c r="IUB31" s="1000"/>
      <c r="IUC31" s="1000"/>
      <c r="IUD31" s="1000"/>
      <c r="IUE31" s="1000"/>
      <c r="IUF31" s="1000"/>
      <c r="IUG31" s="1000"/>
      <c r="IUH31" s="1000"/>
      <c r="IUI31" s="1000"/>
      <c r="IUJ31" s="1000"/>
      <c r="IUK31" s="1000"/>
      <c r="IUL31" s="1000"/>
      <c r="IUM31" s="1000"/>
      <c r="IUN31" s="1000"/>
      <c r="IUO31" s="1000"/>
      <c r="IUP31" s="1000"/>
      <c r="IUQ31" s="1000"/>
      <c r="IUR31" s="1000"/>
      <c r="IUS31" s="1000"/>
      <c r="IUT31" s="1000"/>
      <c r="IUU31" s="1000"/>
      <c r="IUV31" s="1000"/>
      <c r="IUW31" s="1000"/>
      <c r="IUX31" s="1000"/>
      <c r="IUY31" s="1000"/>
      <c r="IUZ31" s="1000"/>
      <c r="IVA31" s="1000"/>
      <c r="IVB31" s="1000"/>
      <c r="IVC31" s="1000"/>
      <c r="IVD31" s="1000"/>
      <c r="IVE31" s="1000"/>
      <c r="IVF31" s="1000"/>
      <c r="IVG31" s="1000"/>
      <c r="IVH31" s="1000"/>
      <c r="IVI31" s="1000"/>
      <c r="IVJ31" s="1000"/>
      <c r="IVK31" s="1000"/>
      <c r="IVL31" s="1000"/>
      <c r="IVM31" s="1000"/>
      <c r="IVN31" s="1000"/>
      <c r="IVO31" s="1000"/>
      <c r="IVP31" s="1000"/>
      <c r="IVQ31" s="1000"/>
      <c r="IVR31" s="1000"/>
      <c r="IVS31" s="1000"/>
      <c r="IVT31" s="1000"/>
      <c r="IVU31" s="1000"/>
      <c r="IVV31" s="1000"/>
      <c r="IVW31" s="1000"/>
      <c r="IVX31" s="1000"/>
      <c r="IVY31" s="1000"/>
      <c r="IVZ31" s="1000"/>
      <c r="IWA31" s="1000"/>
      <c r="IWB31" s="1000"/>
      <c r="IWC31" s="1000"/>
      <c r="IWD31" s="1000"/>
      <c r="IWE31" s="1000"/>
      <c r="IWF31" s="1000"/>
      <c r="IWG31" s="1000"/>
      <c r="IWH31" s="1000"/>
      <c r="IWI31" s="1000"/>
      <c r="IWJ31" s="1000"/>
      <c r="IWK31" s="1000"/>
      <c r="IWL31" s="1000"/>
      <c r="IWM31" s="1000"/>
      <c r="IWN31" s="1000"/>
      <c r="IWO31" s="1000"/>
      <c r="IWP31" s="1000"/>
      <c r="IWQ31" s="1000"/>
      <c r="IWR31" s="1000"/>
      <c r="IWS31" s="1000"/>
      <c r="IWT31" s="1000"/>
      <c r="IWU31" s="1000"/>
      <c r="IWV31" s="1000"/>
      <c r="IWW31" s="1000"/>
      <c r="IWX31" s="1000"/>
      <c r="IWY31" s="1000"/>
      <c r="IWZ31" s="1000"/>
      <c r="IXA31" s="1000"/>
      <c r="IXB31" s="1000"/>
      <c r="IXC31" s="1000"/>
      <c r="IXD31" s="1000"/>
      <c r="IXE31" s="1000"/>
      <c r="IXF31" s="1000"/>
      <c r="IXG31" s="1000"/>
      <c r="IXH31" s="1000"/>
      <c r="IXI31" s="1000"/>
      <c r="IXJ31" s="1000"/>
      <c r="IXK31" s="1000"/>
      <c r="IXL31" s="1000"/>
      <c r="IXM31" s="1000"/>
      <c r="IXN31" s="1000"/>
      <c r="IXO31" s="1000"/>
      <c r="IXP31" s="1000"/>
      <c r="IXQ31" s="1000"/>
      <c r="IXR31" s="1000"/>
      <c r="IXS31" s="1000"/>
      <c r="IXT31" s="1000"/>
      <c r="IXU31" s="1000"/>
      <c r="IXV31" s="1000"/>
      <c r="IXW31" s="1000"/>
      <c r="IXX31" s="1000"/>
      <c r="IXY31" s="1000"/>
      <c r="IXZ31" s="1000"/>
      <c r="IYA31" s="1000"/>
      <c r="IYB31" s="1000"/>
      <c r="IYC31" s="1000"/>
      <c r="IYD31" s="1000"/>
      <c r="IYE31" s="1000"/>
      <c r="IYF31" s="1000"/>
      <c r="IYG31" s="1000"/>
      <c r="IYH31" s="1000"/>
      <c r="IYI31" s="1000"/>
      <c r="IYJ31" s="1000"/>
      <c r="IYK31" s="1000"/>
      <c r="IYL31" s="1000"/>
      <c r="IYM31" s="1000"/>
      <c r="IYN31" s="1000"/>
      <c r="IYO31" s="1000"/>
      <c r="IYP31" s="1000"/>
      <c r="IYQ31" s="1000"/>
      <c r="IYR31" s="1000"/>
      <c r="IYS31" s="1000"/>
      <c r="IYT31" s="1000"/>
      <c r="IYU31" s="1000"/>
      <c r="IYV31" s="1000"/>
      <c r="IYW31" s="1000"/>
      <c r="IYX31" s="1000"/>
      <c r="IYY31" s="1000"/>
      <c r="IYZ31" s="1000"/>
      <c r="IZA31" s="1000"/>
      <c r="IZB31" s="1000"/>
      <c r="IZC31" s="1000"/>
      <c r="IZD31" s="1000"/>
      <c r="IZE31" s="1000"/>
      <c r="IZF31" s="1000"/>
      <c r="IZG31" s="1000"/>
      <c r="IZH31" s="1000"/>
      <c r="IZI31" s="1000"/>
      <c r="IZJ31" s="1000"/>
      <c r="IZK31" s="1000"/>
      <c r="IZL31" s="1000"/>
      <c r="IZM31" s="1000"/>
      <c r="IZN31" s="1000"/>
      <c r="IZO31" s="1000"/>
      <c r="IZP31" s="1000"/>
      <c r="IZQ31" s="1000"/>
      <c r="IZR31" s="1000"/>
      <c r="IZS31" s="1000"/>
      <c r="IZT31" s="1000"/>
      <c r="IZU31" s="1000"/>
      <c r="IZV31" s="1000"/>
      <c r="IZW31" s="1000"/>
      <c r="IZX31" s="1000"/>
      <c r="IZY31" s="1000"/>
      <c r="IZZ31" s="1000"/>
      <c r="JAA31" s="1000"/>
      <c r="JAB31" s="1000"/>
      <c r="JAC31" s="1000"/>
      <c r="JAD31" s="1000"/>
      <c r="JAE31" s="1000"/>
      <c r="JAF31" s="1000"/>
      <c r="JAG31" s="1000"/>
      <c r="JAH31" s="1000"/>
      <c r="JAI31" s="1000"/>
      <c r="JAJ31" s="1000"/>
      <c r="JAK31" s="1000"/>
      <c r="JAL31" s="1000"/>
      <c r="JAM31" s="1000"/>
      <c r="JAN31" s="1000"/>
      <c r="JAO31" s="1000"/>
      <c r="JAP31" s="1000"/>
      <c r="JAQ31" s="1000"/>
      <c r="JAR31" s="1000"/>
      <c r="JAS31" s="1000"/>
      <c r="JAT31" s="1000"/>
      <c r="JAU31" s="1000"/>
      <c r="JAV31" s="1000"/>
      <c r="JAW31" s="1000"/>
      <c r="JAX31" s="1000"/>
      <c r="JAY31" s="1000"/>
      <c r="JAZ31" s="1000"/>
      <c r="JBA31" s="1000"/>
      <c r="JBB31" s="1000"/>
      <c r="JBC31" s="1000"/>
      <c r="JBD31" s="1000"/>
      <c r="JBE31" s="1000"/>
      <c r="JBF31" s="1000"/>
      <c r="JBG31" s="1000"/>
      <c r="JBH31" s="1000"/>
      <c r="JBI31" s="1000"/>
      <c r="JBJ31" s="1000"/>
      <c r="JBK31" s="1000"/>
      <c r="JBL31" s="1000"/>
      <c r="JBM31" s="1000"/>
      <c r="JBN31" s="1000"/>
      <c r="JBO31" s="1000"/>
      <c r="JBP31" s="1000"/>
      <c r="JBQ31" s="1000"/>
      <c r="JBR31" s="1000"/>
      <c r="JBS31" s="1000"/>
      <c r="JBT31" s="1000"/>
      <c r="JBU31" s="1000"/>
      <c r="JBV31" s="1000"/>
      <c r="JBW31" s="1000"/>
      <c r="JBX31" s="1000"/>
      <c r="JBY31" s="1000"/>
      <c r="JBZ31" s="1000"/>
      <c r="JCA31" s="1000"/>
      <c r="JCB31" s="1000"/>
      <c r="JCC31" s="1000"/>
      <c r="JCD31" s="1000"/>
      <c r="JCE31" s="1000"/>
      <c r="JCF31" s="1000"/>
      <c r="JCG31" s="1000"/>
      <c r="JCH31" s="1000"/>
      <c r="JCI31" s="1000"/>
      <c r="JCJ31" s="1000"/>
      <c r="JCK31" s="1000"/>
      <c r="JCL31" s="1000"/>
      <c r="JCM31" s="1000"/>
      <c r="JCN31" s="1000"/>
      <c r="JCO31" s="1000"/>
      <c r="JCP31" s="1000"/>
      <c r="JCQ31" s="1000"/>
      <c r="JCR31" s="1000"/>
      <c r="JCS31" s="1000"/>
      <c r="JCT31" s="1000"/>
      <c r="JCU31" s="1000"/>
      <c r="JCV31" s="1000"/>
      <c r="JCW31" s="1000"/>
      <c r="JCX31" s="1000"/>
      <c r="JCY31" s="1000"/>
      <c r="JCZ31" s="1000"/>
      <c r="JDA31" s="1000"/>
      <c r="JDB31" s="1000"/>
      <c r="JDC31" s="1000"/>
      <c r="JDD31" s="1000"/>
      <c r="JDE31" s="1000"/>
      <c r="JDF31" s="1000"/>
      <c r="JDG31" s="1000"/>
      <c r="JDH31" s="1000"/>
      <c r="JDI31" s="1000"/>
      <c r="JDJ31" s="1000"/>
      <c r="JDK31" s="1000"/>
      <c r="JDL31" s="1000"/>
      <c r="JDM31" s="1000"/>
      <c r="JDN31" s="1000"/>
      <c r="JDO31" s="1000"/>
      <c r="JDP31" s="1000"/>
      <c r="JDQ31" s="1000"/>
      <c r="JDR31" s="1000"/>
      <c r="JDS31" s="1000"/>
      <c r="JDT31" s="1000"/>
      <c r="JDU31" s="1000"/>
      <c r="JDV31" s="1000"/>
      <c r="JDW31" s="1000"/>
      <c r="JDX31" s="1000"/>
      <c r="JDY31" s="1000"/>
      <c r="JDZ31" s="1000"/>
      <c r="JEA31" s="1000"/>
      <c r="JEB31" s="1000"/>
      <c r="JEC31" s="1000"/>
      <c r="JED31" s="1000"/>
      <c r="JEE31" s="1000"/>
      <c r="JEF31" s="1000"/>
      <c r="JEG31" s="1000"/>
      <c r="JEH31" s="1000"/>
      <c r="JEI31" s="1000"/>
      <c r="JEJ31" s="1000"/>
      <c r="JEK31" s="1000"/>
      <c r="JEL31" s="1000"/>
      <c r="JEM31" s="1000"/>
      <c r="JEN31" s="1000"/>
      <c r="JEO31" s="1000"/>
      <c r="JEP31" s="1000"/>
      <c r="JEQ31" s="1000"/>
      <c r="JER31" s="1000"/>
      <c r="JES31" s="1000"/>
      <c r="JET31" s="1000"/>
      <c r="JEU31" s="1000"/>
      <c r="JEV31" s="1000"/>
      <c r="JEW31" s="1000"/>
      <c r="JEX31" s="1000"/>
      <c r="JEY31" s="1000"/>
      <c r="JEZ31" s="1000"/>
      <c r="JFA31" s="1000"/>
      <c r="JFB31" s="1000"/>
      <c r="JFC31" s="1000"/>
      <c r="JFD31" s="1000"/>
      <c r="JFE31" s="1000"/>
      <c r="JFF31" s="1000"/>
      <c r="JFG31" s="1000"/>
      <c r="JFH31" s="1000"/>
      <c r="JFI31" s="1000"/>
      <c r="JFJ31" s="1000"/>
      <c r="JFK31" s="1000"/>
      <c r="JFL31" s="1000"/>
      <c r="JFM31" s="1000"/>
      <c r="JFN31" s="1000"/>
      <c r="JFO31" s="1000"/>
      <c r="JFP31" s="1000"/>
      <c r="JFQ31" s="1000"/>
      <c r="JFR31" s="1000"/>
      <c r="JFS31" s="1000"/>
      <c r="JFT31" s="1000"/>
      <c r="JFU31" s="1000"/>
      <c r="JFV31" s="1000"/>
      <c r="JFW31" s="1000"/>
      <c r="JFX31" s="1000"/>
      <c r="JFY31" s="1000"/>
      <c r="JFZ31" s="1000"/>
      <c r="JGA31" s="1000"/>
      <c r="JGB31" s="1000"/>
      <c r="JGC31" s="1000"/>
      <c r="JGD31" s="1000"/>
      <c r="JGE31" s="1000"/>
      <c r="JGF31" s="1000"/>
      <c r="JGG31" s="1000"/>
      <c r="JGH31" s="1000"/>
      <c r="JGI31" s="1000"/>
      <c r="JGJ31" s="1000"/>
      <c r="JGK31" s="1000"/>
      <c r="JGL31" s="1000"/>
      <c r="JGM31" s="1000"/>
      <c r="JGN31" s="1000"/>
      <c r="JGO31" s="1000"/>
      <c r="JGP31" s="1000"/>
      <c r="JGQ31" s="1000"/>
      <c r="JGR31" s="1000"/>
      <c r="JGS31" s="1000"/>
      <c r="JGT31" s="1000"/>
      <c r="JGU31" s="1000"/>
      <c r="JGV31" s="1000"/>
      <c r="JGW31" s="1000"/>
      <c r="JGX31" s="1000"/>
      <c r="JGY31" s="1000"/>
      <c r="JGZ31" s="1000"/>
      <c r="JHA31" s="1000"/>
      <c r="JHB31" s="1000"/>
      <c r="JHC31" s="1000"/>
      <c r="JHD31" s="1000"/>
      <c r="JHE31" s="1000"/>
      <c r="JHF31" s="1000"/>
      <c r="JHG31" s="1000"/>
      <c r="JHH31" s="1000"/>
      <c r="JHI31" s="1000"/>
      <c r="JHJ31" s="1000"/>
      <c r="JHK31" s="1000"/>
      <c r="JHL31" s="1000"/>
      <c r="JHM31" s="1000"/>
      <c r="JHN31" s="1000"/>
      <c r="JHO31" s="1000"/>
      <c r="JHP31" s="1000"/>
      <c r="JHQ31" s="1000"/>
      <c r="JHR31" s="1000"/>
      <c r="JHS31" s="1000"/>
      <c r="JHT31" s="1000"/>
      <c r="JHU31" s="1000"/>
      <c r="JHV31" s="1000"/>
      <c r="JHW31" s="1000"/>
      <c r="JHX31" s="1000"/>
      <c r="JHY31" s="1000"/>
      <c r="JHZ31" s="1000"/>
      <c r="JIA31" s="1000"/>
      <c r="JIB31" s="1000"/>
      <c r="JIC31" s="1000"/>
      <c r="JID31" s="1000"/>
      <c r="JIE31" s="1000"/>
      <c r="JIF31" s="1000"/>
      <c r="JIG31" s="1000"/>
      <c r="JIH31" s="1000"/>
      <c r="JII31" s="1000"/>
      <c r="JIJ31" s="1000"/>
      <c r="JIK31" s="1000"/>
      <c r="JIL31" s="1000"/>
      <c r="JIM31" s="1000"/>
      <c r="JIN31" s="1000"/>
      <c r="JIO31" s="1000"/>
      <c r="JIP31" s="1000"/>
      <c r="JIQ31" s="1000"/>
      <c r="JIR31" s="1000"/>
      <c r="JIS31" s="1000"/>
      <c r="JIT31" s="1000"/>
      <c r="JIU31" s="1000"/>
      <c r="JIV31" s="1000"/>
      <c r="JIW31" s="1000"/>
      <c r="JIX31" s="1000"/>
      <c r="JIY31" s="1000"/>
      <c r="JIZ31" s="1000"/>
      <c r="JJA31" s="1000"/>
      <c r="JJB31" s="1000"/>
      <c r="JJC31" s="1000"/>
      <c r="JJD31" s="1000"/>
      <c r="JJE31" s="1000"/>
      <c r="JJF31" s="1000"/>
      <c r="JJG31" s="1000"/>
      <c r="JJH31" s="1000"/>
      <c r="JJI31" s="1000"/>
      <c r="JJJ31" s="1000"/>
      <c r="JJK31" s="1000"/>
      <c r="JJL31" s="1000"/>
      <c r="JJM31" s="1000"/>
      <c r="JJN31" s="1000"/>
      <c r="JJO31" s="1000"/>
      <c r="JJP31" s="1000"/>
      <c r="JJQ31" s="1000"/>
      <c r="JJR31" s="1000"/>
      <c r="JJS31" s="1000"/>
      <c r="JJT31" s="1000"/>
      <c r="JJU31" s="1000"/>
      <c r="JJV31" s="1000"/>
      <c r="JJW31" s="1000"/>
      <c r="JJX31" s="1000"/>
      <c r="JJY31" s="1000"/>
      <c r="JJZ31" s="1000"/>
      <c r="JKA31" s="1000"/>
      <c r="JKB31" s="1000"/>
      <c r="JKC31" s="1000"/>
      <c r="JKD31" s="1000"/>
      <c r="JKE31" s="1000"/>
      <c r="JKF31" s="1000"/>
      <c r="JKG31" s="1000"/>
      <c r="JKH31" s="1000"/>
      <c r="JKI31" s="1000"/>
      <c r="JKJ31" s="1000"/>
      <c r="JKK31" s="1000"/>
      <c r="JKL31" s="1000"/>
      <c r="JKM31" s="1000"/>
      <c r="JKN31" s="1000"/>
      <c r="JKO31" s="1000"/>
      <c r="JKP31" s="1000"/>
      <c r="JKQ31" s="1000"/>
      <c r="JKR31" s="1000"/>
      <c r="JKS31" s="1000"/>
      <c r="JKT31" s="1000"/>
      <c r="JKU31" s="1000"/>
      <c r="JKV31" s="1000"/>
      <c r="JKW31" s="1000"/>
      <c r="JKX31" s="1000"/>
      <c r="JKY31" s="1000"/>
      <c r="JKZ31" s="1000"/>
      <c r="JLA31" s="1000"/>
      <c r="JLB31" s="1000"/>
      <c r="JLC31" s="1000"/>
      <c r="JLD31" s="1000"/>
      <c r="JLE31" s="1000"/>
      <c r="JLF31" s="1000"/>
      <c r="JLG31" s="1000"/>
      <c r="JLH31" s="1000"/>
      <c r="JLI31" s="1000"/>
      <c r="JLJ31" s="1000"/>
      <c r="JLK31" s="1000"/>
      <c r="JLL31" s="1000"/>
      <c r="JLM31" s="1000"/>
      <c r="JLN31" s="1000"/>
      <c r="JLO31" s="1000"/>
      <c r="JLP31" s="1000"/>
      <c r="JLQ31" s="1000"/>
      <c r="JLR31" s="1000"/>
      <c r="JLS31" s="1000"/>
      <c r="JLT31" s="1000"/>
      <c r="JLU31" s="1000"/>
      <c r="JLV31" s="1000"/>
      <c r="JLW31" s="1000"/>
      <c r="JLX31" s="1000"/>
      <c r="JLY31" s="1000"/>
      <c r="JLZ31" s="1000"/>
      <c r="JMA31" s="1000"/>
      <c r="JMB31" s="1000"/>
      <c r="JMC31" s="1000"/>
      <c r="JMD31" s="1000"/>
      <c r="JME31" s="1000"/>
      <c r="JMF31" s="1000"/>
      <c r="JMG31" s="1000"/>
      <c r="JMH31" s="1000"/>
      <c r="JMI31" s="1000"/>
      <c r="JMJ31" s="1000"/>
      <c r="JMK31" s="1000"/>
      <c r="JML31" s="1000"/>
      <c r="JMM31" s="1000"/>
      <c r="JMN31" s="1000"/>
      <c r="JMO31" s="1000"/>
      <c r="JMP31" s="1000"/>
      <c r="JMQ31" s="1000"/>
      <c r="JMR31" s="1000"/>
      <c r="JMS31" s="1000"/>
      <c r="JMT31" s="1000"/>
      <c r="JMU31" s="1000"/>
      <c r="JMV31" s="1000"/>
      <c r="JMW31" s="1000"/>
      <c r="JMX31" s="1000"/>
      <c r="JMY31" s="1000"/>
      <c r="JMZ31" s="1000"/>
      <c r="JNA31" s="1000"/>
      <c r="JNB31" s="1000"/>
      <c r="JNC31" s="1000"/>
      <c r="JND31" s="1000"/>
      <c r="JNE31" s="1000"/>
      <c r="JNF31" s="1000"/>
      <c r="JNG31" s="1000"/>
      <c r="JNH31" s="1000"/>
      <c r="JNI31" s="1000"/>
      <c r="JNJ31" s="1000"/>
      <c r="JNK31" s="1000"/>
      <c r="JNL31" s="1000"/>
      <c r="JNM31" s="1000"/>
      <c r="JNN31" s="1000"/>
      <c r="JNO31" s="1000"/>
      <c r="JNP31" s="1000"/>
      <c r="JNQ31" s="1000"/>
      <c r="JNR31" s="1000"/>
      <c r="JNS31" s="1000"/>
      <c r="JNT31" s="1000"/>
      <c r="JNU31" s="1000"/>
      <c r="JNV31" s="1000"/>
      <c r="JNW31" s="1000"/>
      <c r="JNX31" s="1000"/>
      <c r="JNY31" s="1000"/>
      <c r="JNZ31" s="1000"/>
      <c r="JOA31" s="1000"/>
      <c r="JOB31" s="1000"/>
      <c r="JOC31" s="1000"/>
      <c r="JOD31" s="1000"/>
      <c r="JOE31" s="1000"/>
      <c r="JOF31" s="1000"/>
      <c r="JOG31" s="1000"/>
      <c r="JOH31" s="1000"/>
      <c r="JOI31" s="1000"/>
      <c r="JOJ31" s="1000"/>
      <c r="JOK31" s="1000"/>
      <c r="JOL31" s="1000"/>
      <c r="JOM31" s="1000"/>
      <c r="JON31" s="1000"/>
      <c r="JOO31" s="1000"/>
      <c r="JOP31" s="1000"/>
      <c r="JOQ31" s="1000"/>
      <c r="JOR31" s="1000"/>
      <c r="JOS31" s="1000"/>
      <c r="JOT31" s="1000"/>
      <c r="JOU31" s="1000"/>
      <c r="JOV31" s="1000"/>
      <c r="JOW31" s="1000"/>
      <c r="JOX31" s="1000"/>
      <c r="JOY31" s="1000"/>
      <c r="JOZ31" s="1000"/>
      <c r="JPA31" s="1000"/>
      <c r="JPB31" s="1000"/>
      <c r="JPC31" s="1000"/>
      <c r="JPD31" s="1000"/>
      <c r="JPE31" s="1000"/>
      <c r="JPF31" s="1000"/>
      <c r="JPG31" s="1000"/>
      <c r="JPH31" s="1000"/>
      <c r="JPI31" s="1000"/>
      <c r="JPJ31" s="1000"/>
      <c r="JPK31" s="1000"/>
      <c r="JPL31" s="1000"/>
      <c r="JPM31" s="1000"/>
      <c r="JPN31" s="1000"/>
      <c r="JPO31" s="1000"/>
      <c r="JPP31" s="1000"/>
      <c r="JPQ31" s="1000"/>
      <c r="JPR31" s="1000"/>
      <c r="JPS31" s="1000"/>
      <c r="JPT31" s="1000"/>
      <c r="JPU31" s="1000"/>
      <c r="JPV31" s="1000"/>
      <c r="JPW31" s="1000"/>
      <c r="JPX31" s="1000"/>
      <c r="JPY31" s="1000"/>
      <c r="JPZ31" s="1000"/>
      <c r="JQA31" s="1000"/>
      <c r="JQB31" s="1000"/>
      <c r="JQC31" s="1000"/>
      <c r="JQD31" s="1000"/>
      <c r="JQE31" s="1000"/>
      <c r="JQF31" s="1000"/>
      <c r="JQG31" s="1000"/>
      <c r="JQH31" s="1000"/>
      <c r="JQI31" s="1000"/>
      <c r="JQJ31" s="1000"/>
      <c r="JQK31" s="1000"/>
      <c r="JQL31" s="1000"/>
      <c r="JQM31" s="1000"/>
      <c r="JQN31" s="1000"/>
      <c r="JQO31" s="1000"/>
      <c r="JQP31" s="1000"/>
      <c r="JQQ31" s="1000"/>
      <c r="JQR31" s="1000"/>
      <c r="JQS31" s="1000"/>
      <c r="JQT31" s="1000"/>
      <c r="JQU31" s="1000"/>
      <c r="JQV31" s="1000"/>
      <c r="JQW31" s="1000"/>
      <c r="JQX31" s="1000"/>
      <c r="JQY31" s="1000"/>
      <c r="JQZ31" s="1000"/>
      <c r="JRA31" s="1000"/>
      <c r="JRB31" s="1000"/>
      <c r="JRC31" s="1000"/>
      <c r="JRD31" s="1000"/>
      <c r="JRE31" s="1000"/>
      <c r="JRF31" s="1000"/>
      <c r="JRG31" s="1000"/>
      <c r="JRH31" s="1000"/>
      <c r="JRI31" s="1000"/>
      <c r="JRJ31" s="1000"/>
      <c r="JRK31" s="1000"/>
      <c r="JRL31" s="1000"/>
      <c r="JRM31" s="1000"/>
      <c r="JRN31" s="1000"/>
      <c r="JRO31" s="1000"/>
      <c r="JRP31" s="1000"/>
      <c r="JRQ31" s="1000"/>
      <c r="JRR31" s="1000"/>
      <c r="JRS31" s="1000"/>
      <c r="JRT31" s="1000"/>
      <c r="JRU31" s="1000"/>
      <c r="JRV31" s="1000"/>
      <c r="JRW31" s="1000"/>
      <c r="JRX31" s="1000"/>
      <c r="JRY31" s="1000"/>
      <c r="JRZ31" s="1000"/>
      <c r="JSA31" s="1000"/>
      <c r="JSB31" s="1000"/>
      <c r="JSC31" s="1000"/>
      <c r="JSD31" s="1000"/>
      <c r="JSE31" s="1000"/>
      <c r="JSF31" s="1000"/>
      <c r="JSG31" s="1000"/>
      <c r="JSH31" s="1000"/>
      <c r="JSI31" s="1000"/>
      <c r="JSJ31" s="1000"/>
      <c r="JSK31" s="1000"/>
      <c r="JSL31" s="1000"/>
      <c r="JSM31" s="1000"/>
      <c r="JSN31" s="1000"/>
      <c r="JSO31" s="1000"/>
      <c r="JSP31" s="1000"/>
      <c r="JSQ31" s="1000"/>
      <c r="JSR31" s="1000"/>
      <c r="JSS31" s="1000"/>
      <c r="JST31" s="1000"/>
      <c r="JSU31" s="1000"/>
      <c r="JSV31" s="1000"/>
      <c r="JSW31" s="1000"/>
      <c r="JSX31" s="1000"/>
      <c r="JSY31" s="1000"/>
      <c r="JSZ31" s="1000"/>
      <c r="JTA31" s="1000"/>
      <c r="JTB31" s="1000"/>
      <c r="JTC31" s="1000"/>
      <c r="JTD31" s="1000"/>
      <c r="JTE31" s="1000"/>
      <c r="JTF31" s="1000"/>
      <c r="JTG31" s="1000"/>
      <c r="JTH31" s="1000"/>
      <c r="JTI31" s="1000"/>
      <c r="JTJ31" s="1000"/>
      <c r="JTK31" s="1000"/>
      <c r="JTL31" s="1000"/>
      <c r="JTM31" s="1000"/>
      <c r="JTN31" s="1000"/>
      <c r="JTO31" s="1000"/>
      <c r="JTP31" s="1000"/>
      <c r="JTQ31" s="1000"/>
      <c r="JTR31" s="1000"/>
      <c r="JTS31" s="1000"/>
      <c r="JTT31" s="1000"/>
      <c r="JTU31" s="1000"/>
      <c r="JTV31" s="1000"/>
      <c r="JTW31" s="1000"/>
      <c r="JTX31" s="1000"/>
      <c r="JTY31" s="1000"/>
      <c r="JTZ31" s="1000"/>
      <c r="JUA31" s="1000"/>
      <c r="JUB31" s="1000"/>
      <c r="JUC31" s="1000"/>
      <c r="JUD31" s="1000"/>
      <c r="JUE31" s="1000"/>
      <c r="JUF31" s="1000"/>
      <c r="JUG31" s="1000"/>
      <c r="JUH31" s="1000"/>
      <c r="JUI31" s="1000"/>
      <c r="JUJ31" s="1000"/>
      <c r="JUK31" s="1000"/>
      <c r="JUL31" s="1000"/>
      <c r="JUM31" s="1000"/>
      <c r="JUN31" s="1000"/>
      <c r="JUO31" s="1000"/>
      <c r="JUP31" s="1000"/>
      <c r="JUQ31" s="1000"/>
      <c r="JUR31" s="1000"/>
      <c r="JUS31" s="1000"/>
      <c r="JUT31" s="1000"/>
      <c r="JUU31" s="1000"/>
      <c r="JUV31" s="1000"/>
      <c r="JUW31" s="1000"/>
      <c r="JUX31" s="1000"/>
      <c r="JUY31" s="1000"/>
      <c r="JUZ31" s="1000"/>
      <c r="JVA31" s="1000"/>
      <c r="JVB31" s="1000"/>
      <c r="JVC31" s="1000"/>
      <c r="JVD31" s="1000"/>
      <c r="JVE31" s="1000"/>
      <c r="JVF31" s="1000"/>
      <c r="JVG31" s="1000"/>
      <c r="JVH31" s="1000"/>
      <c r="JVI31" s="1000"/>
      <c r="JVJ31" s="1000"/>
      <c r="JVK31" s="1000"/>
      <c r="JVL31" s="1000"/>
      <c r="JVM31" s="1000"/>
      <c r="JVN31" s="1000"/>
      <c r="JVO31" s="1000"/>
      <c r="JVP31" s="1000"/>
      <c r="JVQ31" s="1000"/>
      <c r="JVR31" s="1000"/>
      <c r="JVS31" s="1000"/>
      <c r="JVT31" s="1000"/>
      <c r="JVU31" s="1000"/>
      <c r="JVV31" s="1000"/>
      <c r="JVW31" s="1000"/>
      <c r="JVX31" s="1000"/>
      <c r="JVY31" s="1000"/>
      <c r="JVZ31" s="1000"/>
      <c r="JWA31" s="1000"/>
      <c r="JWB31" s="1000"/>
      <c r="JWC31" s="1000"/>
      <c r="JWD31" s="1000"/>
      <c r="JWE31" s="1000"/>
      <c r="JWF31" s="1000"/>
      <c r="JWG31" s="1000"/>
      <c r="JWH31" s="1000"/>
      <c r="JWI31" s="1000"/>
      <c r="JWJ31" s="1000"/>
      <c r="JWK31" s="1000"/>
      <c r="JWL31" s="1000"/>
      <c r="JWM31" s="1000"/>
      <c r="JWN31" s="1000"/>
      <c r="JWO31" s="1000"/>
      <c r="JWP31" s="1000"/>
      <c r="JWQ31" s="1000"/>
      <c r="JWR31" s="1000"/>
      <c r="JWS31" s="1000"/>
      <c r="JWT31" s="1000"/>
      <c r="JWU31" s="1000"/>
      <c r="JWV31" s="1000"/>
      <c r="JWW31" s="1000"/>
      <c r="JWX31" s="1000"/>
      <c r="JWY31" s="1000"/>
      <c r="JWZ31" s="1000"/>
      <c r="JXA31" s="1000"/>
      <c r="JXB31" s="1000"/>
      <c r="JXC31" s="1000"/>
      <c r="JXD31" s="1000"/>
      <c r="JXE31" s="1000"/>
      <c r="JXF31" s="1000"/>
      <c r="JXG31" s="1000"/>
      <c r="JXH31" s="1000"/>
      <c r="JXI31" s="1000"/>
      <c r="JXJ31" s="1000"/>
      <c r="JXK31" s="1000"/>
      <c r="JXL31" s="1000"/>
      <c r="JXM31" s="1000"/>
      <c r="JXN31" s="1000"/>
      <c r="JXO31" s="1000"/>
      <c r="JXP31" s="1000"/>
      <c r="JXQ31" s="1000"/>
      <c r="JXR31" s="1000"/>
      <c r="JXS31" s="1000"/>
      <c r="JXT31" s="1000"/>
      <c r="JXU31" s="1000"/>
      <c r="JXV31" s="1000"/>
      <c r="JXW31" s="1000"/>
      <c r="JXX31" s="1000"/>
      <c r="JXY31" s="1000"/>
      <c r="JXZ31" s="1000"/>
      <c r="JYA31" s="1000"/>
      <c r="JYB31" s="1000"/>
      <c r="JYC31" s="1000"/>
      <c r="JYD31" s="1000"/>
      <c r="JYE31" s="1000"/>
      <c r="JYF31" s="1000"/>
      <c r="JYG31" s="1000"/>
      <c r="JYH31" s="1000"/>
      <c r="JYI31" s="1000"/>
      <c r="JYJ31" s="1000"/>
      <c r="JYK31" s="1000"/>
      <c r="JYL31" s="1000"/>
      <c r="JYM31" s="1000"/>
      <c r="JYN31" s="1000"/>
      <c r="JYO31" s="1000"/>
      <c r="JYP31" s="1000"/>
      <c r="JYQ31" s="1000"/>
      <c r="JYR31" s="1000"/>
      <c r="JYS31" s="1000"/>
      <c r="JYT31" s="1000"/>
      <c r="JYU31" s="1000"/>
      <c r="JYV31" s="1000"/>
      <c r="JYW31" s="1000"/>
      <c r="JYX31" s="1000"/>
      <c r="JYY31" s="1000"/>
      <c r="JYZ31" s="1000"/>
      <c r="JZA31" s="1000"/>
      <c r="JZB31" s="1000"/>
      <c r="JZC31" s="1000"/>
      <c r="JZD31" s="1000"/>
      <c r="JZE31" s="1000"/>
      <c r="JZF31" s="1000"/>
      <c r="JZG31" s="1000"/>
      <c r="JZH31" s="1000"/>
      <c r="JZI31" s="1000"/>
      <c r="JZJ31" s="1000"/>
      <c r="JZK31" s="1000"/>
      <c r="JZL31" s="1000"/>
      <c r="JZM31" s="1000"/>
      <c r="JZN31" s="1000"/>
      <c r="JZO31" s="1000"/>
      <c r="JZP31" s="1000"/>
      <c r="JZQ31" s="1000"/>
      <c r="JZR31" s="1000"/>
      <c r="JZS31" s="1000"/>
      <c r="JZT31" s="1000"/>
      <c r="JZU31" s="1000"/>
      <c r="JZV31" s="1000"/>
      <c r="JZW31" s="1000"/>
      <c r="JZX31" s="1000"/>
      <c r="JZY31" s="1000"/>
      <c r="JZZ31" s="1000"/>
      <c r="KAA31" s="1000"/>
      <c r="KAB31" s="1000"/>
      <c r="KAC31" s="1000"/>
      <c r="KAD31" s="1000"/>
      <c r="KAE31" s="1000"/>
      <c r="KAF31" s="1000"/>
      <c r="KAG31" s="1000"/>
      <c r="KAH31" s="1000"/>
      <c r="KAI31" s="1000"/>
      <c r="KAJ31" s="1000"/>
      <c r="KAK31" s="1000"/>
      <c r="KAL31" s="1000"/>
      <c r="KAM31" s="1000"/>
      <c r="KAN31" s="1000"/>
      <c r="KAO31" s="1000"/>
      <c r="KAP31" s="1000"/>
      <c r="KAQ31" s="1000"/>
      <c r="KAR31" s="1000"/>
      <c r="KAS31" s="1000"/>
      <c r="KAT31" s="1000"/>
      <c r="KAU31" s="1000"/>
      <c r="KAV31" s="1000"/>
      <c r="KAW31" s="1000"/>
      <c r="KAX31" s="1000"/>
      <c r="KAY31" s="1000"/>
      <c r="KAZ31" s="1000"/>
      <c r="KBA31" s="1000"/>
      <c r="KBB31" s="1000"/>
      <c r="KBC31" s="1000"/>
      <c r="KBD31" s="1000"/>
      <c r="KBE31" s="1000"/>
      <c r="KBF31" s="1000"/>
      <c r="KBG31" s="1000"/>
      <c r="KBH31" s="1000"/>
      <c r="KBI31" s="1000"/>
      <c r="KBJ31" s="1000"/>
      <c r="KBK31" s="1000"/>
      <c r="KBL31" s="1000"/>
      <c r="KBM31" s="1000"/>
      <c r="KBN31" s="1000"/>
      <c r="KBO31" s="1000"/>
      <c r="KBP31" s="1000"/>
      <c r="KBQ31" s="1000"/>
      <c r="KBR31" s="1000"/>
      <c r="KBS31" s="1000"/>
      <c r="KBT31" s="1000"/>
      <c r="KBU31" s="1000"/>
      <c r="KBV31" s="1000"/>
      <c r="KBW31" s="1000"/>
      <c r="KBX31" s="1000"/>
      <c r="KBY31" s="1000"/>
      <c r="KBZ31" s="1000"/>
      <c r="KCA31" s="1000"/>
      <c r="KCB31" s="1000"/>
      <c r="KCC31" s="1000"/>
      <c r="KCD31" s="1000"/>
      <c r="KCE31" s="1000"/>
      <c r="KCF31" s="1000"/>
      <c r="KCG31" s="1000"/>
      <c r="KCH31" s="1000"/>
      <c r="KCI31" s="1000"/>
      <c r="KCJ31" s="1000"/>
      <c r="KCK31" s="1000"/>
      <c r="KCL31" s="1000"/>
      <c r="KCM31" s="1000"/>
      <c r="KCN31" s="1000"/>
      <c r="KCO31" s="1000"/>
      <c r="KCP31" s="1000"/>
      <c r="KCQ31" s="1000"/>
      <c r="KCR31" s="1000"/>
      <c r="KCS31" s="1000"/>
      <c r="KCT31" s="1000"/>
      <c r="KCU31" s="1000"/>
      <c r="KCV31" s="1000"/>
      <c r="KCW31" s="1000"/>
      <c r="KCX31" s="1000"/>
      <c r="KCY31" s="1000"/>
      <c r="KCZ31" s="1000"/>
      <c r="KDA31" s="1000"/>
      <c r="KDB31" s="1000"/>
      <c r="KDC31" s="1000"/>
      <c r="KDD31" s="1000"/>
      <c r="KDE31" s="1000"/>
      <c r="KDF31" s="1000"/>
      <c r="KDG31" s="1000"/>
      <c r="KDH31" s="1000"/>
      <c r="KDI31" s="1000"/>
      <c r="KDJ31" s="1000"/>
      <c r="KDK31" s="1000"/>
      <c r="KDL31" s="1000"/>
      <c r="KDM31" s="1000"/>
      <c r="KDN31" s="1000"/>
      <c r="KDO31" s="1000"/>
      <c r="KDP31" s="1000"/>
      <c r="KDQ31" s="1000"/>
      <c r="KDR31" s="1000"/>
      <c r="KDS31" s="1000"/>
      <c r="KDT31" s="1000"/>
      <c r="KDU31" s="1000"/>
      <c r="KDV31" s="1000"/>
      <c r="KDW31" s="1000"/>
      <c r="KDX31" s="1000"/>
      <c r="KDY31" s="1000"/>
      <c r="KDZ31" s="1000"/>
      <c r="KEA31" s="1000"/>
      <c r="KEB31" s="1000"/>
      <c r="KEC31" s="1000"/>
      <c r="KED31" s="1000"/>
      <c r="KEE31" s="1000"/>
      <c r="KEF31" s="1000"/>
      <c r="KEG31" s="1000"/>
      <c r="KEH31" s="1000"/>
      <c r="KEI31" s="1000"/>
      <c r="KEJ31" s="1000"/>
      <c r="KEK31" s="1000"/>
      <c r="KEL31" s="1000"/>
      <c r="KEM31" s="1000"/>
      <c r="KEN31" s="1000"/>
      <c r="KEO31" s="1000"/>
      <c r="KEP31" s="1000"/>
      <c r="KEQ31" s="1000"/>
      <c r="KER31" s="1000"/>
      <c r="KES31" s="1000"/>
      <c r="KET31" s="1000"/>
      <c r="KEU31" s="1000"/>
      <c r="KEV31" s="1000"/>
      <c r="KEW31" s="1000"/>
      <c r="KEX31" s="1000"/>
      <c r="KEY31" s="1000"/>
      <c r="KEZ31" s="1000"/>
      <c r="KFA31" s="1000"/>
      <c r="KFB31" s="1000"/>
      <c r="KFC31" s="1000"/>
      <c r="KFD31" s="1000"/>
      <c r="KFE31" s="1000"/>
      <c r="KFF31" s="1000"/>
      <c r="KFG31" s="1000"/>
      <c r="KFH31" s="1000"/>
      <c r="KFI31" s="1000"/>
      <c r="KFJ31" s="1000"/>
      <c r="KFK31" s="1000"/>
      <c r="KFL31" s="1000"/>
      <c r="KFM31" s="1000"/>
      <c r="KFN31" s="1000"/>
      <c r="KFO31" s="1000"/>
      <c r="KFP31" s="1000"/>
      <c r="KFQ31" s="1000"/>
      <c r="KFR31" s="1000"/>
      <c r="KFS31" s="1000"/>
      <c r="KFT31" s="1000"/>
      <c r="KFU31" s="1000"/>
      <c r="KFV31" s="1000"/>
      <c r="KFW31" s="1000"/>
      <c r="KFX31" s="1000"/>
      <c r="KFY31" s="1000"/>
      <c r="KFZ31" s="1000"/>
      <c r="KGA31" s="1000"/>
      <c r="KGB31" s="1000"/>
      <c r="KGC31" s="1000"/>
      <c r="KGD31" s="1000"/>
      <c r="KGE31" s="1000"/>
      <c r="KGF31" s="1000"/>
      <c r="KGG31" s="1000"/>
      <c r="KGH31" s="1000"/>
      <c r="KGI31" s="1000"/>
      <c r="KGJ31" s="1000"/>
      <c r="KGK31" s="1000"/>
      <c r="KGL31" s="1000"/>
      <c r="KGM31" s="1000"/>
      <c r="KGN31" s="1000"/>
      <c r="KGO31" s="1000"/>
      <c r="KGP31" s="1000"/>
      <c r="KGQ31" s="1000"/>
      <c r="KGR31" s="1000"/>
      <c r="KGS31" s="1000"/>
      <c r="KGT31" s="1000"/>
      <c r="KGU31" s="1000"/>
      <c r="KGV31" s="1000"/>
      <c r="KGW31" s="1000"/>
      <c r="KGX31" s="1000"/>
      <c r="KGY31" s="1000"/>
      <c r="KGZ31" s="1000"/>
      <c r="KHA31" s="1000"/>
      <c r="KHB31" s="1000"/>
      <c r="KHC31" s="1000"/>
      <c r="KHD31" s="1000"/>
      <c r="KHE31" s="1000"/>
      <c r="KHF31" s="1000"/>
      <c r="KHG31" s="1000"/>
      <c r="KHH31" s="1000"/>
      <c r="KHI31" s="1000"/>
      <c r="KHJ31" s="1000"/>
      <c r="KHK31" s="1000"/>
      <c r="KHL31" s="1000"/>
      <c r="KHM31" s="1000"/>
      <c r="KHN31" s="1000"/>
      <c r="KHO31" s="1000"/>
      <c r="KHP31" s="1000"/>
      <c r="KHQ31" s="1000"/>
      <c r="KHR31" s="1000"/>
      <c r="KHS31" s="1000"/>
      <c r="KHT31" s="1000"/>
      <c r="KHU31" s="1000"/>
      <c r="KHV31" s="1000"/>
      <c r="KHW31" s="1000"/>
      <c r="KHX31" s="1000"/>
      <c r="KHY31" s="1000"/>
      <c r="KHZ31" s="1000"/>
      <c r="KIA31" s="1000"/>
      <c r="KIB31" s="1000"/>
      <c r="KIC31" s="1000"/>
      <c r="KID31" s="1000"/>
      <c r="KIE31" s="1000"/>
      <c r="KIF31" s="1000"/>
      <c r="KIG31" s="1000"/>
      <c r="KIH31" s="1000"/>
      <c r="KII31" s="1000"/>
      <c r="KIJ31" s="1000"/>
      <c r="KIK31" s="1000"/>
      <c r="KIL31" s="1000"/>
      <c r="KIM31" s="1000"/>
      <c r="KIN31" s="1000"/>
      <c r="KIO31" s="1000"/>
      <c r="KIP31" s="1000"/>
      <c r="KIQ31" s="1000"/>
      <c r="KIR31" s="1000"/>
      <c r="KIS31" s="1000"/>
      <c r="KIT31" s="1000"/>
      <c r="KIU31" s="1000"/>
      <c r="KIV31" s="1000"/>
      <c r="KIW31" s="1000"/>
      <c r="KIX31" s="1000"/>
      <c r="KIY31" s="1000"/>
      <c r="KIZ31" s="1000"/>
      <c r="KJA31" s="1000"/>
      <c r="KJB31" s="1000"/>
      <c r="KJC31" s="1000"/>
      <c r="KJD31" s="1000"/>
      <c r="KJE31" s="1000"/>
      <c r="KJF31" s="1000"/>
      <c r="KJG31" s="1000"/>
      <c r="KJH31" s="1000"/>
      <c r="KJI31" s="1000"/>
      <c r="KJJ31" s="1000"/>
      <c r="KJK31" s="1000"/>
      <c r="KJL31" s="1000"/>
      <c r="KJM31" s="1000"/>
      <c r="KJN31" s="1000"/>
      <c r="KJO31" s="1000"/>
      <c r="KJP31" s="1000"/>
      <c r="KJQ31" s="1000"/>
      <c r="KJR31" s="1000"/>
      <c r="KJS31" s="1000"/>
      <c r="KJT31" s="1000"/>
      <c r="KJU31" s="1000"/>
      <c r="KJV31" s="1000"/>
      <c r="KJW31" s="1000"/>
      <c r="KJX31" s="1000"/>
      <c r="KJY31" s="1000"/>
      <c r="KJZ31" s="1000"/>
      <c r="KKA31" s="1000"/>
      <c r="KKB31" s="1000"/>
      <c r="KKC31" s="1000"/>
      <c r="KKD31" s="1000"/>
      <c r="KKE31" s="1000"/>
      <c r="KKF31" s="1000"/>
      <c r="KKG31" s="1000"/>
      <c r="KKH31" s="1000"/>
      <c r="KKI31" s="1000"/>
      <c r="KKJ31" s="1000"/>
      <c r="KKK31" s="1000"/>
      <c r="KKL31" s="1000"/>
      <c r="KKM31" s="1000"/>
      <c r="KKN31" s="1000"/>
      <c r="KKO31" s="1000"/>
      <c r="KKP31" s="1000"/>
      <c r="KKQ31" s="1000"/>
      <c r="KKR31" s="1000"/>
      <c r="KKS31" s="1000"/>
      <c r="KKT31" s="1000"/>
      <c r="KKU31" s="1000"/>
      <c r="KKV31" s="1000"/>
      <c r="KKW31" s="1000"/>
      <c r="KKX31" s="1000"/>
      <c r="KKY31" s="1000"/>
      <c r="KKZ31" s="1000"/>
      <c r="KLA31" s="1000"/>
      <c r="KLB31" s="1000"/>
      <c r="KLC31" s="1000"/>
      <c r="KLD31" s="1000"/>
      <c r="KLE31" s="1000"/>
      <c r="KLF31" s="1000"/>
      <c r="KLG31" s="1000"/>
      <c r="KLH31" s="1000"/>
      <c r="KLI31" s="1000"/>
      <c r="KLJ31" s="1000"/>
      <c r="KLK31" s="1000"/>
      <c r="KLL31" s="1000"/>
      <c r="KLM31" s="1000"/>
      <c r="KLN31" s="1000"/>
      <c r="KLO31" s="1000"/>
      <c r="KLP31" s="1000"/>
      <c r="KLQ31" s="1000"/>
      <c r="KLR31" s="1000"/>
      <c r="KLS31" s="1000"/>
      <c r="KLT31" s="1000"/>
      <c r="KLU31" s="1000"/>
      <c r="KLV31" s="1000"/>
      <c r="KLW31" s="1000"/>
      <c r="KLX31" s="1000"/>
      <c r="KLY31" s="1000"/>
      <c r="KLZ31" s="1000"/>
      <c r="KMA31" s="1000"/>
      <c r="KMB31" s="1000"/>
      <c r="KMC31" s="1000"/>
      <c r="KMD31" s="1000"/>
      <c r="KME31" s="1000"/>
      <c r="KMF31" s="1000"/>
      <c r="KMG31" s="1000"/>
      <c r="KMH31" s="1000"/>
      <c r="KMI31" s="1000"/>
      <c r="KMJ31" s="1000"/>
      <c r="KMK31" s="1000"/>
      <c r="KML31" s="1000"/>
      <c r="KMM31" s="1000"/>
      <c r="KMN31" s="1000"/>
      <c r="KMO31" s="1000"/>
      <c r="KMP31" s="1000"/>
      <c r="KMQ31" s="1000"/>
      <c r="KMR31" s="1000"/>
      <c r="KMS31" s="1000"/>
      <c r="KMT31" s="1000"/>
      <c r="KMU31" s="1000"/>
      <c r="KMV31" s="1000"/>
      <c r="KMW31" s="1000"/>
      <c r="KMX31" s="1000"/>
      <c r="KMY31" s="1000"/>
      <c r="KMZ31" s="1000"/>
      <c r="KNA31" s="1000"/>
      <c r="KNB31" s="1000"/>
      <c r="KNC31" s="1000"/>
      <c r="KND31" s="1000"/>
      <c r="KNE31" s="1000"/>
      <c r="KNF31" s="1000"/>
      <c r="KNG31" s="1000"/>
      <c r="KNH31" s="1000"/>
      <c r="KNI31" s="1000"/>
      <c r="KNJ31" s="1000"/>
      <c r="KNK31" s="1000"/>
      <c r="KNL31" s="1000"/>
      <c r="KNM31" s="1000"/>
      <c r="KNN31" s="1000"/>
      <c r="KNO31" s="1000"/>
      <c r="KNP31" s="1000"/>
      <c r="KNQ31" s="1000"/>
      <c r="KNR31" s="1000"/>
      <c r="KNS31" s="1000"/>
      <c r="KNT31" s="1000"/>
      <c r="KNU31" s="1000"/>
      <c r="KNV31" s="1000"/>
      <c r="KNW31" s="1000"/>
      <c r="KNX31" s="1000"/>
      <c r="KNY31" s="1000"/>
      <c r="KNZ31" s="1000"/>
      <c r="KOA31" s="1000"/>
      <c r="KOB31" s="1000"/>
      <c r="KOC31" s="1000"/>
      <c r="KOD31" s="1000"/>
      <c r="KOE31" s="1000"/>
      <c r="KOF31" s="1000"/>
      <c r="KOG31" s="1000"/>
      <c r="KOH31" s="1000"/>
      <c r="KOI31" s="1000"/>
      <c r="KOJ31" s="1000"/>
      <c r="KOK31" s="1000"/>
      <c r="KOL31" s="1000"/>
      <c r="KOM31" s="1000"/>
      <c r="KON31" s="1000"/>
      <c r="KOO31" s="1000"/>
      <c r="KOP31" s="1000"/>
      <c r="KOQ31" s="1000"/>
      <c r="KOR31" s="1000"/>
      <c r="KOS31" s="1000"/>
      <c r="KOT31" s="1000"/>
      <c r="KOU31" s="1000"/>
      <c r="KOV31" s="1000"/>
      <c r="KOW31" s="1000"/>
      <c r="KOX31" s="1000"/>
      <c r="KOY31" s="1000"/>
      <c r="KOZ31" s="1000"/>
      <c r="KPA31" s="1000"/>
      <c r="KPB31" s="1000"/>
      <c r="KPC31" s="1000"/>
      <c r="KPD31" s="1000"/>
      <c r="KPE31" s="1000"/>
      <c r="KPF31" s="1000"/>
      <c r="KPG31" s="1000"/>
      <c r="KPH31" s="1000"/>
      <c r="KPI31" s="1000"/>
      <c r="KPJ31" s="1000"/>
      <c r="KPK31" s="1000"/>
      <c r="KPL31" s="1000"/>
      <c r="KPM31" s="1000"/>
      <c r="KPN31" s="1000"/>
      <c r="KPO31" s="1000"/>
      <c r="KPP31" s="1000"/>
      <c r="KPQ31" s="1000"/>
      <c r="KPR31" s="1000"/>
      <c r="KPS31" s="1000"/>
      <c r="KPT31" s="1000"/>
      <c r="KPU31" s="1000"/>
      <c r="KPV31" s="1000"/>
      <c r="KPW31" s="1000"/>
      <c r="KPX31" s="1000"/>
      <c r="KPY31" s="1000"/>
      <c r="KPZ31" s="1000"/>
      <c r="KQA31" s="1000"/>
      <c r="KQB31" s="1000"/>
      <c r="KQC31" s="1000"/>
      <c r="KQD31" s="1000"/>
      <c r="KQE31" s="1000"/>
      <c r="KQF31" s="1000"/>
      <c r="KQG31" s="1000"/>
      <c r="KQH31" s="1000"/>
      <c r="KQI31" s="1000"/>
      <c r="KQJ31" s="1000"/>
      <c r="KQK31" s="1000"/>
      <c r="KQL31" s="1000"/>
      <c r="KQM31" s="1000"/>
      <c r="KQN31" s="1000"/>
      <c r="KQO31" s="1000"/>
      <c r="KQP31" s="1000"/>
      <c r="KQQ31" s="1000"/>
      <c r="KQR31" s="1000"/>
      <c r="KQS31" s="1000"/>
      <c r="KQT31" s="1000"/>
      <c r="KQU31" s="1000"/>
      <c r="KQV31" s="1000"/>
      <c r="KQW31" s="1000"/>
      <c r="KQX31" s="1000"/>
      <c r="KQY31" s="1000"/>
      <c r="KQZ31" s="1000"/>
      <c r="KRA31" s="1000"/>
      <c r="KRB31" s="1000"/>
      <c r="KRC31" s="1000"/>
      <c r="KRD31" s="1000"/>
      <c r="KRE31" s="1000"/>
      <c r="KRF31" s="1000"/>
      <c r="KRG31" s="1000"/>
      <c r="KRH31" s="1000"/>
      <c r="KRI31" s="1000"/>
      <c r="KRJ31" s="1000"/>
      <c r="KRK31" s="1000"/>
      <c r="KRL31" s="1000"/>
      <c r="KRM31" s="1000"/>
      <c r="KRN31" s="1000"/>
      <c r="KRO31" s="1000"/>
      <c r="KRP31" s="1000"/>
      <c r="KRQ31" s="1000"/>
      <c r="KRR31" s="1000"/>
      <c r="KRS31" s="1000"/>
      <c r="KRT31" s="1000"/>
      <c r="KRU31" s="1000"/>
      <c r="KRV31" s="1000"/>
      <c r="KRW31" s="1000"/>
      <c r="KRX31" s="1000"/>
      <c r="KRY31" s="1000"/>
      <c r="KRZ31" s="1000"/>
      <c r="KSA31" s="1000"/>
      <c r="KSB31" s="1000"/>
      <c r="KSC31" s="1000"/>
      <c r="KSD31" s="1000"/>
      <c r="KSE31" s="1000"/>
      <c r="KSF31" s="1000"/>
      <c r="KSG31" s="1000"/>
      <c r="KSH31" s="1000"/>
      <c r="KSI31" s="1000"/>
      <c r="KSJ31" s="1000"/>
      <c r="KSK31" s="1000"/>
      <c r="KSL31" s="1000"/>
      <c r="KSM31" s="1000"/>
      <c r="KSN31" s="1000"/>
      <c r="KSO31" s="1000"/>
      <c r="KSP31" s="1000"/>
      <c r="KSQ31" s="1000"/>
      <c r="KSR31" s="1000"/>
      <c r="KSS31" s="1000"/>
      <c r="KST31" s="1000"/>
      <c r="KSU31" s="1000"/>
      <c r="KSV31" s="1000"/>
      <c r="KSW31" s="1000"/>
      <c r="KSX31" s="1000"/>
      <c r="KSY31" s="1000"/>
      <c r="KSZ31" s="1000"/>
      <c r="KTA31" s="1000"/>
      <c r="KTB31" s="1000"/>
      <c r="KTC31" s="1000"/>
      <c r="KTD31" s="1000"/>
      <c r="KTE31" s="1000"/>
      <c r="KTF31" s="1000"/>
      <c r="KTG31" s="1000"/>
      <c r="KTH31" s="1000"/>
      <c r="KTI31" s="1000"/>
      <c r="KTJ31" s="1000"/>
      <c r="KTK31" s="1000"/>
      <c r="KTL31" s="1000"/>
      <c r="KTM31" s="1000"/>
      <c r="KTN31" s="1000"/>
      <c r="KTO31" s="1000"/>
      <c r="KTP31" s="1000"/>
      <c r="KTQ31" s="1000"/>
      <c r="KTR31" s="1000"/>
      <c r="KTS31" s="1000"/>
      <c r="KTT31" s="1000"/>
      <c r="KTU31" s="1000"/>
      <c r="KTV31" s="1000"/>
      <c r="KTW31" s="1000"/>
      <c r="KTX31" s="1000"/>
      <c r="KTY31" s="1000"/>
      <c r="KTZ31" s="1000"/>
      <c r="KUA31" s="1000"/>
      <c r="KUB31" s="1000"/>
      <c r="KUC31" s="1000"/>
      <c r="KUD31" s="1000"/>
      <c r="KUE31" s="1000"/>
      <c r="KUF31" s="1000"/>
      <c r="KUG31" s="1000"/>
      <c r="KUH31" s="1000"/>
      <c r="KUI31" s="1000"/>
      <c r="KUJ31" s="1000"/>
      <c r="KUK31" s="1000"/>
      <c r="KUL31" s="1000"/>
      <c r="KUM31" s="1000"/>
      <c r="KUN31" s="1000"/>
      <c r="KUO31" s="1000"/>
      <c r="KUP31" s="1000"/>
      <c r="KUQ31" s="1000"/>
      <c r="KUR31" s="1000"/>
      <c r="KUS31" s="1000"/>
      <c r="KUT31" s="1000"/>
      <c r="KUU31" s="1000"/>
      <c r="KUV31" s="1000"/>
      <c r="KUW31" s="1000"/>
      <c r="KUX31" s="1000"/>
      <c r="KUY31" s="1000"/>
      <c r="KUZ31" s="1000"/>
      <c r="KVA31" s="1000"/>
      <c r="KVB31" s="1000"/>
      <c r="KVC31" s="1000"/>
      <c r="KVD31" s="1000"/>
      <c r="KVE31" s="1000"/>
      <c r="KVF31" s="1000"/>
      <c r="KVG31" s="1000"/>
      <c r="KVH31" s="1000"/>
      <c r="KVI31" s="1000"/>
      <c r="KVJ31" s="1000"/>
      <c r="KVK31" s="1000"/>
      <c r="KVL31" s="1000"/>
      <c r="KVM31" s="1000"/>
      <c r="KVN31" s="1000"/>
      <c r="KVO31" s="1000"/>
      <c r="KVP31" s="1000"/>
      <c r="KVQ31" s="1000"/>
      <c r="KVR31" s="1000"/>
      <c r="KVS31" s="1000"/>
      <c r="KVT31" s="1000"/>
      <c r="KVU31" s="1000"/>
      <c r="KVV31" s="1000"/>
      <c r="KVW31" s="1000"/>
      <c r="KVX31" s="1000"/>
      <c r="KVY31" s="1000"/>
      <c r="KVZ31" s="1000"/>
      <c r="KWA31" s="1000"/>
      <c r="KWB31" s="1000"/>
      <c r="KWC31" s="1000"/>
      <c r="KWD31" s="1000"/>
      <c r="KWE31" s="1000"/>
      <c r="KWF31" s="1000"/>
      <c r="KWG31" s="1000"/>
      <c r="KWH31" s="1000"/>
      <c r="KWI31" s="1000"/>
      <c r="KWJ31" s="1000"/>
      <c r="KWK31" s="1000"/>
      <c r="KWL31" s="1000"/>
      <c r="KWM31" s="1000"/>
      <c r="KWN31" s="1000"/>
      <c r="KWO31" s="1000"/>
      <c r="KWP31" s="1000"/>
      <c r="KWQ31" s="1000"/>
      <c r="KWR31" s="1000"/>
      <c r="KWS31" s="1000"/>
      <c r="KWT31" s="1000"/>
      <c r="KWU31" s="1000"/>
      <c r="KWV31" s="1000"/>
      <c r="KWW31" s="1000"/>
      <c r="KWX31" s="1000"/>
      <c r="KWY31" s="1000"/>
      <c r="KWZ31" s="1000"/>
      <c r="KXA31" s="1000"/>
      <c r="KXB31" s="1000"/>
      <c r="KXC31" s="1000"/>
      <c r="KXD31" s="1000"/>
      <c r="KXE31" s="1000"/>
      <c r="KXF31" s="1000"/>
      <c r="KXG31" s="1000"/>
      <c r="KXH31" s="1000"/>
      <c r="KXI31" s="1000"/>
      <c r="KXJ31" s="1000"/>
      <c r="KXK31" s="1000"/>
      <c r="KXL31" s="1000"/>
      <c r="KXM31" s="1000"/>
      <c r="KXN31" s="1000"/>
      <c r="KXO31" s="1000"/>
      <c r="KXP31" s="1000"/>
      <c r="KXQ31" s="1000"/>
      <c r="KXR31" s="1000"/>
      <c r="KXS31" s="1000"/>
      <c r="KXT31" s="1000"/>
      <c r="KXU31" s="1000"/>
      <c r="KXV31" s="1000"/>
      <c r="KXW31" s="1000"/>
      <c r="KXX31" s="1000"/>
      <c r="KXY31" s="1000"/>
      <c r="KXZ31" s="1000"/>
      <c r="KYA31" s="1000"/>
      <c r="KYB31" s="1000"/>
      <c r="KYC31" s="1000"/>
      <c r="KYD31" s="1000"/>
      <c r="KYE31" s="1000"/>
      <c r="KYF31" s="1000"/>
      <c r="KYG31" s="1000"/>
      <c r="KYH31" s="1000"/>
      <c r="KYI31" s="1000"/>
      <c r="KYJ31" s="1000"/>
      <c r="KYK31" s="1000"/>
      <c r="KYL31" s="1000"/>
      <c r="KYM31" s="1000"/>
      <c r="KYN31" s="1000"/>
      <c r="KYO31" s="1000"/>
      <c r="KYP31" s="1000"/>
      <c r="KYQ31" s="1000"/>
      <c r="KYR31" s="1000"/>
      <c r="KYS31" s="1000"/>
      <c r="KYT31" s="1000"/>
      <c r="KYU31" s="1000"/>
      <c r="KYV31" s="1000"/>
      <c r="KYW31" s="1000"/>
      <c r="KYX31" s="1000"/>
      <c r="KYY31" s="1000"/>
      <c r="KYZ31" s="1000"/>
      <c r="KZA31" s="1000"/>
      <c r="KZB31" s="1000"/>
      <c r="KZC31" s="1000"/>
      <c r="KZD31" s="1000"/>
      <c r="KZE31" s="1000"/>
      <c r="KZF31" s="1000"/>
      <c r="KZG31" s="1000"/>
      <c r="KZH31" s="1000"/>
      <c r="KZI31" s="1000"/>
      <c r="KZJ31" s="1000"/>
      <c r="KZK31" s="1000"/>
      <c r="KZL31" s="1000"/>
      <c r="KZM31" s="1000"/>
      <c r="KZN31" s="1000"/>
      <c r="KZO31" s="1000"/>
      <c r="KZP31" s="1000"/>
      <c r="KZQ31" s="1000"/>
      <c r="KZR31" s="1000"/>
      <c r="KZS31" s="1000"/>
      <c r="KZT31" s="1000"/>
      <c r="KZU31" s="1000"/>
      <c r="KZV31" s="1000"/>
      <c r="KZW31" s="1000"/>
      <c r="KZX31" s="1000"/>
      <c r="KZY31" s="1000"/>
      <c r="KZZ31" s="1000"/>
      <c r="LAA31" s="1000"/>
      <c r="LAB31" s="1000"/>
      <c r="LAC31" s="1000"/>
      <c r="LAD31" s="1000"/>
      <c r="LAE31" s="1000"/>
      <c r="LAF31" s="1000"/>
      <c r="LAG31" s="1000"/>
      <c r="LAH31" s="1000"/>
      <c r="LAI31" s="1000"/>
      <c r="LAJ31" s="1000"/>
      <c r="LAK31" s="1000"/>
      <c r="LAL31" s="1000"/>
      <c r="LAM31" s="1000"/>
      <c r="LAN31" s="1000"/>
      <c r="LAO31" s="1000"/>
      <c r="LAP31" s="1000"/>
      <c r="LAQ31" s="1000"/>
      <c r="LAR31" s="1000"/>
      <c r="LAS31" s="1000"/>
      <c r="LAT31" s="1000"/>
      <c r="LAU31" s="1000"/>
      <c r="LAV31" s="1000"/>
      <c r="LAW31" s="1000"/>
      <c r="LAX31" s="1000"/>
      <c r="LAY31" s="1000"/>
      <c r="LAZ31" s="1000"/>
      <c r="LBA31" s="1000"/>
      <c r="LBB31" s="1000"/>
      <c r="LBC31" s="1000"/>
      <c r="LBD31" s="1000"/>
      <c r="LBE31" s="1000"/>
      <c r="LBF31" s="1000"/>
      <c r="LBG31" s="1000"/>
      <c r="LBH31" s="1000"/>
      <c r="LBI31" s="1000"/>
      <c r="LBJ31" s="1000"/>
      <c r="LBK31" s="1000"/>
      <c r="LBL31" s="1000"/>
      <c r="LBM31" s="1000"/>
      <c r="LBN31" s="1000"/>
      <c r="LBO31" s="1000"/>
      <c r="LBP31" s="1000"/>
      <c r="LBQ31" s="1000"/>
      <c r="LBR31" s="1000"/>
      <c r="LBS31" s="1000"/>
      <c r="LBT31" s="1000"/>
      <c r="LBU31" s="1000"/>
      <c r="LBV31" s="1000"/>
      <c r="LBW31" s="1000"/>
      <c r="LBX31" s="1000"/>
      <c r="LBY31" s="1000"/>
      <c r="LBZ31" s="1000"/>
      <c r="LCA31" s="1000"/>
      <c r="LCB31" s="1000"/>
      <c r="LCC31" s="1000"/>
      <c r="LCD31" s="1000"/>
      <c r="LCE31" s="1000"/>
      <c r="LCF31" s="1000"/>
      <c r="LCG31" s="1000"/>
      <c r="LCH31" s="1000"/>
      <c r="LCI31" s="1000"/>
      <c r="LCJ31" s="1000"/>
      <c r="LCK31" s="1000"/>
      <c r="LCL31" s="1000"/>
      <c r="LCM31" s="1000"/>
      <c r="LCN31" s="1000"/>
      <c r="LCO31" s="1000"/>
      <c r="LCP31" s="1000"/>
      <c r="LCQ31" s="1000"/>
      <c r="LCR31" s="1000"/>
      <c r="LCS31" s="1000"/>
      <c r="LCT31" s="1000"/>
      <c r="LCU31" s="1000"/>
      <c r="LCV31" s="1000"/>
      <c r="LCW31" s="1000"/>
      <c r="LCX31" s="1000"/>
      <c r="LCY31" s="1000"/>
      <c r="LCZ31" s="1000"/>
      <c r="LDA31" s="1000"/>
      <c r="LDB31" s="1000"/>
      <c r="LDC31" s="1000"/>
      <c r="LDD31" s="1000"/>
      <c r="LDE31" s="1000"/>
      <c r="LDF31" s="1000"/>
      <c r="LDG31" s="1000"/>
      <c r="LDH31" s="1000"/>
      <c r="LDI31" s="1000"/>
      <c r="LDJ31" s="1000"/>
      <c r="LDK31" s="1000"/>
      <c r="LDL31" s="1000"/>
      <c r="LDM31" s="1000"/>
      <c r="LDN31" s="1000"/>
      <c r="LDO31" s="1000"/>
      <c r="LDP31" s="1000"/>
      <c r="LDQ31" s="1000"/>
      <c r="LDR31" s="1000"/>
      <c r="LDS31" s="1000"/>
      <c r="LDT31" s="1000"/>
      <c r="LDU31" s="1000"/>
      <c r="LDV31" s="1000"/>
      <c r="LDW31" s="1000"/>
      <c r="LDX31" s="1000"/>
      <c r="LDY31" s="1000"/>
      <c r="LDZ31" s="1000"/>
      <c r="LEA31" s="1000"/>
      <c r="LEB31" s="1000"/>
      <c r="LEC31" s="1000"/>
      <c r="LED31" s="1000"/>
      <c r="LEE31" s="1000"/>
      <c r="LEF31" s="1000"/>
      <c r="LEG31" s="1000"/>
      <c r="LEH31" s="1000"/>
      <c r="LEI31" s="1000"/>
      <c r="LEJ31" s="1000"/>
      <c r="LEK31" s="1000"/>
      <c r="LEL31" s="1000"/>
      <c r="LEM31" s="1000"/>
      <c r="LEN31" s="1000"/>
      <c r="LEO31" s="1000"/>
      <c r="LEP31" s="1000"/>
      <c r="LEQ31" s="1000"/>
      <c r="LER31" s="1000"/>
      <c r="LES31" s="1000"/>
      <c r="LET31" s="1000"/>
      <c r="LEU31" s="1000"/>
      <c r="LEV31" s="1000"/>
      <c r="LEW31" s="1000"/>
      <c r="LEX31" s="1000"/>
      <c r="LEY31" s="1000"/>
      <c r="LEZ31" s="1000"/>
      <c r="LFA31" s="1000"/>
      <c r="LFB31" s="1000"/>
      <c r="LFC31" s="1000"/>
      <c r="LFD31" s="1000"/>
      <c r="LFE31" s="1000"/>
      <c r="LFF31" s="1000"/>
      <c r="LFG31" s="1000"/>
      <c r="LFH31" s="1000"/>
      <c r="LFI31" s="1000"/>
      <c r="LFJ31" s="1000"/>
      <c r="LFK31" s="1000"/>
      <c r="LFL31" s="1000"/>
      <c r="LFM31" s="1000"/>
      <c r="LFN31" s="1000"/>
      <c r="LFO31" s="1000"/>
      <c r="LFP31" s="1000"/>
      <c r="LFQ31" s="1000"/>
      <c r="LFR31" s="1000"/>
      <c r="LFS31" s="1000"/>
      <c r="LFT31" s="1000"/>
      <c r="LFU31" s="1000"/>
      <c r="LFV31" s="1000"/>
      <c r="LFW31" s="1000"/>
      <c r="LFX31" s="1000"/>
      <c r="LFY31" s="1000"/>
      <c r="LFZ31" s="1000"/>
      <c r="LGA31" s="1000"/>
      <c r="LGB31" s="1000"/>
      <c r="LGC31" s="1000"/>
      <c r="LGD31" s="1000"/>
      <c r="LGE31" s="1000"/>
      <c r="LGF31" s="1000"/>
      <c r="LGG31" s="1000"/>
      <c r="LGH31" s="1000"/>
      <c r="LGI31" s="1000"/>
      <c r="LGJ31" s="1000"/>
      <c r="LGK31" s="1000"/>
      <c r="LGL31" s="1000"/>
      <c r="LGM31" s="1000"/>
      <c r="LGN31" s="1000"/>
      <c r="LGO31" s="1000"/>
      <c r="LGP31" s="1000"/>
      <c r="LGQ31" s="1000"/>
      <c r="LGR31" s="1000"/>
      <c r="LGS31" s="1000"/>
      <c r="LGT31" s="1000"/>
      <c r="LGU31" s="1000"/>
      <c r="LGV31" s="1000"/>
      <c r="LGW31" s="1000"/>
      <c r="LGX31" s="1000"/>
      <c r="LGY31" s="1000"/>
      <c r="LGZ31" s="1000"/>
      <c r="LHA31" s="1000"/>
      <c r="LHB31" s="1000"/>
      <c r="LHC31" s="1000"/>
      <c r="LHD31" s="1000"/>
      <c r="LHE31" s="1000"/>
      <c r="LHF31" s="1000"/>
      <c r="LHG31" s="1000"/>
      <c r="LHH31" s="1000"/>
      <c r="LHI31" s="1000"/>
      <c r="LHJ31" s="1000"/>
      <c r="LHK31" s="1000"/>
      <c r="LHL31" s="1000"/>
      <c r="LHM31" s="1000"/>
      <c r="LHN31" s="1000"/>
      <c r="LHO31" s="1000"/>
      <c r="LHP31" s="1000"/>
      <c r="LHQ31" s="1000"/>
      <c r="LHR31" s="1000"/>
      <c r="LHS31" s="1000"/>
      <c r="LHT31" s="1000"/>
      <c r="LHU31" s="1000"/>
      <c r="LHV31" s="1000"/>
      <c r="LHW31" s="1000"/>
      <c r="LHX31" s="1000"/>
      <c r="LHY31" s="1000"/>
      <c r="LHZ31" s="1000"/>
      <c r="LIA31" s="1000"/>
      <c r="LIB31" s="1000"/>
      <c r="LIC31" s="1000"/>
      <c r="LID31" s="1000"/>
      <c r="LIE31" s="1000"/>
      <c r="LIF31" s="1000"/>
      <c r="LIG31" s="1000"/>
      <c r="LIH31" s="1000"/>
      <c r="LII31" s="1000"/>
      <c r="LIJ31" s="1000"/>
      <c r="LIK31" s="1000"/>
      <c r="LIL31" s="1000"/>
      <c r="LIM31" s="1000"/>
      <c r="LIN31" s="1000"/>
      <c r="LIO31" s="1000"/>
      <c r="LIP31" s="1000"/>
      <c r="LIQ31" s="1000"/>
      <c r="LIR31" s="1000"/>
      <c r="LIS31" s="1000"/>
      <c r="LIT31" s="1000"/>
      <c r="LIU31" s="1000"/>
      <c r="LIV31" s="1000"/>
      <c r="LIW31" s="1000"/>
      <c r="LIX31" s="1000"/>
      <c r="LIY31" s="1000"/>
      <c r="LIZ31" s="1000"/>
      <c r="LJA31" s="1000"/>
      <c r="LJB31" s="1000"/>
      <c r="LJC31" s="1000"/>
      <c r="LJD31" s="1000"/>
      <c r="LJE31" s="1000"/>
      <c r="LJF31" s="1000"/>
      <c r="LJG31" s="1000"/>
      <c r="LJH31" s="1000"/>
      <c r="LJI31" s="1000"/>
      <c r="LJJ31" s="1000"/>
      <c r="LJK31" s="1000"/>
      <c r="LJL31" s="1000"/>
      <c r="LJM31" s="1000"/>
      <c r="LJN31" s="1000"/>
      <c r="LJO31" s="1000"/>
      <c r="LJP31" s="1000"/>
      <c r="LJQ31" s="1000"/>
      <c r="LJR31" s="1000"/>
      <c r="LJS31" s="1000"/>
      <c r="LJT31" s="1000"/>
      <c r="LJU31" s="1000"/>
      <c r="LJV31" s="1000"/>
      <c r="LJW31" s="1000"/>
      <c r="LJX31" s="1000"/>
      <c r="LJY31" s="1000"/>
      <c r="LJZ31" s="1000"/>
      <c r="LKA31" s="1000"/>
      <c r="LKB31" s="1000"/>
      <c r="LKC31" s="1000"/>
      <c r="LKD31" s="1000"/>
      <c r="LKE31" s="1000"/>
      <c r="LKF31" s="1000"/>
      <c r="LKG31" s="1000"/>
      <c r="LKH31" s="1000"/>
      <c r="LKI31" s="1000"/>
      <c r="LKJ31" s="1000"/>
      <c r="LKK31" s="1000"/>
      <c r="LKL31" s="1000"/>
      <c r="LKM31" s="1000"/>
      <c r="LKN31" s="1000"/>
      <c r="LKO31" s="1000"/>
      <c r="LKP31" s="1000"/>
      <c r="LKQ31" s="1000"/>
      <c r="LKR31" s="1000"/>
      <c r="LKS31" s="1000"/>
      <c r="LKT31" s="1000"/>
      <c r="LKU31" s="1000"/>
      <c r="LKV31" s="1000"/>
      <c r="LKW31" s="1000"/>
      <c r="LKX31" s="1000"/>
      <c r="LKY31" s="1000"/>
      <c r="LKZ31" s="1000"/>
      <c r="LLA31" s="1000"/>
      <c r="LLB31" s="1000"/>
      <c r="LLC31" s="1000"/>
      <c r="LLD31" s="1000"/>
      <c r="LLE31" s="1000"/>
      <c r="LLF31" s="1000"/>
      <c r="LLG31" s="1000"/>
      <c r="LLH31" s="1000"/>
      <c r="LLI31" s="1000"/>
      <c r="LLJ31" s="1000"/>
      <c r="LLK31" s="1000"/>
      <c r="LLL31" s="1000"/>
      <c r="LLM31" s="1000"/>
      <c r="LLN31" s="1000"/>
      <c r="LLO31" s="1000"/>
      <c r="LLP31" s="1000"/>
      <c r="LLQ31" s="1000"/>
      <c r="LLR31" s="1000"/>
      <c r="LLS31" s="1000"/>
      <c r="LLT31" s="1000"/>
      <c r="LLU31" s="1000"/>
      <c r="LLV31" s="1000"/>
      <c r="LLW31" s="1000"/>
      <c r="LLX31" s="1000"/>
      <c r="LLY31" s="1000"/>
      <c r="LLZ31" s="1000"/>
      <c r="LMA31" s="1000"/>
      <c r="LMB31" s="1000"/>
      <c r="LMC31" s="1000"/>
      <c r="LMD31" s="1000"/>
      <c r="LME31" s="1000"/>
      <c r="LMF31" s="1000"/>
      <c r="LMG31" s="1000"/>
      <c r="LMH31" s="1000"/>
      <c r="LMI31" s="1000"/>
      <c r="LMJ31" s="1000"/>
      <c r="LMK31" s="1000"/>
      <c r="LML31" s="1000"/>
      <c r="LMM31" s="1000"/>
      <c r="LMN31" s="1000"/>
      <c r="LMO31" s="1000"/>
      <c r="LMP31" s="1000"/>
      <c r="LMQ31" s="1000"/>
      <c r="LMR31" s="1000"/>
      <c r="LMS31" s="1000"/>
      <c r="LMT31" s="1000"/>
      <c r="LMU31" s="1000"/>
      <c r="LMV31" s="1000"/>
      <c r="LMW31" s="1000"/>
      <c r="LMX31" s="1000"/>
      <c r="LMY31" s="1000"/>
      <c r="LMZ31" s="1000"/>
      <c r="LNA31" s="1000"/>
      <c r="LNB31" s="1000"/>
      <c r="LNC31" s="1000"/>
      <c r="LND31" s="1000"/>
      <c r="LNE31" s="1000"/>
      <c r="LNF31" s="1000"/>
      <c r="LNG31" s="1000"/>
      <c r="LNH31" s="1000"/>
      <c r="LNI31" s="1000"/>
      <c r="LNJ31" s="1000"/>
      <c r="LNK31" s="1000"/>
      <c r="LNL31" s="1000"/>
      <c r="LNM31" s="1000"/>
      <c r="LNN31" s="1000"/>
      <c r="LNO31" s="1000"/>
      <c r="LNP31" s="1000"/>
      <c r="LNQ31" s="1000"/>
      <c r="LNR31" s="1000"/>
      <c r="LNS31" s="1000"/>
      <c r="LNT31" s="1000"/>
      <c r="LNU31" s="1000"/>
      <c r="LNV31" s="1000"/>
      <c r="LNW31" s="1000"/>
      <c r="LNX31" s="1000"/>
      <c r="LNY31" s="1000"/>
      <c r="LNZ31" s="1000"/>
      <c r="LOA31" s="1000"/>
      <c r="LOB31" s="1000"/>
      <c r="LOC31" s="1000"/>
      <c r="LOD31" s="1000"/>
      <c r="LOE31" s="1000"/>
      <c r="LOF31" s="1000"/>
      <c r="LOG31" s="1000"/>
      <c r="LOH31" s="1000"/>
      <c r="LOI31" s="1000"/>
      <c r="LOJ31" s="1000"/>
      <c r="LOK31" s="1000"/>
      <c r="LOL31" s="1000"/>
      <c r="LOM31" s="1000"/>
      <c r="LON31" s="1000"/>
      <c r="LOO31" s="1000"/>
      <c r="LOP31" s="1000"/>
      <c r="LOQ31" s="1000"/>
      <c r="LOR31" s="1000"/>
      <c r="LOS31" s="1000"/>
      <c r="LOT31" s="1000"/>
      <c r="LOU31" s="1000"/>
      <c r="LOV31" s="1000"/>
      <c r="LOW31" s="1000"/>
      <c r="LOX31" s="1000"/>
      <c r="LOY31" s="1000"/>
      <c r="LOZ31" s="1000"/>
      <c r="LPA31" s="1000"/>
      <c r="LPB31" s="1000"/>
      <c r="LPC31" s="1000"/>
      <c r="LPD31" s="1000"/>
      <c r="LPE31" s="1000"/>
      <c r="LPF31" s="1000"/>
      <c r="LPG31" s="1000"/>
      <c r="LPH31" s="1000"/>
      <c r="LPI31" s="1000"/>
      <c r="LPJ31" s="1000"/>
      <c r="LPK31" s="1000"/>
      <c r="LPL31" s="1000"/>
      <c r="LPM31" s="1000"/>
      <c r="LPN31" s="1000"/>
      <c r="LPO31" s="1000"/>
      <c r="LPP31" s="1000"/>
      <c r="LPQ31" s="1000"/>
      <c r="LPR31" s="1000"/>
      <c r="LPS31" s="1000"/>
      <c r="LPT31" s="1000"/>
      <c r="LPU31" s="1000"/>
      <c r="LPV31" s="1000"/>
      <c r="LPW31" s="1000"/>
      <c r="LPX31" s="1000"/>
      <c r="LPY31" s="1000"/>
      <c r="LPZ31" s="1000"/>
      <c r="LQA31" s="1000"/>
      <c r="LQB31" s="1000"/>
      <c r="LQC31" s="1000"/>
      <c r="LQD31" s="1000"/>
      <c r="LQE31" s="1000"/>
      <c r="LQF31" s="1000"/>
      <c r="LQG31" s="1000"/>
      <c r="LQH31" s="1000"/>
      <c r="LQI31" s="1000"/>
      <c r="LQJ31" s="1000"/>
      <c r="LQK31" s="1000"/>
      <c r="LQL31" s="1000"/>
      <c r="LQM31" s="1000"/>
      <c r="LQN31" s="1000"/>
      <c r="LQO31" s="1000"/>
      <c r="LQP31" s="1000"/>
      <c r="LQQ31" s="1000"/>
      <c r="LQR31" s="1000"/>
      <c r="LQS31" s="1000"/>
      <c r="LQT31" s="1000"/>
      <c r="LQU31" s="1000"/>
      <c r="LQV31" s="1000"/>
      <c r="LQW31" s="1000"/>
      <c r="LQX31" s="1000"/>
      <c r="LQY31" s="1000"/>
      <c r="LQZ31" s="1000"/>
      <c r="LRA31" s="1000"/>
      <c r="LRB31" s="1000"/>
      <c r="LRC31" s="1000"/>
      <c r="LRD31" s="1000"/>
      <c r="LRE31" s="1000"/>
      <c r="LRF31" s="1000"/>
      <c r="LRG31" s="1000"/>
      <c r="LRH31" s="1000"/>
      <c r="LRI31" s="1000"/>
      <c r="LRJ31" s="1000"/>
      <c r="LRK31" s="1000"/>
      <c r="LRL31" s="1000"/>
      <c r="LRM31" s="1000"/>
      <c r="LRN31" s="1000"/>
      <c r="LRO31" s="1000"/>
      <c r="LRP31" s="1000"/>
      <c r="LRQ31" s="1000"/>
      <c r="LRR31" s="1000"/>
      <c r="LRS31" s="1000"/>
      <c r="LRT31" s="1000"/>
      <c r="LRU31" s="1000"/>
      <c r="LRV31" s="1000"/>
      <c r="LRW31" s="1000"/>
      <c r="LRX31" s="1000"/>
      <c r="LRY31" s="1000"/>
      <c r="LRZ31" s="1000"/>
      <c r="LSA31" s="1000"/>
      <c r="LSB31" s="1000"/>
      <c r="LSC31" s="1000"/>
      <c r="LSD31" s="1000"/>
      <c r="LSE31" s="1000"/>
      <c r="LSF31" s="1000"/>
      <c r="LSG31" s="1000"/>
      <c r="LSH31" s="1000"/>
      <c r="LSI31" s="1000"/>
      <c r="LSJ31" s="1000"/>
      <c r="LSK31" s="1000"/>
      <c r="LSL31" s="1000"/>
      <c r="LSM31" s="1000"/>
      <c r="LSN31" s="1000"/>
      <c r="LSO31" s="1000"/>
      <c r="LSP31" s="1000"/>
      <c r="LSQ31" s="1000"/>
      <c r="LSR31" s="1000"/>
      <c r="LSS31" s="1000"/>
      <c r="LST31" s="1000"/>
      <c r="LSU31" s="1000"/>
      <c r="LSV31" s="1000"/>
      <c r="LSW31" s="1000"/>
      <c r="LSX31" s="1000"/>
      <c r="LSY31" s="1000"/>
      <c r="LSZ31" s="1000"/>
      <c r="LTA31" s="1000"/>
      <c r="LTB31" s="1000"/>
      <c r="LTC31" s="1000"/>
      <c r="LTD31" s="1000"/>
      <c r="LTE31" s="1000"/>
      <c r="LTF31" s="1000"/>
      <c r="LTG31" s="1000"/>
      <c r="LTH31" s="1000"/>
      <c r="LTI31" s="1000"/>
      <c r="LTJ31" s="1000"/>
      <c r="LTK31" s="1000"/>
      <c r="LTL31" s="1000"/>
      <c r="LTM31" s="1000"/>
      <c r="LTN31" s="1000"/>
      <c r="LTO31" s="1000"/>
      <c r="LTP31" s="1000"/>
      <c r="LTQ31" s="1000"/>
      <c r="LTR31" s="1000"/>
      <c r="LTS31" s="1000"/>
      <c r="LTT31" s="1000"/>
      <c r="LTU31" s="1000"/>
      <c r="LTV31" s="1000"/>
      <c r="LTW31" s="1000"/>
      <c r="LTX31" s="1000"/>
      <c r="LTY31" s="1000"/>
      <c r="LTZ31" s="1000"/>
      <c r="LUA31" s="1000"/>
      <c r="LUB31" s="1000"/>
      <c r="LUC31" s="1000"/>
      <c r="LUD31" s="1000"/>
      <c r="LUE31" s="1000"/>
      <c r="LUF31" s="1000"/>
      <c r="LUG31" s="1000"/>
      <c r="LUH31" s="1000"/>
      <c r="LUI31" s="1000"/>
      <c r="LUJ31" s="1000"/>
      <c r="LUK31" s="1000"/>
      <c r="LUL31" s="1000"/>
      <c r="LUM31" s="1000"/>
      <c r="LUN31" s="1000"/>
      <c r="LUO31" s="1000"/>
      <c r="LUP31" s="1000"/>
      <c r="LUQ31" s="1000"/>
      <c r="LUR31" s="1000"/>
      <c r="LUS31" s="1000"/>
      <c r="LUT31" s="1000"/>
      <c r="LUU31" s="1000"/>
      <c r="LUV31" s="1000"/>
      <c r="LUW31" s="1000"/>
      <c r="LUX31" s="1000"/>
      <c r="LUY31" s="1000"/>
      <c r="LUZ31" s="1000"/>
      <c r="LVA31" s="1000"/>
      <c r="LVB31" s="1000"/>
      <c r="LVC31" s="1000"/>
      <c r="LVD31" s="1000"/>
      <c r="LVE31" s="1000"/>
      <c r="LVF31" s="1000"/>
      <c r="LVG31" s="1000"/>
      <c r="LVH31" s="1000"/>
      <c r="LVI31" s="1000"/>
      <c r="LVJ31" s="1000"/>
      <c r="LVK31" s="1000"/>
      <c r="LVL31" s="1000"/>
      <c r="LVM31" s="1000"/>
      <c r="LVN31" s="1000"/>
      <c r="LVO31" s="1000"/>
      <c r="LVP31" s="1000"/>
      <c r="LVQ31" s="1000"/>
      <c r="LVR31" s="1000"/>
      <c r="LVS31" s="1000"/>
      <c r="LVT31" s="1000"/>
      <c r="LVU31" s="1000"/>
      <c r="LVV31" s="1000"/>
      <c r="LVW31" s="1000"/>
      <c r="LVX31" s="1000"/>
      <c r="LVY31" s="1000"/>
      <c r="LVZ31" s="1000"/>
      <c r="LWA31" s="1000"/>
      <c r="LWB31" s="1000"/>
      <c r="LWC31" s="1000"/>
      <c r="LWD31" s="1000"/>
      <c r="LWE31" s="1000"/>
      <c r="LWF31" s="1000"/>
      <c r="LWG31" s="1000"/>
      <c r="LWH31" s="1000"/>
      <c r="LWI31" s="1000"/>
      <c r="LWJ31" s="1000"/>
      <c r="LWK31" s="1000"/>
      <c r="LWL31" s="1000"/>
      <c r="LWM31" s="1000"/>
      <c r="LWN31" s="1000"/>
      <c r="LWO31" s="1000"/>
      <c r="LWP31" s="1000"/>
      <c r="LWQ31" s="1000"/>
      <c r="LWR31" s="1000"/>
      <c r="LWS31" s="1000"/>
      <c r="LWT31" s="1000"/>
      <c r="LWU31" s="1000"/>
      <c r="LWV31" s="1000"/>
      <c r="LWW31" s="1000"/>
      <c r="LWX31" s="1000"/>
      <c r="LWY31" s="1000"/>
      <c r="LWZ31" s="1000"/>
      <c r="LXA31" s="1000"/>
      <c r="LXB31" s="1000"/>
      <c r="LXC31" s="1000"/>
      <c r="LXD31" s="1000"/>
      <c r="LXE31" s="1000"/>
      <c r="LXF31" s="1000"/>
      <c r="LXG31" s="1000"/>
      <c r="LXH31" s="1000"/>
      <c r="LXI31" s="1000"/>
      <c r="LXJ31" s="1000"/>
      <c r="LXK31" s="1000"/>
      <c r="LXL31" s="1000"/>
      <c r="LXM31" s="1000"/>
      <c r="LXN31" s="1000"/>
      <c r="LXO31" s="1000"/>
      <c r="LXP31" s="1000"/>
      <c r="LXQ31" s="1000"/>
      <c r="LXR31" s="1000"/>
      <c r="LXS31" s="1000"/>
      <c r="LXT31" s="1000"/>
      <c r="LXU31" s="1000"/>
      <c r="LXV31" s="1000"/>
      <c r="LXW31" s="1000"/>
      <c r="LXX31" s="1000"/>
      <c r="LXY31" s="1000"/>
      <c r="LXZ31" s="1000"/>
      <c r="LYA31" s="1000"/>
      <c r="LYB31" s="1000"/>
      <c r="LYC31" s="1000"/>
      <c r="LYD31" s="1000"/>
      <c r="LYE31" s="1000"/>
      <c r="LYF31" s="1000"/>
      <c r="LYG31" s="1000"/>
      <c r="LYH31" s="1000"/>
      <c r="LYI31" s="1000"/>
      <c r="LYJ31" s="1000"/>
      <c r="LYK31" s="1000"/>
      <c r="LYL31" s="1000"/>
      <c r="LYM31" s="1000"/>
      <c r="LYN31" s="1000"/>
      <c r="LYO31" s="1000"/>
      <c r="LYP31" s="1000"/>
      <c r="LYQ31" s="1000"/>
      <c r="LYR31" s="1000"/>
      <c r="LYS31" s="1000"/>
      <c r="LYT31" s="1000"/>
      <c r="LYU31" s="1000"/>
      <c r="LYV31" s="1000"/>
      <c r="LYW31" s="1000"/>
      <c r="LYX31" s="1000"/>
      <c r="LYY31" s="1000"/>
      <c r="LYZ31" s="1000"/>
      <c r="LZA31" s="1000"/>
      <c r="LZB31" s="1000"/>
      <c r="LZC31" s="1000"/>
      <c r="LZD31" s="1000"/>
      <c r="LZE31" s="1000"/>
      <c r="LZF31" s="1000"/>
      <c r="LZG31" s="1000"/>
      <c r="LZH31" s="1000"/>
      <c r="LZI31" s="1000"/>
      <c r="LZJ31" s="1000"/>
      <c r="LZK31" s="1000"/>
      <c r="LZL31" s="1000"/>
      <c r="LZM31" s="1000"/>
      <c r="LZN31" s="1000"/>
      <c r="LZO31" s="1000"/>
      <c r="LZP31" s="1000"/>
      <c r="LZQ31" s="1000"/>
      <c r="LZR31" s="1000"/>
      <c r="LZS31" s="1000"/>
      <c r="LZT31" s="1000"/>
      <c r="LZU31" s="1000"/>
      <c r="LZV31" s="1000"/>
      <c r="LZW31" s="1000"/>
      <c r="LZX31" s="1000"/>
      <c r="LZY31" s="1000"/>
      <c r="LZZ31" s="1000"/>
      <c r="MAA31" s="1000"/>
      <c r="MAB31" s="1000"/>
      <c r="MAC31" s="1000"/>
      <c r="MAD31" s="1000"/>
      <c r="MAE31" s="1000"/>
      <c r="MAF31" s="1000"/>
      <c r="MAG31" s="1000"/>
      <c r="MAH31" s="1000"/>
      <c r="MAI31" s="1000"/>
      <c r="MAJ31" s="1000"/>
      <c r="MAK31" s="1000"/>
      <c r="MAL31" s="1000"/>
      <c r="MAM31" s="1000"/>
      <c r="MAN31" s="1000"/>
      <c r="MAO31" s="1000"/>
      <c r="MAP31" s="1000"/>
      <c r="MAQ31" s="1000"/>
      <c r="MAR31" s="1000"/>
      <c r="MAS31" s="1000"/>
      <c r="MAT31" s="1000"/>
      <c r="MAU31" s="1000"/>
      <c r="MAV31" s="1000"/>
      <c r="MAW31" s="1000"/>
      <c r="MAX31" s="1000"/>
      <c r="MAY31" s="1000"/>
      <c r="MAZ31" s="1000"/>
      <c r="MBA31" s="1000"/>
      <c r="MBB31" s="1000"/>
      <c r="MBC31" s="1000"/>
      <c r="MBD31" s="1000"/>
      <c r="MBE31" s="1000"/>
      <c r="MBF31" s="1000"/>
      <c r="MBG31" s="1000"/>
      <c r="MBH31" s="1000"/>
      <c r="MBI31" s="1000"/>
      <c r="MBJ31" s="1000"/>
      <c r="MBK31" s="1000"/>
      <c r="MBL31" s="1000"/>
      <c r="MBM31" s="1000"/>
      <c r="MBN31" s="1000"/>
      <c r="MBO31" s="1000"/>
      <c r="MBP31" s="1000"/>
      <c r="MBQ31" s="1000"/>
      <c r="MBR31" s="1000"/>
      <c r="MBS31" s="1000"/>
      <c r="MBT31" s="1000"/>
      <c r="MBU31" s="1000"/>
      <c r="MBV31" s="1000"/>
      <c r="MBW31" s="1000"/>
      <c r="MBX31" s="1000"/>
      <c r="MBY31" s="1000"/>
      <c r="MBZ31" s="1000"/>
      <c r="MCA31" s="1000"/>
      <c r="MCB31" s="1000"/>
      <c r="MCC31" s="1000"/>
      <c r="MCD31" s="1000"/>
      <c r="MCE31" s="1000"/>
      <c r="MCF31" s="1000"/>
      <c r="MCG31" s="1000"/>
      <c r="MCH31" s="1000"/>
      <c r="MCI31" s="1000"/>
      <c r="MCJ31" s="1000"/>
      <c r="MCK31" s="1000"/>
      <c r="MCL31" s="1000"/>
      <c r="MCM31" s="1000"/>
      <c r="MCN31" s="1000"/>
      <c r="MCO31" s="1000"/>
      <c r="MCP31" s="1000"/>
      <c r="MCQ31" s="1000"/>
      <c r="MCR31" s="1000"/>
      <c r="MCS31" s="1000"/>
      <c r="MCT31" s="1000"/>
      <c r="MCU31" s="1000"/>
      <c r="MCV31" s="1000"/>
      <c r="MCW31" s="1000"/>
      <c r="MCX31" s="1000"/>
      <c r="MCY31" s="1000"/>
      <c r="MCZ31" s="1000"/>
      <c r="MDA31" s="1000"/>
      <c r="MDB31" s="1000"/>
      <c r="MDC31" s="1000"/>
      <c r="MDD31" s="1000"/>
      <c r="MDE31" s="1000"/>
      <c r="MDF31" s="1000"/>
      <c r="MDG31" s="1000"/>
      <c r="MDH31" s="1000"/>
      <c r="MDI31" s="1000"/>
      <c r="MDJ31" s="1000"/>
      <c r="MDK31" s="1000"/>
      <c r="MDL31" s="1000"/>
      <c r="MDM31" s="1000"/>
      <c r="MDN31" s="1000"/>
      <c r="MDO31" s="1000"/>
      <c r="MDP31" s="1000"/>
      <c r="MDQ31" s="1000"/>
      <c r="MDR31" s="1000"/>
      <c r="MDS31" s="1000"/>
      <c r="MDT31" s="1000"/>
      <c r="MDU31" s="1000"/>
      <c r="MDV31" s="1000"/>
      <c r="MDW31" s="1000"/>
      <c r="MDX31" s="1000"/>
      <c r="MDY31" s="1000"/>
      <c r="MDZ31" s="1000"/>
      <c r="MEA31" s="1000"/>
      <c r="MEB31" s="1000"/>
      <c r="MEC31" s="1000"/>
      <c r="MED31" s="1000"/>
      <c r="MEE31" s="1000"/>
      <c r="MEF31" s="1000"/>
      <c r="MEG31" s="1000"/>
      <c r="MEH31" s="1000"/>
      <c r="MEI31" s="1000"/>
      <c r="MEJ31" s="1000"/>
      <c r="MEK31" s="1000"/>
      <c r="MEL31" s="1000"/>
      <c r="MEM31" s="1000"/>
      <c r="MEN31" s="1000"/>
      <c r="MEO31" s="1000"/>
      <c r="MEP31" s="1000"/>
      <c r="MEQ31" s="1000"/>
      <c r="MER31" s="1000"/>
      <c r="MES31" s="1000"/>
      <c r="MET31" s="1000"/>
      <c r="MEU31" s="1000"/>
      <c r="MEV31" s="1000"/>
      <c r="MEW31" s="1000"/>
      <c r="MEX31" s="1000"/>
      <c r="MEY31" s="1000"/>
      <c r="MEZ31" s="1000"/>
      <c r="MFA31" s="1000"/>
      <c r="MFB31" s="1000"/>
      <c r="MFC31" s="1000"/>
      <c r="MFD31" s="1000"/>
      <c r="MFE31" s="1000"/>
      <c r="MFF31" s="1000"/>
      <c r="MFG31" s="1000"/>
      <c r="MFH31" s="1000"/>
      <c r="MFI31" s="1000"/>
      <c r="MFJ31" s="1000"/>
      <c r="MFK31" s="1000"/>
      <c r="MFL31" s="1000"/>
      <c r="MFM31" s="1000"/>
      <c r="MFN31" s="1000"/>
      <c r="MFO31" s="1000"/>
      <c r="MFP31" s="1000"/>
      <c r="MFQ31" s="1000"/>
      <c r="MFR31" s="1000"/>
      <c r="MFS31" s="1000"/>
      <c r="MFT31" s="1000"/>
      <c r="MFU31" s="1000"/>
      <c r="MFV31" s="1000"/>
      <c r="MFW31" s="1000"/>
      <c r="MFX31" s="1000"/>
      <c r="MFY31" s="1000"/>
      <c r="MFZ31" s="1000"/>
      <c r="MGA31" s="1000"/>
      <c r="MGB31" s="1000"/>
      <c r="MGC31" s="1000"/>
      <c r="MGD31" s="1000"/>
      <c r="MGE31" s="1000"/>
      <c r="MGF31" s="1000"/>
      <c r="MGG31" s="1000"/>
      <c r="MGH31" s="1000"/>
      <c r="MGI31" s="1000"/>
      <c r="MGJ31" s="1000"/>
      <c r="MGK31" s="1000"/>
      <c r="MGL31" s="1000"/>
      <c r="MGM31" s="1000"/>
      <c r="MGN31" s="1000"/>
      <c r="MGO31" s="1000"/>
      <c r="MGP31" s="1000"/>
      <c r="MGQ31" s="1000"/>
      <c r="MGR31" s="1000"/>
      <c r="MGS31" s="1000"/>
      <c r="MGT31" s="1000"/>
      <c r="MGU31" s="1000"/>
      <c r="MGV31" s="1000"/>
      <c r="MGW31" s="1000"/>
      <c r="MGX31" s="1000"/>
      <c r="MGY31" s="1000"/>
      <c r="MGZ31" s="1000"/>
      <c r="MHA31" s="1000"/>
      <c r="MHB31" s="1000"/>
      <c r="MHC31" s="1000"/>
      <c r="MHD31" s="1000"/>
      <c r="MHE31" s="1000"/>
      <c r="MHF31" s="1000"/>
      <c r="MHG31" s="1000"/>
      <c r="MHH31" s="1000"/>
      <c r="MHI31" s="1000"/>
      <c r="MHJ31" s="1000"/>
      <c r="MHK31" s="1000"/>
      <c r="MHL31" s="1000"/>
      <c r="MHM31" s="1000"/>
      <c r="MHN31" s="1000"/>
      <c r="MHO31" s="1000"/>
      <c r="MHP31" s="1000"/>
      <c r="MHQ31" s="1000"/>
      <c r="MHR31" s="1000"/>
      <c r="MHS31" s="1000"/>
      <c r="MHT31" s="1000"/>
      <c r="MHU31" s="1000"/>
      <c r="MHV31" s="1000"/>
      <c r="MHW31" s="1000"/>
      <c r="MHX31" s="1000"/>
      <c r="MHY31" s="1000"/>
      <c r="MHZ31" s="1000"/>
      <c r="MIA31" s="1000"/>
      <c r="MIB31" s="1000"/>
      <c r="MIC31" s="1000"/>
      <c r="MID31" s="1000"/>
      <c r="MIE31" s="1000"/>
      <c r="MIF31" s="1000"/>
      <c r="MIG31" s="1000"/>
      <c r="MIH31" s="1000"/>
      <c r="MII31" s="1000"/>
      <c r="MIJ31" s="1000"/>
      <c r="MIK31" s="1000"/>
      <c r="MIL31" s="1000"/>
      <c r="MIM31" s="1000"/>
      <c r="MIN31" s="1000"/>
      <c r="MIO31" s="1000"/>
      <c r="MIP31" s="1000"/>
      <c r="MIQ31" s="1000"/>
      <c r="MIR31" s="1000"/>
      <c r="MIS31" s="1000"/>
      <c r="MIT31" s="1000"/>
      <c r="MIU31" s="1000"/>
      <c r="MIV31" s="1000"/>
      <c r="MIW31" s="1000"/>
      <c r="MIX31" s="1000"/>
      <c r="MIY31" s="1000"/>
      <c r="MIZ31" s="1000"/>
      <c r="MJA31" s="1000"/>
      <c r="MJB31" s="1000"/>
      <c r="MJC31" s="1000"/>
      <c r="MJD31" s="1000"/>
      <c r="MJE31" s="1000"/>
      <c r="MJF31" s="1000"/>
      <c r="MJG31" s="1000"/>
      <c r="MJH31" s="1000"/>
      <c r="MJI31" s="1000"/>
      <c r="MJJ31" s="1000"/>
      <c r="MJK31" s="1000"/>
      <c r="MJL31" s="1000"/>
      <c r="MJM31" s="1000"/>
      <c r="MJN31" s="1000"/>
      <c r="MJO31" s="1000"/>
      <c r="MJP31" s="1000"/>
      <c r="MJQ31" s="1000"/>
      <c r="MJR31" s="1000"/>
      <c r="MJS31" s="1000"/>
      <c r="MJT31" s="1000"/>
      <c r="MJU31" s="1000"/>
      <c r="MJV31" s="1000"/>
      <c r="MJW31" s="1000"/>
      <c r="MJX31" s="1000"/>
      <c r="MJY31" s="1000"/>
      <c r="MJZ31" s="1000"/>
      <c r="MKA31" s="1000"/>
      <c r="MKB31" s="1000"/>
      <c r="MKC31" s="1000"/>
      <c r="MKD31" s="1000"/>
      <c r="MKE31" s="1000"/>
      <c r="MKF31" s="1000"/>
      <c r="MKG31" s="1000"/>
      <c r="MKH31" s="1000"/>
      <c r="MKI31" s="1000"/>
      <c r="MKJ31" s="1000"/>
      <c r="MKK31" s="1000"/>
      <c r="MKL31" s="1000"/>
      <c r="MKM31" s="1000"/>
      <c r="MKN31" s="1000"/>
      <c r="MKO31" s="1000"/>
      <c r="MKP31" s="1000"/>
      <c r="MKQ31" s="1000"/>
      <c r="MKR31" s="1000"/>
      <c r="MKS31" s="1000"/>
      <c r="MKT31" s="1000"/>
      <c r="MKU31" s="1000"/>
      <c r="MKV31" s="1000"/>
      <c r="MKW31" s="1000"/>
      <c r="MKX31" s="1000"/>
      <c r="MKY31" s="1000"/>
      <c r="MKZ31" s="1000"/>
      <c r="MLA31" s="1000"/>
      <c r="MLB31" s="1000"/>
      <c r="MLC31" s="1000"/>
      <c r="MLD31" s="1000"/>
      <c r="MLE31" s="1000"/>
      <c r="MLF31" s="1000"/>
      <c r="MLG31" s="1000"/>
      <c r="MLH31" s="1000"/>
      <c r="MLI31" s="1000"/>
      <c r="MLJ31" s="1000"/>
      <c r="MLK31" s="1000"/>
      <c r="MLL31" s="1000"/>
      <c r="MLM31" s="1000"/>
      <c r="MLN31" s="1000"/>
      <c r="MLO31" s="1000"/>
      <c r="MLP31" s="1000"/>
      <c r="MLQ31" s="1000"/>
      <c r="MLR31" s="1000"/>
      <c r="MLS31" s="1000"/>
      <c r="MLT31" s="1000"/>
      <c r="MLU31" s="1000"/>
      <c r="MLV31" s="1000"/>
      <c r="MLW31" s="1000"/>
      <c r="MLX31" s="1000"/>
      <c r="MLY31" s="1000"/>
      <c r="MLZ31" s="1000"/>
      <c r="MMA31" s="1000"/>
      <c r="MMB31" s="1000"/>
      <c r="MMC31" s="1000"/>
      <c r="MMD31" s="1000"/>
      <c r="MME31" s="1000"/>
      <c r="MMF31" s="1000"/>
      <c r="MMG31" s="1000"/>
      <c r="MMH31" s="1000"/>
      <c r="MMI31" s="1000"/>
      <c r="MMJ31" s="1000"/>
      <c r="MMK31" s="1000"/>
      <c r="MML31" s="1000"/>
      <c r="MMM31" s="1000"/>
      <c r="MMN31" s="1000"/>
      <c r="MMO31" s="1000"/>
      <c r="MMP31" s="1000"/>
      <c r="MMQ31" s="1000"/>
      <c r="MMR31" s="1000"/>
      <c r="MMS31" s="1000"/>
      <c r="MMT31" s="1000"/>
      <c r="MMU31" s="1000"/>
      <c r="MMV31" s="1000"/>
      <c r="MMW31" s="1000"/>
      <c r="MMX31" s="1000"/>
      <c r="MMY31" s="1000"/>
      <c r="MMZ31" s="1000"/>
      <c r="MNA31" s="1000"/>
      <c r="MNB31" s="1000"/>
      <c r="MNC31" s="1000"/>
      <c r="MND31" s="1000"/>
      <c r="MNE31" s="1000"/>
      <c r="MNF31" s="1000"/>
      <c r="MNG31" s="1000"/>
      <c r="MNH31" s="1000"/>
      <c r="MNI31" s="1000"/>
      <c r="MNJ31" s="1000"/>
      <c r="MNK31" s="1000"/>
      <c r="MNL31" s="1000"/>
      <c r="MNM31" s="1000"/>
      <c r="MNN31" s="1000"/>
      <c r="MNO31" s="1000"/>
      <c r="MNP31" s="1000"/>
      <c r="MNQ31" s="1000"/>
      <c r="MNR31" s="1000"/>
      <c r="MNS31" s="1000"/>
      <c r="MNT31" s="1000"/>
      <c r="MNU31" s="1000"/>
      <c r="MNV31" s="1000"/>
      <c r="MNW31" s="1000"/>
      <c r="MNX31" s="1000"/>
      <c r="MNY31" s="1000"/>
      <c r="MNZ31" s="1000"/>
      <c r="MOA31" s="1000"/>
      <c r="MOB31" s="1000"/>
      <c r="MOC31" s="1000"/>
      <c r="MOD31" s="1000"/>
      <c r="MOE31" s="1000"/>
      <c r="MOF31" s="1000"/>
      <c r="MOG31" s="1000"/>
      <c r="MOH31" s="1000"/>
      <c r="MOI31" s="1000"/>
      <c r="MOJ31" s="1000"/>
      <c r="MOK31" s="1000"/>
      <c r="MOL31" s="1000"/>
      <c r="MOM31" s="1000"/>
      <c r="MON31" s="1000"/>
      <c r="MOO31" s="1000"/>
      <c r="MOP31" s="1000"/>
      <c r="MOQ31" s="1000"/>
      <c r="MOR31" s="1000"/>
      <c r="MOS31" s="1000"/>
      <c r="MOT31" s="1000"/>
      <c r="MOU31" s="1000"/>
      <c r="MOV31" s="1000"/>
      <c r="MOW31" s="1000"/>
      <c r="MOX31" s="1000"/>
      <c r="MOY31" s="1000"/>
      <c r="MOZ31" s="1000"/>
      <c r="MPA31" s="1000"/>
      <c r="MPB31" s="1000"/>
      <c r="MPC31" s="1000"/>
      <c r="MPD31" s="1000"/>
      <c r="MPE31" s="1000"/>
      <c r="MPF31" s="1000"/>
      <c r="MPG31" s="1000"/>
      <c r="MPH31" s="1000"/>
      <c r="MPI31" s="1000"/>
      <c r="MPJ31" s="1000"/>
      <c r="MPK31" s="1000"/>
      <c r="MPL31" s="1000"/>
      <c r="MPM31" s="1000"/>
      <c r="MPN31" s="1000"/>
      <c r="MPO31" s="1000"/>
      <c r="MPP31" s="1000"/>
      <c r="MPQ31" s="1000"/>
      <c r="MPR31" s="1000"/>
      <c r="MPS31" s="1000"/>
      <c r="MPT31" s="1000"/>
      <c r="MPU31" s="1000"/>
      <c r="MPV31" s="1000"/>
      <c r="MPW31" s="1000"/>
      <c r="MPX31" s="1000"/>
      <c r="MPY31" s="1000"/>
      <c r="MPZ31" s="1000"/>
      <c r="MQA31" s="1000"/>
      <c r="MQB31" s="1000"/>
      <c r="MQC31" s="1000"/>
      <c r="MQD31" s="1000"/>
      <c r="MQE31" s="1000"/>
      <c r="MQF31" s="1000"/>
      <c r="MQG31" s="1000"/>
      <c r="MQH31" s="1000"/>
      <c r="MQI31" s="1000"/>
      <c r="MQJ31" s="1000"/>
      <c r="MQK31" s="1000"/>
      <c r="MQL31" s="1000"/>
      <c r="MQM31" s="1000"/>
      <c r="MQN31" s="1000"/>
      <c r="MQO31" s="1000"/>
      <c r="MQP31" s="1000"/>
      <c r="MQQ31" s="1000"/>
      <c r="MQR31" s="1000"/>
      <c r="MQS31" s="1000"/>
      <c r="MQT31" s="1000"/>
      <c r="MQU31" s="1000"/>
      <c r="MQV31" s="1000"/>
      <c r="MQW31" s="1000"/>
      <c r="MQX31" s="1000"/>
      <c r="MQY31" s="1000"/>
      <c r="MQZ31" s="1000"/>
      <c r="MRA31" s="1000"/>
      <c r="MRB31" s="1000"/>
      <c r="MRC31" s="1000"/>
      <c r="MRD31" s="1000"/>
      <c r="MRE31" s="1000"/>
      <c r="MRF31" s="1000"/>
      <c r="MRG31" s="1000"/>
      <c r="MRH31" s="1000"/>
      <c r="MRI31" s="1000"/>
      <c r="MRJ31" s="1000"/>
      <c r="MRK31" s="1000"/>
      <c r="MRL31" s="1000"/>
      <c r="MRM31" s="1000"/>
      <c r="MRN31" s="1000"/>
      <c r="MRO31" s="1000"/>
      <c r="MRP31" s="1000"/>
      <c r="MRQ31" s="1000"/>
      <c r="MRR31" s="1000"/>
      <c r="MRS31" s="1000"/>
      <c r="MRT31" s="1000"/>
      <c r="MRU31" s="1000"/>
      <c r="MRV31" s="1000"/>
      <c r="MRW31" s="1000"/>
      <c r="MRX31" s="1000"/>
      <c r="MRY31" s="1000"/>
      <c r="MRZ31" s="1000"/>
      <c r="MSA31" s="1000"/>
      <c r="MSB31" s="1000"/>
      <c r="MSC31" s="1000"/>
      <c r="MSD31" s="1000"/>
      <c r="MSE31" s="1000"/>
      <c r="MSF31" s="1000"/>
      <c r="MSG31" s="1000"/>
      <c r="MSH31" s="1000"/>
      <c r="MSI31" s="1000"/>
      <c r="MSJ31" s="1000"/>
      <c r="MSK31" s="1000"/>
      <c r="MSL31" s="1000"/>
      <c r="MSM31" s="1000"/>
      <c r="MSN31" s="1000"/>
      <c r="MSO31" s="1000"/>
      <c r="MSP31" s="1000"/>
      <c r="MSQ31" s="1000"/>
      <c r="MSR31" s="1000"/>
      <c r="MSS31" s="1000"/>
      <c r="MST31" s="1000"/>
      <c r="MSU31" s="1000"/>
      <c r="MSV31" s="1000"/>
      <c r="MSW31" s="1000"/>
      <c r="MSX31" s="1000"/>
      <c r="MSY31" s="1000"/>
      <c r="MSZ31" s="1000"/>
      <c r="MTA31" s="1000"/>
      <c r="MTB31" s="1000"/>
      <c r="MTC31" s="1000"/>
      <c r="MTD31" s="1000"/>
      <c r="MTE31" s="1000"/>
      <c r="MTF31" s="1000"/>
      <c r="MTG31" s="1000"/>
      <c r="MTH31" s="1000"/>
      <c r="MTI31" s="1000"/>
      <c r="MTJ31" s="1000"/>
      <c r="MTK31" s="1000"/>
      <c r="MTL31" s="1000"/>
      <c r="MTM31" s="1000"/>
      <c r="MTN31" s="1000"/>
      <c r="MTO31" s="1000"/>
      <c r="MTP31" s="1000"/>
      <c r="MTQ31" s="1000"/>
      <c r="MTR31" s="1000"/>
      <c r="MTS31" s="1000"/>
      <c r="MTT31" s="1000"/>
      <c r="MTU31" s="1000"/>
      <c r="MTV31" s="1000"/>
      <c r="MTW31" s="1000"/>
      <c r="MTX31" s="1000"/>
      <c r="MTY31" s="1000"/>
      <c r="MTZ31" s="1000"/>
      <c r="MUA31" s="1000"/>
      <c r="MUB31" s="1000"/>
      <c r="MUC31" s="1000"/>
      <c r="MUD31" s="1000"/>
      <c r="MUE31" s="1000"/>
      <c r="MUF31" s="1000"/>
      <c r="MUG31" s="1000"/>
      <c r="MUH31" s="1000"/>
      <c r="MUI31" s="1000"/>
      <c r="MUJ31" s="1000"/>
      <c r="MUK31" s="1000"/>
      <c r="MUL31" s="1000"/>
      <c r="MUM31" s="1000"/>
      <c r="MUN31" s="1000"/>
      <c r="MUO31" s="1000"/>
      <c r="MUP31" s="1000"/>
      <c r="MUQ31" s="1000"/>
      <c r="MUR31" s="1000"/>
      <c r="MUS31" s="1000"/>
      <c r="MUT31" s="1000"/>
      <c r="MUU31" s="1000"/>
      <c r="MUV31" s="1000"/>
      <c r="MUW31" s="1000"/>
      <c r="MUX31" s="1000"/>
      <c r="MUY31" s="1000"/>
      <c r="MUZ31" s="1000"/>
      <c r="MVA31" s="1000"/>
      <c r="MVB31" s="1000"/>
      <c r="MVC31" s="1000"/>
      <c r="MVD31" s="1000"/>
      <c r="MVE31" s="1000"/>
      <c r="MVF31" s="1000"/>
      <c r="MVG31" s="1000"/>
      <c r="MVH31" s="1000"/>
      <c r="MVI31" s="1000"/>
      <c r="MVJ31" s="1000"/>
      <c r="MVK31" s="1000"/>
      <c r="MVL31" s="1000"/>
      <c r="MVM31" s="1000"/>
      <c r="MVN31" s="1000"/>
      <c r="MVO31" s="1000"/>
      <c r="MVP31" s="1000"/>
      <c r="MVQ31" s="1000"/>
      <c r="MVR31" s="1000"/>
      <c r="MVS31" s="1000"/>
      <c r="MVT31" s="1000"/>
      <c r="MVU31" s="1000"/>
      <c r="MVV31" s="1000"/>
      <c r="MVW31" s="1000"/>
      <c r="MVX31" s="1000"/>
      <c r="MVY31" s="1000"/>
      <c r="MVZ31" s="1000"/>
      <c r="MWA31" s="1000"/>
      <c r="MWB31" s="1000"/>
      <c r="MWC31" s="1000"/>
      <c r="MWD31" s="1000"/>
      <c r="MWE31" s="1000"/>
      <c r="MWF31" s="1000"/>
      <c r="MWG31" s="1000"/>
      <c r="MWH31" s="1000"/>
      <c r="MWI31" s="1000"/>
      <c r="MWJ31" s="1000"/>
      <c r="MWK31" s="1000"/>
      <c r="MWL31" s="1000"/>
      <c r="MWM31" s="1000"/>
      <c r="MWN31" s="1000"/>
      <c r="MWO31" s="1000"/>
      <c r="MWP31" s="1000"/>
      <c r="MWQ31" s="1000"/>
      <c r="MWR31" s="1000"/>
      <c r="MWS31" s="1000"/>
      <c r="MWT31" s="1000"/>
      <c r="MWU31" s="1000"/>
      <c r="MWV31" s="1000"/>
      <c r="MWW31" s="1000"/>
      <c r="MWX31" s="1000"/>
      <c r="MWY31" s="1000"/>
      <c r="MWZ31" s="1000"/>
      <c r="MXA31" s="1000"/>
      <c r="MXB31" s="1000"/>
      <c r="MXC31" s="1000"/>
      <c r="MXD31" s="1000"/>
      <c r="MXE31" s="1000"/>
      <c r="MXF31" s="1000"/>
      <c r="MXG31" s="1000"/>
      <c r="MXH31" s="1000"/>
      <c r="MXI31" s="1000"/>
      <c r="MXJ31" s="1000"/>
      <c r="MXK31" s="1000"/>
      <c r="MXL31" s="1000"/>
      <c r="MXM31" s="1000"/>
      <c r="MXN31" s="1000"/>
      <c r="MXO31" s="1000"/>
      <c r="MXP31" s="1000"/>
      <c r="MXQ31" s="1000"/>
      <c r="MXR31" s="1000"/>
      <c r="MXS31" s="1000"/>
      <c r="MXT31" s="1000"/>
      <c r="MXU31" s="1000"/>
      <c r="MXV31" s="1000"/>
      <c r="MXW31" s="1000"/>
      <c r="MXX31" s="1000"/>
      <c r="MXY31" s="1000"/>
      <c r="MXZ31" s="1000"/>
      <c r="MYA31" s="1000"/>
      <c r="MYB31" s="1000"/>
      <c r="MYC31" s="1000"/>
      <c r="MYD31" s="1000"/>
      <c r="MYE31" s="1000"/>
      <c r="MYF31" s="1000"/>
      <c r="MYG31" s="1000"/>
      <c r="MYH31" s="1000"/>
      <c r="MYI31" s="1000"/>
      <c r="MYJ31" s="1000"/>
      <c r="MYK31" s="1000"/>
      <c r="MYL31" s="1000"/>
      <c r="MYM31" s="1000"/>
      <c r="MYN31" s="1000"/>
      <c r="MYO31" s="1000"/>
      <c r="MYP31" s="1000"/>
      <c r="MYQ31" s="1000"/>
      <c r="MYR31" s="1000"/>
      <c r="MYS31" s="1000"/>
      <c r="MYT31" s="1000"/>
      <c r="MYU31" s="1000"/>
      <c r="MYV31" s="1000"/>
      <c r="MYW31" s="1000"/>
      <c r="MYX31" s="1000"/>
      <c r="MYY31" s="1000"/>
      <c r="MYZ31" s="1000"/>
      <c r="MZA31" s="1000"/>
      <c r="MZB31" s="1000"/>
      <c r="MZC31" s="1000"/>
      <c r="MZD31" s="1000"/>
      <c r="MZE31" s="1000"/>
      <c r="MZF31" s="1000"/>
      <c r="MZG31" s="1000"/>
      <c r="MZH31" s="1000"/>
      <c r="MZI31" s="1000"/>
      <c r="MZJ31" s="1000"/>
      <c r="MZK31" s="1000"/>
      <c r="MZL31" s="1000"/>
      <c r="MZM31" s="1000"/>
      <c r="MZN31" s="1000"/>
      <c r="MZO31" s="1000"/>
      <c r="MZP31" s="1000"/>
      <c r="MZQ31" s="1000"/>
      <c r="MZR31" s="1000"/>
      <c r="MZS31" s="1000"/>
      <c r="MZT31" s="1000"/>
      <c r="MZU31" s="1000"/>
      <c r="MZV31" s="1000"/>
      <c r="MZW31" s="1000"/>
      <c r="MZX31" s="1000"/>
      <c r="MZY31" s="1000"/>
      <c r="MZZ31" s="1000"/>
      <c r="NAA31" s="1000"/>
      <c r="NAB31" s="1000"/>
      <c r="NAC31" s="1000"/>
      <c r="NAD31" s="1000"/>
      <c r="NAE31" s="1000"/>
      <c r="NAF31" s="1000"/>
      <c r="NAG31" s="1000"/>
      <c r="NAH31" s="1000"/>
      <c r="NAI31" s="1000"/>
      <c r="NAJ31" s="1000"/>
      <c r="NAK31" s="1000"/>
      <c r="NAL31" s="1000"/>
      <c r="NAM31" s="1000"/>
      <c r="NAN31" s="1000"/>
      <c r="NAO31" s="1000"/>
      <c r="NAP31" s="1000"/>
      <c r="NAQ31" s="1000"/>
      <c r="NAR31" s="1000"/>
      <c r="NAS31" s="1000"/>
      <c r="NAT31" s="1000"/>
      <c r="NAU31" s="1000"/>
      <c r="NAV31" s="1000"/>
      <c r="NAW31" s="1000"/>
      <c r="NAX31" s="1000"/>
      <c r="NAY31" s="1000"/>
      <c r="NAZ31" s="1000"/>
      <c r="NBA31" s="1000"/>
      <c r="NBB31" s="1000"/>
      <c r="NBC31" s="1000"/>
      <c r="NBD31" s="1000"/>
      <c r="NBE31" s="1000"/>
      <c r="NBF31" s="1000"/>
      <c r="NBG31" s="1000"/>
      <c r="NBH31" s="1000"/>
      <c r="NBI31" s="1000"/>
      <c r="NBJ31" s="1000"/>
      <c r="NBK31" s="1000"/>
      <c r="NBL31" s="1000"/>
      <c r="NBM31" s="1000"/>
      <c r="NBN31" s="1000"/>
      <c r="NBO31" s="1000"/>
      <c r="NBP31" s="1000"/>
      <c r="NBQ31" s="1000"/>
      <c r="NBR31" s="1000"/>
      <c r="NBS31" s="1000"/>
      <c r="NBT31" s="1000"/>
      <c r="NBU31" s="1000"/>
      <c r="NBV31" s="1000"/>
      <c r="NBW31" s="1000"/>
      <c r="NBX31" s="1000"/>
      <c r="NBY31" s="1000"/>
      <c r="NBZ31" s="1000"/>
      <c r="NCA31" s="1000"/>
      <c r="NCB31" s="1000"/>
      <c r="NCC31" s="1000"/>
      <c r="NCD31" s="1000"/>
      <c r="NCE31" s="1000"/>
      <c r="NCF31" s="1000"/>
      <c r="NCG31" s="1000"/>
      <c r="NCH31" s="1000"/>
      <c r="NCI31" s="1000"/>
      <c r="NCJ31" s="1000"/>
      <c r="NCK31" s="1000"/>
      <c r="NCL31" s="1000"/>
      <c r="NCM31" s="1000"/>
      <c r="NCN31" s="1000"/>
      <c r="NCO31" s="1000"/>
      <c r="NCP31" s="1000"/>
      <c r="NCQ31" s="1000"/>
      <c r="NCR31" s="1000"/>
      <c r="NCS31" s="1000"/>
      <c r="NCT31" s="1000"/>
      <c r="NCU31" s="1000"/>
      <c r="NCV31" s="1000"/>
      <c r="NCW31" s="1000"/>
      <c r="NCX31" s="1000"/>
      <c r="NCY31" s="1000"/>
      <c r="NCZ31" s="1000"/>
      <c r="NDA31" s="1000"/>
      <c r="NDB31" s="1000"/>
      <c r="NDC31" s="1000"/>
      <c r="NDD31" s="1000"/>
      <c r="NDE31" s="1000"/>
      <c r="NDF31" s="1000"/>
      <c r="NDG31" s="1000"/>
      <c r="NDH31" s="1000"/>
      <c r="NDI31" s="1000"/>
      <c r="NDJ31" s="1000"/>
      <c r="NDK31" s="1000"/>
      <c r="NDL31" s="1000"/>
      <c r="NDM31" s="1000"/>
      <c r="NDN31" s="1000"/>
      <c r="NDO31" s="1000"/>
      <c r="NDP31" s="1000"/>
      <c r="NDQ31" s="1000"/>
      <c r="NDR31" s="1000"/>
      <c r="NDS31" s="1000"/>
      <c r="NDT31" s="1000"/>
      <c r="NDU31" s="1000"/>
      <c r="NDV31" s="1000"/>
      <c r="NDW31" s="1000"/>
      <c r="NDX31" s="1000"/>
      <c r="NDY31" s="1000"/>
      <c r="NDZ31" s="1000"/>
      <c r="NEA31" s="1000"/>
      <c r="NEB31" s="1000"/>
      <c r="NEC31" s="1000"/>
      <c r="NED31" s="1000"/>
      <c r="NEE31" s="1000"/>
      <c r="NEF31" s="1000"/>
      <c r="NEG31" s="1000"/>
      <c r="NEH31" s="1000"/>
      <c r="NEI31" s="1000"/>
      <c r="NEJ31" s="1000"/>
      <c r="NEK31" s="1000"/>
      <c r="NEL31" s="1000"/>
      <c r="NEM31" s="1000"/>
      <c r="NEN31" s="1000"/>
      <c r="NEO31" s="1000"/>
      <c r="NEP31" s="1000"/>
      <c r="NEQ31" s="1000"/>
      <c r="NER31" s="1000"/>
      <c r="NES31" s="1000"/>
      <c r="NET31" s="1000"/>
      <c r="NEU31" s="1000"/>
      <c r="NEV31" s="1000"/>
      <c r="NEW31" s="1000"/>
      <c r="NEX31" s="1000"/>
      <c r="NEY31" s="1000"/>
      <c r="NEZ31" s="1000"/>
      <c r="NFA31" s="1000"/>
      <c r="NFB31" s="1000"/>
      <c r="NFC31" s="1000"/>
      <c r="NFD31" s="1000"/>
      <c r="NFE31" s="1000"/>
      <c r="NFF31" s="1000"/>
      <c r="NFG31" s="1000"/>
      <c r="NFH31" s="1000"/>
      <c r="NFI31" s="1000"/>
      <c r="NFJ31" s="1000"/>
      <c r="NFK31" s="1000"/>
      <c r="NFL31" s="1000"/>
      <c r="NFM31" s="1000"/>
      <c r="NFN31" s="1000"/>
      <c r="NFO31" s="1000"/>
      <c r="NFP31" s="1000"/>
      <c r="NFQ31" s="1000"/>
      <c r="NFR31" s="1000"/>
      <c r="NFS31" s="1000"/>
      <c r="NFT31" s="1000"/>
      <c r="NFU31" s="1000"/>
      <c r="NFV31" s="1000"/>
      <c r="NFW31" s="1000"/>
      <c r="NFX31" s="1000"/>
      <c r="NFY31" s="1000"/>
      <c r="NFZ31" s="1000"/>
      <c r="NGA31" s="1000"/>
      <c r="NGB31" s="1000"/>
      <c r="NGC31" s="1000"/>
      <c r="NGD31" s="1000"/>
      <c r="NGE31" s="1000"/>
      <c r="NGF31" s="1000"/>
      <c r="NGG31" s="1000"/>
      <c r="NGH31" s="1000"/>
      <c r="NGI31" s="1000"/>
      <c r="NGJ31" s="1000"/>
      <c r="NGK31" s="1000"/>
      <c r="NGL31" s="1000"/>
      <c r="NGM31" s="1000"/>
      <c r="NGN31" s="1000"/>
      <c r="NGO31" s="1000"/>
      <c r="NGP31" s="1000"/>
      <c r="NGQ31" s="1000"/>
      <c r="NGR31" s="1000"/>
      <c r="NGS31" s="1000"/>
      <c r="NGT31" s="1000"/>
      <c r="NGU31" s="1000"/>
      <c r="NGV31" s="1000"/>
      <c r="NGW31" s="1000"/>
      <c r="NGX31" s="1000"/>
      <c r="NGY31" s="1000"/>
      <c r="NGZ31" s="1000"/>
      <c r="NHA31" s="1000"/>
      <c r="NHB31" s="1000"/>
      <c r="NHC31" s="1000"/>
      <c r="NHD31" s="1000"/>
      <c r="NHE31" s="1000"/>
      <c r="NHF31" s="1000"/>
      <c r="NHG31" s="1000"/>
      <c r="NHH31" s="1000"/>
      <c r="NHI31" s="1000"/>
      <c r="NHJ31" s="1000"/>
      <c r="NHK31" s="1000"/>
      <c r="NHL31" s="1000"/>
      <c r="NHM31" s="1000"/>
      <c r="NHN31" s="1000"/>
      <c r="NHO31" s="1000"/>
      <c r="NHP31" s="1000"/>
      <c r="NHQ31" s="1000"/>
      <c r="NHR31" s="1000"/>
      <c r="NHS31" s="1000"/>
      <c r="NHT31" s="1000"/>
      <c r="NHU31" s="1000"/>
      <c r="NHV31" s="1000"/>
      <c r="NHW31" s="1000"/>
      <c r="NHX31" s="1000"/>
      <c r="NHY31" s="1000"/>
      <c r="NHZ31" s="1000"/>
      <c r="NIA31" s="1000"/>
      <c r="NIB31" s="1000"/>
      <c r="NIC31" s="1000"/>
      <c r="NID31" s="1000"/>
      <c r="NIE31" s="1000"/>
      <c r="NIF31" s="1000"/>
      <c r="NIG31" s="1000"/>
      <c r="NIH31" s="1000"/>
      <c r="NII31" s="1000"/>
      <c r="NIJ31" s="1000"/>
      <c r="NIK31" s="1000"/>
      <c r="NIL31" s="1000"/>
      <c r="NIM31" s="1000"/>
      <c r="NIN31" s="1000"/>
      <c r="NIO31" s="1000"/>
      <c r="NIP31" s="1000"/>
      <c r="NIQ31" s="1000"/>
      <c r="NIR31" s="1000"/>
      <c r="NIS31" s="1000"/>
      <c r="NIT31" s="1000"/>
      <c r="NIU31" s="1000"/>
      <c r="NIV31" s="1000"/>
      <c r="NIW31" s="1000"/>
      <c r="NIX31" s="1000"/>
      <c r="NIY31" s="1000"/>
      <c r="NIZ31" s="1000"/>
      <c r="NJA31" s="1000"/>
      <c r="NJB31" s="1000"/>
      <c r="NJC31" s="1000"/>
      <c r="NJD31" s="1000"/>
      <c r="NJE31" s="1000"/>
      <c r="NJF31" s="1000"/>
      <c r="NJG31" s="1000"/>
      <c r="NJH31" s="1000"/>
      <c r="NJI31" s="1000"/>
      <c r="NJJ31" s="1000"/>
      <c r="NJK31" s="1000"/>
      <c r="NJL31" s="1000"/>
      <c r="NJM31" s="1000"/>
      <c r="NJN31" s="1000"/>
      <c r="NJO31" s="1000"/>
      <c r="NJP31" s="1000"/>
      <c r="NJQ31" s="1000"/>
      <c r="NJR31" s="1000"/>
      <c r="NJS31" s="1000"/>
      <c r="NJT31" s="1000"/>
      <c r="NJU31" s="1000"/>
      <c r="NJV31" s="1000"/>
      <c r="NJW31" s="1000"/>
      <c r="NJX31" s="1000"/>
      <c r="NJY31" s="1000"/>
      <c r="NJZ31" s="1000"/>
      <c r="NKA31" s="1000"/>
      <c r="NKB31" s="1000"/>
      <c r="NKC31" s="1000"/>
      <c r="NKD31" s="1000"/>
      <c r="NKE31" s="1000"/>
      <c r="NKF31" s="1000"/>
      <c r="NKG31" s="1000"/>
      <c r="NKH31" s="1000"/>
      <c r="NKI31" s="1000"/>
      <c r="NKJ31" s="1000"/>
      <c r="NKK31" s="1000"/>
      <c r="NKL31" s="1000"/>
      <c r="NKM31" s="1000"/>
      <c r="NKN31" s="1000"/>
      <c r="NKO31" s="1000"/>
      <c r="NKP31" s="1000"/>
      <c r="NKQ31" s="1000"/>
      <c r="NKR31" s="1000"/>
      <c r="NKS31" s="1000"/>
      <c r="NKT31" s="1000"/>
      <c r="NKU31" s="1000"/>
      <c r="NKV31" s="1000"/>
      <c r="NKW31" s="1000"/>
      <c r="NKX31" s="1000"/>
      <c r="NKY31" s="1000"/>
      <c r="NKZ31" s="1000"/>
      <c r="NLA31" s="1000"/>
      <c r="NLB31" s="1000"/>
      <c r="NLC31" s="1000"/>
      <c r="NLD31" s="1000"/>
      <c r="NLE31" s="1000"/>
      <c r="NLF31" s="1000"/>
      <c r="NLG31" s="1000"/>
      <c r="NLH31" s="1000"/>
      <c r="NLI31" s="1000"/>
      <c r="NLJ31" s="1000"/>
      <c r="NLK31" s="1000"/>
      <c r="NLL31" s="1000"/>
      <c r="NLM31" s="1000"/>
      <c r="NLN31" s="1000"/>
      <c r="NLO31" s="1000"/>
      <c r="NLP31" s="1000"/>
      <c r="NLQ31" s="1000"/>
      <c r="NLR31" s="1000"/>
      <c r="NLS31" s="1000"/>
      <c r="NLT31" s="1000"/>
      <c r="NLU31" s="1000"/>
      <c r="NLV31" s="1000"/>
      <c r="NLW31" s="1000"/>
      <c r="NLX31" s="1000"/>
      <c r="NLY31" s="1000"/>
      <c r="NLZ31" s="1000"/>
      <c r="NMA31" s="1000"/>
      <c r="NMB31" s="1000"/>
      <c r="NMC31" s="1000"/>
      <c r="NMD31" s="1000"/>
      <c r="NME31" s="1000"/>
      <c r="NMF31" s="1000"/>
      <c r="NMG31" s="1000"/>
      <c r="NMH31" s="1000"/>
      <c r="NMI31" s="1000"/>
      <c r="NMJ31" s="1000"/>
      <c r="NMK31" s="1000"/>
      <c r="NML31" s="1000"/>
      <c r="NMM31" s="1000"/>
      <c r="NMN31" s="1000"/>
      <c r="NMO31" s="1000"/>
      <c r="NMP31" s="1000"/>
      <c r="NMQ31" s="1000"/>
      <c r="NMR31" s="1000"/>
      <c r="NMS31" s="1000"/>
      <c r="NMT31" s="1000"/>
      <c r="NMU31" s="1000"/>
      <c r="NMV31" s="1000"/>
      <c r="NMW31" s="1000"/>
      <c r="NMX31" s="1000"/>
      <c r="NMY31" s="1000"/>
      <c r="NMZ31" s="1000"/>
      <c r="NNA31" s="1000"/>
      <c r="NNB31" s="1000"/>
      <c r="NNC31" s="1000"/>
      <c r="NND31" s="1000"/>
      <c r="NNE31" s="1000"/>
      <c r="NNF31" s="1000"/>
      <c r="NNG31" s="1000"/>
      <c r="NNH31" s="1000"/>
      <c r="NNI31" s="1000"/>
      <c r="NNJ31" s="1000"/>
      <c r="NNK31" s="1000"/>
      <c r="NNL31" s="1000"/>
      <c r="NNM31" s="1000"/>
      <c r="NNN31" s="1000"/>
      <c r="NNO31" s="1000"/>
      <c r="NNP31" s="1000"/>
      <c r="NNQ31" s="1000"/>
      <c r="NNR31" s="1000"/>
      <c r="NNS31" s="1000"/>
      <c r="NNT31" s="1000"/>
      <c r="NNU31" s="1000"/>
      <c r="NNV31" s="1000"/>
      <c r="NNW31" s="1000"/>
      <c r="NNX31" s="1000"/>
      <c r="NNY31" s="1000"/>
      <c r="NNZ31" s="1000"/>
      <c r="NOA31" s="1000"/>
      <c r="NOB31" s="1000"/>
      <c r="NOC31" s="1000"/>
      <c r="NOD31" s="1000"/>
      <c r="NOE31" s="1000"/>
      <c r="NOF31" s="1000"/>
      <c r="NOG31" s="1000"/>
      <c r="NOH31" s="1000"/>
      <c r="NOI31" s="1000"/>
      <c r="NOJ31" s="1000"/>
      <c r="NOK31" s="1000"/>
      <c r="NOL31" s="1000"/>
      <c r="NOM31" s="1000"/>
      <c r="NON31" s="1000"/>
      <c r="NOO31" s="1000"/>
      <c r="NOP31" s="1000"/>
      <c r="NOQ31" s="1000"/>
      <c r="NOR31" s="1000"/>
      <c r="NOS31" s="1000"/>
      <c r="NOT31" s="1000"/>
      <c r="NOU31" s="1000"/>
      <c r="NOV31" s="1000"/>
      <c r="NOW31" s="1000"/>
      <c r="NOX31" s="1000"/>
      <c r="NOY31" s="1000"/>
      <c r="NOZ31" s="1000"/>
      <c r="NPA31" s="1000"/>
      <c r="NPB31" s="1000"/>
      <c r="NPC31" s="1000"/>
      <c r="NPD31" s="1000"/>
      <c r="NPE31" s="1000"/>
      <c r="NPF31" s="1000"/>
      <c r="NPG31" s="1000"/>
      <c r="NPH31" s="1000"/>
      <c r="NPI31" s="1000"/>
      <c r="NPJ31" s="1000"/>
      <c r="NPK31" s="1000"/>
      <c r="NPL31" s="1000"/>
      <c r="NPM31" s="1000"/>
      <c r="NPN31" s="1000"/>
      <c r="NPO31" s="1000"/>
      <c r="NPP31" s="1000"/>
      <c r="NPQ31" s="1000"/>
      <c r="NPR31" s="1000"/>
      <c r="NPS31" s="1000"/>
      <c r="NPT31" s="1000"/>
      <c r="NPU31" s="1000"/>
      <c r="NPV31" s="1000"/>
      <c r="NPW31" s="1000"/>
      <c r="NPX31" s="1000"/>
      <c r="NPY31" s="1000"/>
      <c r="NPZ31" s="1000"/>
      <c r="NQA31" s="1000"/>
      <c r="NQB31" s="1000"/>
      <c r="NQC31" s="1000"/>
      <c r="NQD31" s="1000"/>
      <c r="NQE31" s="1000"/>
      <c r="NQF31" s="1000"/>
      <c r="NQG31" s="1000"/>
      <c r="NQH31" s="1000"/>
      <c r="NQI31" s="1000"/>
      <c r="NQJ31" s="1000"/>
      <c r="NQK31" s="1000"/>
      <c r="NQL31" s="1000"/>
      <c r="NQM31" s="1000"/>
      <c r="NQN31" s="1000"/>
      <c r="NQO31" s="1000"/>
      <c r="NQP31" s="1000"/>
      <c r="NQQ31" s="1000"/>
      <c r="NQR31" s="1000"/>
      <c r="NQS31" s="1000"/>
      <c r="NQT31" s="1000"/>
      <c r="NQU31" s="1000"/>
      <c r="NQV31" s="1000"/>
      <c r="NQW31" s="1000"/>
      <c r="NQX31" s="1000"/>
      <c r="NQY31" s="1000"/>
      <c r="NQZ31" s="1000"/>
      <c r="NRA31" s="1000"/>
      <c r="NRB31" s="1000"/>
      <c r="NRC31" s="1000"/>
      <c r="NRD31" s="1000"/>
      <c r="NRE31" s="1000"/>
      <c r="NRF31" s="1000"/>
      <c r="NRG31" s="1000"/>
      <c r="NRH31" s="1000"/>
      <c r="NRI31" s="1000"/>
      <c r="NRJ31" s="1000"/>
      <c r="NRK31" s="1000"/>
      <c r="NRL31" s="1000"/>
      <c r="NRM31" s="1000"/>
      <c r="NRN31" s="1000"/>
      <c r="NRO31" s="1000"/>
      <c r="NRP31" s="1000"/>
      <c r="NRQ31" s="1000"/>
      <c r="NRR31" s="1000"/>
      <c r="NRS31" s="1000"/>
      <c r="NRT31" s="1000"/>
      <c r="NRU31" s="1000"/>
      <c r="NRV31" s="1000"/>
      <c r="NRW31" s="1000"/>
      <c r="NRX31" s="1000"/>
      <c r="NRY31" s="1000"/>
      <c r="NRZ31" s="1000"/>
      <c r="NSA31" s="1000"/>
      <c r="NSB31" s="1000"/>
      <c r="NSC31" s="1000"/>
      <c r="NSD31" s="1000"/>
      <c r="NSE31" s="1000"/>
      <c r="NSF31" s="1000"/>
      <c r="NSG31" s="1000"/>
      <c r="NSH31" s="1000"/>
      <c r="NSI31" s="1000"/>
      <c r="NSJ31" s="1000"/>
      <c r="NSK31" s="1000"/>
      <c r="NSL31" s="1000"/>
      <c r="NSM31" s="1000"/>
      <c r="NSN31" s="1000"/>
      <c r="NSO31" s="1000"/>
      <c r="NSP31" s="1000"/>
      <c r="NSQ31" s="1000"/>
      <c r="NSR31" s="1000"/>
      <c r="NSS31" s="1000"/>
      <c r="NST31" s="1000"/>
      <c r="NSU31" s="1000"/>
      <c r="NSV31" s="1000"/>
      <c r="NSW31" s="1000"/>
      <c r="NSX31" s="1000"/>
      <c r="NSY31" s="1000"/>
      <c r="NSZ31" s="1000"/>
      <c r="NTA31" s="1000"/>
      <c r="NTB31" s="1000"/>
      <c r="NTC31" s="1000"/>
      <c r="NTD31" s="1000"/>
      <c r="NTE31" s="1000"/>
      <c r="NTF31" s="1000"/>
      <c r="NTG31" s="1000"/>
      <c r="NTH31" s="1000"/>
      <c r="NTI31" s="1000"/>
      <c r="NTJ31" s="1000"/>
      <c r="NTK31" s="1000"/>
      <c r="NTL31" s="1000"/>
      <c r="NTM31" s="1000"/>
      <c r="NTN31" s="1000"/>
      <c r="NTO31" s="1000"/>
      <c r="NTP31" s="1000"/>
      <c r="NTQ31" s="1000"/>
      <c r="NTR31" s="1000"/>
      <c r="NTS31" s="1000"/>
      <c r="NTT31" s="1000"/>
      <c r="NTU31" s="1000"/>
      <c r="NTV31" s="1000"/>
      <c r="NTW31" s="1000"/>
      <c r="NTX31" s="1000"/>
      <c r="NTY31" s="1000"/>
      <c r="NTZ31" s="1000"/>
      <c r="NUA31" s="1000"/>
      <c r="NUB31" s="1000"/>
      <c r="NUC31" s="1000"/>
      <c r="NUD31" s="1000"/>
      <c r="NUE31" s="1000"/>
      <c r="NUF31" s="1000"/>
      <c r="NUG31" s="1000"/>
      <c r="NUH31" s="1000"/>
      <c r="NUI31" s="1000"/>
      <c r="NUJ31" s="1000"/>
      <c r="NUK31" s="1000"/>
      <c r="NUL31" s="1000"/>
      <c r="NUM31" s="1000"/>
      <c r="NUN31" s="1000"/>
      <c r="NUO31" s="1000"/>
      <c r="NUP31" s="1000"/>
      <c r="NUQ31" s="1000"/>
      <c r="NUR31" s="1000"/>
      <c r="NUS31" s="1000"/>
      <c r="NUT31" s="1000"/>
      <c r="NUU31" s="1000"/>
      <c r="NUV31" s="1000"/>
      <c r="NUW31" s="1000"/>
      <c r="NUX31" s="1000"/>
      <c r="NUY31" s="1000"/>
      <c r="NUZ31" s="1000"/>
      <c r="NVA31" s="1000"/>
      <c r="NVB31" s="1000"/>
      <c r="NVC31" s="1000"/>
      <c r="NVD31" s="1000"/>
      <c r="NVE31" s="1000"/>
      <c r="NVF31" s="1000"/>
      <c r="NVG31" s="1000"/>
      <c r="NVH31" s="1000"/>
      <c r="NVI31" s="1000"/>
      <c r="NVJ31" s="1000"/>
      <c r="NVK31" s="1000"/>
      <c r="NVL31" s="1000"/>
      <c r="NVM31" s="1000"/>
      <c r="NVN31" s="1000"/>
      <c r="NVO31" s="1000"/>
      <c r="NVP31" s="1000"/>
      <c r="NVQ31" s="1000"/>
      <c r="NVR31" s="1000"/>
      <c r="NVS31" s="1000"/>
      <c r="NVT31" s="1000"/>
      <c r="NVU31" s="1000"/>
      <c r="NVV31" s="1000"/>
      <c r="NVW31" s="1000"/>
      <c r="NVX31" s="1000"/>
      <c r="NVY31" s="1000"/>
      <c r="NVZ31" s="1000"/>
      <c r="NWA31" s="1000"/>
      <c r="NWB31" s="1000"/>
      <c r="NWC31" s="1000"/>
      <c r="NWD31" s="1000"/>
      <c r="NWE31" s="1000"/>
      <c r="NWF31" s="1000"/>
      <c r="NWG31" s="1000"/>
      <c r="NWH31" s="1000"/>
      <c r="NWI31" s="1000"/>
      <c r="NWJ31" s="1000"/>
      <c r="NWK31" s="1000"/>
      <c r="NWL31" s="1000"/>
      <c r="NWM31" s="1000"/>
      <c r="NWN31" s="1000"/>
      <c r="NWO31" s="1000"/>
      <c r="NWP31" s="1000"/>
      <c r="NWQ31" s="1000"/>
      <c r="NWR31" s="1000"/>
      <c r="NWS31" s="1000"/>
      <c r="NWT31" s="1000"/>
      <c r="NWU31" s="1000"/>
      <c r="NWV31" s="1000"/>
      <c r="NWW31" s="1000"/>
      <c r="NWX31" s="1000"/>
      <c r="NWY31" s="1000"/>
      <c r="NWZ31" s="1000"/>
      <c r="NXA31" s="1000"/>
      <c r="NXB31" s="1000"/>
      <c r="NXC31" s="1000"/>
      <c r="NXD31" s="1000"/>
      <c r="NXE31" s="1000"/>
      <c r="NXF31" s="1000"/>
      <c r="NXG31" s="1000"/>
      <c r="NXH31" s="1000"/>
      <c r="NXI31" s="1000"/>
      <c r="NXJ31" s="1000"/>
      <c r="NXK31" s="1000"/>
      <c r="NXL31" s="1000"/>
      <c r="NXM31" s="1000"/>
      <c r="NXN31" s="1000"/>
      <c r="NXO31" s="1000"/>
      <c r="NXP31" s="1000"/>
      <c r="NXQ31" s="1000"/>
      <c r="NXR31" s="1000"/>
      <c r="NXS31" s="1000"/>
      <c r="NXT31" s="1000"/>
      <c r="NXU31" s="1000"/>
      <c r="NXV31" s="1000"/>
      <c r="NXW31" s="1000"/>
      <c r="NXX31" s="1000"/>
      <c r="NXY31" s="1000"/>
      <c r="NXZ31" s="1000"/>
      <c r="NYA31" s="1000"/>
      <c r="NYB31" s="1000"/>
      <c r="NYC31" s="1000"/>
      <c r="NYD31" s="1000"/>
      <c r="NYE31" s="1000"/>
      <c r="NYF31" s="1000"/>
      <c r="NYG31" s="1000"/>
      <c r="NYH31" s="1000"/>
      <c r="NYI31" s="1000"/>
      <c r="NYJ31" s="1000"/>
      <c r="NYK31" s="1000"/>
      <c r="NYL31" s="1000"/>
      <c r="NYM31" s="1000"/>
      <c r="NYN31" s="1000"/>
      <c r="NYO31" s="1000"/>
      <c r="NYP31" s="1000"/>
      <c r="NYQ31" s="1000"/>
      <c r="NYR31" s="1000"/>
      <c r="NYS31" s="1000"/>
      <c r="NYT31" s="1000"/>
      <c r="NYU31" s="1000"/>
      <c r="NYV31" s="1000"/>
      <c r="NYW31" s="1000"/>
      <c r="NYX31" s="1000"/>
      <c r="NYY31" s="1000"/>
      <c r="NYZ31" s="1000"/>
      <c r="NZA31" s="1000"/>
      <c r="NZB31" s="1000"/>
      <c r="NZC31" s="1000"/>
      <c r="NZD31" s="1000"/>
      <c r="NZE31" s="1000"/>
      <c r="NZF31" s="1000"/>
      <c r="NZG31" s="1000"/>
      <c r="NZH31" s="1000"/>
      <c r="NZI31" s="1000"/>
      <c r="NZJ31" s="1000"/>
      <c r="NZK31" s="1000"/>
      <c r="NZL31" s="1000"/>
      <c r="NZM31" s="1000"/>
      <c r="NZN31" s="1000"/>
      <c r="NZO31" s="1000"/>
      <c r="NZP31" s="1000"/>
      <c r="NZQ31" s="1000"/>
      <c r="NZR31" s="1000"/>
      <c r="NZS31" s="1000"/>
      <c r="NZT31" s="1000"/>
      <c r="NZU31" s="1000"/>
      <c r="NZV31" s="1000"/>
      <c r="NZW31" s="1000"/>
      <c r="NZX31" s="1000"/>
      <c r="NZY31" s="1000"/>
      <c r="NZZ31" s="1000"/>
      <c r="OAA31" s="1000"/>
      <c r="OAB31" s="1000"/>
      <c r="OAC31" s="1000"/>
      <c r="OAD31" s="1000"/>
      <c r="OAE31" s="1000"/>
      <c r="OAF31" s="1000"/>
      <c r="OAG31" s="1000"/>
      <c r="OAH31" s="1000"/>
      <c r="OAI31" s="1000"/>
      <c r="OAJ31" s="1000"/>
      <c r="OAK31" s="1000"/>
      <c r="OAL31" s="1000"/>
      <c r="OAM31" s="1000"/>
      <c r="OAN31" s="1000"/>
      <c r="OAO31" s="1000"/>
      <c r="OAP31" s="1000"/>
      <c r="OAQ31" s="1000"/>
      <c r="OAR31" s="1000"/>
      <c r="OAS31" s="1000"/>
      <c r="OAT31" s="1000"/>
      <c r="OAU31" s="1000"/>
      <c r="OAV31" s="1000"/>
      <c r="OAW31" s="1000"/>
      <c r="OAX31" s="1000"/>
      <c r="OAY31" s="1000"/>
      <c r="OAZ31" s="1000"/>
      <c r="OBA31" s="1000"/>
      <c r="OBB31" s="1000"/>
      <c r="OBC31" s="1000"/>
      <c r="OBD31" s="1000"/>
      <c r="OBE31" s="1000"/>
      <c r="OBF31" s="1000"/>
      <c r="OBG31" s="1000"/>
      <c r="OBH31" s="1000"/>
      <c r="OBI31" s="1000"/>
      <c r="OBJ31" s="1000"/>
      <c r="OBK31" s="1000"/>
      <c r="OBL31" s="1000"/>
      <c r="OBM31" s="1000"/>
      <c r="OBN31" s="1000"/>
      <c r="OBO31" s="1000"/>
      <c r="OBP31" s="1000"/>
      <c r="OBQ31" s="1000"/>
      <c r="OBR31" s="1000"/>
      <c r="OBS31" s="1000"/>
      <c r="OBT31" s="1000"/>
      <c r="OBU31" s="1000"/>
      <c r="OBV31" s="1000"/>
      <c r="OBW31" s="1000"/>
      <c r="OBX31" s="1000"/>
      <c r="OBY31" s="1000"/>
      <c r="OBZ31" s="1000"/>
      <c r="OCA31" s="1000"/>
      <c r="OCB31" s="1000"/>
      <c r="OCC31" s="1000"/>
      <c r="OCD31" s="1000"/>
      <c r="OCE31" s="1000"/>
      <c r="OCF31" s="1000"/>
      <c r="OCG31" s="1000"/>
      <c r="OCH31" s="1000"/>
      <c r="OCI31" s="1000"/>
      <c r="OCJ31" s="1000"/>
      <c r="OCK31" s="1000"/>
      <c r="OCL31" s="1000"/>
      <c r="OCM31" s="1000"/>
      <c r="OCN31" s="1000"/>
      <c r="OCO31" s="1000"/>
      <c r="OCP31" s="1000"/>
      <c r="OCQ31" s="1000"/>
      <c r="OCR31" s="1000"/>
      <c r="OCS31" s="1000"/>
      <c r="OCT31" s="1000"/>
      <c r="OCU31" s="1000"/>
      <c r="OCV31" s="1000"/>
      <c r="OCW31" s="1000"/>
      <c r="OCX31" s="1000"/>
      <c r="OCY31" s="1000"/>
      <c r="OCZ31" s="1000"/>
      <c r="ODA31" s="1000"/>
      <c r="ODB31" s="1000"/>
      <c r="ODC31" s="1000"/>
      <c r="ODD31" s="1000"/>
      <c r="ODE31" s="1000"/>
      <c r="ODF31" s="1000"/>
      <c r="ODG31" s="1000"/>
      <c r="ODH31" s="1000"/>
      <c r="ODI31" s="1000"/>
      <c r="ODJ31" s="1000"/>
      <c r="ODK31" s="1000"/>
      <c r="ODL31" s="1000"/>
      <c r="ODM31" s="1000"/>
      <c r="ODN31" s="1000"/>
      <c r="ODO31" s="1000"/>
      <c r="ODP31" s="1000"/>
      <c r="ODQ31" s="1000"/>
      <c r="ODR31" s="1000"/>
      <c r="ODS31" s="1000"/>
      <c r="ODT31" s="1000"/>
      <c r="ODU31" s="1000"/>
      <c r="ODV31" s="1000"/>
      <c r="ODW31" s="1000"/>
      <c r="ODX31" s="1000"/>
      <c r="ODY31" s="1000"/>
      <c r="ODZ31" s="1000"/>
      <c r="OEA31" s="1000"/>
      <c r="OEB31" s="1000"/>
      <c r="OEC31" s="1000"/>
      <c r="OED31" s="1000"/>
      <c r="OEE31" s="1000"/>
      <c r="OEF31" s="1000"/>
      <c r="OEG31" s="1000"/>
      <c r="OEH31" s="1000"/>
      <c r="OEI31" s="1000"/>
      <c r="OEJ31" s="1000"/>
      <c r="OEK31" s="1000"/>
      <c r="OEL31" s="1000"/>
      <c r="OEM31" s="1000"/>
      <c r="OEN31" s="1000"/>
      <c r="OEO31" s="1000"/>
      <c r="OEP31" s="1000"/>
      <c r="OEQ31" s="1000"/>
      <c r="OER31" s="1000"/>
      <c r="OES31" s="1000"/>
      <c r="OET31" s="1000"/>
      <c r="OEU31" s="1000"/>
      <c r="OEV31" s="1000"/>
      <c r="OEW31" s="1000"/>
      <c r="OEX31" s="1000"/>
      <c r="OEY31" s="1000"/>
      <c r="OEZ31" s="1000"/>
      <c r="OFA31" s="1000"/>
      <c r="OFB31" s="1000"/>
      <c r="OFC31" s="1000"/>
      <c r="OFD31" s="1000"/>
      <c r="OFE31" s="1000"/>
      <c r="OFF31" s="1000"/>
      <c r="OFG31" s="1000"/>
      <c r="OFH31" s="1000"/>
      <c r="OFI31" s="1000"/>
      <c r="OFJ31" s="1000"/>
      <c r="OFK31" s="1000"/>
      <c r="OFL31" s="1000"/>
      <c r="OFM31" s="1000"/>
      <c r="OFN31" s="1000"/>
      <c r="OFO31" s="1000"/>
      <c r="OFP31" s="1000"/>
      <c r="OFQ31" s="1000"/>
      <c r="OFR31" s="1000"/>
      <c r="OFS31" s="1000"/>
      <c r="OFT31" s="1000"/>
      <c r="OFU31" s="1000"/>
      <c r="OFV31" s="1000"/>
      <c r="OFW31" s="1000"/>
      <c r="OFX31" s="1000"/>
      <c r="OFY31" s="1000"/>
      <c r="OFZ31" s="1000"/>
      <c r="OGA31" s="1000"/>
      <c r="OGB31" s="1000"/>
      <c r="OGC31" s="1000"/>
      <c r="OGD31" s="1000"/>
      <c r="OGE31" s="1000"/>
      <c r="OGF31" s="1000"/>
      <c r="OGG31" s="1000"/>
      <c r="OGH31" s="1000"/>
      <c r="OGI31" s="1000"/>
      <c r="OGJ31" s="1000"/>
      <c r="OGK31" s="1000"/>
      <c r="OGL31" s="1000"/>
      <c r="OGM31" s="1000"/>
      <c r="OGN31" s="1000"/>
      <c r="OGO31" s="1000"/>
      <c r="OGP31" s="1000"/>
      <c r="OGQ31" s="1000"/>
      <c r="OGR31" s="1000"/>
      <c r="OGS31" s="1000"/>
      <c r="OGT31" s="1000"/>
      <c r="OGU31" s="1000"/>
      <c r="OGV31" s="1000"/>
      <c r="OGW31" s="1000"/>
      <c r="OGX31" s="1000"/>
      <c r="OGY31" s="1000"/>
      <c r="OGZ31" s="1000"/>
      <c r="OHA31" s="1000"/>
      <c r="OHB31" s="1000"/>
      <c r="OHC31" s="1000"/>
      <c r="OHD31" s="1000"/>
      <c r="OHE31" s="1000"/>
      <c r="OHF31" s="1000"/>
      <c r="OHG31" s="1000"/>
      <c r="OHH31" s="1000"/>
      <c r="OHI31" s="1000"/>
      <c r="OHJ31" s="1000"/>
      <c r="OHK31" s="1000"/>
      <c r="OHL31" s="1000"/>
      <c r="OHM31" s="1000"/>
      <c r="OHN31" s="1000"/>
      <c r="OHO31" s="1000"/>
      <c r="OHP31" s="1000"/>
      <c r="OHQ31" s="1000"/>
      <c r="OHR31" s="1000"/>
      <c r="OHS31" s="1000"/>
      <c r="OHT31" s="1000"/>
      <c r="OHU31" s="1000"/>
      <c r="OHV31" s="1000"/>
      <c r="OHW31" s="1000"/>
      <c r="OHX31" s="1000"/>
      <c r="OHY31" s="1000"/>
      <c r="OHZ31" s="1000"/>
      <c r="OIA31" s="1000"/>
      <c r="OIB31" s="1000"/>
      <c r="OIC31" s="1000"/>
      <c r="OID31" s="1000"/>
      <c r="OIE31" s="1000"/>
      <c r="OIF31" s="1000"/>
      <c r="OIG31" s="1000"/>
      <c r="OIH31" s="1000"/>
      <c r="OII31" s="1000"/>
      <c r="OIJ31" s="1000"/>
      <c r="OIK31" s="1000"/>
      <c r="OIL31" s="1000"/>
      <c r="OIM31" s="1000"/>
      <c r="OIN31" s="1000"/>
      <c r="OIO31" s="1000"/>
      <c r="OIP31" s="1000"/>
      <c r="OIQ31" s="1000"/>
      <c r="OIR31" s="1000"/>
      <c r="OIS31" s="1000"/>
      <c r="OIT31" s="1000"/>
      <c r="OIU31" s="1000"/>
      <c r="OIV31" s="1000"/>
      <c r="OIW31" s="1000"/>
      <c r="OIX31" s="1000"/>
      <c r="OIY31" s="1000"/>
      <c r="OIZ31" s="1000"/>
      <c r="OJA31" s="1000"/>
      <c r="OJB31" s="1000"/>
      <c r="OJC31" s="1000"/>
      <c r="OJD31" s="1000"/>
      <c r="OJE31" s="1000"/>
      <c r="OJF31" s="1000"/>
      <c r="OJG31" s="1000"/>
      <c r="OJH31" s="1000"/>
      <c r="OJI31" s="1000"/>
      <c r="OJJ31" s="1000"/>
      <c r="OJK31" s="1000"/>
      <c r="OJL31" s="1000"/>
      <c r="OJM31" s="1000"/>
      <c r="OJN31" s="1000"/>
      <c r="OJO31" s="1000"/>
      <c r="OJP31" s="1000"/>
      <c r="OJQ31" s="1000"/>
      <c r="OJR31" s="1000"/>
      <c r="OJS31" s="1000"/>
      <c r="OJT31" s="1000"/>
      <c r="OJU31" s="1000"/>
      <c r="OJV31" s="1000"/>
      <c r="OJW31" s="1000"/>
      <c r="OJX31" s="1000"/>
      <c r="OJY31" s="1000"/>
      <c r="OJZ31" s="1000"/>
      <c r="OKA31" s="1000"/>
      <c r="OKB31" s="1000"/>
      <c r="OKC31" s="1000"/>
      <c r="OKD31" s="1000"/>
      <c r="OKE31" s="1000"/>
      <c r="OKF31" s="1000"/>
      <c r="OKG31" s="1000"/>
      <c r="OKH31" s="1000"/>
      <c r="OKI31" s="1000"/>
      <c r="OKJ31" s="1000"/>
      <c r="OKK31" s="1000"/>
      <c r="OKL31" s="1000"/>
      <c r="OKM31" s="1000"/>
      <c r="OKN31" s="1000"/>
      <c r="OKO31" s="1000"/>
      <c r="OKP31" s="1000"/>
      <c r="OKQ31" s="1000"/>
      <c r="OKR31" s="1000"/>
      <c r="OKS31" s="1000"/>
      <c r="OKT31" s="1000"/>
      <c r="OKU31" s="1000"/>
      <c r="OKV31" s="1000"/>
      <c r="OKW31" s="1000"/>
      <c r="OKX31" s="1000"/>
      <c r="OKY31" s="1000"/>
      <c r="OKZ31" s="1000"/>
      <c r="OLA31" s="1000"/>
      <c r="OLB31" s="1000"/>
      <c r="OLC31" s="1000"/>
      <c r="OLD31" s="1000"/>
      <c r="OLE31" s="1000"/>
      <c r="OLF31" s="1000"/>
      <c r="OLG31" s="1000"/>
      <c r="OLH31" s="1000"/>
      <c r="OLI31" s="1000"/>
      <c r="OLJ31" s="1000"/>
      <c r="OLK31" s="1000"/>
      <c r="OLL31" s="1000"/>
      <c r="OLM31" s="1000"/>
      <c r="OLN31" s="1000"/>
      <c r="OLO31" s="1000"/>
      <c r="OLP31" s="1000"/>
      <c r="OLQ31" s="1000"/>
      <c r="OLR31" s="1000"/>
      <c r="OLS31" s="1000"/>
      <c r="OLT31" s="1000"/>
      <c r="OLU31" s="1000"/>
      <c r="OLV31" s="1000"/>
      <c r="OLW31" s="1000"/>
      <c r="OLX31" s="1000"/>
      <c r="OLY31" s="1000"/>
      <c r="OLZ31" s="1000"/>
      <c r="OMA31" s="1000"/>
      <c r="OMB31" s="1000"/>
      <c r="OMC31" s="1000"/>
      <c r="OMD31" s="1000"/>
      <c r="OME31" s="1000"/>
      <c r="OMF31" s="1000"/>
      <c r="OMG31" s="1000"/>
      <c r="OMH31" s="1000"/>
      <c r="OMI31" s="1000"/>
      <c r="OMJ31" s="1000"/>
      <c r="OMK31" s="1000"/>
      <c r="OML31" s="1000"/>
      <c r="OMM31" s="1000"/>
      <c r="OMN31" s="1000"/>
      <c r="OMO31" s="1000"/>
      <c r="OMP31" s="1000"/>
      <c r="OMQ31" s="1000"/>
      <c r="OMR31" s="1000"/>
      <c r="OMS31" s="1000"/>
      <c r="OMT31" s="1000"/>
      <c r="OMU31" s="1000"/>
      <c r="OMV31" s="1000"/>
      <c r="OMW31" s="1000"/>
      <c r="OMX31" s="1000"/>
      <c r="OMY31" s="1000"/>
      <c r="OMZ31" s="1000"/>
      <c r="ONA31" s="1000"/>
      <c r="ONB31" s="1000"/>
      <c r="ONC31" s="1000"/>
      <c r="OND31" s="1000"/>
      <c r="ONE31" s="1000"/>
      <c r="ONF31" s="1000"/>
      <c r="ONG31" s="1000"/>
      <c r="ONH31" s="1000"/>
      <c r="ONI31" s="1000"/>
      <c r="ONJ31" s="1000"/>
      <c r="ONK31" s="1000"/>
      <c r="ONL31" s="1000"/>
      <c r="ONM31" s="1000"/>
      <c r="ONN31" s="1000"/>
      <c r="ONO31" s="1000"/>
      <c r="ONP31" s="1000"/>
      <c r="ONQ31" s="1000"/>
      <c r="ONR31" s="1000"/>
      <c r="ONS31" s="1000"/>
      <c r="ONT31" s="1000"/>
      <c r="ONU31" s="1000"/>
      <c r="ONV31" s="1000"/>
      <c r="ONW31" s="1000"/>
      <c r="ONX31" s="1000"/>
      <c r="ONY31" s="1000"/>
      <c r="ONZ31" s="1000"/>
      <c r="OOA31" s="1000"/>
      <c r="OOB31" s="1000"/>
      <c r="OOC31" s="1000"/>
      <c r="OOD31" s="1000"/>
      <c r="OOE31" s="1000"/>
      <c r="OOF31" s="1000"/>
      <c r="OOG31" s="1000"/>
      <c r="OOH31" s="1000"/>
      <c r="OOI31" s="1000"/>
      <c r="OOJ31" s="1000"/>
      <c r="OOK31" s="1000"/>
      <c r="OOL31" s="1000"/>
      <c r="OOM31" s="1000"/>
      <c r="OON31" s="1000"/>
      <c r="OOO31" s="1000"/>
      <c r="OOP31" s="1000"/>
      <c r="OOQ31" s="1000"/>
      <c r="OOR31" s="1000"/>
      <c r="OOS31" s="1000"/>
      <c r="OOT31" s="1000"/>
      <c r="OOU31" s="1000"/>
      <c r="OOV31" s="1000"/>
      <c r="OOW31" s="1000"/>
      <c r="OOX31" s="1000"/>
      <c r="OOY31" s="1000"/>
      <c r="OOZ31" s="1000"/>
      <c r="OPA31" s="1000"/>
      <c r="OPB31" s="1000"/>
      <c r="OPC31" s="1000"/>
      <c r="OPD31" s="1000"/>
      <c r="OPE31" s="1000"/>
      <c r="OPF31" s="1000"/>
      <c r="OPG31" s="1000"/>
      <c r="OPH31" s="1000"/>
      <c r="OPI31" s="1000"/>
      <c r="OPJ31" s="1000"/>
      <c r="OPK31" s="1000"/>
      <c r="OPL31" s="1000"/>
      <c r="OPM31" s="1000"/>
      <c r="OPN31" s="1000"/>
      <c r="OPO31" s="1000"/>
      <c r="OPP31" s="1000"/>
      <c r="OPQ31" s="1000"/>
      <c r="OPR31" s="1000"/>
      <c r="OPS31" s="1000"/>
      <c r="OPT31" s="1000"/>
      <c r="OPU31" s="1000"/>
      <c r="OPV31" s="1000"/>
      <c r="OPW31" s="1000"/>
      <c r="OPX31" s="1000"/>
      <c r="OPY31" s="1000"/>
      <c r="OPZ31" s="1000"/>
      <c r="OQA31" s="1000"/>
      <c r="OQB31" s="1000"/>
      <c r="OQC31" s="1000"/>
      <c r="OQD31" s="1000"/>
      <c r="OQE31" s="1000"/>
      <c r="OQF31" s="1000"/>
      <c r="OQG31" s="1000"/>
      <c r="OQH31" s="1000"/>
      <c r="OQI31" s="1000"/>
      <c r="OQJ31" s="1000"/>
      <c r="OQK31" s="1000"/>
      <c r="OQL31" s="1000"/>
      <c r="OQM31" s="1000"/>
      <c r="OQN31" s="1000"/>
      <c r="OQO31" s="1000"/>
      <c r="OQP31" s="1000"/>
      <c r="OQQ31" s="1000"/>
      <c r="OQR31" s="1000"/>
      <c r="OQS31" s="1000"/>
      <c r="OQT31" s="1000"/>
      <c r="OQU31" s="1000"/>
      <c r="OQV31" s="1000"/>
      <c r="OQW31" s="1000"/>
      <c r="OQX31" s="1000"/>
      <c r="OQY31" s="1000"/>
      <c r="OQZ31" s="1000"/>
      <c r="ORA31" s="1000"/>
      <c r="ORB31" s="1000"/>
      <c r="ORC31" s="1000"/>
      <c r="ORD31" s="1000"/>
      <c r="ORE31" s="1000"/>
      <c r="ORF31" s="1000"/>
      <c r="ORG31" s="1000"/>
      <c r="ORH31" s="1000"/>
      <c r="ORI31" s="1000"/>
      <c r="ORJ31" s="1000"/>
      <c r="ORK31" s="1000"/>
      <c r="ORL31" s="1000"/>
      <c r="ORM31" s="1000"/>
      <c r="ORN31" s="1000"/>
      <c r="ORO31" s="1000"/>
      <c r="ORP31" s="1000"/>
      <c r="ORQ31" s="1000"/>
      <c r="ORR31" s="1000"/>
      <c r="ORS31" s="1000"/>
      <c r="ORT31" s="1000"/>
      <c r="ORU31" s="1000"/>
      <c r="ORV31" s="1000"/>
      <c r="ORW31" s="1000"/>
      <c r="ORX31" s="1000"/>
      <c r="ORY31" s="1000"/>
      <c r="ORZ31" s="1000"/>
      <c r="OSA31" s="1000"/>
      <c r="OSB31" s="1000"/>
      <c r="OSC31" s="1000"/>
      <c r="OSD31" s="1000"/>
      <c r="OSE31" s="1000"/>
      <c r="OSF31" s="1000"/>
      <c r="OSG31" s="1000"/>
      <c r="OSH31" s="1000"/>
      <c r="OSI31" s="1000"/>
      <c r="OSJ31" s="1000"/>
      <c r="OSK31" s="1000"/>
      <c r="OSL31" s="1000"/>
      <c r="OSM31" s="1000"/>
      <c r="OSN31" s="1000"/>
      <c r="OSO31" s="1000"/>
      <c r="OSP31" s="1000"/>
      <c r="OSQ31" s="1000"/>
      <c r="OSR31" s="1000"/>
      <c r="OSS31" s="1000"/>
      <c r="OST31" s="1000"/>
      <c r="OSU31" s="1000"/>
      <c r="OSV31" s="1000"/>
      <c r="OSW31" s="1000"/>
      <c r="OSX31" s="1000"/>
      <c r="OSY31" s="1000"/>
      <c r="OSZ31" s="1000"/>
      <c r="OTA31" s="1000"/>
      <c r="OTB31" s="1000"/>
      <c r="OTC31" s="1000"/>
      <c r="OTD31" s="1000"/>
      <c r="OTE31" s="1000"/>
      <c r="OTF31" s="1000"/>
      <c r="OTG31" s="1000"/>
      <c r="OTH31" s="1000"/>
      <c r="OTI31" s="1000"/>
      <c r="OTJ31" s="1000"/>
      <c r="OTK31" s="1000"/>
      <c r="OTL31" s="1000"/>
      <c r="OTM31" s="1000"/>
      <c r="OTN31" s="1000"/>
      <c r="OTO31" s="1000"/>
      <c r="OTP31" s="1000"/>
      <c r="OTQ31" s="1000"/>
      <c r="OTR31" s="1000"/>
      <c r="OTS31" s="1000"/>
      <c r="OTT31" s="1000"/>
      <c r="OTU31" s="1000"/>
      <c r="OTV31" s="1000"/>
      <c r="OTW31" s="1000"/>
      <c r="OTX31" s="1000"/>
      <c r="OTY31" s="1000"/>
      <c r="OTZ31" s="1000"/>
      <c r="OUA31" s="1000"/>
      <c r="OUB31" s="1000"/>
      <c r="OUC31" s="1000"/>
      <c r="OUD31" s="1000"/>
      <c r="OUE31" s="1000"/>
      <c r="OUF31" s="1000"/>
      <c r="OUG31" s="1000"/>
      <c r="OUH31" s="1000"/>
      <c r="OUI31" s="1000"/>
      <c r="OUJ31" s="1000"/>
      <c r="OUK31" s="1000"/>
      <c r="OUL31" s="1000"/>
      <c r="OUM31" s="1000"/>
      <c r="OUN31" s="1000"/>
      <c r="OUO31" s="1000"/>
      <c r="OUP31" s="1000"/>
      <c r="OUQ31" s="1000"/>
      <c r="OUR31" s="1000"/>
      <c r="OUS31" s="1000"/>
      <c r="OUT31" s="1000"/>
      <c r="OUU31" s="1000"/>
      <c r="OUV31" s="1000"/>
      <c r="OUW31" s="1000"/>
      <c r="OUX31" s="1000"/>
      <c r="OUY31" s="1000"/>
      <c r="OUZ31" s="1000"/>
      <c r="OVA31" s="1000"/>
      <c r="OVB31" s="1000"/>
      <c r="OVC31" s="1000"/>
      <c r="OVD31" s="1000"/>
      <c r="OVE31" s="1000"/>
      <c r="OVF31" s="1000"/>
      <c r="OVG31" s="1000"/>
      <c r="OVH31" s="1000"/>
      <c r="OVI31" s="1000"/>
      <c r="OVJ31" s="1000"/>
      <c r="OVK31" s="1000"/>
      <c r="OVL31" s="1000"/>
      <c r="OVM31" s="1000"/>
      <c r="OVN31" s="1000"/>
      <c r="OVO31" s="1000"/>
      <c r="OVP31" s="1000"/>
      <c r="OVQ31" s="1000"/>
      <c r="OVR31" s="1000"/>
      <c r="OVS31" s="1000"/>
      <c r="OVT31" s="1000"/>
      <c r="OVU31" s="1000"/>
      <c r="OVV31" s="1000"/>
      <c r="OVW31" s="1000"/>
      <c r="OVX31" s="1000"/>
      <c r="OVY31" s="1000"/>
      <c r="OVZ31" s="1000"/>
      <c r="OWA31" s="1000"/>
      <c r="OWB31" s="1000"/>
      <c r="OWC31" s="1000"/>
      <c r="OWD31" s="1000"/>
      <c r="OWE31" s="1000"/>
      <c r="OWF31" s="1000"/>
      <c r="OWG31" s="1000"/>
      <c r="OWH31" s="1000"/>
      <c r="OWI31" s="1000"/>
      <c r="OWJ31" s="1000"/>
      <c r="OWK31" s="1000"/>
      <c r="OWL31" s="1000"/>
      <c r="OWM31" s="1000"/>
      <c r="OWN31" s="1000"/>
      <c r="OWO31" s="1000"/>
      <c r="OWP31" s="1000"/>
      <c r="OWQ31" s="1000"/>
      <c r="OWR31" s="1000"/>
      <c r="OWS31" s="1000"/>
      <c r="OWT31" s="1000"/>
      <c r="OWU31" s="1000"/>
      <c r="OWV31" s="1000"/>
      <c r="OWW31" s="1000"/>
      <c r="OWX31" s="1000"/>
      <c r="OWY31" s="1000"/>
      <c r="OWZ31" s="1000"/>
      <c r="OXA31" s="1000"/>
      <c r="OXB31" s="1000"/>
      <c r="OXC31" s="1000"/>
      <c r="OXD31" s="1000"/>
      <c r="OXE31" s="1000"/>
      <c r="OXF31" s="1000"/>
      <c r="OXG31" s="1000"/>
      <c r="OXH31" s="1000"/>
      <c r="OXI31" s="1000"/>
      <c r="OXJ31" s="1000"/>
      <c r="OXK31" s="1000"/>
      <c r="OXL31" s="1000"/>
      <c r="OXM31" s="1000"/>
      <c r="OXN31" s="1000"/>
      <c r="OXO31" s="1000"/>
      <c r="OXP31" s="1000"/>
      <c r="OXQ31" s="1000"/>
      <c r="OXR31" s="1000"/>
      <c r="OXS31" s="1000"/>
      <c r="OXT31" s="1000"/>
      <c r="OXU31" s="1000"/>
      <c r="OXV31" s="1000"/>
      <c r="OXW31" s="1000"/>
      <c r="OXX31" s="1000"/>
      <c r="OXY31" s="1000"/>
      <c r="OXZ31" s="1000"/>
      <c r="OYA31" s="1000"/>
      <c r="OYB31" s="1000"/>
      <c r="OYC31" s="1000"/>
      <c r="OYD31" s="1000"/>
      <c r="OYE31" s="1000"/>
      <c r="OYF31" s="1000"/>
      <c r="OYG31" s="1000"/>
      <c r="OYH31" s="1000"/>
      <c r="OYI31" s="1000"/>
      <c r="OYJ31" s="1000"/>
      <c r="OYK31" s="1000"/>
      <c r="OYL31" s="1000"/>
      <c r="OYM31" s="1000"/>
      <c r="OYN31" s="1000"/>
      <c r="OYO31" s="1000"/>
      <c r="OYP31" s="1000"/>
      <c r="OYQ31" s="1000"/>
      <c r="OYR31" s="1000"/>
      <c r="OYS31" s="1000"/>
      <c r="OYT31" s="1000"/>
      <c r="OYU31" s="1000"/>
      <c r="OYV31" s="1000"/>
      <c r="OYW31" s="1000"/>
      <c r="OYX31" s="1000"/>
      <c r="OYY31" s="1000"/>
      <c r="OYZ31" s="1000"/>
      <c r="OZA31" s="1000"/>
      <c r="OZB31" s="1000"/>
      <c r="OZC31" s="1000"/>
      <c r="OZD31" s="1000"/>
      <c r="OZE31" s="1000"/>
      <c r="OZF31" s="1000"/>
      <c r="OZG31" s="1000"/>
      <c r="OZH31" s="1000"/>
      <c r="OZI31" s="1000"/>
      <c r="OZJ31" s="1000"/>
      <c r="OZK31" s="1000"/>
      <c r="OZL31" s="1000"/>
      <c r="OZM31" s="1000"/>
      <c r="OZN31" s="1000"/>
      <c r="OZO31" s="1000"/>
      <c r="OZP31" s="1000"/>
      <c r="OZQ31" s="1000"/>
      <c r="OZR31" s="1000"/>
      <c r="OZS31" s="1000"/>
      <c r="OZT31" s="1000"/>
      <c r="OZU31" s="1000"/>
      <c r="OZV31" s="1000"/>
      <c r="OZW31" s="1000"/>
      <c r="OZX31" s="1000"/>
      <c r="OZY31" s="1000"/>
      <c r="OZZ31" s="1000"/>
      <c r="PAA31" s="1000"/>
      <c r="PAB31" s="1000"/>
      <c r="PAC31" s="1000"/>
      <c r="PAD31" s="1000"/>
      <c r="PAE31" s="1000"/>
      <c r="PAF31" s="1000"/>
      <c r="PAG31" s="1000"/>
      <c r="PAH31" s="1000"/>
      <c r="PAI31" s="1000"/>
      <c r="PAJ31" s="1000"/>
      <c r="PAK31" s="1000"/>
      <c r="PAL31" s="1000"/>
      <c r="PAM31" s="1000"/>
      <c r="PAN31" s="1000"/>
      <c r="PAO31" s="1000"/>
      <c r="PAP31" s="1000"/>
      <c r="PAQ31" s="1000"/>
      <c r="PAR31" s="1000"/>
      <c r="PAS31" s="1000"/>
      <c r="PAT31" s="1000"/>
      <c r="PAU31" s="1000"/>
      <c r="PAV31" s="1000"/>
      <c r="PAW31" s="1000"/>
      <c r="PAX31" s="1000"/>
      <c r="PAY31" s="1000"/>
      <c r="PAZ31" s="1000"/>
      <c r="PBA31" s="1000"/>
      <c r="PBB31" s="1000"/>
      <c r="PBC31" s="1000"/>
      <c r="PBD31" s="1000"/>
      <c r="PBE31" s="1000"/>
      <c r="PBF31" s="1000"/>
      <c r="PBG31" s="1000"/>
      <c r="PBH31" s="1000"/>
      <c r="PBI31" s="1000"/>
      <c r="PBJ31" s="1000"/>
      <c r="PBK31" s="1000"/>
      <c r="PBL31" s="1000"/>
      <c r="PBM31" s="1000"/>
      <c r="PBN31" s="1000"/>
      <c r="PBO31" s="1000"/>
      <c r="PBP31" s="1000"/>
      <c r="PBQ31" s="1000"/>
      <c r="PBR31" s="1000"/>
      <c r="PBS31" s="1000"/>
      <c r="PBT31" s="1000"/>
      <c r="PBU31" s="1000"/>
      <c r="PBV31" s="1000"/>
      <c r="PBW31" s="1000"/>
      <c r="PBX31" s="1000"/>
      <c r="PBY31" s="1000"/>
      <c r="PBZ31" s="1000"/>
      <c r="PCA31" s="1000"/>
      <c r="PCB31" s="1000"/>
      <c r="PCC31" s="1000"/>
      <c r="PCD31" s="1000"/>
      <c r="PCE31" s="1000"/>
      <c r="PCF31" s="1000"/>
      <c r="PCG31" s="1000"/>
      <c r="PCH31" s="1000"/>
      <c r="PCI31" s="1000"/>
      <c r="PCJ31" s="1000"/>
      <c r="PCK31" s="1000"/>
      <c r="PCL31" s="1000"/>
      <c r="PCM31" s="1000"/>
      <c r="PCN31" s="1000"/>
      <c r="PCO31" s="1000"/>
      <c r="PCP31" s="1000"/>
      <c r="PCQ31" s="1000"/>
      <c r="PCR31" s="1000"/>
      <c r="PCS31" s="1000"/>
      <c r="PCT31" s="1000"/>
      <c r="PCU31" s="1000"/>
      <c r="PCV31" s="1000"/>
      <c r="PCW31" s="1000"/>
      <c r="PCX31" s="1000"/>
      <c r="PCY31" s="1000"/>
      <c r="PCZ31" s="1000"/>
      <c r="PDA31" s="1000"/>
      <c r="PDB31" s="1000"/>
      <c r="PDC31" s="1000"/>
      <c r="PDD31" s="1000"/>
      <c r="PDE31" s="1000"/>
      <c r="PDF31" s="1000"/>
      <c r="PDG31" s="1000"/>
      <c r="PDH31" s="1000"/>
      <c r="PDI31" s="1000"/>
      <c r="PDJ31" s="1000"/>
      <c r="PDK31" s="1000"/>
      <c r="PDL31" s="1000"/>
      <c r="PDM31" s="1000"/>
      <c r="PDN31" s="1000"/>
      <c r="PDO31" s="1000"/>
      <c r="PDP31" s="1000"/>
      <c r="PDQ31" s="1000"/>
      <c r="PDR31" s="1000"/>
      <c r="PDS31" s="1000"/>
      <c r="PDT31" s="1000"/>
      <c r="PDU31" s="1000"/>
      <c r="PDV31" s="1000"/>
      <c r="PDW31" s="1000"/>
      <c r="PDX31" s="1000"/>
      <c r="PDY31" s="1000"/>
      <c r="PDZ31" s="1000"/>
      <c r="PEA31" s="1000"/>
      <c r="PEB31" s="1000"/>
      <c r="PEC31" s="1000"/>
      <c r="PED31" s="1000"/>
      <c r="PEE31" s="1000"/>
      <c r="PEF31" s="1000"/>
      <c r="PEG31" s="1000"/>
      <c r="PEH31" s="1000"/>
      <c r="PEI31" s="1000"/>
      <c r="PEJ31" s="1000"/>
      <c r="PEK31" s="1000"/>
      <c r="PEL31" s="1000"/>
      <c r="PEM31" s="1000"/>
      <c r="PEN31" s="1000"/>
      <c r="PEO31" s="1000"/>
      <c r="PEP31" s="1000"/>
      <c r="PEQ31" s="1000"/>
      <c r="PER31" s="1000"/>
      <c r="PES31" s="1000"/>
      <c r="PET31" s="1000"/>
      <c r="PEU31" s="1000"/>
      <c r="PEV31" s="1000"/>
      <c r="PEW31" s="1000"/>
      <c r="PEX31" s="1000"/>
      <c r="PEY31" s="1000"/>
      <c r="PEZ31" s="1000"/>
      <c r="PFA31" s="1000"/>
      <c r="PFB31" s="1000"/>
      <c r="PFC31" s="1000"/>
      <c r="PFD31" s="1000"/>
      <c r="PFE31" s="1000"/>
      <c r="PFF31" s="1000"/>
      <c r="PFG31" s="1000"/>
      <c r="PFH31" s="1000"/>
      <c r="PFI31" s="1000"/>
      <c r="PFJ31" s="1000"/>
      <c r="PFK31" s="1000"/>
      <c r="PFL31" s="1000"/>
      <c r="PFM31" s="1000"/>
      <c r="PFN31" s="1000"/>
      <c r="PFO31" s="1000"/>
      <c r="PFP31" s="1000"/>
      <c r="PFQ31" s="1000"/>
      <c r="PFR31" s="1000"/>
      <c r="PFS31" s="1000"/>
      <c r="PFT31" s="1000"/>
      <c r="PFU31" s="1000"/>
      <c r="PFV31" s="1000"/>
      <c r="PFW31" s="1000"/>
      <c r="PFX31" s="1000"/>
      <c r="PFY31" s="1000"/>
      <c r="PFZ31" s="1000"/>
      <c r="PGA31" s="1000"/>
      <c r="PGB31" s="1000"/>
      <c r="PGC31" s="1000"/>
      <c r="PGD31" s="1000"/>
      <c r="PGE31" s="1000"/>
      <c r="PGF31" s="1000"/>
      <c r="PGG31" s="1000"/>
      <c r="PGH31" s="1000"/>
      <c r="PGI31" s="1000"/>
      <c r="PGJ31" s="1000"/>
      <c r="PGK31" s="1000"/>
      <c r="PGL31" s="1000"/>
      <c r="PGM31" s="1000"/>
      <c r="PGN31" s="1000"/>
      <c r="PGO31" s="1000"/>
      <c r="PGP31" s="1000"/>
      <c r="PGQ31" s="1000"/>
      <c r="PGR31" s="1000"/>
      <c r="PGS31" s="1000"/>
      <c r="PGT31" s="1000"/>
      <c r="PGU31" s="1000"/>
      <c r="PGV31" s="1000"/>
      <c r="PGW31" s="1000"/>
      <c r="PGX31" s="1000"/>
      <c r="PGY31" s="1000"/>
      <c r="PGZ31" s="1000"/>
      <c r="PHA31" s="1000"/>
      <c r="PHB31" s="1000"/>
      <c r="PHC31" s="1000"/>
      <c r="PHD31" s="1000"/>
      <c r="PHE31" s="1000"/>
      <c r="PHF31" s="1000"/>
      <c r="PHG31" s="1000"/>
      <c r="PHH31" s="1000"/>
      <c r="PHI31" s="1000"/>
      <c r="PHJ31" s="1000"/>
      <c r="PHK31" s="1000"/>
      <c r="PHL31" s="1000"/>
      <c r="PHM31" s="1000"/>
      <c r="PHN31" s="1000"/>
      <c r="PHO31" s="1000"/>
      <c r="PHP31" s="1000"/>
      <c r="PHQ31" s="1000"/>
      <c r="PHR31" s="1000"/>
      <c r="PHS31" s="1000"/>
      <c r="PHT31" s="1000"/>
      <c r="PHU31" s="1000"/>
      <c r="PHV31" s="1000"/>
      <c r="PHW31" s="1000"/>
      <c r="PHX31" s="1000"/>
      <c r="PHY31" s="1000"/>
      <c r="PHZ31" s="1000"/>
      <c r="PIA31" s="1000"/>
      <c r="PIB31" s="1000"/>
      <c r="PIC31" s="1000"/>
      <c r="PID31" s="1000"/>
      <c r="PIE31" s="1000"/>
      <c r="PIF31" s="1000"/>
      <c r="PIG31" s="1000"/>
      <c r="PIH31" s="1000"/>
      <c r="PII31" s="1000"/>
      <c r="PIJ31" s="1000"/>
      <c r="PIK31" s="1000"/>
      <c r="PIL31" s="1000"/>
      <c r="PIM31" s="1000"/>
      <c r="PIN31" s="1000"/>
      <c r="PIO31" s="1000"/>
      <c r="PIP31" s="1000"/>
      <c r="PIQ31" s="1000"/>
      <c r="PIR31" s="1000"/>
      <c r="PIS31" s="1000"/>
      <c r="PIT31" s="1000"/>
      <c r="PIU31" s="1000"/>
      <c r="PIV31" s="1000"/>
      <c r="PIW31" s="1000"/>
      <c r="PIX31" s="1000"/>
      <c r="PIY31" s="1000"/>
      <c r="PIZ31" s="1000"/>
      <c r="PJA31" s="1000"/>
      <c r="PJB31" s="1000"/>
      <c r="PJC31" s="1000"/>
      <c r="PJD31" s="1000"/>
      <c r="PJE31" s="1000"/>
      <c r="PJF31" s="1000"/>
      <c r="PJG31" s="1000"/>
      <c r="PJH31" s="1000"/>
      <c r="PJI31" s="1000"/>
      <c r="PJJ31" s="1000"/>
      <c r="PJK31" s="1000"/>
      <c r="PJL31" s="1000"/>
      <c r="PJM31" s="1000"/>
      <c r="PJN31" s="1000"/>
      <c r="PJO31" s="1000"/>
      <c r="PJP31" s="1000"/>
      <c r="PJQ31" s="1000"/>
      <c r="PJR31" s="1000"/>
      <c r="PJS31" s="1000"/>
      <c r="PJT31" s="1000"/>
      <c r="PJU31" s="1000"/>
      <c r="PJV31" s="1000"/>
      <c r="PJW31" s="1000"/>
      <c r="PJX31" s="1000"/>
      <c r="PJY31" s="1000"/>
      <c r="PJZ31" s="1000"/>
      <c r="PKA31" s="1000"/>
      <c r="PKB31" s="1000"/>
      <c r="PKC31" s="1000"/>
      <c r="PKD31" s="1000"/>
      <c r="PKE31" s="1000"/>
      <c r="PKF31" s="1000"/>
      <c r="PKG31" s="1000"/>
      <c r="PKH31" s="1000"/>
      <c r="PKI31" s="1000"/>
      <c r="PKJ31" s="1000"/>
      <c r="PKK31" s="1000"/>
      <c r="PKL31" s="1000"/>
      <c r="PKM31" s="1000"/>
      <c r="PKN31" s="1000"/>
      <c r="PKO31" s="1000"/>
      <c r="PKP31" s="1000"/>
      <c r="PKQ31" s="1000"/>
      <c r="PKR31" s="1000"/>
      <c r="PKS31" s="1000"/>
      <c r="PKT31" s="1000"/>
      <c r="PKU31" s="1000"/>
      <c r="PKV31" s="1000"/>
      <c r="PKW31" s="1000"/>
      <c r="PKX31" s="1000"/>
      <c r="PKY31" s="1000"/>
      <c r="PKZ31" s="1000"/>
      <c r="PLA31" s="1000"/>
      <c r="PLB31" s="1000"/>
      <c r="PLC31" s="1000"/>
      <c r="PLD31" s="1000"/>
      <c r="PLE31" s="1000"/>
      <c r="PLF31" s="1000"/>
      <c r="PLG31" s="1000"/>
      <c r="PLH31" s="1000"/>
      <c r="PLI31" s="1000"/>
      <c r="PLJ31" s="1000"/>
      <c r="PLK31" s="1000"/>
      <c r="PLL31" s="1000"/>
      <c r="PLM31" s="1000"/>
      <c r="PLN31" s="1000"/>
      <c r="PLO31" s="1000"/>
      <c r="PLP31" s="1000"/>
      <c r="PLQ31" s="1000"/>
      <c r="PLR31" s="1000"/>
      <c r="PLS31" s="1000"/>
      <c r="PLT31" s="1000"/>
      <c r="PLU31" s="1000"/>
      <c r="PLV31" s="1000"/>
      <c r="PLW31" s="1000"/>
      <c r="PLX31" s="1000"/>
      <c r="PLY31" s="1000"/>
      <c r="PLZ31" s="1000"/>
      <c r="PMA31" s="1000"/>
      <c r="PMB31" s="1000"/>
      <c r="PMC31" s="1000"/>
      <c r="PMD31" s="1000"/>
      <c r="PME31" s="1000"/>
      <c r="PMF31" s="1000"/>
      <c r="PMG31" s="1000"/>
      <c r="PMH31" s="1000"/>
      <c r="PMI31" s="1000"/>
      <c r="PMJ31" s="1000"/>
      <c r="PMK31" s="1000"/>
      <c r="PML31" s="1000"/>
      <c r="PMM31" s="1000"/>
      <c r="PMN31" s="1000"/>
      <c r="PMO31" s="1000"/>
      <c r="PMP31" s="1000"/>
      <c r="PMQ31" s="1000"/>
      <c r="PMR31" s="1000"/>
      <c r="PMS31" s="1000"/>
      <c r="PMT31" s="1000"/>
      <c r="PMU31" s="1000"/>
      <c r="PMV31" s="1000"/>
      <c r="PMW31" s="1000"/>
      <c r="PMX31" s="1000"/>
      <c r="PMY31" s="1000"/>
      <c r="PMZ31" s="1000"/>
      <c r="PNA31" s="1000"/>
      <c r="PNB31" s="1000"/>
      <c r="PNC31" s="1000"/>
      <c r="PND31" s="1000"/>
      <c r="PNE31" s="1000"/>
      <c r="PNF31" s="1000"/>
      <c r="PNG31" s="1000"/>
      <c r="PNH31" s="1000"/>
      <c r="PNI31" s="1000"/>
      <c r="PNJ31" s="1000"/>
      <c r="PNK31" s="1000"/>
      <c r="PNL31" s="1000"/>
      <c r="PNM31" s="1000"/>
      <c r="PNN31" s="1000"/>
      <c r="PNO31" s="1000"/>
      <c r="PNP31" s="1000"/>
      <c r="PNQ31" s="1000"/>
      <c r="PNR31" s="1000"/>
      <c r="PNS31" s="1000"/>
      <c r="PNT31" s="1000"/>
      <c r="PNU31" s="1000"/>
      <c r="PNV31" s="1000"/>
      <c r="PNW31" s="1000"/>
      <c r="PNX31" s="1000"/>
      <c r="PNY31" s="1000"/>
      <c r="PNZ31" s="1000"/>
      <c r="POA31" s="1000"/>
      <c r="POB31" s="1000"/>
      <c r="POC31" s="1000"/>
      <c r="POD31" s="1000"/>
      <c r="POE31" s="1000"/>
      <c r="POF31" s="1000"/>
      <c r="POG31" s="1000"/>
      <c r="POH31" s="1000"/>
      <c r="POI31" s="1000"/>
      <c r="POJ31" s="1000"/>
      <c r="POK31" s="1000"/>
      <c r="POL31" s="1000"/>
      <c r="POM31" s="1000"/>
      <c r="PON31" s="1000"/>
      <c r="POO31" s="1000"/>
      <c r="POP31" s="1000"/>
      <c r="POQ31" s="1000"/>
      <c r="POR31" s="1000"/>
      <c r="POS31" s="1000"/>
      <c r="POT31" s="1000"/>
      <c r="POU31" s="1000"/>
      <c r="POV31" s="1000"/>
      <c r="POW31" s="1000"/>
      <c r="POX31" s="1000"/>
      <c r="POY31" s="1000"/>
      <c r="POZ31" s="1000"/>
      <c r="PPA31" s="1000"/>
      <c r="PPB31" s="1000"/>
      <c r="PPC31" s="1000"/>
      <c r="PPD31" s="1000"/>
      <c r="PPE31" s="1000"/>
      <c r="PPF31" s="1000"/>
      <c r="PPG31" s="1000"/>
      <c r="PPH31" s="1000"/>
      <c r="PPI31" s="1000"/>
      <c r="PPJ31" s="1000"/>
      <c r="PPK31" s="1000"/>
      <c r="PPL31" s="1000"/>
      <c r="PPM31" s="1000"/>
      <c r="PPN31" s="1000"/>
      <c r="PPO31" s="1000"/>
      <c r="PPP31" s="1000"/>
      <c r="PPQ31" s="1000"/>
      <c r="PPR31" s="1000"/>
      <c r="PPS31" s="1000"/>
      <c r="PPT31" s="1000"/>
      <c r="PPU31" s="1000"/>
      <c r="PPV31" s="1000"/>
      <c r="PPW31" s="1000"/>
      <c r="PPX31" s="1000"/>
      <c r="PPY31" s="1000"/>
      <c r="PPZ31" s="1000"/>
      <c r="PQA31" s="1000"/>
      <c r="PQB31" s="1000"/>
      <c r="PQC31" s="1000"/>
      <c r="PQD31" s="1000"/>
      <c r="PQE31" s="1000"/>
      <c r="PQF31" s="1000"/>
      <c r="PQG31" s="1000"/>
      <c r="PQH31" s="1000"/>
      <c r="PQI31" s="1000"/>
      <c r="PQJ31" s="1000"/>
      <c r="PQK31" s="1000"/>
      <c r="PQL31" s="1000"/>
      <c r="PQM31" s="1000"/>
      <c r="PQN31" s="1000"/>
      <c r="PQO31" s="1000"/>
      <c r="PQP31" s="1000"/>
      <c r="PQQ31" s="1000"/>
      <c r="PQR31" s="1000"/>
      <c r="PQS31" s="1000"/>
      <c r="PQT31" s="1000"/>
      <c r="PQU31" s="1000"/>
      <c r="PQV31" s="1000"/>
      <c r="PQW31" s="1000"/>
      <c r="PQX31" s="1000"/>
      <c r="PQY31" s="1000"/>
      <c r="PQZ31" s="1000"/>
      <c r="PRA31" s="1000"/>
      <c r="PRB31" s="1000"/>
      <c r="PRC31" s="1000"/>
      <c r="PRD31" s="1000"/>
      <c r="PRE31" s="1000"/>
      <c r="PRF31" s="1000"/>
      <c r="PRG31" s="1000"/>
      <c r="PRH31" s="1000"/>
      <c r="PRI31" s="1000"/>
      <c r="PRJ31" s="1000"/>
      <c r="PRK31" s="1000"/>
      <c r="PRL31" s="1000"/>
      <c r="PRM31" s="1000"/>
      <c r="PRN31" s="1000"/>
      <c r="PRO31" s="1000"/>
      <c r="PRP31" s="1000"/>
      <c r="PRQ31" s="1000"/>
      <c r="PRR31" s="1000"/>
      <c r="PRS31" s="1000"/>
      <c r="PRT31" s="1000"/>
      <c r="PRU31" s="1000"/>
      <c r="PRV31" s="1000"/>
      <c r="PRW31" s="1000"/>
      <c r="PRX31" s="1000"/>
      <c r="PRY31" s="1000"/>
      <c r="PRZ31" s="1000"/>
      <c r="PSA31" s="1000"/>
      <c r="PSB31" s="1000"/>
      <c r="PSC31" s="1000"/>
      <c r="PSD31" s="1000"/>
      <c r="PSE31" s="1000"/>
      <c r="PSF31" s="1000"/>
      <c r="PSG31" s="1000"/>
      <c r="PSH31" s="1000"/>
      <c r="PSI31" s="1000"/>
      <c r="PSJ31" s="1000"/>
      <c r="PSK31" s="1000"/>
      <c r="PSL31" s="1000"/>
      <c r="PSM31" s="1000"/>
      <c r="PSN31" s="1000"/>
      <c r="PSO31" s="1000"/>
      <c r="PSP31" s="1000"/>
      <c r="PSQ31" s="1000"/>
      <c r="PSR31" s="1000"/>
      <c r="PSS31" s="1000"/>
      <c r="PST31" s="1000"/>
      <c r="PSU31" s="1000"/>
      <c r="PSV31" s="1000"/>
      <c r="PSW31" s="1000"/>
      <c r="PSX31" s="1000"/>
      <c r="PSY31" s="1000"/>
      <c r="PSZ31" s="1000"/>
      <c r="PTA31" s="1000"/>
      <c r="PTB31" s="1000"/>
      <c r="PTC31" s="1000"/>
      <c r="PTD31" s="1000"/>
      <c r="PTE31" s="1000"/>
      <c r="PTF31" s="1000"/>
      <c r="PTG31" s="1000"/>
      <c r="PTH31" s="1000"/>
      <c r="PTI31" s="1000"/>
      <c r="PTJ31" s="1000"/>
      <c r="PTK31" s="1000"/>
      <c r="PTL31" s="1000"/>
      <c r="PTM31" s="1000"/>
      <c r="PTN31" s="1000"/>
      <c r="PTO31" s="1000"/>
      <c r="PTP31" s="1000"/>
      <c r="PTQ31" s="1000"/>
      <c r="PTR31" s="1000"/>
      <c r="PTS31" s="1000"/>
      <c r="PTT31" s="1000"/>
      <c r="PTU31" s="1000"/>
      <c r="PTV31" s="1000"/>
      <c r="PTW31" s="1000"/>
      <c r="PTX31" s="1000"/>
      <c r="PTY31" s="1000"/>
      <c r="PTZ31" s="1000"/>
      <c r="PUA31" s="1000"/>
      <c r="PUB31" s="1000"/>
      <c r="PUC31" s="1000"/>
      <c r="PUD31" s="1000"/>
      <c r="PUE31" s="1000"/>
      <c r="PUF31" s="1000"/>
      <c r="PUG31" s="1000"/>
      <c r="PUH31" s="1000"/>
      <c r="PUI31" s="1000"/>
      <c r="PUJ31" s="1000"/>
      <c r="PUK31" s="1000"/>
      <c r="PUL31" s="1000"/>
      <c r="PUM31" s="1000"/>
      <c r="PUN31" s="1000"/>
      <c r="PUO31" s="1000"/>
      <c r="PUP31" s="1000"/>
      <c r="PUQ31" s="1000"/>
      <c r="PUR31" s="1000"/>
      <c r="PUS31" s="1000"/>
      <c r="PUT31" s="1000"/>
      <c r="PUU31" s="1000"/>
      <c r="PUV31" s="1000"/>
      <c r="PUW31" s="1000"/>
      <c r="PUX31" s="1000"/>
      <c r="PUY31" s="1000"/>
      <c r="PUZ31" s="1000"/>
      <c r="PVA31" s="1000"/>
      <c r="PVB31" s="1000"/>
      <c r="PVC31" s="1000"/>
      <c r="PVD31" s="1000"/>
      <c r="PVE31" s="1000"/>
      <c r="PVF31" s="1000"/>
      <c r="PVG31" s="1000"/>
      <c r="PVH31" s="1000"/>
      <c r="PVI31" s="1000"/>
      <c r="PVJ31" s="1000"/>
      <c r="PVK31" s="1000"/>
      <c r="PVL31" s="1000"/>
      <c r="PVM31" s="1000"/>
      <c r="PVN31" s="1000"/>
      <c r="PVO31" s="1000"/>
      <c r="PVP31" s="1000"/>
      <c r="PVQ31" s="1000"/>
      <c r="PVR31" s="1000"/>
      <c r="PVS31" s="1000"/>
      <c r="PVT31" s="1000"/>
      <c r="PVU31" s="1000"/>
      <c r="PVV31" s="1000"/>
      <c r="PVW31" s="1000"/>
      <c r="PVX31" s="1000"/>
      <c r="PVY31" s="1000"/>
      <c r="PVZ31" s="1000"/>
      <c r="PWA31" s="1000"/>
      <c r="PWB31" s="1000"/>
      <c r="PWC31" s="1000"/>
      <c r="PWD31" s="1000"/>
      <c r="PWE31" s="1000"/>
      <c r="PWF31" s="1000"/>
      <c r="PWG31" s="1000"/>
      <c r="PWH31" s="1000"/>
      <c r="PWI31" s="1000"/>
      <c r="PWJ31" s="1000"/>
      <c r="PWK31" s="1000"/>
      <c r="PWL31" s="1000"/>
      <c r="PWM31" s="1000"/>
      <c r="PWN31" s="1000"/>
      <c r="PWO31" s="1000"/>
      <c r="PWP31" s="1000"/>
      <c r="PWQ31" s="1000"/>
      <c r="PWR31" s="1000"/>
      <c r="PWS31" s="1000"/>
      <c r="PWT31" s="1000"/>
      <c r="PWU31" s="1000"/>
      <c r="PWV31" s="1000"/>
      <c r="PWW31" s="1000"/>
      <c r="PWX31" s="1000"/>
      <c r="PWY31" s="1000"/>
      <c r="PWZ31" s="1000"/>
      <c r="PXA31" s="1000"/>
      <c r="PXB31" s="1000"/>
      <c r="PXC31" s="1000"/>
      <c r="PXD31" s="1000"/>
      <c r="PXE31" s="1000"/>
      <c r="PXF31" s="1000"/>
      <c r="PXG31" s="1000"/>
      <c r="PXH31" s="1000"/>
      <c r="PXI31" s="1000"/>
      <c r="PXJ31" s="1000"/>
      <c r="PXK31" s="1000"/>
      <c r="PXL31" s="1000"/>
      <c r="PXM31" s="1000"/>
      <c r="PXN31" s="1000"/>
      <c r="PXO31" s="1000"/>
      <c r="PXP31" s="1000"/>
      <c r="PXQ31" s="1000"/>
      <c r="PXR31" s="1000"/>
      <c r="PXS31" s="1000"/>
      <c r="PXT31" s="1000"/>
      <c r="PXU31" s="1000"/>
      <c r="PXV31" s="1000"/>
      <c r="PXW31" s="1000"/>
      <c r="PXX31" s="1000"/>
      <c r="PXY31" s="1000"/>
      <c r="PXZ31" s="1000"/>
      <c r="PYA31" s="1000"/>
      <c r="PYB31" s="1000"/>
      <c r="PYC31" s="1000"/>
      <c r="PYD31" s="1000"/>
      <c r="PYE31" s="1000"/>
      <c r="PYF31" s="1000"/>
      <c r="PYG31" s="1000"/>
      <c r="PYH31" s="1000"/>
      <c r="PYI31" s="1000"/>
      <c r="PYJ31" s="1000"/>
      <c r="PYK31" s="1000"/>
      <c r="PYL31" s="1000"/>
      <c r="PYM31" s="1000"/>
      <c r="PYN31" s="1000"/>
      <c r="PYO31" s="1000"/>
      <c r="PYP31" s="1000"/>
      <c r="PYQ31" s="1000"/>
      <c r="PYR31" s="1000"/>
      <c r="PYS31" s="1000"/>
      <c r="PYT31" s="1000"/>
      <c r="PYU31" s="1000"/>
      <c r="PYV31" s="1000"/>
      <c r="PYW31" s="1000"/>
      <c r="PYX31" s="1000"/>
      <c r="PYY31" s="1000"/>
      <c r="PYZ31" s="1000"/>
      <c r="PZA31" s="1000"/>
      <c r="PZB31" s="1000"/>
      <c r="PZC31" s="1000"/>
      <c r="PZD31" s="1000"/>
      <c r="PZE31" s="1000"/>
      <c r="PZF31" s="1000"/>
      <c r="PZG31" s="1000"/>
      <c r="PZH31" s="1000"/>
      <c r="PZI31" s="1000"/>
      <c r="PZJ31" s="1000"/>
      <c r="PZK31" s="1000"/>
      <c r="PZL31" s="1000"/>
      <c r="PZM31" s="1000"/>
      <c r="PZN31" s="1000"/>
      <c r="PZO31" s="1000"/>
      <c r="PZP31" s="1000"/>
      <c r="PZQ31" s="1000"/>
      <c r="PZR31" s="1000"/>
      <c r="PZS31" s="1000"/>
      <c r="PZT31" s="1000"/>
      <c r="PZU31" s="1000"/>
      <c r="PZV31" s="1000"/>
      <c r="PZW31" s="1000"/>
      <c r="PZX31" s="1000"/>
      <c r="PZY31" s="1000"/>
      <c r="PZZ31" s="1000"/>
      <c r="QAA31" s="1000"/>
      <c r="QAB31" s="1000"/>
      <c r="QAC31" s="1000"/>
      <c r="QAD31" s="1000"/>
      <c r="QAE31" s="1000"/>
      <c r="QAF31" s="1000"/>
      <c r="QAG31" s="1000"/>
      <c r="QAH31" s="1000"/>
      <c r="QAI31" s="1000"/>
      <c r="QAJ31" s="1000"/>
      <c r="QAK31" s="1000"/>
      <c r="QAL31" s="1000"/>
      <c r="QAM31" s="1000"/>
      <c r="QAN31" s="1000"/>
      <c r="QAO31" s="1000"/>
      <c r="QAP31" s="1000"/>
      <c r="QAQ31" s="1000"/>
      <c r="QAR31" s="1000"/>
      <c r="QAS31" s="1000"/>
      <c r="QAT31" s="1000"/>
      <c r="QAU31" s="1000"/>
      <c r="QAV31" s="1000"/>
      <c r="QAW31" s="1000"/>
      <c r="QAX31" s="1000"/>
      <c r="QAY31" s="1000"/>
      <c r="QAZ31" s="1000"/>
      <c r="QBA31" s="1000"/>
      <c r="QBB31" s="1000"/>
      <c r="QBC31" s="1000"/>
      <c r="QBD31" s="1000"/>
      <c r="QBE31" s="1000"/>
      <c r="QBF31" s="1000"/>
      <c r="QBG31" s="1000"/>
      <c r="QBH31" s="1000"/>
      <c r="QBI31" s="1000"/>
      <c r="QBJ31" s="1000"/>
      <c r="QBK31" s="1000"/>
      <c r="QBL31" s="1000"/>
      <c r="QBM31" s="1000"/>
      <c r="QBN31" s="1000"/>
      <c r="QBO31" s="1000"/>
      <c r="QBP31" s="1000"/>
      <c r="QBQ31" s="1000"/>
      <c r="QBR31" s="1000"/>
      <c r="QBS31" s="1000"/>
      <c r="QBT31" s="1000"/>
      <c r="QBU31" s="1000"/>
      <c r="QBV31" s="1000"/>
      <c r="QBW31" s="1000"/>
      <c r="QBX31" s="1000"/>
      <c r="QBY31" s="1000"/>
      <c r="QBZ31" s="1000"/>
      <c r="QCA31" s="1000"/>
      <c r="QCB31" s="1000"/>
      <c r="QCC31" s="1000"/>
      <c r="QCD31" s="1000"/>
      <c r="QCE31" s="1000"/>
      <c r="QCF31" s="1000"/>
      <c r="QCG31" s="1000"/>
      <c r="QCH31" s="1000"/>
      <c r="QCI31" s="1000"/>
      <c r="QCJ31" s="1000"/>
      <c r="QCK31" s="1000"/>
      <c r="QCL31" s="1000"/>
      <c r="QCM31" s="1000"/>
      <c r="QCN31" s="1000"/>
      <c r="QCO31" s="1000"/>
      <c r="QCP31" s="1000"/>
      <c r="QCQ31" s="1000"/>
      <c r="QCR31" s="1000"/>
      <c r="QCS31" s="1000"/>
      <c r="QCT31" s="1000"/>
      <c r="QCU31" s="1000"/>
      <c r="QCV31" s="1000"/>
      <c r="QCW31" s="1000"/>
      <c r="QCX31" s="1000"/>
      <c r="QCY31" s="1000"/>
      <c r="QCZ31" s="1000"/>
      <c r="QDA31" s="1000"/>
      <c r="QDB31" s="1000"/>
      <c r="QDC31" s="1000"/>
      <c r="QDD31" s="1000"/>
      <c r="QDE31" s="1000"/>
      <c r="QDF31" s="1000"/>
      <c r="QDG31" s="1000"/>
      <c r="QDH31" s="1000"/>
      <c r="QDI31" s="1000"/>
      <c r="QDJ31" s="1000"/>
      <c r="QDK31" s="1000"/>
      <c r="QDL31" s="1000"/>
      <c r="QDM31" s="1000"/>
      <c r="QDN31" s="1000"/>
      <c r="QDO31" s="1000"/>
      <c r="QDP31" s="1000"/>
      <c r="QDQ31" s="1000"/>
      <c r="QDR31" s="1000"/>
      <c r="QDS31" s="1000"/>
      <c r="QDT31" s="1000"/>
      <c r="QDU31" s="1000"/>
      <c r="QDV31" s="1000"/>
      <c r="QDW31" s="1000"/>
      <c r="QDX31" s="1000"/>
      <c r="QDY31" s="1000"/>
      <c r="QDZ31" s="1000"/>
      <c r="QEA31" s="1000"/>
      <c r="QEB31" s="1000"/>
      <c r="QEC31" s="1000"/>
      <c r="QED31" s="1000"/>
      <c r="QEE31" s="1000"/>
      <c r="QEF31" s="1000"/>
      <c r="QEG31" s="1000"/>
      <c r="QEH31" s="1000"/>
      <c r="QEI31" s="1000"/>
      <c r="QEJ31" s="1000"/>
      <c r="QEK31" s="1000"/>
      <c r="QEL31" s="1000"/>
      <c r="QEM31" s="1000"/>
      <c r="QEN31" s="1000"/>
      <c r="QEO31" s="1000"/>
      <c r="QEP31" s="1000"/>
      <c r="QEQ31" s="1000"/>
      <c r="QER31" s="1000"/>
      <c r="QES31" s="1000"/>
      <c r="QET31" s="1000"/>
      <c r="QEU31" s="1000"/>
      <c r="QEV31" s="1000"/>
      <c r="QEW31" s="1000"/>
      <c r="QEX31" s="1000"/>
      <c r="QEY31" s="1000"/>
      <c r="QEZ31" s="1000"/>
      <c r="QFA31" s="1000"/>
      <c r="QFB31" s="1000"/>
      <c r="QFC31" s="1000"/>
      <c r="QFD31" s="1000"/>
      <c r="QFE31" s="1000"/>
      <c r="QFF31" s="1000"/>
      <c r="QFG31" s="1000"/>
      <c r="QFH31" s="1000"/>
      <c r="QFI31" s="1000"/>
      <c r="QFJ31" s="1000"/>
      <c r="QFK31" s="1000"/>
      <c r="QFL31" s="1000"/>
      <c r="QFM31" s="1000"/>
      <c r="QFN31" s="1000"/>
      <c r="QFO31" s="1000"/>
      <c r="QFP31" s="1000"/>
      <c r="QFQ31" s="1000"/>
      <c r="QFR31" s="1000"/>
      <c r="QFS31" s="1000"/>
      <c r="QFT31" s="1000"/>
      <c r="QFU31" s="1000"/>
      <c r="QFV31" s="1000"/>
      <c r="QFW31" s="1000"/>
      <c r="QFX31" s="1000"/>
      <c r="QFY31" s="1000"/>
      <c r="QFZ31" s="1000"/>
      <c r="QGA31" s="1000"/>
      <c r="QGB31" s="1000"/>
      <c r="QGC31" s="1000"/>
      <c r="QGD31" s="1000"/>
      <c r="QGE31" s="1000"/>
      <c r="QGF31" s="1000"/>
      <c r="QGG31" s="1000"/>
      <c r="QGH31" s="1000"/>
      <c r="QGI31" s="1000"/>
      <c r="QGJ31" s="1000"/>
      <c r="QGK31" s="1000"/>
      <c r="QGL31" s="1000"/>
      <c r="QGM31" s="1000"/>
      <c r="QGN31" s="1000"/>
      <c r="QGO31" s="1000"/>
      <c r="QGP31" s="1000"/>
      <c r="QGQ31" s="1000"/>
      <c r="QGR31" s="1000"/>
      <c r="QGS31" s="1000"/>
      <c r="QGT31" s="1000"/>
      <c r="QGU31" s="1000"/>
      <c r="QGV31" s="1000"/>
      <c r="QGW31" s="1000"/>
      <c r="QGX31" s="1000"/>
      <c r="QGY31" s="1000"/>
      <c r="QGZ31" s="1000"/>
      <c r="QHA31" s="1000"/>
      <c r="QHB31" s="1000"/>
      <c r="QHC31" s="1000"/>
      <c r="QHD31" s="1000"/>
      <c r="QHE31" s="1000"/>
      <c r="QHF31" s="1000"/>
      <c r="QHG31" s="1000"/>
      <c r="QHH31" s="1000"/>
      <c r="QHI31" s="1000"/>
      <c r="QHJ31" s="1000"/>
      <c r="QHK31" s="1000"/>
      <c r="QHL31" s="1000"/>
      <c r="QHM31" s="1000"/>
      <c r="QHN31" s="1000"/>
      <c r="QHO31" s="1000"/>
      <c r="QHP31" s="1000"/>
      <c r="QHQ31" s="1000"/>
      <c r="QHR31" s="1000"/>
      <c r="QHS31" s="1000"/>
      <c r="QHT31" s="1000"/>
      <c r="QHU31" s="1000"/>
      <c r="QHV31" s="1000"/>
      <c r="QHW31" s="1000"/>
      <c r="QHX31" s="1000"/>
      <c r="QHY31" s="1000"/>
      <c r="QHZ31" s="1000"/>
      <c r="QIA31" s="1000"/>
      <c r="QIB31" s="1000"/>
      <c r="QIC31" s="1000"/>
      <c r="QID31" s="1000"/>
      <c r="QIE31" s="1000"/>
      <c r="QIF31" s="1000"/>
      <c r="QIG31" s="1000"/>
      <c r="QIH31" s="1000"/>
      <c r="QII31" s="1000"/>
      <c r="QIJ31" s="1000"/>
      <c r="QIK31" s="1000"/>
      <c r="QIL31" s="1000"/>
      <c r="QIM31" s="1000"/>
      <c r="QIN31" s="1000"/>
      <c r="QIO31" s="1000"/>
      <c r="QIP31" s="1000"/>
      <c r="QIQ31" s="1000"/>
      <c r="QIR31" s="1000"/>
      <c r="QIS31" s="1000"/>
      <c r="QIT31" s="1000"/>
      <c r="QIU31" s="1000"/>
      <c r="QIV31" s="1000"/>
      <c r="QIW31" s="1000"/>
      <c r="QIX31" s="1000"/>
      <c r="QIY31" s="1000"/>
      <c r="QIZ31" s="1000"/>
      <c r="QJA31" s="1000"/>
      <c r="QJB31" s="1000"/>
      <c r="QJC31" s="1000"/>
      <c r="QJD31" s="1000"/>
      <c r="QJE31" s="1000"/>
      <c r="QJF31" s="1000"/>
      <c r="QJG31" s="1000"/>
      <c r="QJH31" s="1000"/>
      <c r="QJI31" s="1000"/>
      <c r="QJJ31" s="1000"/>
      <c r="QJK31" s="1000"/>
      <c r="QJL31" s="1000"/>
      <c r="QJM31" s="1000"/>
      <c r="QJN31" s="1000"/>
      <c r="QJO31" s="1000"/>
      <c r="QJP31" s="1000"/>
      <c r="QJQ31" s="1000"/>
      <c r="QJR31" s="1000"/>
      <c r="QJS31" s="1000"/>
      <c r="QJT31" s="1000"/>
      <c r="QJU31" s="1000"/>
      <c r="QJV31" s="1000"/>
      <c r="QJW31" s="1000"/>
      <c r="QJX31" s="1000"/>
      <c r="QJY31" s="1000"/>
      <c r="QJZ31" s="1000"/>
      <c r="QKA31" s="1000"/>
      <c r="QKB31" s="1000"/>
      <c r="QKC31" s="1000"/>
      <c r="QKD31" s="1000"/>
      <c r="QKE31" s="1000"/>
      <c r="QKF31" s="1000"/>
      <c r="QKG31" s="1000"/>
      <c r="QKH31" s="1000"/>
      <c r="QKI31" s="1000"/>
      <c r="QKJ31" s="1000"/>
      <c r="QKK31" s="1000"/>
      <c r="QKL31" s="1000"/>
      <c r="QKM31" s="1000"/>
      <c r="QKN31" s="1000"/>
      <c r="QKO31" s="1000"/>
      <c r="QKP31" s="1000"/>
      <c r="QKQ31" s="1000"/>
      <c r="QKR31" s="1000"/>
      <c r="QKS31" s="1000"/>
      <c r="QKT31" s="1000"/>
      <c r="QKU31" s="1000"/>
      <c r="QKV31" s="1000"/>
      <c r="QKW31" s="1000"/>
      <c r="QKX31" s="1000"/>
      <c r="QKY31" s="1000"/>
      <c r="QKZ31" s="1000"/>
      <c r="QLA31" s="1000"/>
      <c r="QLB31" s="1000"/>
      <c r="QLC31" s="1000"/>
      <c r="QLD31" s="1000"/>
      <c r="QLE31" s="1000"/>
      <c r="QLF31" s="1000"/>
      <c r="QLG31" s="1000"/>
      <c r="QLH31" s="1000"/>
      <c r="QLI31" s="1000"/>
      <c r="QLJ31" s="1000"/>
      <c r="QLK31" s="1000"/>
      <c r="QLL31" s="1000"/>
      <c r="QLM31" s="1000"/>
      <c r="QLN31" s="1000"/>
      <c r="QLO31" s="1000"/>
      <c r="QLP31" s="1000"/>
      <c r="QLQ31" s="1000"/>
      <c r="QLR31" s="1000"/>
      <c r="QLS31" s="1000"/>
      <c r="QLT31" s="1000"/>
      <c r="QLU31" s="1000"/>
      <c r="QLV31" s="1000"/>
      <c r="QLW31" s="1000"/>
      <c r="QLX31" s="1000"/>
      <c r="QLY31" s="1000"/>
      <c r="QLZ31" s="1000"/>
      <c r="QMA31" s="1000"/>
      <c r="QMB31" s="1000"/>
      <c r="QMC31" s="1000"/>
      <c r="QMD31" s="1000"/>
      <c r="QME31" s="1000"/>
      <c r="QMF31" s="1000"/>
      <c r="QMG31" s="1000"/>
      <c r="QMH31" s="1000"/>
      <c r="QMI31" s="1000"/>
      <c r="QMJ31" s="1000"/>
      <c r="QMK31" s="1000"/>
      <c r="QML31" s="1000"/>
      <c r="QMM31" s="1000"/>
      <c r="QMN31" s="1000"/>
      <c r="QMO31" s="1000"/>
      <c r="QMP31" s="1000"/>
      <c r="QMQ31" s="1000"/>
      <c r="QMR31" s="1000"/>
      <c r="QMS31" s="1000"/>
      <c r="QMT31" s="1000"/>
      <c r="QMU31" s="1000"/>
      <c r="QMV31" s="1000"/>
      <c r="QMW31" s="1000"/>
      <c r="QMX31" s="1000"/>
      <c r="QMY31" s="1000"/>
      <c r="QMZ31" s="1000"/>
      <c r="QNA31" s="1000"/>
      <c r="QNB31" s="1000"/>
      <c r="QNC31" s="1000"/>
      <c r="QND31" s="1000"/>
      <c r="QNE31" s="1000"/>
      <c r="QNF31" s="1000"/>
      <c r="QNG31" s="1000"/>
      <c r="QNH31" s="1000"/>
      <c r="QNI31" s="1000"/>
      <c r="QNJ31" s="1000"/>
      <c r="QNK31" s="1000"/>
      <c r="QNL31" s="1000"/>
      <c r="QNM31" s="1000"/>
      <c r="QNN31" s="1000"/>
      <c r="QNO31" s="1000"/>
      <c r="QNP31" s="1000"/>
      <c r="QNQ31" s="1000"/>
      <c r="QNR31" s="1000"/>
      <c r="QNS31" s="1000"/>
      <c r="QNT31" s="1000"/>
      <c r="QNU31" s="1000"/>
      <c r="QNV31" s="1000"/>
      <c r="QNW31" s="1000"/>
      <c r="QNX31" s="1000"/>
      <c r="QNY31" s="1000"/>
      <c r="QNZ31" s="1000"/>
      <c r="QOA31" s="1000"/>
      <c r="QOB31" s="1000"/>
      <c r="QOC31" s="1000"/>
      <c r="QOD31" s="1000"/>
      <c r="QOE31" s="1000"/>
      <c r="QOF31" s="1000"/>
      <c r="QOG31" s="1000"/>
      <c r="QOH31" s="1000"/>
      <c r="QOI31" s="1000"/>
      <c r="QOJ31" s="1000"/>
      <c r="QOK31" s="1000"/>
      <c r="QOL31" s="1000"/>
      <c r="QOM31" s="1000"/>
      <c r="QON31" s="1000"/>
      <c r="QOO31" s="1000"/>
      <c r="QOP31" s="1000"/>
      <c r="QOQ31" s="1000"/>
      <c r="QOR31" s="1000"/>
      <c r="QOS31" s="1000"/>
      <c r="QOT31" s="1000"/>
      <c r="QOU31" s="1000"/>
      <c r="QOV31" s="1000"/>
      <c r="QOW31" s="1000"/>
      <c r="QOX31" s="1000"/>
      <c r="QOY31" s="1000"/>
      <c r="QOZ31" s="1000"/>
      <c r="QPA31" s="1000"/>
      <c r="QPB31" s="1000"/>
      <c r="QPC31" s="1000"/>
      <c r="QPD31" s="1000"/>
      <c r="QPE31" s="1000"/>
      <c r="QPF31" s="1000"/>
      <c r="QPG31" s="1000"/>
      <c r="QPH31" s="1000"/>
      <c r="QPI31" s="1000"/>
      <c r="QPJ31" s="1000"/>
      <c r="QPK31" s="1000"/>
      <c r="QPL31" s="1000"/>
      <c r="QPM31" s="1000"/>
      <c r="QPN31" s="1000"/>
      <c r="QPO31" s="1000"/>
      <c r="QPP31" s="1000"/>
      <c r="QPQ31" s="1000"/>
      <c r="QPR31" s="1000"/>
      <c r="QPS31" s="1000"/>
      <c r="QPT31" s="1000"/>
      <c r="QPU31" s="1000"/>
      <c r="QPV31" s="1000"/>
      <c r="QPW31" s="1000"/>
      <c r="QPX31" s="1000"/>
      <c r="QPY31" s="1000"/>
      <c r="QPZ31" s="1000"/>
      <c r="QQA31" s="1000"/>
      <c r="QQB31" s="1000"/>
      <c r="QQC31" s="1000"/>
      <c r="QQD31" s="1000"/>
      <c r="QQE31" s="1000"/>
      <c r="QQF31" s="1000"/>
      <c r="QQG31" s="1000"/>
      <c r="QQH31" s="1000"/>
      <c r="QQI31" s="1000"/>
      <c r="QQJ31" s="1000"/>
      <c r="QQK31" s="1000"/>
      <c r="QQL31" s="1000"/>
      <c r="QQM31" s="1000"/>
      <c r="QQN31" s="1000"/>
      <c r="QQO31" s="1000"/>
      <c r="QQP31" s="1000"/>
      <c r="QQQ31" s="1000"/>
      <c r="QQR31" s="1000"/>
      <c r="QQS31" s="1000"/>
      <c r="QQT31" s="1000"/>
      <c r="QQU31" s="1000"/>
      <c r="QQV31" s="1000"/>
      <c r="QQW31" s="1000"/>
      <c r="QQX31" s="1000"/>
      <c r="QQY31" s="1000"/>
      <c r="QQZ31" s="1000"/>
      <c r="QRA31" s="1000"/>
      <c r="QRB31" s="1000"/>
      <c r="QRC31" s="1000"/>
      <c r="QRD31" s="1000"/>
      <c r="QRE31" s="1000"/>
      <c r="QRF31" s="1000"/>
      <c r="QRG31" s="1000"/>
      <c r="QRH31" s="1000"/>
      <c r="QRI31" s="1000"/>
      <c r="QRJ31" s="1000"/>
      <c r="QRK31" s="1000"/>
      <c r="QRL31" s="1000"/>
      <c r="QRM31" s="1000"/>
      <c r="QRN31" s="1000"/>
      <c r="QRO31" s="1000"/>
      <c r="QRP31" s="1000"/>
      <c r="QRQ31" s="1000"/>
      <c r="QRR31" s="1000"/>
      <c r="QRS31" s="1000"/>
      <c r="QRT31" s="1000"/>
      <c r="QRU31" s="1000"/>
      <c r="QRV31" s="1000"/>
      <c r="QRW31" s="1000"/>
      <c r="QRX31" s="1000"/>
      <c r="QRY31" s="1000"/>
      <c r="QRZ31" s="1000"/>
      <c r="QSA31" s="1000"/>
      <c r="QSB31" s="1000"/>
      <c r="QSC31" s="1000"/>
      <c r="QSD31" s="1000"/>
      <c r="QSE31" s="1000"/>
      <c r="QSF31" s="1000"/>
      <c r="QSG31" s="1000"/>
      <c r="QSH31" s="1000"/>
      <c r="QSI31" s="1000"/>
      <c r="QSJ31" s="1000"/>
      <c r="QSK31" s="1000"/>
      <c r="QSL31" s="1000"/>
      <c r="QSM31" s="1000"/>
      <c r="QSN31" s="1000"/>
      <c r="QSO31" s="1000"/>
      <c r="QSP31" s="1000"/>
      <c r="QSQ31" s="1000"/>
      <c r="QSR31" s="1000"/>
      <c r="QSS31" s="1000"/>
      <c r="QST31" s="1000"/>
      <c r="QSU31" s="1000"/>
      <c r="QSV31" s="1000"/>
      <c r="QSW31" s="1000"/>
      <c r="QSX31" s="1000"/>
      <c r="QSY31" s="1000"/>
      <c r="QSZ31" s="1000"/>
      <c r="QTA31" s="1000"/>
      <c r="QTB31" s="1000"/>
      <c r="QTC31" s="1000"/>
      <c r="QTD31" s="1000"/>
      <c r="QTE31" s="1000"/>
      <c r="QTF31" s="1000"/>
      <c r="QTG31" s="1000"/>
      <c r="QTH31" s="1000"/>
      <c r="QTI31" s="1000"/>
      <c r="QTJ31" s="1000"/>
      <c r="QTK31" s="1000"/>
      <c r="QTL31" s="1000"/>
      <c r="QTM31" s="1000"/>
      <c r="QTN31" s="1000"/>
      <c r="QTO31" s="1000"/>
      <c r="QTP31" s="1000"/>
      <c r="QTQ31" s="1000"/>
      <c r="QTR31" s="1000"/>
      <c r="QTS31" s="1000"/>
      <c r="QTT31" s="1000"/>
      <c r="QTU31" s="1000"/>
      <c r="QTV31" s="1000"/>
      <c r="QTW31" s="1000"/>
      <c r="QTX31" s="1000"/>
      <c r="QTY31" s="1000"/>
      <c r="QTZ31" s="1000"/>
      <c r="QUA31" s="1000"/>
      <c r="QUB31" s="1000"/>
      <c r="QUC31" s="1000"/>
      <c r="QUD31" s="1000"/>
      <c r="QUE31" s="1000"/>
      <c r="QUF31" s="1000"/>
      <c r="QUG31" s="1000"/>
      <c r="QUH31" s="1000"/>
      <c r="QUI31" s="1000"/>
      <c r="QUJ31" s="1000"/>
      <c r="QUK31" s="1000"/>
      <c r="QUL31" s="1000"/>
      <c r="QUM31" s="1000"/>
      <c r="QUN31" s="1000"/>
      <c r="QUO31" s="1000"/>
      <c r="QUP31" s="1000"/>
      <c r="QUQ31" s="1000"/>
      <c r="QUR31" s="1000"/>
      <c r="QUS31" s="1000"/>
      <c r="QUT31" s="1000"/>
      <c r="QUU31" s="1000"/>
      <c r="QUV31" s="1000"/>
      <c r="QUW31" s="1000"/>
      <c r="QUX31" s="1000"/>
      <c r="QUY31" s="1000"/>
      <c r="QUZ31" s="1000"/>
      <c r="QVA31" s="1000"/>
      <c r="QVB31" s="1000"/>
      <c r="QVC31" s="1000"/>
      <c r="QVD31" s="1000"/>
      <c r="QVE31" s="1000"/>
      <c r="QVF31" s="1000"/>
      <c r="QVG31" s="1000"/>
      <c r="QVH31" s="1000"/>
      <c r="QVI31" s="1000"/>
      <c r="QVJ31" s="1000"/>
      <c r="QVK31" s="1000"/>
      <c r="QVL31" s="1000"/>
      <c r="QVM31" s="1000"/>
      <c r="QVN31" s="1000"/>
      <c r="QVO31" s="1000"/>
      <c r="QVP31" s="1000"/>
      <c r="QVQ31" s="1000"/>
      <c r="QVR31" s="1000"/>
      <c r="QVS31" s="1000"/>
      <c r="QVT31" s="1000"/>
      <c r="QVU31" s="1000"/>
      <c r="QVV31" s="1000"/>
      <c r="QVW31" s="1000"/>
      <c r="QVX31" s="1000"/>
      <c r="QVY31" s="1000"/>
      <c r="QVZ31" s="1000"/>
      <c r="QWA31" s="1000"/>
      <c r="QWB31" s="1000"/>
      <c r="QWC31" s="1000"/>
      <c r="QWD31" s="1000"/>
      <c r="QWE31" s="1000"/>
      <c r="QWF31" s="1000"/>
      <c r="QWG31" s="1000"/>
      <c r="QWH31" s="1000"/>
      <c r="QWI31" s="1000"/>
      <c r="QWJ31" s="1000"/>
      <c r="QWK31" s="1000"/>
      <c r="QWL31" s="1000"/>
      <c r="QWM31" s="1000"/>
      <c r="QWN31" s="1000"/>
      <c r="QWO31" s="1000"/>
      <c r="QWP31" s="1000"/>
      <c r="QWQ31" s="1000"/>
      <c r="QWR31" s="1000"/>
      <c r="QWS31" s="1000"/>
      <c r="QWT31" s="1000"/>
      <c r="QWU31" s="1000"/>
      <c r="QWV31" s="1000"/>
      <c r="QWW31" s="1000"/>
      <c r="QWX31" s="1000"/>
      <c r="QWY31" s="1000"/>
      <c r="QWZ31" s="1000"/>
      <c r="QXA31" s="1000"/>
      <c r="QXB31" s="1000"/>
      <c r="QXC31" s="1000"/>
      <c r="QXD31" s="1000"/>
      <c r="QXE31" s="1000"/>
      <c r="QXF31" s="1000"/>
      <c r="QXG31" s="1000"/>
      <c r="QXH31" s="1000"/>
      <c r="QXI31" s="1000"/>
      <c r="QXJ31" s="1000"/>
      <c r="QXK31" s="1000"/>
      <c r="QXL31" s="1000"/>
      <c r="QXM31" s="1000"/>
      <c r="QXN31" s="1000"/>
      <c r="QXO31" s="1000"/>
      <c r="QXP31" s="1000"/>
      <c r="QXQ31" s="1000"/>
      <c r="QXR31" s="1000"/>
      <c r="QXS31" s="1000"/>
      <c r="QXT31" s="1000"/>
      <c r="QXU31" s="1000"/>
      <c r="QXV31" s="1000"/>
      <c r="QXW31" s="1000"/>
      <c r="QXX31" s="1000"/>
      <c r="QXY31" s="1000"/>
      <c r="QXZ31" s="1000"/>
      <c r="QYA31" s="1000"/>
      <c r="QYB31" s="1000"/>
      <c r="QYC31" s="1000"/>
      <c r="QYD31" s="1000"/>
      <c r="QYE31" s="1000"/>
      <c r="QYF31" s="1000"/>
      <c r="QYG31" s="1000"/>
      <c r="QYH31" s="1000"/>
      <c r="QYI31" s="1000"/>
      <c r="QYJ31" s="1000"/>
      <c r="QYK31" s="1000"/>
      <c r="QYL31" s="1000"/>
      <c r="QYM31" s="1000"/>
      <c r="QYN31" s="1000"/>
      <c r="QYO31" s="1000"/>
      <c r="QYP31" s="1000"/>
      <c r="QYQ31" s="1000"/>
      <c r="QYR31" s="1000"/>
      <c r="QYS31" s="1000"/>
      <c r="QYT31" s="1000"/>
      <c r="QYU31" s="1000"/>
      <c r="QYV31" s="1000"/>
      <c r="QYW31" s="1000"/>
      <c r="QYX31" s="1000"/>
      <c r="QYY31" s="1000"/>
      <c r="QYZ31" s="1000"/>
      <c r="QZA31" s="1000"/>
      <c r="QZB31" s="1000"/>
      <c r="QZC31" s="1000"/>
      <c r="QZD31" s="1000"/>
      <c r="QZE31" s="1000"/>
      <c r="QZF31" s="1000"/>
      <c r="QZG31" s="1000"/>
      <c r="QZH31" s="1000"/>
      <c r="QZI31" s="1000"/>
      <c r="QZJ31" s="1000"/>
      <c r="QZK31" s="1000"/>
      <c r="QZL31" s="1000"/>
      <c r="QZM31" s="1000"/>
      <c r="QZN31" s="1000"/>
      <c r="QZO31" s="1000"/>
      <c r="QZP31" s="1000"/>
      <c r="QZQ31" s="1000"/>
      <c r="QZR31" s="1000"/>
      <c r="QZS31" s="1000"/>
      <c r="QZT31" s="1000"/>
      <c r="QZU31" s="1000"/>
      <c r="QZV31" s="1000"/>
      <c r="QZW31" s="1000"/>
      <c r="QZX31" s="1000"/>
      <c r="QZY31" s="1000"/>
      <c r="QZZ31" s="1000"/>
      <c r="RAA31" s="1000"/>
      <c r="RAB31" s="1000"/>
      <c r="RAC31" s="1000"/>
      <c r="RAD31" s="1000"/>
      <c r="RAE31" s="1000"/>
      <c r="RAF31" s="1000"/>
      <c r="RAG31" s="1000"/>
      <c r="RAH31" s="1000"/>
      <c r="RAI31" s="1000"/>
      <c r="RAJ31" s="1000"/>
      <c r="RAK31" s="1000"/>
      <c r="RAL31" s="1000"/>
      <c r="RAM31" s="1000"/>
      <c r="RAN31" s="1000"/>
      <c r="RAO31" s="1000"/>
      <c r="RAP31" s="1000"/>
      <c r="RAQ31" s="1000"/>
      <c r="RAR31" s="1000"/>
      <c r="RAS31" s="1000"/>
      <c r="RAT31" s="1000"/>
      <c r="RAU31" s="1000"/>
      <c r="RAV31" s="1000"/>
      <c r="RAW31" s="1000"/>
      <c r="RAX31" s="1000"/>
      <c r="RAY31" s="1000"/>
      <c r="RAZ31" s="1000"/>
      <c r="RBA31" s="1000"/>
      <c r="RBB31" s="1000"/>
      <c r="RBC31" s="1000"/>
      <c r="RBD31" s="1000"/>
      <c r="RBE31" s="1000"/>
      <c r="RBF31" s="1000"/>
      <c r="RBG31" s="1000"/>
      <c r="RBH31" s="1000"/>
      <c r="RBI31" s="1000"/>
      <c r="RBJ31" s="1000"/>
      <c r="RBK31" s="1000"/>
      <c r="RBL31" s="1000"/>
      <c r="RBM31" s="1000"/>
      <c r="RBN31" s="1000"/>
      <c r="RBO31" s="1000"/>
      <c r="RBP31" s="1000"/>
      <c r="RBQ31" s="1000"/>
      <c r="RBR31" s="1000"/>
      <c r="RBS31" s="1000"/>
      <c r="RBT31" s="1000"/>
      <c r="RBU31" s="1000"/>
      <c r="RBV31" s="1000"/>
      <c r="RBW31" s="1000"/>
      <c r="RBX31" s="1000"/>
      <c r="RBY31" s="1000"/>
      <c r="RBZ31" s="1000"/>
      <c r="RCA31" s="1000"/>
      <c r="RCB31" s="1000"/>
      <c r="RCC31" s="1000"/>
      <c r="RCD31" s="1000"/>
      <c r="RCE31" s="1000"/>
      <c r="RCF31" s="1000"/>
      <c r="RCG31" s="1000"/>
      <c r="RCH31" s="1000"/>
      <c r="RCI31" s="1000"/>
      <c r="RCJ31" s="1000"/>
      <c r="RCK31" s="1000"/>
      <c r="RCL31" s="1000"/>
      <c r="RCM31" s="1000"/>
      <c r="RCN31" s="1000"/>
      <c r="RCO31" s="1000"/>
      <c r="RCP31" s="1000"/>
      <c r="RCQ31" s="1000"/>
      <c r="RCR31" s="1000"/>
      <c r="RCS31" s="1000"/>
      <c r="RCT31" s="1000"/>
      <c r="RCU31" s="1000"/>
      <c r="RCV31" s="1000"/>
      <c r="RCW31" s="1000"/>
      <c r="RCX31" s="1000"/>
      <c r="RCY31" s="1000"/>
      <c r="RCZ31" s="1000"/>
      <c r="RDA31" s="1000"/>
      <c r="RDB31" s="1000"/>
      <c r="RDC31" s="1000"/>
      <c r="RDD31" s="1000"/>
      <c r="RDE31" s="1000"/>
      <c r="RDF31" s="1000"/>
      <c r="RDG31" s="1000"/>
      <c r="RDH31" s="1000"/>
      <c r="RDI31" s="1000"/>
      <c r="RDJ31" s="1000"/>
      <c r="RDK31" s="1000"/>
      <c r="RDL31" s="1000"/>
      <c r="RDM31" s="1000"/>
      <c r="RDN31" s="1000"/>
      <c r="RDO31" s="1000"/>
      <c r="RDP31" s="1000"/>
      <c r="RDQ31" s="1000"/>
      <c r="RDR31" s="1000"/>
      <c r="RDS31" s="1000"/>
      <c r="RDT31" s="1000"/>
      <c r="RDU31" s="1000"/>
      <c r="RDV31" s="1000"/>
      <c r="RDW31" s="1000"/>
      <c r="RDX31" s="1000"/>
      <c r="RDY31" s="1000"/>
      <c r="RDZ31" s="1000"/>
      <c r="REA31" s="1000"/>
      <c r="REB31" s="1000"/>
      <c r="REC31" s="1000"/>
      <c r="RED31" s="1000"/>
      <c r="REE31" s="1000"/>
      <c r="REF31" s="1000"/>
      <c r="REG31" s="1000"/>
      <c r="REH31" s="1000"/>
      <c r="REI31" s="1000"/>
      <c r="REJ31" s="1000"/>
      <c r="REK31" s="1000"/>
      <c r="REL31" s="1000"/>
      <c r="REM31" s="1000"/>
      <c r="REN31" s="1000"/>
      <c r="REO31" s="1000"/>
      <c r="REP31" s="1000"/>
      <c r="REQ31" s="1000"/>
      <c r="RER31" s="1000"/>
      <c r="RES31" s="1000"/>
      <c r="RET31" s="1000"/>
      <c r="REU31" s="1000"/>
      <c r="REV31" s="1000"/>
      <c r="REW31" s="1000"/>
      <c r="REX31" s="1000"/>
      <c r="REY31" s="1000"/>
      <c r="REZ31" s="1000"/>
      <c r="RFA31" s="1000"/>
      <c r="RFB31" s="1000"/>
      <c r="RFC31" s="1000"/>
      <c r="RFD31" s="1000"/>
      <c r="RFE31" s="1000"/>
      <c r="RFF31" s="1000"/>
      <c r="RFG31" s="1000"/>
      <c r="RFH31" s="1000"/>
      <c r="RFI31" s="1000"/>
      <c r="RFJ31" s="1000"/>
      <c r="RFK31" s="1000"/>
      <c r="RFL31" s="1000"/>
      <c r="RFM31" s="1000"/>
      <c r="RFN31" s="1000"/>
      <c r="RFO31" s="1000"/>
      <c r="RFP31" s="1000"/>
      <c r="RFQ31" s="1000"/>
      <c r="RFR31" s="1000"/>
      <c r="RFS31" s="1000"/>
      <c r="RFT31" s="1000"/>
      <c r="RFU31" s="1000"/>
      <c r="RFV31" s="1000"/>
      <c r="RFW31" s="1000"/>
      <c r="RFX31" s="1000"/>
      <c r="RFY31" s="1000"/>
      <c r="RFZ31" s="1000"/>
      <c r="RGA31" s="1000"/>
      <c r="RGB31" s="1000"/>
      <c r="RGC31" s="1000"/>
      <c r="RGD31" s="1000"/>
      <c r="RGE31" s="1000"/>
      <c r="RGF31" s="1000"/>
      <c r="RGG31" s="1000"/>
      <c r="RGH31" s="1000"/>
      <c r="RGI31" s="1000"/>
      <c r="RGJ31" s="1000"/>
      <c r="RGK31" s="1000"/>
      <c r="RGL31" s="1000"/>
      <c r="RGM31" s="1000"/>
      <c r="RGN31" s="1000"/>
      <c r="RGO31" s="1000"/>
      <c r="RGP31" s="1000"/>
      <c r="RGQ31" s="1000"/>
      <c r="RGR31" s="1000"/>
      <c r="RGS31" s="1000"/>
      <c r="RGT31" s="1000"/>
      <c r="RGU31" s="1000"/>
      <c r="RGV31" s="1000"/>
      <c r="RGW31" s="1000"/>
      <c r="RGX31" s="1000"/>
      <c r="RGY31" s="1000"/>
      <c r="RGZ31" s="1000"/>
      <c r="RHA31" s="1000"/>
      <c r="RHB31" s="1000"/>
      <c r="RHC31" s="1000"/>
      <c r="RHD31" s="1000"/>
      <c r="RHE31" s="1000"/>
      <c r="RHF31" s="1000"/>
      <c r="RHG31" s="1000"/>
      <c r="RHH31" s="1000"/>
      <c r="RHI31" s="1000"/>
      <c r="RHJ31" s="1000"/>
      <c r="RHK31" s="1000"/>
      <c r="RHL31" s="1000"/>
      <c r="RHM31" s="1000"/>
      <c r="RHN31" s="1000"/>
      <c r="RHO31" s="1000"/>
      <c r="RHP31" s="1000"/>
      <c r="RHQ31" s="1000"/>
      <c r="RHR31" s="1000"/>
      <c r="RHS31" s="1000"/>
      <c r="RHT31" s="1000"/>
      <c r="RHU31" s="1000"/>
      <c r="RHV31" s="1000"/>
      <c r="RHW31" s="1000"/>
      <c r="RHX31" s="1000"/>
      <c r="RHY31" s="1000"/>
      <c r="RHZ31" s="1000"/>
      <c r="RIA31" s="1000"/>
      <c r="RIB31" s="1000"/>
      <c r="RIC31" s="1000"/>
      <c r="RID31" s="1000"/>
      <c r="RIE31" s="1000"/>
      <c r="RIF31" s="1000"/>
      <c r="RIG31" s="1000"/>
      <c r="RIH31" s="1000"/>
      <c r="RII31" s="1000"/>
      <c r="RIJ31" s="1000"/>
      <c r="RIK31" s="1000"/>
      <c r="RIL31" s="1000"/>
      <c r="RIM31" s="1000"/>
      <c r="RIN31" s="1000"/>
      <c r="RIO31" s="1000"/>
      <c r="RIP31" s="1000"/>
      <c r="RIQ31" s="1000"/>
      <c r="RIR31" s="1000"/>
      <c r="RIS31" s="1000"/>
      <c r="RIT31" s="1000"/>
      <c r="RIU31" s="1000"/>
      <c r="RIV31" s="1000"/>
      <c r="RIW31" s="1000"/>
      <c r="RIX31" s="1000"/>
      <c r="RIY31" s="1000"/>
      <c r="RIZ31" s="1000"/>
      <c r="RJA31" s="1000"/>
      <c r="RJB31" s="1000"/>
      <c r="RJC31" s="1000"/>
      <c r="RJD31" s="1000"/>
      <c r="RJE31" s="1000"/>
      <c r="RJF31" s="1000"/>
      <c r="RJG31" s="1000"/>
      <c r="RJH31" s="1000"/>
      <c r="RJI31" s="1000"/>
      <c r="RJJ31" s="1000"/>
      <c r="RJK31" s="1000"/>
      <c r="RJL31" s="1000"/>
      <c r="RJM31" s="1000"/>
      <c r="RJN31" s="1000"/>
      <c r="RJO31" s="1000"/>
      <c r="RJP31" s="1000"/>
      <c r="RJQ31" s="1000"/>
      <c r="RJR31" s="1000"/>
      <c r="RJS31" s="1000"/>
      <c r="RJT31" s="1000"/>
      <c r="RJU31" s="1000"/>
      <c r="RJV31" s="1000"/>
      <c r="RJW31" s="1000"/>
      <c r="RJX31" s="1000"/>
      <c r="RJY31" s="1000"/>
      <c r="RJZ31" s="1000"/>
      <c r="RKA31" s="1000"/>
      <c r="RKB31" s="1000"/>
      <c r="RKC31" s="1000"/>
      <c r="RKD31" s="1000"/>
      <c r="RKE31" s="1000"/>
      <c r="RKF31" s="1000"/>
      <c r="RKG31" s="1000"/>
      <c r="RKH31" s="1000"/>
      <c r="RKI31" s="1000"/>
      <c r="RKJ31" s="1000"/>
      <c r="RKK31" s="1000"/>
      <c r="RKL31" s="1000"/>
      <c r="RKM31" s="1000"/>
      <c r="RKN31" s="1000"/>
      <c r="RKO31" s="1000"/>
      <c r="RKP31" s="1000"/>
      <c r="RKQ31" s="1000"/>
      <c r="RKR31" s="1000"/>
      <c r="RKS31" s="1000"/>
      <c r="RKT31" s="1000"/>
      <c r="RKU31" s="1000"/>
      <c r="RKV31" s="1000"/>
      <c r="RKW31" s="1000"/>
      <c r="RKX31" s="1000"/>
      <c r="RKY31" s="1000"/>
      <c r="RKZ31" s="1000"/>
      <c r="RLA31" s="1000"/>
      <c r="RLB31" s="1000"/>
      <c r="RLC31" s="1000"/>
      <c r="RLD31" s="1000"/>
      <c r="RLE31" s="1000"/>
      <c r="RLF31" s="1000"/>
      <c r="RLG31" s="1000"/>
      <c r="RLH31" s="1000"/>
      <c r="RLI31" s="1000"/>
      <c r="RLJ31" s="1000"/>
      <c r="RLK31" s="1000"/>
      <c r="RLL31" s="1000"/>
      <c r="RLM31" s="1000"/>
      <c r="RLN31" s="1000"/>
      <c r="RLO31" s="1000"/>
      <c r="RLP31" s="1000"/>
      <c r="RLQ31" s="1000"/>
      <c r="RLR31" s="1000"/>
      <c r="RLS31" s="1000"/>
      <c r="RLT31" s="1000"/>
      <c r="RLU31" s="1000"/>
      <c r="RLV31" s="1000"/>
      <c r="RLW31" s="1000"/>
      <c r="RLX31" s="1000"/>
      <c r="RLY31" s="1000"/>
      <c r="RLZ31" s="1000"/>
      <c r="RMA31" s="1000"/>
      <c r="RMB31" s="1000"/>
      <c r="RMC31" s="1000"/>
      <c r="RMD31" s="1000"/>
      <c r="RME31" s="1000"/>
      <c r="RMF31" s="1000"/>
      <c r="RMG31" s="1000"/>
      <c r="RMH31" s="1000"/>
      <c r="RMI31" s="1000"/>
      <c r="RMJ31" s="1000"/>
      <c r="RMK31" s="1000"/>
      <c r="RML31" s="1000"/>
      <c r="RMM31" s="1000"/>
      <c r="RMN31" s="1000"/>
      <c r="RMO31" s="1000"/>
      <c r="RMP31" s="1000"/>
      <c r="RMQ31" s="1000"/>
      <c r="RMR31" s="1000"/>
      <c r="RMS31" s="1000"/>
      <c r="RMT31" s="1000"/>
      <c r="RMU31" s="1000"/>
      <c r="RMV31" s="1000"/>
      <c r="RMW31" s="1000"/>
      <c r="RMX31" s="1000"/>
      <c r="RMY31" s="1000"/>
      <c r="RMZ31" s="1000"/>
      <c r="RNA31" s="1000"/>
      <c r="RNB31" s="1000"/>
      <c r="RNC31" s="1000"/>
      <c r="RND31" s="1000"/>
      <c r="RNE31" s="1000"/>
      <c r="RNF31" s="1000"/>
      <c r="RNG31" s="1000"/>
      <c r="RNH31" s="1000"/>
      <c r="RNI31" s="1000"/>
      <c r="RNJ31" s="1000"/>
      <c r="RNK31" s="1000"/>
      <c r="RNL31" s="1000"/>
      <c r="RNM31" s="1000"/>
      <c r="RNN31" s="1000"/>
      <c r="RNO31" s="1000"/>
      <c r="RNP31" s="1000"/>
      <c r="RNQ31" s="1000"/>
      <c r="RNR31" s="1000"/>
      <c r="RNS31" s="1000"/>
      <c r="RNT31" s="1000"/>
      <c r="RNU31" s="1000"/>
      <c r="RNV31" s="1000"/>
      <c r="RNW31" s="1000"/>
      <c r="RNX31" s="1000"/>
      <c r="RNY31" s="1000"/>
      <c r="RNZ31" s="1000"/>
      <c r="ROA31" s="1000"/>
      <c r="ROB31" s="1000"/>
      <c r="ROC31" s="1000"/>
      <c r="ROD31" s="1000"/>
      <c r="ROE31" s="1000"/>
      <c r="ROF31" s="1000"/>
      <c r="ROG31" s="1000"/>
      <c r="ROH31" s="1000"/>
      <c r="ROI31" s="1000"/>
      <c r="ROJ31" s="1000"/>
      <c r="ROK31" s="1000"/>
      <c r="ROL31" s="1000"/>
      <c r="ROM31" s="1000"/>
      <c r="RON31" s="1000"/>
      <c r="ROO31" s="1000"/>
      <c r="ROP31" s="1000"/>
      <c r="ROQ31" s="1000"/>
      <c r="ROR31" s="1000"/>
      <c r="ROS31" s="1000"/>
      <c r="ROT31" s="1000"/>
      <c r="ROU31" s="1000"/>
      <c r="ROV31" s="1000"/>
      <c r="ROW31" s="1000"/>
      <c r="ROX31" s="1000"/>
      <c r="ROY31" s="1000"/>
      <c r="ROZ31" s="1000"/>
      <c r="RPA31" s="1000"/>
      <c r="RPB31" s="1000"/>
      <c r="RPC31" s="1000"/>
      <c r="RPD31" s="1000"/>
      <c r="RPE31" s="1000"/>
      <c r="RPF31" s="1000"/>
      <c r="RPG31" s="1000"/>
      <c r="RPH31" s="1000"/>
      <c r="RPI31" s="1000"/>
      <c r="RPJ31" s="1000"/>
      <c r="RPK31" s="1000"/>
      <c r="RPL31" s="1000"/>
      <c r="RPM31" s="1000"/>
      <c r="RPN31" s="1000"/>
      <c r="RPO31" s="1000"/>
      <c r="RPP31" s="1000"/>
      <c r="RPQ31" s="1000"/>
      <c r="RPR31" s="1000"/>
      <c r="RPS31" s="1000"/>
      <c r="RPT31" s="1000"/>
      <c r="RPU31" s="1000"/>
      <c r="RPV31" s="1000"/>
      <c r="RPW31" s="1000"/>
      <c r="RPX31" s="1000"/>
      <c r="RPY31" s="1000"/>
      <c r="RPZ31" s="1000"/>
      <c r="RQA31" s="1000"/>
      <c r="RQB31" s="1000"/>
      <c r="RQC31" s="1000"/>
      <c r="RQD31" s="1000"/>
      <c r="RQE31" s="1000"/>
      <c r="RQF31" s="1000"/>
      <c r="RQG31" s="1000"/>
      <c r="RQH31" s="1000"/>
      <c r="RQI31" s="1000"/>
      <c r="RQJ31" s="1000"/>
      <c r="RQK31" s="1000"/>
      <c r="RQL31" s="1000"/>
      <c r="RQM31" s="1000"/>
      <c r="RQN31" s="1000"/>
      <c r="RQO31" s="1000"/>
      <c r="RQP31" s="1000"/>
      <c r="RQQ31" s="1000"/>
      <c r="RQR31" s="1000"/>
      <c r="RQS31" s="1000"/>
      <c r="RQT31" s="1000"/>
      <c r="RQU31" s="1000"/>
      <c r="RQV31" s="1000"/>
      <c r="RQW31" s="1000"/>
      <c r="RQX31" s="1000"/>
      <c r="RQY31" s="1000"/>
      <c r="RQZ31" s="1000"/>
      <c r="RRA31" s="1000"/>
      <c r="RRB31" s="1000"/>
      <c r="RRC31" s="1000"/>
      <c r="RRD31" s="1000"/>
      <c r="RRE31" s="1000"/>
      <c r="RRF31" s="1000"/>
      <c r="RRG31" s="1000"/>
      <c r="RRH31" s="1000"/>
      <c r="RRI31" s="1000"/>
      <c r="RRJ31" s="1000"/>
      <c r="RRK31" s="1000"/>
      <c r="RRL31" s="1000"/>
      <c r="RRM31" s="1000"/>
      <c r="RRN31" s="1000"/>
      <c r="RRO31" s="1000"/>
      <c r="RRP31" s="1000"/>
      <c r="RRQ31" s="1000"/>
      <c r="RRR31" s="1000"/>
      <c r="RRS31" s="1000"/>
      <c r="RRT31" s="1000"/>
      <c r="RRU31" s="1000"/>
      <c r="RRV31" s="1000"/>
      <c r="RRW31" s="1000"/>
      <c r="RRX31" s="1000"/>
      <c r="RRY31" s="1000"/>
      <c r="RRZ31" s="1000"/>
      <c r="RSA31" s="1000"/>
      <c r="RSB31" s="1000"/>
      <c r="RSC31" s="1000"/>
      <c r="RSD31" s="1000"/>
      <c r="RSE31" s="1000"/>
      <c r="RSF31" s="1000"/>
      <c r="RSG31" s="1000"/>
      <c r="RSH31" s="1000"/>
      <c r="RSI31" s="1000"/>
      <c r="RSJ31" s="1000"/>
      <c r="RSK31" s="1000"/>
      <c r="RSL31" s="1000"/>
      <c r="RSM31" s="1000"/>
      <c r="RSN31" s="1000"/>
      <c r="RSO31" s="1000"/>
      <c r="RSP31" s="1000"/>
      <c r="RSQ31" s="1000"/>
      <c r="RSR31" s="1000"/>
      <c r="RSS31" s="1000"/>
      <c r="RST31" s="1000"/>
      <c r="RSU31" s="1000"/>
      <c r="RSV31" s="1000"/>
      <c r="RSW31" s="1000"/>
      <c r="RSX31" s="1000"/>
      <c r="RSY31" s="1000"/>
      <c r="RSZ31" s="1000"/>
      <c r="RTA31" s="1000"/>
      <c r="RTB31" s="1000"/>
      <c r="RTC31" s="1000"/>
      <c r="RTD31" s="1000"/>
      <c r="RTE31" s="1000"/>
      <c r="RTF31" s="1000"/>
      <c r="RTG31" s="1000"/>
      <c r="RTH31" s="1000"/>
      <c r="RTI31" s="1000"/>
      <c r="RTJ31" s="1000"/>
      <c r="RTK31" s="1000"/>
      <c r="RTL31" s="1000"/>
      <c r="RTM31" s="1000"/>
      <c r="RTN31" s="1000"/>
      <c r="RTO31" s="1000"/>
      <c r="RTP31" s="1000"/>
      <c r="RTQ31" s="1000"/>
      <c r="RTR31" s="1000"/>
      <c r="RTS31" s="1000"/>
      <c r="RTT31" s="1000"/>
      <c r="RTU31" s="1000"/>
      <c r="RTV31" s="1000"/>
      <c r="RTW31" s="1000"/>
      <c r="RTX31" s="1000"/>
      <c r="RTY31" s="1000"/>
      <c r="RTZ31" s="1000"/>
      <c r="RUA31" s="1000"/>
      <c r="RUB31" s="1000"/>
      <c r="RUC31" s="1000"/>
      <c r="RUD31" s="1000"/>
      <c r="RUE31" s="1000"/>
      <c r="RUF31" s="1000"/>
      <c r="RUG31" s="1000"/>
      <c r="RUH31" s="1000"/>
      <c r="RUI31" s="1000"/>
      <c r="RUJ31" s="1000"/>
      <c r="RUK31" s="1000"/>
      <c r="RUL31" s="1000"/>
      <c r="RUM31" s="1000"/>
      <c r="RUN31" s="1000"/>
      <c r="RUO31" s="1000"/>
      <c r="RUP31" s="1000"/>
      <c r="RUQ31" s="1000"/>
      <c r="RUR31" s="1000"/>
      <c r="RUS31" s="1000"/>
      <c r="RUT31" s="1000"/>
      <c r="RUU31" s="1000"/>
      <c r="RUV31" s="1000"/>
      <c r="RUW31" s="1000"/>
      <c r="RUX31" s="1000"/>
      <c r="RUY31" s="1000"/>
      <c r="RUZ31" s="1000"/>
      <c r="RVA31" s="1000"/>
      <c r="RVB31" s="1000"/>
      <c r="RVC31" s="1000"/>
      <c r="RVD31" s="1000"/>
      <c r="RVE31" s="1000"/>
      <c r="RVF31" s="1000"/>
      <c r="RVG31" s="1000"/>
      <c r="RVH31" s="1000"/>
      <c r="RVI31" s="1000"/>
      <c r="RVJ31" s="1000"/>
      <c r="RVK31" s="1000"/>
      <c r="RVL31" s="1000"/>
      <c r="RVM31" s="1000"/>
      <c r="RVN31" s="1000"/>
      <c r="RVO31" s="1000"/>
      <c r="RVP31" s="1000"/>
      <c r="RVQ31" s="1000"/>
      <c r="RVR31" s="1000"/>
      <c r="RVS31" s="1000"/>
      <c r="RVT31" s="1000"/>
      <c r="RVU31" s="1000"/>
      <c r="RVV31" s="1000"/>
      <c r="RVW31" s="1000"/>
      <c r="RVX31" s="1000"/>
      <c r="RVY31" s="1000"/>
      <c r="RVZ31" s="1000"/>
      <c r="RWA31" s="1000"/>
      <c r="RWB31" s="1000"/>
      <c r="RWC31" s="1000"/>
      <c r="RWD31" s="1000"/>
      <c r="RWE31" s="1000"/>
      <c r="RWF31" s="1000"/>
      <c r="RWG31" s="1000"/>
      <c r="RWH31" s="1000"/>
      <c r="RWI31" s="1000"/>
      <c r="RWJ31" s="1000"/>
      <c r="RWK31" s="1000"/>
      <c r="RWL31" s="1000"/>
      <c r="RWM31" s="1000"/>
      <c r="RWN31" s="1000"/>
      <c r="RWO31" s="1000"/>
      <c r="RWP31" s="1000"/>
      <c r="RWQ31" s="1000"/>
      <c r="RWR31" s="1000"/>
      <c r="RWS31" s="1000"/>
      <c r="RWT31" s="1000"/>
      <c r="RWU31" s="1000"/>
      <c r="RWV31" s="1000"/>
      <c r="RWW31" s="1000"/>
      <c r="RWX31" s="1000"/>
      <c r="RWY31" s="1000"/>
      <c r="RWZ31" s="1000"/>
      <c r="RXA31" s="1000"/>
      <c r="RXB31" s="1000"/>
      <c r="RXC31" s="1000"/>
      <c r="RXD31" s="1000"/>
      <c r="RXE31" s="1000"/>
      <c r="RXF31" s="1000"/>
      <c r="RXG31" s="1000"/>
      <c r="RXH31" s="1000"/>
      <c r="RXI31" s="1000"/>
      <c r="RXJ31" s="1000"/>
      <c r="RXK31" s="1000"/>
      <c r="RXL31" s="1000"/>
      <c r="RXM31" s="1000"/>
      <c r="RXN31" s="1000"/>
      <c r="RXO31" s="1000"/>
      <c r="RXP31" s="1000"/>
      <c r="RXQ31" s="1000"/>
      <c r="RXR31" s="1000"/>
      <c r="RXS31" s="1000"/>
      <c r="RXT31" s="1000"/>
      <c r="RXU31" s="1000"/>
      <c r="RXV31" s="1000"/>
      <c r="RXW31" s="1000"/>
      <c r="RXX31" s="1000"/>
      <c r="RXY31" s="1000"/>
      <c r="RXZ31" s="1000"/>
      <c r="RYA31" s="1000"/>
      <c r="RYB31" s="1000"/>
      <c r="RYC31" s="1000"/>
      <c r="RYD31" s="1000"/>
      <c r="RYE31" s="1000"/>
      <c r="RYF31" s="1000"/>
      <c r="RYG31" s="1000"/>
      <c r="RYH31" s="1000"/>
      <c r="RYI31" s="1000"/>
      <c r="RYJ31" s="1000"/>
      <c r="RYK31" s="1000"/>
      <c r="RYL31" s="1000"/>
      <c r="RYM31" s="1000"/>
      <c r="RYN31" s="1000"/>
      <c r="RYO31" s="1000"/>
      <c r="RYP31" s="1000"/>
      <c r="RYQ31" s="1000"/>
      <c r="RYR31" s="1000"/>
      <c r="RYS31" s="1000"/>
      <c r="RYT31" s="1000"/>
      <c r="RYU31" s="1000"/>
      <c r="RYV31" s="1000"/>
      <c r="RYW31" s="1000"/>
      <c r="RYX31" s="1000"/>
      <c r="RYY31" s="1000"/>
      <c r="RYZ31" s="1000"/>
      <c r="RZA31" s="1000"/>
      <c r="RZB31" s="1000"/>
      <c r="RZC31" s="1000"/>
      <c r="RZD31" s="1000"/>
      <c r="RZE31" s="1000"/>
      <c r="RZF31" s="1000"/>
      <c r="RZG31" s="1000"/>
      <c r="RZH31" s="1000"/>
      <c r="RZI31" s="1000"/>
      <c r="RZJ31" s="1000"/>
      <c r="RZK31" s="1000"/>
      <c r="RZL31" s="1000"/>
      <c r="RZM31" s="1000"/>
      <c r="RZN31" s="1000"/>
      <c r="RZO31" s="1000"/>
      <c r="RZP31" s="1000"/>
      <c r="RZQ31" s="1000"/>
      <c r="RZR31" s="1000"/>
      <c r="RZS31" s="1000"/>
      <c r="RZT31" s="1000"/>
      <c r="RZU31" s="1000"/>
      <c r="RZV31" s="1000"/>
      <c r="RZW31" s="1000"/>
      <c r="RZX31" s="1000"/>
      <c r="RZY31" s="1000"/>
      <c r="RZZ31" s="1000"/>
      <c r="SAA31" s="1000"/>
      <c r="SAB31" s="1000"/>
      <c r="SAC31" s="1000"/>
      <c r="SAD31" s="1000"/>
      <c r="SAE31" s="1000"/>
      <c r="SAF31" s="1000"/>
      <c r="SAG31" s="1000"/>
      <c r="SAH31" s="1000"/>
      <c r="SAI31" s="1000"/>
      <c r="SAJ31" s="1000"/>
      <c r="SAK31" s="1000"/>
      <c r="SAL31" s="1000"/>
      <c r="SAM31" s="1000"/>
      <c r="SAN31" s="1000"/>
      <c r="SAO31" s="1000"/>
      <c r="SAP31" s="1000"/>
      <c r="SAQ31" s="1000"/>
      <c r="SAR31" s="1000"/>
      <c r="SAS31" s="1000"/>
      <c r="SAT31" s="1000"/>
      <c r="SAU31" s="1000"/>
      <c r="SAV31" s="1000"/>
      <c r="SAW31" s="1000"/>
      <c r="SAX31" s="1000"/>
      <c r="SAY31" s="1000"/>
      <c r="SAZ31" s="1000"/>
      <c r="SBA31" s="1000"/>
      <c r="SBB31" s="1000"/>
      <c r="SBC31" s="1000"/>
      <c r="SBD31" s="1000"/>
      <c r="SBE31" s="1000"/>
      <c r="SBF31" s="1000"/>
      <c r="SBG31" s="1000"/>
      <c r="SBH31" s="1000"/>
      <c r="SBI31" s="1000"/>
      <c r="SBJ31" s="1000"/>
      <c r="SBK31" s="1000"/>
      <c r="SBL31" s="1000"/>
      <c r="SBM31" s="1000"/>
      <c r="SBN31" s="1000"/>
      <c r="SBO31" s="1000"/>
      <c r="SBP31" s="1000"/>
      <c r="SBQ31" s="1000"/>
      <c r="SBR31" s="1000"/>
      <c r="SBS31" s="1000"/>
      <c r="SBT31" s="1000"/>
      <c r="SBU31" s="1000"/>
      <c r="SBV31" s="1000"/>
      <c r="SBW31" s="1000"/>
      <c r="SBX31" s="1000"/>
      <c r="SBY31" s="1000"/>
      <c r="SBZ31" s="1000"/>
      <c r="SCA31" s="1000"/>
      <c r="SCB31" s="1000"/>
      <c r="SCC31" s="1000"/>
      <c r="SCD31" s="1000"/>
      <c r="SCE31" s="1000"/>
      <c r="SCF31" s="1000"/>
      <c r="SCG31" s="1000"/>
      <c r="SCH31" s="1000"/>
      <c r="SCI31" s="1000"/>
      <c r="SCJ31" s="1000"/>
      <c r="SCK31" s="1000"/>
      <c r="SCL31" s="1000"/>
      <c r="SCM31" s="1000"/>
      <c r="SCN31" s="1000"/>
      <c r="SCO31" s="1000"/>
      <c r="SCP31" s="1000"/>
      <c r="SCQ31" s="1000"/>
      <c r="SCR31" s="1000"/>
      <c r="SCS31" s="1000"/>
      <c r="SCT31" s="1000"/>
      <c r="SCU31" s="1000"/>
      <c r="SCV31" s="1000"/>
      <c r="SCW31" s="1000"/>
      <c r="SCX31" s="1000"/>
      <c r="SCY31" s="1000"/>
      <c r="SCZ31" s="1000"/>
      <c r="SDA31" s="1000"/>
      <c r="SDB31" s="1000"/>
      <c r="SDC31" s="1000"/>
      <c r="SDD31" s="1000"/>
      <c r="SDE31" s="1000"/>
      <c r="SDF31" s="1000"/>
      <c r="SDG31" s="1000"/>
      <c r="SDH31" s="1000"/>
      <c r="SDI31" s="1000"/>
      <c r="SDJ31" s="1000"/>
      <c r="SDK31" s="1000"/>
      <c r="SDL31" s="1000"/>
      <c r="SDM31" s="1000"/>
      <c r="SDN31" s="1000"/>
      <c r="SDO31" s="1000"/>
      <c r="SDP31" s="1000"/>
      <c r="SDQ31" s="1000"/>
      <c r="SDR31" s="1000"/>
      <c r="SDS31" s="1000"/>
      <c r="SDT31" s="1000"/>
      <c r="SDU31" s="1000"/>
      <c r="SDV31" s="1000"/>
      <c r="SDW31" s="1000"/>
      <c r="SDX31" s="1000"/>
      <c r="SDY31" s="1000"/>
      <c r="SDZ31" s="1000"/>
      <c r="SEA31" s="1000"/>
      <c r="SEB31" s="1000"/>
      <c r="SEC31" s="1000"/>
      <c r="SED31" s="1000"/>
      <c r="SEE31" s="1000"/>
      <c r="SEF31" s="1000"/>
      <c r="SEG31" s="1000"/>
      <c r="SEH31" s="1000"/>
      <c r="SEI31" s="1000"/>
      <c r="SEJ31" s="1000"/>
      <c r="SEK31" s="1000"/>
      <c r="SEL31" s="1000"/>
      <c r="SEM31" s="1000"/>
      <c r="SEN31" s="1000"/>
      <c r="SEO31" s="1000"/>
      <c r="SEP31" s="1000"/>
      <c r="SEQ31" s="1000"/>
      <c r="SER31" s="1000"/>
      <c r="SES31" s="1000"/>
      <c r="SET31" s="1000"/>
      <c r="SEU31" s="1000"/>
      <c r="SEV31" s="1000"/>
      <c r="SEW31" s="1000"/>
      <c r="SEX31" s="1000"/>
      <c r="SEY31" s="1000"/>
      <c r="SEZ31" s="1000"/>
      <c r="SFA31" s="1000"/>
      <c r="SFB31" s="1000"/>
      <c r="SFC31" s="1000"/>
      <c r="SFD31" s="1000"/>
      <c r="SFE31" s="1000"/>
      <c r="SFF31" s="1000"/>
      <c r="SFG31" s="1000"/>
      <c r="SFH31" s="1000"/>
      <c r="SFI31" s="1000"/>
      <c r="SFJ31" s="1000"/>
      <c r="SFK31" s="1000"/>
      <c r="SFL31" s="1000"/>
      <c r="SFM31" s="1000"/>
      <c r="SFN31" s="1000"/>
      <c r="SFO31" s="1000"/>
      <c r="SFP31" s="1000"/>
      <c r="SFQ31" s="1000"/>
      <c r="SFR31" s="1000"/>
      <c r="SFS31" s="1000"/>
      <c r="SFT31" s="1000"/>
      <c r="SFU31" s="1000"/>
      <c r="SFV31" s="1000"/>
      <c r="SFW31" s="1000"/>
      <c r="SFX31" s="1000"/>
      <c r="SFY31" s="1000"/>
      <c r="SFZ31" s="1000"/>
      <c r="SGA31" s="1000"/>
      <c r="SGB31" s="1000"/>
      <c r="SGC31" s="1000"/>
      <c r="SGD31" s="1000"/>
      <c r="SGE31" s="1000"/>
      <c r="SGF31" s="1000"/>
      <c r="SGG31" s="1000"/>
      <c r="SGH31" s="1000"/>
      <c r="SGI31" s="1000"/>
      <c r="SGJ31" s="1000"/>
      <c r="SGK31" s="1000"/>
      <c r="SGL31" s="1000"/>
      <c r="SGM31" s="1000"/>
      <c r="SGN31" s="1000"/>
      <c r="SGO31" s="1000"/>
      <c r="SGP31" s="1000"/>
      <c r="SGQ31" s="1000"/>
      <c r="SGR31" s="1000"/>
      <c r="SGS31" s="1000"/>
      <c r="SGT31" s="1000"/>
      <c r="SGU31" s="1000"/>
      <c r="SGV31" s="1000"/>
      <c r="SGW31" s="1000"/>
      <c r="SGX31" s="1000"/>
      <c r="SGY31" s="1000"/>
      <c r="SGZ31" s="1000"/>
      <c r="SHA31" s="1000"/>
      <c r="SHB31" s="1000"/>
      <c r="SHC31" s="1000"/>
      <c r="SHD31" s="1000"/>
      <c r="SHE31" s="1000"/>
      <c r="SHF31" s="1000"/>
      <c r="SHG31" s="1000"/>
      <c r="SHH31" s="1000"/>
      <c r="SHI31" s="1000"/>
      <c r="SHJ31" s="1000"/>
      <c r="SHK31" s="1000"/>
      <c r="SHL31" s="1000"/>
      <c r="SHM31" s="1000"/>
      <c r="SHN31" s="1000"/>
      <c r="SHO31" s="1000"/>
      <c r="SHP31" s="1000"/>
      <c r="SHQ31" s="1000"/>
      <c r="SHR31" s="1000"/>
      <c r="SHS31" s="1000"/>
      <c r="SHT31" s="1000"/>
      <c r="SHU31" s="1000"/>
      <c r="SHV31" s="1000"/>
      <c r="SHW31" s="1000"/>
      <c r="SHX31" s="1000"/>
      <c r="SHY31" s="1000"/>
      <c r="SHZ31" s="1000"/>
      <c r="SIA31" s="1000"/>
      <c r="SIB31" s="1000"/>
      <c r="SIC31" s="1000"/>
      <c r="SID31" s="1000"/>
      <c r="SIE31" s="1000"/>
      <c r="SIF31" s="1000"/>
      <c r="SIG31" s="1000"/>
      <c r="SIH31" s="1000"/>
      <c r="SII31" s="1000"/>
      <c r="SIJ31" s="1000"/>
      <c r="SIK31" s="1000"/>
      <c r="SIL31" s="1000"/>
      <c r="SIM31" s="1000"/>
      <c r="SIN31" s="1000"/>
      <c r="SIO31" s="1000"/>
      <c r="SIP31" s="1000"/>
      <c r="SIQ31" s="1000"/>
      <c r="SIR31" s="1000"/>
      <c r="SIS31" s="1000"/>
      <c r="SIT31" s="1000"/>
      <c r="SIU31" s="1000"/>
      <c r="SIV31" s="1000"/>
      <c r="SIW31" s="1000"/>
      <c r="SIX31" s="1000"/>
      <c r="SIY31" s="1000"/>
      <c r="SIZ31" s="1000"/>
      <c r="SJA31" s="1000"/>
      <c r="SJB31" s="1000"/>
      <c r="SJC31" s="1000"/>
      <c r="SJD31" s="1000"/>
      <c r="SJE31" s="1000"/>
      <c r="SJF31" s="1000"/>
      <c r="SJG31" s="1000"/>
      <c r="SJH31" s="1000"/>
      <c r="SJI31" s="1000"/>
      <c r="SJJ31" s="1000"/>
      <c r="SJK31" s="1000"/>
      <c r="SJL31" s="1000"/>
      <c r="SJM31" s="1000"/>
      <c r="SJN31" s="1000"/>
      <c r="SJO31" s="1000"/>
      <c r="SJP31" s="1000"/>
      <c r="SJQ31" s="1000"/>
      <c r="SJR31" s="1000"/>
      <c r="SJS31" s="1000"/>
      <c r="SJT31" s="1000"/>
      <c r="SJU31" s="1000"/>
      <c r="SJV31" s="1000"/>
      <c r="SJW31" s="1000"/>
      <c r="SJX31" s="1000"/>
      <c r="SJY31" s="1000"/>
      <c r="SJZ31" s="1000"/>
      <c r="SKA31" s="1000"/>
      <c r="SKB31" s="1000"/>
      <c r="SKC31" s="1000"/>
      <c r="SKD31" s="1000"/>
      <c r="SKE31" s="1000"/>
      <c r="SKF31" s="1000"/>
      <c r="SKG31" s="1000"/>
      <c r="SKH31" s="1000"/>
      <c r="SKI31" s="1000"/>
      <c r="SKJ31" s="1000"/>
      <c r="SKK31" s="1000"/>
      <c r="SKL31" s="1000"/>
      <c r="SKM31" s="1000"/>
      <c r="SKN31" s="1000"/>
      <c r="SKO31" s="1000"/>
      <c r="SKP31" s="1000"/>
      <c r="SKQ31" s="1000"/>
      <c r="SKR31" s="1000"/>
      <c r="SKS31" s="1000"/>
      <c r="SKT31" s="1000"/>
      <c r="SKU31" s="1000"/>
      <c r="SKV31" s="1000"/>
      <c r="SKW31" s="1000"/>
      <c r="SKX31" s="1000"/>
      <c r="SKY31" s="1000"/>
      <c r="SKZ31" s="1000"/>
      <c r="SLA31" s="1000"/>
      <c r="SLB31" s="1000"/>
      <c r="SLC31" s="1000"/>
      <c r="SLD31" s="1000"/>
      <c r="SLE31" s="1000"/>
      <c r="SLF31" s="1000"/>
      <c r="SLG31" s="1000"/>
      <c r="SLH31" s="1000"/>
      <c r="SLI31" s="1000"/>
      <c r="SLJ31" s="1000"/>
      <c r="SLK31" s="1000"/>
      <c r="SLL31" s="1000"/>
      <c r="SLM31" s="1000"/>
      <c r="SLN31" s="1000"/>
      <c r="SLO31" s="1000"/>
      <c r="SLP31" s="1000"/>
      <c r="SLQ31" s="1000"/>
      <c r="SLR31" s="1000"/>
      <c r="SLS31" s="1000"/>
      <c r="SLT31" s="1000"/>
      <c r="SLU31" s="1000"/>
      <c r="SLV31" s="1000"/>
      <c r="SLW31" s="1000"/>
      <c r="SLX31" s="1000"/>
      <c r="SLY31" s="1000"/>
      <c r="SLZ31" s="1000"/>
      <c r="SMA31" s="1000"/>
      <c r="SMB31" s="1000"/>
      <c r="SMC31" s="1000"/>
      <c r="SMD31" s="1000"/>
      <c r="SME31" s="1000"/>
      <c r="SMF31" s="1000"/>
      <c r="SMG31" s="1000"/>
      <c r="SMH31" s="1000"/>
      <c r="SMI31" s="1000"/>
      <c r="SMJ31" s="1000"/>
      <c r="SMK31" s="1000"/>
      <c r="SML31" s="1000"/>
      <c r="SMM31" s="1000"/>
      <c r="SMN31" s="1000"/>
      <c r="SMO31" s="1000"/>
      <c r="SMP31" s="1000"/>
      <c r="SMQ31" s="1000"/>
      <c r="SMR31" s="1000"/>
      <c r="SMS31" s="1000"/>
      <c r="SMT31" s="1000"/>
      <c r="SMU31" s="1000"/>
      <c r="SMV31" s="1000"/>
      <c r="SMW31" s="1000"/>
      <c r="SMX31" s="1000"/>
      <c r="SMY31" s="1000"/>
      <c r="SMZ31" s="1000"/>
      <c r="SNA31" s="1000"/>
      <c r="SNB31" s="1000"/>
      <c r="SNC31" s="1000"/>
      <c r="SND31" s="1000"/>
      <c r="SNE31" s="1000"/>
      <c r="SNF31" s="1000"/>
      <c r="SNG31" s="1000"/>
      <c r="SNH31" s="1000"/>
      <c r="SNI31" s="1000"/>
      <c r="SNJ31" s="1000"/>
      <c r="SNK31" s="1000"/>
      <c r="SNL31" s="1000"/>
      <c r="SNM31" s="1000"/>
      <c r="SNN31" s="1000"/>
      <c r="SNO31" s="1000"/>
      <c r="SNP31" s="1000"/>
      <c r="SNQ31" s="1000"/>
      <c r="SNR31" s="1000"/>
      <c r="SNS31" s="1000"/>
      <c r="SNT31" s="1000"/>
      <c r="SNU31" s="1000"/>
      <c r="SNV31" s="1000"/>
      <c r="SNW31" s="1000"/>
      <c r="SNX31" s="1000"/>
      <c r="SNY31" s="1000"/>
      <c r="SNZ31" s="1000"/>
      <c r="SOA31" s="1000"/>
      <c r="SOB31" s="1000"/>
      <c r="SOC31" s="1000"/>
      <c r="SOD31" s="1000"/>
      <c r="SOE31" s="1000"/>
      <c r="SOF31" s="1000"/>
      <c r="SOG31" s="1000"/>
      <c r="SOH31" s="1000"/>
      <c r="SOI31" s="1000"/>
      <c r="SOJ31" s="1000"/>
      <c r="SOK31" s="1000"/>
      <c r="SOL31" s="1000"/>
      <c r="SOM31" s="1000"/>
      <c r="SON31" s="1000"/>
      <c r="SOO31" s="1000"/>
      <c r="SOP31" s="1000"/>
      <c r="SOQ31" s="1000"/>
      <c r="SOR31" s="1000"/>
      <c r="SOS31" s="1000"/>
      <c r="SOT31" s="1000"/>
      <c r="SOU31" s="1000"/>
      <c r="SOV31" s="1000"/>
      <c r="SOW31" s="1000"/>
      <c r="SOX31" s="1000"/>
      <c r="SOY31" s="1000"/>
      <c r="SOZ31" s="1000"/>
      <c r="SPA31" s="1000"/>
      <c r="SPB31" s="1000"/>
      <c r="SPC31" s="1000"/>
      <c r="SPD31" s="1000"/>
      <c r="SPE31" s="1000"/>
      <c r="SPF31" s="1000"/>
      <c r="SPG31" s="1000"/>
      <c r="SPH31" s="1000"/>
      <c r="SPI31" s="1000"/>
      <c r="SPJ31" s="1000"/>
      <c r="SPK31" s="1000"/>
      <c r="SPL31" s="1000"/>
      <c r="SPM31" s="1000"/>
      <c r="SPN31" s="1000"/>
      <c r="SPO31" s="1000"/>
      <c r="SPP31" s="1000"/>
      <c r="SPQ31" s="1000"/>
      <c r="SPR31" s="1000"/>
      <c r="SPS31" s="1000"/>
      <c r="SPT31" s="1000"/>
      <c r="SPU31" s="1000"/>
      <c r="SPV31" s="1000"/>
      <c r="SPW31" s="1000"/>
      <c r="SPX31" s="1000"/>
      <c r="SPY31" s="1000"/>
      <c r="SPZ31" s="1000"/>
      <c r="SQA31" s="1000"/>
      <c r="SQB31" s="1000"/>
      <c r="SQC31" s="1000"/>
      <c r="SQD31" s="1000"/>
      <c r="SQE31" s="1000"/>
      <c r="SQF31" s="1000"/>
      <c r="SQG31" s="1000"/>
      <c r="SQH31" s="1000"/>
      <c r="SQI31" s="1000"/>
      <c r="SQJ31" s="1000"/>
      <c r="SQK31" s="1000"/>
      <c r="SQL31" s="1000"/>
      <c r="SQM31" s="1000"/>
      <c r="SQN31" s="1000"/>
      <c r="SQO31" s="1000"/>
      <c r="SQP31" s="1000"/>
      <c r="SQQ31" s="1000"/>
      <c r="SQR31" s="1000"/>
      <c r="SQS31" s="1000"/>
      <c r="SQT31" s="1000"/>
      <c r="SQU31" s="1000"/>
      <c r="SQV31" s="1000"/>
      <c r="SQW31" s="1000"/>
      <c r="SQX31" s="1000"/>
      <c r="SQY31" s="1000"/>
      <c r="SQZ31" s="1000"/>
      <c r="SRA31" s="1000"/>
      <c r="SRB31" s="1000"/>
      <c r="SRC31" s="1000"/>
      <c r="SRD31" s="1000"/>
      <c r="SRE31" s="1000"/>
      <c r="SRF31" s="1000"/>
      <c r="SRG31" s="1000"/>
      <c r="SRH31" s="1000"/>
      <c r="SRI31" s="1000"/>
      <c r="SRJ31" s="1000"/>
      <c r="SRK31" s="1000"/>
      <c r="SRL31" s="1000"/>
      <c r="SRM31" s="1000"/>
      <c r="SRN31" s="1000"/>
      <c r="SRO31" s="1000"/>
      <c r="SRP31" s="1000"/>
      <c r="SRQ31" s="1000"/>
      <c r="SRR31" s="1000"/>
      <c r="SRS31" s="1000"/>
      <c r="SRT31" s="1000"/>
      <c r="SRU31" s="1000"/>
      <c r="SRV31" s="1000"/>
      <c r="SRW31" s="1000"/>
      <c r="SRX31" s="1000"/>
      <c r="SRY31" s="1000"/>
      <c r="SRZ31" s="1000"/>
      <c r="SSA31" s="1000"/>
      <c r="SSB31" s="1000"/>
      <c r="SSC31" s="1000"/>
      <c r="SSD31" s="1000"/>
      <c r="SSE31" s="1000"/>
      <c r="SSF31" s="1000"/>
      <c r="SSG31" s="1000"/>
      <c r="SSH31" s="1000"/>
      <c r="SSI31" s="1000"/>
      <c r="SSJ31" s="1000"/>
      <c r="SSK31" s="1000"/>
      <c r="SSL31" s="1000"/>
      <c r="SSM31" s="1000"/>
      <c r="SSN31" s="1000"/>
      <c r="SSO31" s="1000"/>
      <c r="SSP31" s="1000"/>
      <c r="SSQ31" s="1000"/>
      <c r="SSR31" s="1000"/>
      <c r="SSS31" s="1000"/>
      <c r="SST31" s="1000"/>
      <c r="SSU31" s="1000"/>
      <c r="SSV31" s="1000"/>
      <c r="SSW31" s="1000"/>
      <c r="SSX31" s="1000"/>
      <c r="SSY31" s="1000"/>
      <c r="SSZ31" s="1000"/>
      <c r="STA31" s="1000"/>
      <c r="STB31" s="1000"/>
      <c r="STC31" s="1000"/>
      <c r="STD31" s="1000"/>
      <c r="STE31" s="1000"/>
      <c r="STF31" s="1000"/>
      <c r="STG31" s="1000"/>
      <c r="STH31" s="1000"/>
      <c r="STI31" s="1000"/>
      <c r="STJ31" s="1000"/>
      <c r="STK31" s="1000"/>
      <c r="STL31" s="1000"/>
      <c r="STM31" s="1000"/>
      <c r="STN31" s="1000"/>
      <c r="STO31" s="1000"/>
      <c r="STP31" s="1000"/>
      <c r="STQ31" s="1000"/>
      <c r="STR31" s="1000"/>
      <c r="STS31" s="1000"/>
      <c r="STT31" s="1000"/>
      <c r="STU31" s="1000"/>
      <c r="STV31" s="1000"/>
      <c r="STW31" s="1000"/>
      <c r="STX31" s="1000"/>
      <c r="STY31" s="1000"/>
      <c r="STZ31" s="1000"/>
      <c r="SUA31" s="1000"/>
      <c r="SUB31" s="1000"/>
      <c r="SUC31" s="1000"/>
      <c r="SUD31" s="1000"/>
      <c r="SUE31" s="1000"/>
      <c r="SUF31" s="1000"/>
      <c r="SUG31" s="1000"/>
      <c r="SUH31" s="1000"/>
      <c r="SUI31" s="1000"/>
      <c r="SUJ31" s="1000"/>
      <c r="SUK31" s="1000"/>
      <c r="SUL31" s="1000"/>
      <c r="SUM31" s="1000"/>
      <c r="SUN31" s="1000"/>
      <c r="SUO31" s="1000"/>
      <c r="SUP31" s="1000"/>
      <c r="SUQ31" s="1000"/>
      <c r="SUR31" s="1000"/>
      <c r="SUS31" s="1000"/>
      <c r="SUT31" s="1000"/>
      <c r="SUU31" s="1000"/>
      <c r="SUV31" s="1000"/>
      <c r="SUW31" s="1000"/>
      <c r="SUX31" s="1000"/>
      <c r="SUY31" s="1000"/>
      <c r="SUZ31" s="1000"/>
      <c r="SVA31" s="1000"/>
      <c r="SVB31" s="1000"/>
      <c r="SVC31" s="1000"/>
      <c r="SVD31" s="1000"/>
      <c r="SVE31" s="1000"/>
      <c r="SVF31" s="1000"/>
      <c r="SVG31" s="1000"/>
      <c r="SVH31" s="1000"/>
      <c r="SVI31" s="1000"/>
      <c r="SVJ31" s="1000"/>
      <c r="SVK31" s="1000"/>
      <c r="SVL31" s="1000"/>
      <c r="SVM31" s="1000"/>
      <c r="SVN31" s="1000"/>
      <c r="SVO31" s="1000"/>
      <c r="SVP31" s="1000"/>
      <c r="SVQ31" s="1000"/>
      <c r="SVR31" s="1000"/>
      <c r="SVS31" s="1000"/>
      <c r="SVT31" s="1000"/>
      <c r="SVU31" s="1000"/>
      <c r="SVV31" s="1000"/>
      <c r="SVW31" s="1000"/>
      <c r="SVX31" s="1000"/>
      <c r="SVY31" s="1000"/>
      <c r="SVZ31" s="1000"/>
      <c r="SWA31" s="1000"/>
      <c r="SWB31" s="1000"/>
      <c r="SWC31" s="1000"/>
      <c r="SWD31" s="1000"/>
      <c r="SWE31" s="1000"/>
      <c r="SWF31" s="1000"/>
      <c r="SWG31" s="1000"/>
      <c r="SWH31" s="1000"/>
      <c r="SWI31" s="1000"/>
      <c r="SWJ31" s="1000"/>
      <c r="SWK31" s="1000"/>
      <c r="SWL31" s="1000"/>
      <c r="SWM31" s="1000"/>
      <c r="SWN31" s="1000"/>
      <c r="SWO31" s="1000"/>
      <c r="SWP31" s="1000"/>
      <c r="SWQ31" s="1000"/>
      <c r="SWR31" s="1000"/>
      <c r="SWS31" s="1000"/>
      <c r="SWT31" s="1000"/>
      <c r="SWU31" s="1000"/>
      <c r="SWV31" s="1000"/>
      <c r="SWW31" s="1000"/>
      <c r="SWX31" s="1000"/>
      <c r="SWY31" s="1000"/>
      <c r="SWZ31" s="1000"/>
      <c r="SXA31" s="1000"/>
      <c r="SXB31" s="1000"/>
      <c r="SXC31" s="1000"/>
      <c r="SXD31" s="1000"/>
      <c r="SXE31" s="1000"/>
      <c r="SXF31" s="1000"/>
      <c r="SXG31" s="1000"/>
      <c r="SXH31" s="1000"/>
      <c r="SXI31" s="1000"/>
      <c r="SXJ31" s="1000"/>
      <c r="SXK31" s="1000"/>
      <c r="SXL31" s="1000"/>
      <c r="SXM31" s="1000"/>
      <c r="SXN31" s="1000"/>
      <c r="SXO31" s="1000"/>
      <c r="SXP31" s="1000"/>
      <c r="SXQ31" s="1000"/>
      <c r="SXR31" s="1000"/>
      <c r="SXS31" s="1000"/>
      <c r="SXT31" s="1000"/>
      <c r="SXU31" s="1000"/>
      <c r="SXV31" s="1000"/>
      <c r="SXW31" s="1000"/>
      <c r="SXX31" s="1000"/>
      <c r="SXY31" s="1000"/>
      <c r="SXZ31" s="1000"/>
      <c r="SYA31" s="1000"/>
      <c r="SYB31" s="1000"/>
      <c r="SYC31" s="1000"/>
      <c r="SYD31" s="1000"/>
      <c r="SYE31" s="1000"/>
      <c r="SYF31" s="1000"/>
      <c r="SYG31" s="1000"/>
      <c r="SYH31" s="1000"/>
      <c r="SYI31" s="1000"/>
      <c r="SYJ31" s="1000"/>
      <c r="SYK31" s="1000"/>
      <c r="SYL31" s="1000"/>
      <c r="SYM31" s="1000"/>
      <c r="SYN31" s="1000"/>
      <c r="SYO31" s="1000"/>
      <c r="SYP31" s="1000"/>
      <c r="SYQ31" s="1000"/>
      <c r="SYR31" s="1000"/>
      <c r="SYS31" s="1000"/>
      <c r="SYT31" s="1000"/>
      <c r="SYU31" s="1000"/>
      <c r="SYV31" s="1000"/>
      <c r="SYW31" s="1000"/>
      <c r="SYX31" s="1000"/>
      <c r="SYY31" s="1000"/>
      <c r="SYZ31" s="1000"/>
      <c r="SZA31" s="1000"/>
      <c r="SZB31" s="1000"/>
      <c r="SZC31" s="1000"/>
      <c r="SZD31" s="1000"/>
      <c r="SZE31" s="1000"/>
      <c r="SZF31" s="1000"/>
      <c r="SZG31" s="1000"/>
      <c r="SZH31" s="1000"/>
      <c r="SZI31" s="1000"/>
      <c r="SZJ31" s="1000"/>
      <c r="SZK31" s="1000"/>
      <c r="SZL31" s="1000"/>
      <c r="SZM31" s="1000"/>
      <c r="SZN31" s="1000"/>
      <c r="SZO31" s="1000"/>
      <c r="SZP31" s="1000"/>
      <c r="SZQ31" s="1000"/>
      <c r="SZR31" s="1000"/>
      <c r="SZS31" s="1000"/>
      <c r="SZT31" s="1000"/>
      <c r="SZU31" s="1000"/>
      <c r="SZV31" s="1000"/>
      <c r="SZW31" s="1000"/>
      <c r="SZX31" s="1000"/>
      <c r="SZY31" s="1000"/>
      <c r="SZZ31" s="1000"/>
      <c r="TAA31" s="1000"/>
      <c r="TAB31" s="1000"/>
      <c r="TAC31" s="1000"/>
      <c r="TAD31" s="1000"/>
      <c r="TAE31" s="1000"/>
      <c r="TAF31" s="1000"/>
      <c r="TAG31" s="1000"/>
      <c r="TAH31" s="1000"/>
      <c r="TAI31" s="1000"/>
      <c r="TAJ31" s="1000"/>
      <c r="TAK31" s="1000"/>
      <c r="TAL31" s="1000"/>
      <c r="TAM31" s="1000"/>
      <c r="TAN31" s="1000"/>
      <c r="TAO31" s="1000"/>
      <c r="TAP31" s="1000"/>
      <c r="TAQ31" s="1000"/>
      <c r="TAR31" s="1000"/>
      <c r="TAS31" s="1000"/>
      <c r="TAT31" s="1000"/>
      <c r="TAU31" s="1000"/>
      <c r="TAV31" s="1000"/>
      <c r="TAW31" s="1000"/>
      <c r="TAX31" s="1000"/>
      <c r="TAY31" s="1000"/>
      <c r="TAZ31" s="1000"/>
      <c r="TBA31" s="1000"/>
      <c r="TBB31" s="1000"/>
      <c r="TBC31" s="1000"/>
      <c r="TBD31" s="1000"/>
      <c r="TBE31" s="1000"/>
      <c r="TBF31" s="1000"/>
      <c r="TBG31" s="1000"/>
      <c r="TBH31" s="1000"/>
      <c r="TBI31" s="1000"/>
      <c r="TBJ31" s="1000"/>
      <c r="TBK31" s="1000"/>
      <c r="TBL31" s="1000"/>
      <c r="TBM31" s="1000"/>
      <c r="TBN31" s="1000"/>
      <c r="TBO31" s="1000"/>
      <c r="TBP31" s="1000"/>
      <c r="TBQ31" s="1000"/>
      <c r="TBR31" s="1000"/>
      <c r="TBS31" s="1000"/>
      <c r="TBT31" s="1000"/>
      <c r="TBU31" s="1000"/>
      <c r="TBV31" s="1000"/>
      <c r="TBW31" s="1000"/>
      <c r="TBX31" s="1000"/>
      <c r="TBY31" s="1000"/>
      <c r="TBZ31" s="1000"/>
      <c r="TCA31" s="1000"/>
      <c r="TCB31" s="1000"/>
      <c r="TCC31" s="1000"/>
      <c r="TCD31" s="1000"/>
      <c r="TCE31" s="1000"/>
      <c r="TCF31" s="1000"/>
      <c r="TCG31" s="1000"/>
      <c r="TCH31" s="1000"/>
      <c r="TCI31" s="1000"/>
      <c r="TCJ31" s="1000"/>
      <c r="TCK31" s="1000"/>
      <c r="TCL31" s="1000"/>
      <c r="TCM31" s="1000"/>
      <c r="TCN31" s="1000"/>
      <c r="TCO31" s="1000"/>
      <c r="TCP31" s="1000"/>
      <c r="TCQ31" s="1000"/>
      <c r="TCR31" s="1000"/>
      <c r="TCS31" s="1000"/>
      <c r="TCT31" s="1000"/>
      <c r="TCU31" s="1000"/>
      <c r="TCV31" s="1000"/>
      <c r="TCW31" s="1000"/>
      <c r="TCX31" s="1000"/>
      <c r="TCY31" s="1000"/>
      <c r="TCZ31" s="1000"/>
      <c r="TDA31" s="1000"/>
      <c r="TDB31" s="1000"/>
      <c r="TDC31" s="1000"/>
      <c r="TDD31" s="1000"/>
      <c r="TDE31" s="1000"/>
      <c r="TDF31" s="1000"/>
      <c r="TDG31" s="1000"/>
      <c r="TDH31" s="1000"/>
      <c r="TDI31" s="1000"/>
      <c r="TDJ31" s="1000"/>
      <c r="TDK31" s="1000"/>
      <c r="TDL31" s="1000"/>
      <c r="TDM31" s="1000"/>
      <c r="TDN31" s="1000"/>
      <c r="TDO31" s="1000"/>
      <c r="TDP31" s="1000"/>
      <c r="TDQ31" s="1000"/>
      <c r="TDR31" s="1000"/>
      <c r="TDS31" s="1000"/>
      <c r="TDT31" s="1000"/>
      <c r="TDU31" s="1000"/>
      <c r="TDV31" s="1000"/>
      <c r="TDW31" s="1000"/>
      <c r="TDX31" s="1000"/>
      <c r="TDY31" s="1000"/>
      <c r="TDZ31" s="1000"/>
      <c r="TEA31" s="1000"/>
      <c r="TEB31" s="1000"/>
      <c r="TEC31" s="1000"/>
      <c r="TED31" s="1000"/>
      <c r="TEE31" s="1000"/>
      <c r="TEF31" s="1000"/>
      <c r="TEG31" s="1000"/>
      <c r="TEH31" s="1000"/>
      <c r="TEI31" s="1000"/>
      <c r="TEJ31" s="1000"/>
      <c r="TEK31" s="1000"/>
      <c r="TEL31" s="1000"/>
      <c r="TEM31" s="1000"/>
      <c r="TEN31" s="1000"/>
      <c r="TEO31" s="1000"/>
      <c r="TEP31" s="1000"/>
      <c r="TEQ31" s="1000"/>
      <c r="TER31" s="1000"/>
      <c r="TES31" s="1000"/>
      <c r="TET31" s="1000"/>
      <c r="TEU31" s="1000"/>
      <c r="TEV31" s="1000"/>
      <c r="TEW31" s="1000"/>
      <c r="TEX31" s="1000"/>
      <c r="TEY31" s="1000"/>
      <c r="TEZ31" s="1000"/>
      <c r="TFA31" s="1000"/>
      <c r="TFB31" s="1000"/>
      <c r="TFC31" s="1000"/>
      <c r="TFD31" s="1000"/>
      <c r="TFE31" s="1000"/>
      <c r="TFF31" s="1000"/>
      <c r="TFG31" s="1000"/>
      <c r="TFH31" s="1000"/>
      <c r="TFI31" s="1000"/>
      <c r="TFJ31" s="1000"/>
      <c r="TFK31" s="1000"/>
      <c r="TFL31" s="1000"/>
      <c r="TFM31" s="1000"/>
      <c r="TFN31" s="1000"/>
      <c r="TFO31" s="1000"/>
      <c r="TFP31" s="1000"/>
      <c r="TFQ31" s="1000"/>
      <c r="TFR31" s="1000"/>
      <c r="TFS31" s="1000"/>
      <c r="TFT31" s="1000"/>
      <c r="TFU31" s="1000"/>
      <c r="TFV31" s="1000"/>
      <c r="TFW31" s="1000"/>
      <c r="TFX31" s="1000"/>
      <c r="TFY31" s="1000"/>
      <c r="TFZ31" s="1000"/>
      <c r="TGA31" s="1000"/>
      <c r="TGB31" s="1000"/>
      <c r="TGC31" s="1000"/>
      <c r="TGD31" s="1000"/>
      <c r="TGE31" s="1000"/>
      <c r="TGF31" s="1000"/>
      <c r="TGG31" s="1000"/>
      <c r="TGH31" s="1000"/>
      <c r="TGI31" s="1000"/>
      <c r="TGJ31" s="1000"/>
      <c r="TGK31" s="1000"/>
      <c r="TGL31" s="1000"/>
      <c r="TGM31" s="1000"/>
      <c r="TGN31" s="1000"/>
      <c r="TGO31" s="1000"/>
      <c r="TGP31" s="1000"/>
      <c r="TGQ31" s="1000"/>
      <c r="TGR31" s="1000"/>
      <c r="TGS31" s="1000"/>
      <c r="TGT31" s="1000"/>
      <c r="TGU31" s="1000"/>
      <c r="TGV31" s="1000"/>
      <c r="TGW31" s="1000"/>
      <c r="TGX31" s="1000"/>
      <c r="TGY31" s="1000"/>
      <c r="TGZ31" s="1000"/>
      <c r="THA31" s="1000"/>
      <c r="THB31" s="1000"/>
      <c r="THC31" s="1000"/>
      <c r="THD31" s="1000"/>
      <c r="THE31" s="1000"/>
      <c r="THF31" s="1000"/>
      <c r="THG31" s="1000"/>
      <c r="THH31" s="1000"/>
      <c r="THI31" s="1000"/>
      <c r="THJ31" s="1000"/>
      <c r="THK31" s="1000"/>
      <c r="THL31" s="1000"/>
      <c r="THM31" s="1000"/>
      <c r="THN31" s="1000"/>
      <c r="THO31" s="1000"/>
      <c r="THP31" s="1000"/>
      <c r="THQ31" s="1000"/>
      <c r="THR31" s="1000"/>
      <c r="THS31" s="1000"/>
      <c r="THT31" s="1000"/>
      <c r="THU31" s="1000"/>
      <c r="THV31" s="1000"/>
      <c r="THW31" s="1000"/>
      <c r="THX31" s="1000"/>
      <c r="THY31" s="1000"/>
      <c r="THZ31" s="1000"/>
      <c r="TIA31" s="1000"/>
      <c r="TIB31" s="1000"/>
      <c r="TIC31" s="1000"/>
      <c r="TID31" s="1000"/>
      <c r="TIE31" s="1000"/>
      <c r="TIF31" s="1000"/>
      <c r="TIG31" s="1000"/>
      <c r="TIH31" s="1000"/>
      <c r="TII31" s="1000"/>
      <c r="TIJ31" s="1000"/>
      <c r="TIK31" s="1000"/>
      <c r="TIL31" s="1000"/>
      <c r="TIM31" s="1000"/>
      <c r="TIN31" s="1000"/>
      <c r="TIO31" s="1000"/>
      <c r="TIP31" s="1000"/>
      <c r="TIQ31" s="1000"/>
      <c r="TIR31" s="1000"/>
      <c r="TIS31" s="1000"/>
      <c r="TIT31" s="1000"/>
      <c r="TIU31" s="1000"/>
      <c r="TIV31" s="1000"/>
      <c r="TIW31" s="1000"/>
      <c r="TIX31" s="1000"/>
      <c r="TIY31" s="1000"/>
      <c r="TIZ31" s="1000"/>
      <c r="TJA31" s="1000"/>
      <c r="TJB31" s="1000"/>
      <c r="TJC31" s="1000"/>
      <c r="TJD31" s="1000"/>
      <c r="TJE31" s="1000"/>
      <c r="TJF31" s="1000"/>
      <c r="TJG31" s="1000"/>
      <c r="TJH31" s="1000"/>
      <c r="TJI31" s="1000"/>
      <c r="TJJ31" s="1000"/>
      <c r="TJK31" s="1000"/>
      <c r="TJL31" s="1000"/>
      <c r="TJM31" s="1000"/>
      <c r="TJN31" s="1000"/>
      <c r="TJO31" s="1000"/>
      <c r="TJP31" s="1000"/>
      <c r="TJQ31" s="1000"/>
      <c r="TJR31" s="1000"/>
      <c r="TJS31" s="1000"/>
      <c r="TJT31" s="1000"/>
      <c r="TJU31" s="1000"/>
      <c r="TJV31" s="1000"/>
      <c r="TJW31" s="1000"/>
      <c r="TJX31" s="1000"/>
      <c r="TJY31" s="1000"/>
      <c r="TJZ31" s="1000"/>
      <c r="TKA31" s="1000"/>
      <c r="TKB31" s="1000"/>
      <c r="TKC31" s="1000"/>
      <c r="TKD31" s="1000"/>
      <c r="TKE31" s="1000"/>
      <c r="TKF31" s="1000"/>
      <c r="TKG31" s="1000"/>
      <c r="TKH31" s="1000"/>
      <c r="TKI31" s="1000"/>
      <c r="TKJ31" s="1000"/>
      <c r="TKK31" s="1000"/>
      <c r="TKL31" s="1000"/>
      <c r="TKM31" s="1000"/>
      <c r="TKN31" s="1000"/>
      <c r="TKO31" s="1000"/>
      <c r="TKP31" s="1000"/>
      <c r="TKQ31" s="1000"/>
      <c r="TKR31" s="1000"/>
      <c r="TKS31" s="1000"/>
      <c r="TKT31" s="1000"/>
      <c r="TKU31" s="1000"/>
      <c r="TKV31" s="1000"/>
      <c r="TKW31" s="1000"/>
      <c r="TKX31" s="1000"/>
      <c r="TKY31" s="1000"/>
      <c r="TKZ31" s="1000"/>
      <c r="TLA31" s="1000"/>
      <c r="TLB31" s="1000"/>
      <c r="TLC31" s="1000"/>
      <c r="TLD31" s="1000"/>
      <c r="TLE31" s="1000"/>
      <c r="TLF31" s="1000"/>
      <c r="TLG31" s="1000"/>
      <c r="TLH31" s="1000"/>
      <c r="TLI31" s="1000"/>
      <c r="TLJ31" s="1000"/>
      <c r="TLK31" s="1000"/>
      <c r="TLL31" s="1000"/>
      <c r="TLM31" s="1000"/>
      <c r="TLN31" s="1000"/>
      <c r="TLO31" s="1000"/>
      <c r="TLP31" s="1000"/>
      <c r="TLQ31" s="1000"/>
      <c r="TLR31" s="1000"/>
      <c r="TLS31" s="1000"/>
      <c r="TLT31" s="1000"/>
      <c r="TLU31" s="1000"/>
      <c r="TLV31" s="1000"/>
      <c r="TLW31" s="1000"/>
      <c r="TLX31" s="1000"/>
      <c r="TLY31" s="1000"/>
      <c r="TLZ31" s="1000"/>
      <c r="TMA31" s="1000"/>
      <c r="TMB31" s="1000"/>
      <c r="TMC31" s="1000"/>
      <c r="TMD31" s="1000"/>
      <c r="TME31" s="1000"/>
      <c r="TMF31" s="1000"/>
      <c r="TMG31" s="1000"/>
      <c r="TMH31" s="1000"/>
      <c r="TMI31" s="1000"/>
      <c r="TMJ31" s="1000"/>
      <c r="TMK31" s="1000"/>
      <c r="TML31" s="1000"/>
      <c r="TMM31" s="1000"/>
      <c r="TMN31" s="1000"/>
      <c r="TMO31" s="1000"/>
      <c r="TMP31" s="1000"/>
      <c r="TMQ31" s="1000"/>
      <c r="TMR31" s="1000"/>
      <c r="TMS31" s="1000"/>
      <c r="TMT31" s="1000"/>
      <c r="TMU31" s="1000"/>
      <c r="TMV31" s="1000"/>
      <c r="TMW31" s="1000"/>
      <c r="TMX31" s="1000"/>
      <c r="TMY31" s="1000"/>
      <c r="TMZ31" s="1000"/>
      <c r="TNA31" s="1000"/>
      <c r="TNB31" s="1000"/>
      <c r="TNC31" s="1000"/>
      <c r="TND31" s="1000"/>
      <c r="TNE31" s="1000"/>
      <c r="TNF31" s="1000"/>
      <c r="TNG31" s="1000"/>
      <c r="TNH31" s="1000"/>
      <c r="TNI31" s="1000"/>
      <c r="TNJ31" s="1000"/>
      <c r="TNK31" s="1000"/>
      <c r="TNL31" s="1000"/>
      <c r="TNM31" s="1000"/>
      <c r="TNN31" s="1000"/>
      <c r="TNO31" s="1000"/>
      <c r="TNP31" s="1000"/>
      <c r="TNQ31" s="1000"/>
      <c r="TNR31" s="1000"/>
      <c r="TNS31" s="1000"/>
      <c r="TNT31" s="1000"/>
      <c r="TNU31" s="1000"/>
      <c r="TNV31" s="1000"/>
      <c r="TNW31" s="1000"/>
      <c r="TNX31" s="1000"/>
      <c r="TNY31" s="1000"/>
      <c r="TNZ31" s="1000"/>
      <c r="TOA31" s="1000"/>
      <c r="TOB31" s="1000"/>
      <c r="TOC31" s="1000"/>
      <c r="TOD31" s="1000"/>
      <c r="TOE31" s="1000"/>
      <c r="TOF31" s="1000"/>
      <c r="TOG31" s="1000"/>
      <c r="TOH31" s="1000"/>
      <c r="TOI31" s="1000"/>
      <c r="TOJ31" s="1000"/>
      <c r="TOK31" s="1000"/>
      <c r="TOL31" s="1000"/>
      <c r="TOM31" s="1000"/>
      <c r="TON31" s="1000"/>
      <c r="TOO31" s="1000"/>
      <c r="TOP31" s="1000"/>
      <c r="TOQ31" s="1000"/>
      <c r="TOR31" s="1000"/>
      <c r="TOS31" s="1000"/>
      <c r="TOT31" s="1000"/>
      <c r="TOU31" s="1000"/>
      <c r="TOV31" s="1000"/>
      <c r="TOW31" s="1000"/>
      <c r="TOX31" s="1000"/>
      <c r="TOY31" s="1000"/>
      <c r="TOZ31" s="1000"/>
      <c r="TPA31" s="1000"/>
      <c r="TPB31" s="1000"/>
      <c r="TPC31" s="1000"/>
      <c r="TPD31" s="1000"/>
      <c r="TPE31" s="1000"/>
      <c r="TPF31" s="1000"/>
      <c r="TPG31" s="1000"/>
      <c r="TPH31" s="1000"/>
      <c r="TPI31" s="1000"/>
      <c r="TPJ31" s="1000"/>
      <c r="TPK31" s="1000"/>
      <c r="TPL31" s="1000"/>
      <c r="TPM31" s="1000"/>
      <c r="TPN31" s="1000"/>
      <c r="TPO31" s="1000"/>
      <c r="TPP31" s="1000"/>
      <c r="TPQ31" s="1000"/>
      <c r="TPR31" s="1000"/>
      <c r="TPS31" s="1000"/>
      <c r="TPT31" s="1000"/>
      <c r="TPU31" s="1000"/>
      <c r="TPV31" s="1000"/>
      <c r="TPW31" s="1000"/>
      <c r="TPX31" s="1000"/>
      <c r="TPY31" s="1000"/>
      <c r="TPZ31" s="1000"/>
      <c r="TQA31" s="1000"/>
      <c r="TQB31" s="1000"/>
      <c r="TQC31" s="1000"/>
      <c r="TQD31" s="1000"/>
      <c r="TQE31" s="1000"/>
      <c r="TQF31" s="1000"/>
      <c r="TQG31" s="1000"/>
      <c r="TQH31" s="1000"/>
      <c r="TQI31" s="1000"/>
      <c r="TQJ31" s="1000"/>
      <c r="TQK31" s="1000"/>
      <c r="TQL31" s="1000"/>
      <c r="TQM31" s="1000"/>
      <c r="TQN31" s="1000"/>
      <c r="TQO31" s="1000"/>
      <c r="TQP31" s="1000"/>
      <c r="TQQ31" s="1000"/>
      <c r="TQR31" s="1000"/>
      <c r="TQS31" s="1000"/>
      <c r="TQT31" s="1000"/>
      <c r="TQU31" s="1000"/>
      <c r="TQV31" s="1000"/>
      <c r="TQW31" s="1000"/>
      <c r="TQX31" s="1000"/>
      <c r="TQY31" s="1000"/>
      <c r="TQZ31" s="1000"/>
      <c r="TRA31" s="1000"/>
      <c r="TRB31" s="1000"/>
      <c r="TRC31" s="1000"/>
      <c r="TRD31" s="1000"/>
      <c r="TRE31" s="1000"/>
      <c r="TRF31" s="1000"/>
      <c r="TRG31" s="1000"/>
      <c r="TRH31" s="1000"/>
      <c r="TRI31" s="1000"/>
      <c r="TRJ31" s="1000"/>
      <c r="TRK31" s="1000"/>
      <c r="TRL31" s="1000"/>
      <c r="TRM31" s="1000"/>
      <c r="TRN31" s="1000"/>
      <c r="TRO31" s="1000"/>
      <c r="TRP31" s="1000"/>
      <c r="TRQ31" s="1000"/>
      <c r="TRR31" s="1000"/>
      <c r="TRS31" s="1000"/>
      <c r="TRT31" s="1000"/>
      <c r="TRU31" s="1000"/>
      <c r="TRV31" s="1000"/>
      <c r="TRW31" s="1000"/>
      <c r="TRX31" s="1000"/>
      <c r="TRY31" s="1000"/>
      <c r="TRZ31" s="1000"/>
      <c r="TSA31" s="1000"/>
      <c r="TSB31" s="1000"/>
      <c r="TSC31" s="1000"/>
      <c r="TSD31" s="1000"/>
      <c r="TSE31" s="1000"/>
      <c r="TSF31" s="1000"/>
      <c r="TSG31" s="1000"/>
      <c r="TSH31" s="1000"/>
      <c r="TSI31" s="1000"/>
      <c r="TSJ31" s="1000"/>
      <c r="TSK31" s="1000"/>
      <c r="TSL31" s="1000"/>
      <c r="TSM31" s="1000"/>
      <c r="TSN31" s="1000"/>
      <c r="TSO31" s="1000"/>
      <c r="TSP31" s="1000"/>
      <c r="TSQ31" s="1000"/>
      <c r="TSR31" s="1000"/>
      <c r="TSS31" s="1000"/>
      <c r="TST31" s="1000"/>
      <c r="TSU31" s="1000"/>
      <c r="TSV31" s="1000"/>
      <c r="TSW31" s="1000"/>
      <c r="TSX31" s="1000"/>
      <c r="TSY31" s="1000"/>
      <c r="TSZ31" s="1000"/>
      <c r="TTA31" s="1000"/>
      <c r="TTB31" s="1000"/>
      <c r="TTC31" s="1000"/>
      <c r="TTD31" s="1000"/>
      <c r="TTE31" s="1000"/>
      <c r="TTF31" s="1000"/>
      <c r="TTG31" s="1000"/>
      <c r="TTH31" s="1000"/>
      <c r="TTI31" s="1000"/>
      <c r="TTJ31" s="1000"/>
      <c r="TTK31" s="1000"/>
      <c r="TTL31" s="1000"/>
      <c r="TTM31" s="1000"/>
      <c r="TTN31" s="1000"/>
      <c r="TTO31" s="1000"/>
      <c r="TTP31" s="1000"/>
      <c r="TTQ31" s="1000"/>
      <c r="TTR31" s="1000"/>
      <c r="TTS31" s="1000"/>
      <c r="TTT31" s="1000"/>
      <c r="TTU31" s="1000"/>
      <c r="TTV31" s="1000"/>
      <c r="TTW31" s="1000"/>
      <c r="TTX31" s="1000"/>
      <c r="TTY31" s="1000"/>
      <c r="TTZ31" s="1000"/>
      <c r="TUA31" s="1000"/>
      <c r="TUB31" s="1000"/>
      <c r="TUC31" s="1000"/>
      <c r="TUD31" s="1000"/>
      <c r="TUE31" s="1000"/>
      <c r="TUF31" s="1000"/>
      <c r="TUG31" s="1000"/>
      <c r="TUH31" s="1000"/>
      <c r="TUI31" s="1000"/>
      <c r="TUJ31" s="1000"/>
      <c r="TUK31" s="1000"/>
      <c r="TUL31" s="1000"/>
      <c r="TUM31" s="1000"/>
      <c r="TUN31" s="1000"/>
      <c r="TUO31" s="1000"/>
      <c r="TUP31" s="1000"/>
      <c r="TUQ31" s="1000"/>
      <c r="TUR31" s="1000"/>
      <c r="TUS31" s="1000"/>
      <c r="TUT31" s="1000"/>
      <c r="TUU31" s="1000"/>
      <c r="TUV31" s="1000"/>
      <c r="TUW31" s="1000"/>
      <c r="TUX31" s="1000"/>
      <c r="TUY31" s="1000"/>
      <c r="TUZ31" s="1000"/>
      <c r="TVA31" s="1000"/>
      <c r="TVB31" s="1000"/>
      <c r="TVC31" s="1000"/>
      <c r="TVD31" s="1000"/>
      <c r="TVE31" s="1000"/>
      <c r="TVF31" s="1000"/>
      <c r="TVG31" s="1000"/>
      <c r="TVH31" s="1000"/>
      <c r="TVI31" s="1000"/>
      <c r="TVJ31" s="1000"/>
      <c r="TVK31" s="1000"/>
      <c r="TVL31" s="1000"/>
      <c r="TVM31" s="1000"/>
      <c r="TVN31" s="1000"/>
      <c r="TVO31" s="1000"/>
      <c r="TVP31" s="1000"/>
      <c r="TVQ31" s="1000"/>
      <c r="TVR31" s="1000"/>
      <c r="TVS31" s="1000"/>
      <c r="TVT31" s="1000"/>
      <c r="TVU31" s="1000"/>
      <c r="TVV31" s="1000"/>
      <c r="TVW31" s="1000"/>
      <c r="TVX31" s="1000"/>
      <c r="TVY31" s="1000"/>
      <c r="TVZ31" s="1000"/>
      <c r="TWA31" s="1000"/>
      <c r="TWB31" s="1000"/>
      <c r="TWC31" s="1000"/>
      <c r="TWD31" s="1000"/>
      <c r="TWE31" s="1000"/>
      <c r="TWF31" s="1000"/>
      <c r="TWG31" s="1000"/>
      <c r="TWH31" s="1000"/>
      <c r="TWI31" s="1000"/>
      <c r="TWJ31" s="1000"/>
      <c r="TWK31" s="1000"/>
      <c r="TWL31" s="1000"/>
      <c r="TWM31" s="1000"/>
      <c r="TWN31" s="1000"/>
      <c r="TWO31" s="1000"/>
      <c r="TWP31" s="1000"/>
      <c r="TWQ31" s="1000"/>
      <c r="TWR31" s="1000"/>
      <c r="TWS31" s="1000"/>
      <c r="TWT31" s="1000"/>
      <c r="TWU31" s="1000"/>
      <c r="TWV31" s="1000"/>
      <c r="TWW31" s="1000"/>
      <c r="TWX31" s="1000"/>
      <c r="TWY31" s="1000"/>
      <c r="TWZ31" s="1000"/>
      <c r="TXA31" s="1000"/>
      <c r="TXB31" s="1000"/>
      <c r="TXC31" s="1000"/>
      <c r="TXD31" s="1000"/>
      <c r="TXE31" s="1000"/>
      <c r="TXF31" s="1000"/>
      <c r="TXG31" s="1000"/>
      <c r="TXH31" s="1000"/>
      <c r="TXI31" s="1000"/>
      <c r="TXJ31" s="1000"/>
      <c r="TXK31" s="1000"/>
      <c r="TXL31" s="1000"/>
      <c r="TXM31" s="1000"/>
      <c r="TXN31" s="1000"/>
      <c r="TXO31" s="1000"/>
      <c r="TXP31" s="1000"/>
      <c r="TXQ31" s="1000"/>
      <c r="TXR31" s="1000"/>
      <c r="TXS31" s="1000"/>
      <c r="TXT31" s="1000"/>
      <c r="TXU31" s="1000"/>
      <c r="TXV31" s="1000"/>
      <c r="TXW31" s="1000"/>
      <c r="TXX31" s="1000"/>
      <c r="TXY31" s="1000"/>
      <c r="TXZ31" s="1000"/>
      <c r="TYA31" s="1000"/>
      <c r="TYB31" s="1000"/>
      <c r="TYC31" s="1000"/>
      <c r="TYD31" s="1000"/>
      <c r="TYE31" s="1000"/>
      <c r="TYF31" s="1000"/>
      <c r="TYG31" s="1000"/>
      <c r="TYH31" s="1000"/>
      <c r="TYI31" s="1000"/>
      <c r="TYJ31" s="1000"/>
      <c r="TYK31" s="1000"/>
      <c r="TYL31" s="1000"/>
      <c r="TYM31" s="1000"/>
      <c r="TYN31" s="1000"/>
      <c r="TYO31" s="1000"/>
      <c r="TYP31" s="1000"/>
      <c r="TYQ31" s="1000"/>
      <c r="TYR31" s="1000"/>
      <c r="TYS31" s="1000"/>
      <c r="TYT31" s="1000"/>
      <c r="TYU31" s="1000"/>
      <c r="TYV31" s="1000"/>
      <c r="TYW31" s="1000"/>
      <c r="TYX31" s="1000"/>
      <c r="TYY31" s="1000"/>
      <c r="TYZ31" s="1000"/>
      <c r="TZA31" s="1000"/>
      <c r="TZB31" s="1000"/>
      <c r="TZC31" s="1000"/>
      <c r="TZD31" s="1000"/>
      <c r="TZE31" s="1000"/>
      <c r="TZF31" s="1000"/>
      <c r="TZG31" s="1000"/>
      <c r="TZH31" s="1000"/>
      <c r="TZI31" s="1000"/>
      <c r="TZJ31" s="1000"/>
      <c r="TZK31" s="1000"/>
      <c r="TZL31" s="1000"/>
      <c r="TZM31" s="1000"/>
      <c r="TZN31" s="1000"/>
      <c r="TZO31" s="1000"/>
      <c r="TZP31" s="1000"/>
      <c r="TZQ31" s="1000"/>
      <c r="TZR31" s="1000"/>
      <c r="TZS31" s="1000"/>
      <c r="TZT31" s="1000"/>
      <c r="TZU31" s="1000"/>
      <c r="TZV31" s="1000"/>
      <c r="TZW31" s="1000"/>
      <c r="TZX31" s="1000"/>
      <c r="TZY31" s="1000"/>
      <c r="TZZ31" s="1000"/>
      <c r="UAA31" s="1000"/>
      <c r="UAB31" s="1000"/>
      <c r="UAC31" s="1000"/>
      <c r="UAD31" s="1000"/>
      <c r="UAE31" s="1000"/>
      <c r="UAF31" s="1000"/>
      <c r="UAG31" s="1000"/>
      <c r="UAH31" s="1000"/>
      <c r="UAI31" s="1000"/>
      <c r="UAJ31" s="1000"/>
      <c r="UAK31" s="1000"/>
      <c r="UAL31" s="1000"/>
      <c r="UAM31" s="1000"/>
      <c r="UAN31" s="1000"/>
      <c r="UAO31" s="1000"/>
      <c r="UAP31" s="1000"/>
      <c r="UAQ31" s="1000"/>
      <c r="UAR31" s="1000"/>
      <c r="UAS31" s="1000"/>
      <c r="UAT31" s="1000"/>
      <c r="UAU31" s="1000"/>
      <c r="UAV31" s="1000"/>
      <c r="UAW31" s="1000"/>
      <c r="UAX31" s="1000"/>
      <c r="UAY31" s="1000"/>
      <c r="UAZ31" s="1000"/>
      <c r="UBA31" s="1000"/>
      <c r="UBB31" s="1000"/>
      <c r="UBC31" s="1000"/>
      <c r="UBD31" s="1000"/>
      <c r="UBE31" s="1000"/>
      <c r="UBF31" s="1000"/>
      <c r="UBG31" s="1000"/>
      <c r="UBH31" s="1000"/>
      <c r="UBI31" s="1000"/>
      <c r="UBJ31" s="1000"/>
      <c r="UBK31" s="1000"/>
      <c r="UBL31" s="1000"/>
      <c r="UBM31" s="1000"/>
      <c r="UBN31" s="1000"/>
      <c r="UBO31" s="1000"/>
      <c r="UBP31" s="1000"/>
      <c r="UBQ31" s="1000"/>
      <c r="UBR31" s="1000"/>
      <c r="UBS31" s="1000"/>
      <c r="UBT31" s="1000"/>
      <c r="UBU31" s="1000"/>
      <c r="UBV31" s="1000"/>
      <c r="UBW31" s="1000"/>
      <c r="UBX31" s="1000"/>
      <c r="UBY31" s="1000"/>
      <c r="UBZ31" s="1000"/>
      <c r="UCA31" s="1000"/>
      <c r="UCB31" s="1000"/>
      <c r="UCC31" s="1000"/>
      <c r="UCD31" s="1000"/>
      <c r="UCE31" s="1000"/>
      <c r="UCF31" s="1000"/>
      <c r="UCG31" s="1000"/>
      <c r="UCH31" s="1000"/>
      <c r="UCI31" s="1000"/>
      <c r="UCJ31" s="1000"/>
      <c r="UCK31" s="1000"/>
      <c r="UCL31" s="1000"/>
      <c r="UCM31" s="1000"/>
      <c r="UCN31" s="1000"/>
      <c r="UCO31" s="1000"/>
      <c r="UCP31" s="1000"/>
      <c r="UCQ31" s="1000"/>
      <c r="UCR31" s="1000"/>
      <c r="UCS31" s="1000"/>
      <c r="UCT31" s="1000"/>
      <c r="UCU31" s="1000"/>
      <c r="UCV31" s="1000"/>
      <c r="UCW31" s="1000"/>
      <c r="UCX31" s="1000"/>
      <c r="UCY31" s="1000"/>
      <c r="UCZ31" s="1000"/>
      <c r="UDA31" s="1000"/>
      <c r="UDB31" s="1000"/>
      <c r="UDC31" s="1000"/>
      <c r="UDD31" s="1000"/>
      <c r="UDE31" s="1000"/>
      <c r="UDF31" s="1000"/>
      <c r="UDG31" s="1000"/>
      <c r="UDH31" s="1000"/>
      <c r="UDI31" s="1000"/>
      <c r="UDJ31" s="1000"/>
      <c r="UDK31" s="1000"/>
      <c r="UDL31" s="1000"/>
      <c r="UDM31" s="1000"/>
      <c r="UDN31" s="1000"/>
      <c r="UDO31" s="1000"/>
      <c r="UDP31" s="1000"/>
      <c r="UDQ31" s="1000"/>
      <c r="UDR31" s="1000"/>
      <c r="UDS31" s="1000"/>
      <c r="UDT31" s="1000"/>
      <c r="UDU31" s="1000"/>
      <c r="UDV31" s="1000"/>
      <c r="UDW31" s="1000"/>
      <c r="UDX31" s="1000"/>
      <c r="UDY31" s="1000"/>
      <c r="UDZ31" s="1000"/>
      <c r="UEA31" s="1000"/>
      <c r="UEB31" s="1000"/>
      <c r="UEC31" s="1000"/>
      <c r="UED31" s="1000"/>
      <c r="UEE31" s="1000"/>
      <c r="UEF31" s="1000"/>
      <c r="UEG31" s="1000"/>
      <c r="UEH31" s="1000"/>
      <c r="UEI31" s="1000"/>
      <c r="UEJ31" s="1000"/>
      <c r="UEK31" s="1000"/>
      <c r="UEL31" s="1000"/>
      <c r="UEM31" s="1000"/>
      <c r="UEN31" s="1000"/>
      <c r="UEO31" s="1000"/>
      <c r="UEP31" s="1000"/>
      <c r="UEQ31" s="1000"/>
      <c r="UER31" s="1000"/>
      <c r="UES31" s="1000"/>
      <c r="UET31" s="1000"/>
      <c r="UEU31" s="1000"/>
      <c r="UEV31" s="1000"/>
      <c r="UEW31" s="1000"/>
      <c r="UEX31" s="1000"/>
      <c r="UEY31" s="1000"/>
      <c r="UEZ31" s="1000"/>
      <c r="UFA31" s="1000"/>
      <c r="UFB31" s="1000"/>
      <c r="UFC31" s="1000"/>
      <c r="UFD31" s="1000"/>
      <c r="UFE31" s="1000"/>
      <c r="UFF31" s="1000"/>
      <c r="UFG31" s="1000"/>
      <c r="UFH31" s="1000"/>
      <c r="UFI31" s="1000"/>
      <c r="UFJ31" s="1000"/>
      <c r="UFK31" s="1000"/>
      <c r="UFL31" s="1000"/>
      <c r="UFM31" s="1000"/>
      <c r="UFN31" s="1000"/>
      <c r="UFO31" s="1000"/>
      <c r="UFP31" s="1000"/>
      <c r="UFQ31" s="1000"/>
      <c r="UFR31" s="1000"/>
      <c r="UFS31" s="1000"/>
      <c r="UFT31" s="1000"/>
      <c r="UFU31" s="1000"/>
      <c r="UFV31" s="1000"/>
      <c r="UFW31" s="1000"/>
      <c r="UFX31" s="1000"/>
      <c r="UFY31" s="1000"/>
      <c r="UFZ31" s="1000"/>
      <c r="UGA31" s="1000"/>
      <c r="UGB31" s="1000"/>
      <c r="UGC31" s="1000"/>
      <c r="UGD31" s="1000"/>
      <c r="UGE31" s="1000"/>
      <c r="UGF31" s="1000"/>
      <c r="UGG31" s="1000"/>
      <c r="UGH31" s="1000"/>
      <c r="UGI31" s="1000"/>
      <c r="UGJ31" s="1000"/>
      <c r="UGK31" s="1000"/>
      <c r="UGL31" s="1000"/>
      <c r="UGM31" s="1000"/>
      <c r="UGN31" s="1000"/>
      <c r="UGO31" s="1000"/>
      <c r="UGP31" s="1000"/>
      <c r="UGQ31" s="1000"/>
      <c r="UGR31" s="1000"/>
      <c r="UGS31" s="1000"/>
      <c r="UGT31" s="1000"/>
      <c r="UGU31" s="1000"/>
      <c r="UGV31" s="1000"/>
      <c r="UGW31" s="1000"/>
      <c r="UGX31" s="1000"/>
      <c r="UGY31" s="1000"/>
      <c r="UGZ31" s="1000"/>
      <c r="UHA31" s="1000"/>
      <c r="UHB31" s="1000"/>
      <c r="UHC31" s="1000"/>
      <c r="UHD31" s="1000"/>
      <c r="UHE31" s="1000"/>
      <c r="UHF31" s="1000"/>
      <c r="UHG31" s="1000"/>
      <c r="UHH31" s="1000"/>
      <c r="UHI31" s="1000"/>
      <c r="UHJ31" s="1000"/>
      <c r="UHK31" s="1000"/>
      <c r="UHL31" s="1000"/>
      <c r="UHM31" s="1000"/>
      <c r="UHN31" s="1000"/>
      <c r="UHO31" s="1000"/>
      <c r="UHP31" s="1000"/>
      <c r="UHQ31" s="1000"/>
      <c r="UHR31" s="1000"/>
      <c r="UHS31" s="1000"/>
      <c r="UHT31" s="1000"/>
      <c r="UHU31" s="1000"/>
      <c r="UHV31" s="1000"/>
      <c r="UHW31" s="1000"/>
      <c r="UHX31" s="1000"/>
      <c r="UHY31" s="1000"/>
      <c r="UHZ31" s="1000"/>
      <c r="UIA31" s="1000"/>
      <c r="UIB31" s="1000"/>
      <c r="UIC31" s="1000"/>
      <c r="UID31" s="1000"/>
      <c r="UIE31" s="1000"/>
      <c r="UIF31" s="1000"/>
      <c r="UIG31" s="1000"/>
      <c r="UIH31" s="1000"/>
      <c r="UII31" s="1000"/>
      <c r="UIJ31" s="1000"/>
      <c r="UIK31" s="1000"/>
      <c r="UIL31" s="1000"/>
      <c r="UIM31" s="1000"/>
      <c r="UIN31" s="1000"/>
      <c r="UIO31" s="1000"/>
      <c r="UIP31" s="1000"/>
      <c r="UIQ31" s="1000"/>
      <c r="UIR31" s="1000"/>
      <c r="UIS31" s="1000"/>
      <c r="UIT31" s="1000"/>
      <c r="UIU31" s="1000"/>
      <c r="UIV31" s="1000"/>
      <c r="UIW31" s="1000"/>
      <c r="UIX31" s="1000"/>
      <c r="UIY31" s="1000"/>
      <c r="UIZ31" s="1000"/>
      <c r="UJA31" s="1000"/>
      <c r="UJB31" s="1000"/>
      <c r="UJC31" s="1000"/>
      <c r="UJD31" s="1000"/>
      <c r="UJE31" s="1000"/>
      <c r="UJF31" s="1000"/>
      <c r="UJG31" s="1000"/>
      <c r="UJH31" s="1000"/>
      <c r="UJI31" s="1000"/>
      <c r="UJJ31" s="1000"/>
      <c r="UJK31" s="1000"/>
      <c r="UJL31" s="1000"/>
      <c r="UJM31" s="1000"/>
      <c r="UJN31" s="1000"/>
      <c r="UJO31" s="1000"/>
      <c r="UJP31" s="1000"/>
      <c r="UJQ31" s="1000"/>
      <c r="UJR31" s="1000"/>
      <c r="UJS31" s="1000"/>
      <c r="UJT31" s="1000"/>
      <c r="UJU31" s="1000"/>
      <c r="UJV31" s="1000"/>
      <c r="UJW31" s="1000"/>
      <c r="UJX31" s="1000"/>
      <c r="UJY31" s="1000"/>
      <c r="UJZ31" s="1000"/>
      <c r="UKA31" s="1000"/>
      <c r="UKB31" s="1000"/>
      <c r="UKC31" s="1000"/>
      <c r="UKD31" s="1000"/>
      <c r="UKE31" s="1000"/>
      <c r="UKF31" s="1000"/>
      <c r="UKG31" s="1000"/>
      <c r="UKH31" s="1000"/>
      <c r="UKI31" s="1000"/>
      <c r="UKJ31" s="1000"/>
      <c r="UKK31" s="1000"/>
      <c r="UKL31" s="1000"/>
      <c r="UKM31" s="1000"/>
      <c r="UKN31" s="1000"/>
      <c r="UKO31" s="1000"/>
      <c r="UKP31" s="1000"/>
      <c r="UKQ31" s="1000"/>
      <c r="UKR31" s="1000"/>
      <c r="UKS31" s="1000"/>
      <c r="UKT31" s="1000"/>
      <c r="UKU31" s="1000"/>
      <c r="UKV31" s="1000"/>
      <c r="UKW31" s="1000"/>
      <c r="UKX31" s="1000"/>
      <c r="UKY31" s="1000"/>
      <c r="UKZ31" s="1000"/>
      <c r="ULA31" s="1000"/>
      <c r="ULB31" s="1000"/>
      <c r="ULC31" s="1000"/>
      <c r="ULD31" s="1000"/>
      <c r="ULE31" s="1000"/>
      <c r="ULF31" s="1000"/>
      <c r="ULG31" s="1000"/>
      <c r="ULH31" s="1000"/>
      <c r="ULI31" s="1000"/>
      <c r="ULJ31" s="1000"/>
      <c r="ULK31" s="1000"/>
      <c r="ULL31" s="1000"/>
      <c r="ULM31" s="1000"/>
      <c r="ULN31" s="1000"/>
      <c r="ULO31" s="1000"/>
      <c r="ULP31" s="1000"/>
      <c r="ULQ31" s="1000"/>
      <c r="ULR31" s="1000"/>
      <c r="ULS31" s="1000"/>
      <c r="ULT31" s="1000"/>
      <c r="ULU31" s="1000"/>
      <c r="ULV31" s="1000"/>
      <c r="ULW31" s="1000"/>
      <c r="ULX31" s="1000"/>
      <c r="ULY31" s="1000"/>
      <c r="ULZ31" s="1000"/>
      <c r="UMA31" s="1000"/>
      <c r="UMB31" s="1000"/>
      <c r="UMC31" s="1000"/>
      <c r="UMD31" s="1000"/>
      <c r="UME31" s="1000"/>
      <c r="UMF31" s="1000"/>
      <c r="UMG31" s="1000"/>
      <c r="UMH31" s="1000"/>
      <c r="UMI31" s="1000"/>
      <c r="UMJ31" s="1000"/>
      <c r="UMK31" s="1000"/>
      <c r="UML31" s="1000"/>
      <c r="UMM31" s="1000"/>
      <c r="UMN31" s="1000"/>
      <c r="UMO31" s="1000"/>
      <c r="UMP31" s="1000"/>
      <c r="UMQ31" s="1000"/>
      <c r="UMR31" s="1000"/>
      <c r="UMS31" s="1000"/>
      <c r="UMT31" s="1000"/>
      <c r="UMU31" s="1000"/>
      <c r="UMV31" s="1000"/>
      <c r="UMW31" s="1000"/>
      <c r="UMX31" s="1000"/>
      <c r="UMY31" s="1000"/>
      <c r="UMZ31" s="1000"/>
      <c r="UNA31" s="1000"/>
      <c r="UNB31" s="1000"/>
      <c r="UNC31" s="1000"/>
      <c r="UND31" s="1000"/>
      <c r="UNE31" s="1000"/>
      <c r="UNF31" s="1000"/>
      <c r="UNG31" s="1000"/>
      <c r="UNH31" s="1000"/>
      <c r="UNI31" s="1000"/>
      <c r="UNJ31" s="1000"/>
      <c r="UNK31" s="1000"/>
      <c r="UNL31" s="1000"/>
      <c r="UNM31" s="1000"/>
      <c r="UNN31" s="1000"/>
      <c r="UNO31" s="1000"/>
      <c r="UNP31" s="1000"/>
      <c r="UNQ31" s="1000"/>
      <c r="UNR31" s="1000"/>
      <c r="UNS31" s="1000"/>
      <c r="UNT31" s="1000"/>
      <c r="UNU31" s="1000"/>
      <c r="UNV31" s="1000"/>
      <c r="UNW31" s="1000"/>
      <c r="UNX31" s="1000"/>
      <c r="UNY31" s="1000"/>
      <c r="UNZ31" s="1000"/>
      <c r="UOA31" s="1000"/>
      <c r="UOB31" s="1000"/>
      <c r="UOC31" s="1000"/>
      <c r="UOD31" s="1000"/>
      <c r="UOE31" s="1000"/>
      <c r="UOF31" s="1000"/>
      <c r="UOG31" s="1000"/>
      <c r="UOH31" s="1000"/>
      <c r="UOI31" s="1000"/>
      <c r="UOJ31" s="1000"/>
      <c r="UOK31" s="1000"/>
      <c r="UOL31" s="1000"/>
      <c r="UOM31" s="1000"/>
      <c r="UON31" s="1000"/>
      <c r="UOO31" s="1000"/>
      <c r="UOP31" s="1000"/>
      <c r="UOQ31" s="1000"/>
      <c r="UOR31" s="1000"/>
      <c r="UOS31" s="1000"/>
      <c r="UOT31" s="1000"/>
      <c r="UOU31" s="1000"/>
      <c r="UOV31" s="1000"/>
      <c r="UOW31" s="1000"/>
      <c r="UOX31" s="1000"/>
      <c r="UOY31" s="1000"/>
      <c r="UOZ31" s="1000"/>
      <c r="UPA31" s="1000"/>
      <c r="UPB31" s="1000"/>
      <c r="UPC31" s="1000"/>
      <c r="UPD31" s="1000"/>
      <c r="UPE31" s="1000"/>
      <c r="UPF31" s="1000"/>
      <c r="UPG31" s="1000"/>
      <c r="UPH31" s="1000"/>
      <c r="UPI31" s="1000"/>
      <c r="UPJ31" s="1000"/>
      <c r="UPK31" s="1000"/>
      <c r="UPL31" s="1000"/>
      <c r="UPM31" s="1000"/>
      <c r="UPN31" s="1000"/>
      <c r="UPO31" s="1000"/>
      <c r="UPP31" s="1000"/>
      <c r="UPQ31" s="1000"/>
      <c r="UPR31" s="1000"/>
      <c r="UPS31" s="1000"/>
      <c r="UPT31" s="1000"/>
      <c r="UPU31" s="1000"/>
      <c r="UPV31" s="1000"/>
      <c r="UPW31" s="1000"/>
      <c r="UPX31" s="1000"/>
      <c r="UPY31" s="1000"/>
      <c r="UPZ31" s="1000"/>
      <c r="UQA31" s="1000"/>
      <c r="UQB31" s="1000"/>
      <c r="UQC31" s="1000"/>
      <c r="UQD31" s="1000"/>
      <c r="UQE31" s="1000"/>
      <c r="UQF31" s="1000"/>
      <c r="UQG31" s="1000"/>
      <c r="UQH31" s="1000"/>
      <c r="UQI31" s="1000"/>
      <c r="UQJ31" s="1000"/>
      <c r="UQK31" s="1000"/>
      <c r="UQL31" s="1000"/>
      <c r="UQM31" s="1000"/>
      <c r="UQN31" s="1000"/>
      <c r="UQO31" s="1000"/>
      <c r="UQP31" s="1000"/>
      <c r="UQQ31" s="1000"/>
      <c r="UQR31" s="1000"/>
      <c r="UQS31" s="1000"/>
      <c r="UQT31" s="1000"/>
      <c r="UQU31" s="1000"/>
      <c r="UQV31" s="1000"/>
      <c r="UQW31" s="1000"/>
      <c r="UQX31" s="1000"/>
      <c r="UQY31" s="1000"/>
      <c r="UQZ31" s="1000"/>
      <c r="URA31" s="1000"/>
      <c r="URB31" s="1000"/>
      <c r="URC31" s="1000"/>
      <c r="URD31" s="1000"/>
      <c r="URE31" s="1000"/>
      <c r="URF31" s="1000"/>
      <c r="URG31" s="1000"/>
      <c r="URH31" s="1000"/>
      <c r="URI31" s="1000"/>
      <c r="URJ31" s="1000"/>
      <c r="URK31" s="1000"/>
      <c r="URL31" s="1000"/>
      <c r="URM31" s="1000"/>
      <c r="URN31" s="1000"/>
      <c r="URO31" s="1000"/>
      <c r="URP31" s="1000"/>
      <c r="URQ31" s="1000"/>
      <c r="URR31" s="1000"/>
      <c r="URS31" s="1000"/>
      <c r="URT31" s="1000"/>
      <c r="URU31" s="1000"/>
      <c r="URV31" s="1000"/>
      <c r="URW31" s="1000"/>
      <c r="URX31" s="1000"/>
      <c r="URY31" s="1000"/>
      <c r="URZ31" s="1000"/>
      <c r="USA31" s="1000"/>
      <c r="USB31" s="1000"/>
      <c r="USC31" s="1000"/>
      <c r="USD31" s="1000"/>
      <c r="USE31" s="1000"/>
      <c r="USF31" s="1000"/>
      <c r="USG31" s="1000"/>
      <c r="USH31" s="1000"/>
      <c r="USI31" s="1000"/>
      <c r="USJ31" s="1000"/>
      <c r="USK31" s="1000"/>
      <c r="USL31" s="1000"/>
      <c r="USM31" s="1000"/>
      <c r="USN31" s="1000"/>
      <c r="USO31" s="1000"/>
      <c r="USP31" s="1000"/>
      <c r="USQ31" s="1000"/>
      <c r="USR31" s="1000"/>
      <c r="USS31" s="1000"/>
      <c r="UST31" s="1000"/>
      <c r="USU31" s="1000"/>
      <c r="USV31" s="1000"/>
      <c r="USW31" s="1000"/>
      <c r="USX31" s="1000"/>
      <c r="USY31" s="1000"/>
      <c r="USZ31" s="1000"/>
      <c r="UTA31" s="1000"/>
      <c r="UTB31" s="1000"/>
      <c r="UTC31" s="1000"/>
      <c r="UTD31" s="1000"/>
      <c r="UTE31" s="1000"/>
      <c r="UTF31" s="1000"/>
      <c r="UTG31" s="1000"/>
      <c r="UTH31" s="1000"/>
      <c r="UTI31" s="1000"/>
      <c r="UTJ31" s="1000"/>
      <c r="UTK31" s="1000"/>
      <c r="UTL31" s="1000"/>
      <c r="UTM31" s="1000"/>
      <c r="UTN31" s="1000"/>
      <c r="UTO31" s="1000"/>
      <c r="UTP31" s="1000"/>
      <c r="UTQ31" s="1000"/>
      <c r="UTR31" s="1000"/>
      <c r="UTS31" s="1000"/>
      <c r="UTT31" s="1000"/>
      <c r="UTU31" s="1000"/>
      <c r="UTV31" s="1000"/>
      <c r="UTW31" s="1000"/>
      <c r="UTX31" s="1000"/>
      <c r="UTY31" s="1000"/>
      <c r="UTZ31" s="1000"/>
      <c r="UUA31" s="1000"/>
      <c r="UUB31" s="1000"/>
      <c r="UUC31" s="1000"/>
      <c r="UUD31" s="1000"/>
      <c r="UUE31" s="1000"/>
      <c r="UUF31" s="1000"/>
      <c r="UUG31" s="1000"/>
      <c r="UUH31" s="1000"/>
      <c r="UUI31" s="1000"/>
      <c r="UUJ31" s="1000"/>
      <c r="UUK31" s="1000"/>
      <c r="UUL31" s="1000"/>
      <c r="UUM31" s="1000"/>
      <c r="UUN31" s="1000"/>
      <c r="UUO31" s="1000"/>
      <c r="UUP31" s="1000"/>
      <c r="UUQ31" s="1000"/>
      <c r="UUR31" s="1000"/>
      <c r="UUS31" s="1000"/>
      <c r="UUT31" s="1000"/>
      <c r="UUU31" s="1000"/>
      <c r="UUV31" s="1000"/>
      <c r="UUW31" s="1000"/>
      <c r="UUX31" s="1000"/>
      <c r="UUY31" s="1000"/>
      <c r="UUZ31" s="1000"/>
      <c r="UVA31" s="1000"/>
      <c r="UVB31" s="1000"/>
      <c r="UVC31" s="1000"/>
      <c r="UVD31" s="1000"/>
      <c r="UVE31" s="1000"/>
      <c r="UVF31" s="1000"/>
      <c r="UVG31" s="1000"/>
      <c r="UVH31" s="1000"/>
      <c r="UVI31" s="1000"/>
      <c r="UVJ31" s="1000"/>
      <c r="UVK31" s="1000"/>
      <c r="UVL31" s="1000"/>
      <c r="UVM31" s="1000"/>
      <c r="UVN31" s="1000"/>
      <c r="UVO31" s="1000"/>
      <c r="UVP31" s="1000"/>
      <c r="UVQ31" s="1000"/>
      <c r="UVR31" s="1000"/>
      <c r="UVS31" s="1000"/>
      <c r="UVT31" s="1000"/>
      <c r="UVU31" s="1000"/>
      <c r="UVV31" s="1000"/>
      <c r="UVW31" s="1000"/>
      <c r="UVX31" s="1000"/>
      <c r="UVY31" s="1000"/>
      <c r="UVZ31" s="1000"/>
      <c r="UWA31" s="1000"/>
      <c r="UWB31" s="1000"/>
      <c r="UWC31" s="1000"/>
      <c r="UWD31" s="1000"/>
      <c r="UWE31" s="1000"/>
      <c r="UWF31" s="1000"/>
      <c r="UWG31" s="1000"/>
      <c r="UWH31" s="1000"/>
      <c r="UWI31" s="1000"/>
      <c r="UWJ31" s="1000"/>
      <c r="UWK31" s="1000"/>
      <c r="UWL31" s="1000"/>
      <c r="UWM31" s="1000"/>
      <c r="UWN31" s="1000"/>
      <c r="UWO31" s="1000"/>
      <c r="UWP31" s="1000"/>
      <c r="UWQ31" s="1000"/>
      <c r="UWR31" s="1000"/>
      <c r="UWS31" s="1000"/>
      <c r="UWT31" s="1000"/>
      <c r="UWU31" s="1000"/>
      <c r="UWV31" s="1000"/>
      <c r="UWW31" s="1000"/>
      <c r="UWX31" s="1000"/>
      <c r="UWY31" s="1000"/>
      <c r="UWZ31" s="1000"/>
      <c r="UXA31" s="1000"/>
      <c r="UXB31" s="1000"/>
      <c r="UXC31" s="1000"/>
      <c r="UXD31" s="1000"/>
      <c r="UXE31" s="1000"/>
      <c r="UXF31" s="1000"/>
      <c r="UXG31" s="1000"/>
      <c r="UXH31" s="1000"/>
      <c r="UXI31" s="1000"/>
      <c r="UXJ31" s="1000"/>
      <c r="UXK31" s="1000"/>
      <c r="UXL31" s="1000"/>
      <c r="UXM31" s="1000"/>
      <c r="UXN31" s="1000"/>
      <c r="UXO31" s="1000"/>
      <c r="UXP31" s="1000"/>
      <c r="UXQ31" s="1000"/>
      <c r="UXR31" s="1000"/>
      <c r="UXS31" s="1000"/>
      <c r="UXT31" s="1000"/>
      <c r="UXU31" s="1000"/>
      <c r="UXV31" s="1000"/>
      <c r="UXW31" s="1000"/>
      <c r="UXX31" s="1000"/>
      <c r="UXY31" s="1000"/>
      <c r="UXZ31" s="1000"/>
      <c r="UYA31" s="1000"/>
      <c r="UYB31" s="1000"/>
      <c r="UYC31" s="1000"/>
      <c r="UYD31" s="1000"/>
      <c r="UYE31" s="1000"/>
      <c r="UYF31" s="1000"/>
      <c r="UYG31" s="1000"/>
      <c r="UYH31" s="1000"/>
      <c r="UYI31" s="1000"/>
      <c r="UYJ31" s="1000"/>
      <c r="UYK31" s="1000"/>
      <c r="UYL31" s="1000"/>
      <c r="UYM31" s="1000"/>
      <c r="UYN31" s="1000"/>
      <c r="UYO31" s="1000"/>
      <c r="UYP31" s="1000"/>
      <c r="UYQ31" s="1000"/>
      <c r="UYR31" s="1000"/>
      <c r="UYS31" s="1000"/>
      <c r="UYT31" s="1000"/>
      <c r="UYU31" s="1000"/>
      <c r="UYV31" s="1000"/>
      <c r="UYW31" s="1000"/>
      <c r="UYX31" s="1000"/>
      <c r="UYY31" s="1000"/>
      <c r="UYZ31" s="1000"/>
      <c r="UZA31" s="1000"/>
      <c r="UZB31" s="1000"/>
      <c r="UZC31" s="1000"/>
      <c r="UZD31" s="1000"/>
      <c r="UZE31" s="1000"/>
      <c r="UZF31" s="1000"/>
      <c r="UZG31" s="1000"/>
      <c r="UZH31" s="1000"/>
      <c r="UZI31" s="1000"/>
      <c r="UZJ31" s="1000"/>
      <c r="UZK31" s="1000"/>
      <c r="UZL31" s="1000"/>
      <c r="UZM31" s="1000"/>
      <c r="UZN31" s="1000"/>
      <c r="UZO31" s="1000"/>
      <c r="UZP31" s="1000"/>
      <c r="UZQ31" s="1000"/>
      <c r="UZR31" s="1000"/>
      <c r="UZS31" s="1000"/>
      <c r="UZT31" s="1000"/>
      <c r="UZU31" s="1000"/>
      <c r="UZV31" s="1000"/>
      <c r="UZW31" s="1000"/>
      <c r="UZX31" s="1000"/>
      <c r="UZY31" s="1000"/>
      <c r="UZZ31" s="1000"/>
      <c r="VAA31" s="1000"/>
      <c r="VAB31" s="1000"/>
      <c r="VAC31" s="1000"/>
      <c r="VAD31" s="1000"/>
      <c r="VAE31" s="1000"/>
      <c r="VAF31" s="1000"/>
      <c r="VAG31" s="1000"/>
      <c r="VAH31" s="1000"/>
      <c r="VAI31" s="1000"/>
      <c r="VAJ31" s="1000"/>
      <c r="VAK31" s="1000"/>
      <c r="VAL31" s="1000"/>
      <c r="VAM31" s="1000"/>
      <c r="VAN31" s="1000"/>
      <c r="VAO31" s="1000"/>
      <c r="VAP31" s="1000"/>
      <c r="VAQ31" s="1000"/>
      <c r="VAR31" s="1000"/>
      <c r="VAS31" s="1000"/>
      <c r="VAT31" s="1000"/>
      <c r="VAU31" s="1000"/>
      <c r="VAV31" s="1000"/>
      <c r="VAW31" s="1000"/>
      <c r="VAX31" s="1000"/>
      <c r="VAY31" s="1000"/>
      <c r="VAZ31" s="1000"/>
      <c r="VBA31" s="1000"/>
      <c r="VBB31" s="1000"/>
      <c r="VBC31" s="1000"/>
      <c r="VBD31" s="1000"/>
      <c r="VBE31" s="1000"/>
      <c r="VBF31" s="1000"/>
      <c r="VBG31" s="1000"/>
      <c r="VBH31" s="1000"/>
      <c r="VBI31" s="1000"/>
      <c r="VBJ31" s="1000"/>
      <c r="VBK31" s="1000"/>
      <c r="VBL31" s="1000"/>
      <c r="VBM31" s="1000"/>
      <c r="VBN31" s="1000"/>
      <c r="VBO31" s="1000"/>
      <c r="VBP31" s="1000"/>
      <c r="VBQ31" s="1000"/>
      <c r="VBR31" s="1000"/>
      <c r="VBS31" s="1000"/>
      <c r="VBT31" s="1000"/>
      <c r="VBU31" s="1000"/>
      <c r="VBV31" s="1000"/>
      <c r="VBW31" s="1000"/>
      <c r="VBX31" s="1000"/>
      <c r="VBY31" s="1000"/>
      <c r="VBZ31" s="1000"/>
      <c r="VCA31" s="1000"/>
      <c r="VCB31" s="1000"/>
      <c r="VCC31" s="1000"/>
      <c r="VCD31" s="1000"/>
      <c r="VCE31" s="1000"/>
      <c r="VCF31" s="1000"/>
      <c r="VCG31" s="1000"/>
      <c r="VCH31" s="1000"/>
      <c r="VCI31" s="1000"/>
      <c r="VCJ31" s="1000"/>
      <c r="VCK31" s="1000"/>
      <c r="VCL31" s="1000"/>
      <c r="VCM31" s="1000"/>
      <c r="VCN31" s="1000"/>
      <c r="VCO31" s="1000"/>
      <c r="VCP31" s="1000"/>
      <c r="VCQ31" s="1000"/>
      <c r="VCR31" s="1000"/>
      <c r="VCS31" s="1000"/>
      <c r="VCT31" s="1000"/>
      <c r="VCU31" s="1000"/>
      <c r="VCV31" s="1000"/>
      <c r="VCW31" s="1000"/>
      <c r="VCX31" s="1000"/>
      <c r="VCY31" s="1000"/>
      <c r="VCZ31" s="1000"/>
      <c r="VDA31" s="1000"/>
      <c r="VDB31" s="1000"/>
      <c r="VDC31" s="1000"/>
      <c r="VDD31" s="1000"/>
      <c r="VDE31" s="1000"/>
      <c r="VDF31" s="1000"/>
      <c r="VDG31" s="1000"/>
      <c r="VDH31" s="1000"/>
      <c r="VDI31" s="1000"/>
      <c r="VDJ31" s="1000"/>
      <c r="VDK31" s="1000"/>
      <c r="VDL31" s="1000"/>
      <c r="VDM31" s="1000"/>
      <c r="VDN31" s="1000"/>
      <c r="VDO31" s="1000"/>
      <c r="VDP31" s="1000"/>
      <c r="VDQ31" s="1000"/>
      <c r="VDR31" s="1000"/>
      <c r="VDS31" s="1000"/>
      <c r="VDT31" s="1000"/>
      <c r="VDU31" s="1000"/>
      <c r="VDV31" s="1000"/>
      <c r="VDW31" s="1000"/>
      <c r="VDX31" s="1000"/>
      <c r="VDY31" s="1000"/>
      <c r="VDZ31" s="1000"/>
      <c r="VEA31" s="1000"/>
      <c r="VEB31" s="1000"/>
      <c r="VEC31" s="1000"/>
      <c r="VED31" s="1000"/>
      <c r="VEE31" s="1000"/>
      <c r="VEF31" s="1000"/>
      <c r="VEG31" s="1000"/>
      <c r="VEH31" s="1000"/>
      <c r="VEI31" s="1000"/>
      <c r="VEJ31" s="1000"/>
      <c r="VEK31" s="1000"/>
      <c r="VEL31" s="1000"/>
      <c r="VEM31" s="1000"/>
      <c r="VEN31" s="1000"/>
      <c r="VEO31" s="1000"/>
      <c r="VEP31" s="1000"/>
      <c r="VEQ31" s="1000"/>
      <c r="VER31" s="1000"/>
      <c r="VES31" s="1000"/>
      <c r="VET31" s="1000"/>
      <c r="VEU31" s="1000"/>
      <c r="VEV31" s="1000"/>
      <c r="VEW31" s="1000"/>
      <c r="VEX31" s="1000"/>
      <c r="VEY31" s="1000"/>
      <c r="VEZ31" s="1000"/>
      <c r="VFA31" s="1000"/>
      <c r="VFB31" s="1000"/>
      <c r="VFC31" s="1000"/>
      <c r="VFD31" s="1000"/>
      <c r="VFE31" s="1000"/>
      <c r="VFF31" s="1000"/>
      <c r="VFG31" s="1000"/>
      <c r="VFH31" s="1000"/>
      <c r="VFI31" s="1000"/>
      <c r="VFJ31" s="1000"/>
      <c r="VFK31" s="1000"/>
      <c r="VFL31" s="1000"/>
      <c r="VFM31" s="1000"/>
      <c r="VFN31" s="1000"/>
      <c r="VFO31" s="1000"/>
      <c r="VFP31" s="1000"/>
      <c r="VFQ31" s="1000"/>
      <c r="VFR31" s="1000"/>
      <c r="VFS31" s="1000"/>
      <c r="VFT31" s="1000"/>
      <c r="VFU31" s="1000"/>
      <c r="VFV31" s="1000"/>
      <c r="VFW31" s="1000"/>
      <c r="VFX31" s="1000"/>
      <c r="VFY31" s="1000"/>
      <c r="VFZ31" s="1000"/>
      <c r="VGA31" s="1000"/>
      <c r="VGB31" s="1000"/>
      <c r="VGC31" s="1000"/>
      <c r="VGD31" s="1000"/>
      <c r="VGE31" s="1000"/>
      <c r="VGF31" s="1000"/>
      <c r="VGG31" s="1000"/>
      <c r="VGH31" s="1000"/>
      <c r="VGI31" s="1000"/>
      <c r="VGJ31" s="1000"/>
      <c r="VGK31" s="1000"/>
      <c r="VGL31" s="1000"/>
      <c r="VGM31" s="1000"/>
      <c r="VGN31" s="1000"/>
      <c r="VGO31" s="1000"/>
      <c r="VGP31" s="1000"/>
      <c r="VGQ31" s="1000"/>
      <c r="VGR31" s="1000"/>
      <c r="VGS31" s="1000"/>
      <c r="VGT31" s="1000"/>
      <c r="VGU31" s="1000"/>
      <c r="VGV31" s="1000"/>
      <c r="VGW31" s="1000"/>
      <c r="VGX31" s="1000"/>
      <c r="VGY31" s="1000"/>
      <c r="VGZ31" s="1000"/>
      <c r="VHA31" s="1000"/>
      <c r="VHB31" s="1000"/>
      <c r="VHC31" s="1000"/>
      <c r="VHD31" s="1000"/>
      <c r="VHE31" s="1000"/>
      <c r="VHF31" s="1000"/>
      <c r="VHG31" s="1000"/>
      <c r="VHH31" s="1000"/>
      <c r="VHI31" s="1000"/>
      <c r="VHJ31" s="1000"/>
      <c r="VHK31" s="1000"/>
      <c r="VHL31" s="1000"/>
      <c r="VHM31" s="1000"/>
      <c r="VHN31" s="1000"/>
      <c r="VHO31" s="1000"/>
      <c r="VHP31" s="1000"/>
      <c r="VHQ31" s="1000"/>
      <c r="VHR31" s="1000"/>
      <c r="VHS31" s="1000"/>
      <c r="VHT31" s="1000"/>
      <c r="VHU31" s="1000"/>
      <c r="VHV31" s="1000"/>
      <c r="VHW31" s="1000"/>
      <c r="VHX31" s="1000"/>
      <c r="VHY31" s="1000"/>
      <c r="VHZ31" s="1000"/>
      <c r="VIA31" s="1000"/>
      <c r="VIB31" s="1000"/>
      <c r="VIC31" s="1000"/>
      <c r="VID31" s="1000"/>
      <c r="VIE31" s="1000"/>
      <c r="VIF31" s="1000"/>
      <c r="VIG31" s="1000"/>
      <c r="VIH31" s="1000"/>
      <c r="VII31" s="1000"/>
      <c r="VIJ31" s="1000"/>
      <c r="VIK31" s="1000"/>
      <c r="VIL31" s="1000"/>
      <c r="VIM31" s="1000"/>
      <c r="VIN31" s="1000"/>
      <c r="VIO31" s="1000"/>
      <c r="VIP31" s="1000"/>
      <c r="VIQ31" s="1000"/>
      <c r="VIR31" s="1000"/>
      <c r="VIS31" s="1000"/>
      <c r="VIT31" s="1000"/>
      <c r="VIU31" s="1000"/>
      <c r="VIV31" s="1000"/>
      <c r="VIW31" s="1000"/>
      <c r="VIX31" s="1000"/>
      <c r="VIY31" s="1000"/>
      <c r="VIZ31" s="1000"/>
      <c r="VJA31" s="1000"/>
      <c r="VJB31" s="1000"/>
      <c r="VJC31" s="1000"/>
      <c r="VJD31" s="1000"/>
      <c r="VJE31" s="1000"/>
      <c r="VJF31" s="1000"/>
      <c r="VJG31" s="1000"/>
      <c r="VJH31" s="1000"/>
      <c r="VJI31" s="1000"/>
      <c r="VJJ31" s="1000"/>
      <c r="VJK31" s="1000"/>
      <c r="VJL31" s="1000"/>
      <c r="VJM31" s="1000"/>
      <c r="VJN31" s="1000"/>
      <c r="VJO31" s="1000"/>
      <c r="VJP31" s="1000"/>
      <c r="VJQ31" s="1000"/>
      <c r="VJR31" s="1000"/>
      <c r="VJS31" s="1000"/>
      <c r="VJT31" s="1000"/>
      <c r="VJU31" s="1000"/>
      <c r="VJV31" s="1000"/>
      <c r="VJW31" s="1000"/>
      <c r="VJX31" s="1000"/>
      <c r="VJY31" s="1000"/>
      <c r="VJZ31" s="1000"/>
      <c r="VKA31" s="1000"/>
      <c r="VKB31" s="1000"/>
      <c r="VKC31" s="1000"/>
      <c r="VKD31" s="1000"/>
      <c r="VKE31" s="1000"/>
      <c r="VKF31" s="1000"/>
      <c r="VKG31" s="1000"/>
      <c r="VKH31" s="1000"/>
      <c r="VKI31" s="1000"/>
      <c r="VKJ31" s="1000"/>
      <c r="VKK31" s="1000"/>
      <c r="VKL31" s="1000"/>
      <c r="VKM31" s="1000"/>
      <c r="VKN31" s="1000"/>
      <c r="VKO31" s="1000"/>
      <c r="VKP31" s="1000"/>
      <c r="VKQ31" s="1000"/>
      <c r="VKR31" s="1000"/>
      <c r="VKS31" s="1000"/>
      <c r="VKT31" s="1000"/>
      <c r="VKU31" s="1000"/>
      <c r="VKV31" s="1000"/>
      <c r="VKW31" s="1000"/>
      <c r="VKX31" s="1000"/>
      <c r="VKY31" s="1000"/>
      <c r="VKZ31" s="1000"/>
      <c r="VLA31" s="1000"/>
      <c r="VLB31" s="1000"/>
      <c r="VLC31" s="1000"/>
      <c r="VLD31" s="1000"/>
      <c r="VLE31" s="1000"/>
      <c r="VLF31" s="1000"/>
      <c r="VLG31" s="1000"/>
      <c r="VLH31" s="1000"/>
      <c r="VLI31" s="1000"/>
      <c r="VLJ31" s="1000"/>
      <c r="VLK31" s="1000"/>
      <c r="VLL31" s="1000"/>
      <c r="VLM31" s="1000"/>
      <c r="VLN31" s="1000"/>
      <c r="VLO31" s="1000"/>
      <c r="VLP31" s="1000"/>
      <c r="VLQ31" s="1000"/>
      <c r="VLR31" s="1000"/>
      <c r="VLS31" s="1000"/>
      <c r="VLT31" s="1000"/>
      <c r="VLU31" s="1000"/>
      <c r="VLV31" s="1000"/>
      <c r="VLW31" s="1000"/>
      <c r="VLX31" s="1000"/>
      <c r="VLY31" s="1000"/>
      <c r="VLZ31" s="1000"/>
      <c r="VMA31" s="1000"/>
      <c r="VMB31" s="1000"/>
      <c r="VMC31" s="1000"/>
      <c r="VMD31" s="1000"/>
      <c r="VME31" s="1000"/>
      <c r="VMF31" s="1000"/>
      <c r="VMG31" s="1000"/>
      <c r="VMH31" s="1000"/>
      <c r="VMI31" s="1000"/>
      <c r="VMJ31" s="1000"/>
      <c r="VMK31" s="1000"/>
      <c r="VML31" s="1000"/>
      <c r="VMM31" s="1000"/>
      <c r="VMN31" s="1000"/>
      <c r="VMO31" s="1000"/>
      <c r="VMP31" s="1000"/>
      <c r="VMQ31" s="1000"/>
      <c r="VMR31" s="1000"/>
      <c r="VMS31" s="1000"/>
      <c r="VMT31" s="1000"/>
      <c r="VMU31" s="1000"/>
      <c r="VMV31" s="1000"/>
      <c r="VMW31" s="1000"/>
      <c r="VMX31" s="1000"/>
      <c r="VMY31" s="1000"/>
      <c r="VMZ31" s="1000"/>
      <c r="VNA31" s="1000"/>
      <c r="VNB31" s="1000"/>
      <c r="VNC31" s="1000"/>
      <c r="VND31" s="1000"/>
      <c r="VNE31" s="1000"/>
      <c r="VNF31" s="1000"/>
      <c r="VNG31" s="1000"/>
      <c r="VNH31" s="1000"/>
      <c r="VNI31" s="1000"/>
      <c r="VNJ31" s="1000"/>
      <c r="VNK31" s="1000"/>
      <c r="VNL31" s="1000"/>
      <c r="VNM31" s="1000"/>
      <c r="VNN31" s="1000"/>
      <c r="VNO31" s="1000"/>
      <c r="VNP31" s="1000"/>
      <c r="VNQ31" s="1000"/>
      <c r="VNR31" s="1000"/>
      <c r="VNS31" s="1000"/>
      <c r="VNT31" s="1000"/>
      <c r="VNU31" s="1000"/>
      <c r="VNV31" s="1000"/>
      <c r="VNW31" s="1000"/>
      <c r="VNX31" s="1000"/>
      <c r="VNY31" s="1000"/>
      <c r="VNZ31" s="1000"/>
      <c r="VOA31" s="1000"/>
      <c r="VOB31" s="1000"/>
      <c r="VOC31" s="1000"/>
      <c r="VOD31" s="1000"/>
      <c r="VOE31" s="1000"/>
      <c r="VOF31" s="1000"/>
      <c r="VOG31" s="1000"/>
      <c r="VOH31" s="1000"/>
      <c r="VOI31" s="1000"/>
      <c r="VOJ31" s="1000"/>
      <c r="VOK31" s="1000"/>
      <c r="VOL31" s="1000"/>
      <c r="VOM31" s="1000"/>
      <c r="VON31" s="1000"/>
      <c r="VOO31" s="1000"/>
      <c r="VOP31" s="1000"/>
      <c r="VOQ31" s="1000"/>
      <c r="VOR31" s="1000"/>
      <c r="VOS31" s="1000"/>
      <c r="VOT31" s="1000"/>
      <c r="VOU31" s="1000"/>
      <c r="VOV31" s="1000"/>
      <c r="VOW31" s="1000"/>
      <c r="VOX31" s="1000"/>
      <c r="VOY31" s="1000"/>
      <c r="VOZ31" s="1000"/>
      <c r="VPA31" s="1000"/>
      <c r="VPB31" s="1000"/>
      <c r="VPC31" s="1000"/>
      <c r="VPD31" s="1000"/>
      <c r="VPE31" s="1000"/>
      <c r="VPF31" s="1000"/>
      <c r="VPG31" s="1000"/>
      <c r="VPH31" s="1000"/>
      <c r="VPI31" s="1000"/>
      <c r="VPJ31" s="1000"/>
      <c r="VPK31" s="1000"/>
      <c r="VPL31" s="1000"/>
      <c r="VPM31" s="1000"/>
      <c r="VPN31" s="1000"/>
      <c r="VPO31" s="1000"/>
      <c r="VPP31" s="1000"/>
      <c r="VPQ31" s="1000"/>
      <c r="VPR31" s="1000"/>
      <c r="VPS31" s="1000"/>
      <c r="VPT31" s="1000"/>
      <c r="VPU31" s="1000"/>
      <c r="VPV31" s="1000"/>
      <c r="VPW31" s="1000"/>
      <c r="VPX31" s="1000"/>
      <c r="VPY31" s="1000"/>
      <c r="VPZ31" s="1000"/>
      <c r="VQA31" s="1000"/>
      <c r="VQB31" s="1000"/>
      <c r="VQC31" s="1000"/>
      <c r="VQD31" s="1000"/>
      <c r="VQE31" s="1000"/>
      <c r="VQF31" s="1000"/>
      <c r="VQG31" s="1000"/>
      <c r="VQH31" s="1000"/>
      <c r="VQI31" s="1000"/>
      <c r="VQJ31" s="1000"/>
      <c r="VQK31" s="1000"/>
      <c r="VQL31" s="1000"/>
      <c r="VQM31" s="1000"/>
      <c r="VQN31" s="1000"/>
      <c r="VQO31" s="1000"/>
      <c r="VQP31" s="1000"/>
      <c r="VQQ31" s="1000"/>
      <c r="VQR31" s="1000"/>
      <c r="VQS31" s="1000"/>
      <c r="VQT31" s="1000"/>
      <c r="VQU31" s="1000"/>
      <c r="VQV31" s="1000"/>
      <c r="VQW31" s="1000"/>
      <c r="VQX31" s="1000"/>
      <c r="VQY31" s="1000"/>
      <c r="VQZ31" s="1000"/>
      <c r="VRA31" s="1000"/>
      <c r="VRB31" s="1000"/>
      <c r="VRC31" s="1000"/>
      <c r="VRD31" s="1000"/>
      <c r="VRE31" s="1000"/>
      <c r="VRF31" s="1000"/>
      <c r="VRG31" s="1000"/>
      <c r="VRH31" s="1000"/>
      <c r="VRI31" s="1000"/>
      <c r="VRJ31" s="1000"/>
      <c r="VRK31" s="1000"/>
      <c r="VRL31" s="1000"/>
      <c r="VRM31" s="1000"/>
      <c r="VRN31" s="1000"/>
      <c r="VRO31" s="1000"/>
      <c r="VRP31" s="1000"/>
      <c r="VRQ31" s="1000"/>
      <c r="VRR31" s="1000"/>
      <c r="VRS31" s="1000"/>
      <c r="VRT31" s="1000"/>
      <c r="VRU31" s="1000"/>
      <c r="VRV31" s="1000"/>
      <c r="VRW31" s="1000"/>
      <c r="VRX31" s="1000"/>
      <c r="VRY31" s="1000"/>
      <c r="VRZ31" s="1000"/>
      <c r="VSA31" s="1000"/>
      <c r="VSB31" s="1000"/>
      <c r="VSC31" s="1000"/>
      <c r="VSD31" s="1000"/>
      <c r="VSE31" s="1000"/>
      <c r="VSF31" s="1000"/>
      <c r="VSG31" s="1000"/>
      <c r="VSH31" s="1000"/>
      <c r="VSI31" s="1000"/>
      <c r="VSJ31" s="1000"/>
      <c r="VSK31" s="1000"/>
      <c r="VSL31" s="1000"/>
      <c r="VSM31" s="1000"/>
      <c r="VSN31" s="1000"/>
      <c r="VSO31" s="1000"/>
      <c r="VSP31" s="1000"/>
      <c r="VSQ31" s="1000"/>
      <c r="VSR31" s="1000"/>
      <c r="VSS31" s="1000"/>
      <c r="VST31" s="1000"/>
      <c r="VSU31" s="1000"/>
      <c r="VSV31" s="1000"/>
      <c r="VSW31" s="1000"/>
      <c r="VSX31" s="1000"/>
      <c r="VSY31" s="1000"/>
      <c r="VSZ31" s="1000"/>
      <c r="VTA31" s="1000"/>
      <c r="VTB31" s="1000"/>
      <c r="VTC31" s="1000"/>
      <c r="VTD31" s="1000"/>
      <c r="VTE31" s="1000"/>
      <c r="VTF31" s="1000"/>
      <c r="VTG31" s="1000"/>
      <c r="VTH31" s="1000"/>
      <c r="VTI31" s="1000"/>
      <c r="VTJ31" s="1000"/>
      <c r="VTK31" s="1000"/>
      <c r="VTL31" s="1000"/>
      <c r="VTM31" s="1000"/>
      <c r="VTN31" s="1000"/>
      <c r="VTO31" s="1000"/>
      <c r="VTP31" s="1000"/>
      <c r="VTQ31" s="1000"/>
      <c r="VTR31" s="1000"/>
      <c r="VTS31" s="1000"/>
      <c r="VTT31" s="1000"/>
      <c r="VTU31" s="1000"/>
      <c r="VTV31" s="1000"/>
      <c r="VTW31" s="1000"/>
      <c r="VTX31" s="1000"/>
      <c r="VTY31" s="1000"/>
      <c r="VTZ31" s="1000"/>
      <c r="VUA31" s="1000"/>
      <c r="VUB31" s="1000"/>
      <c r="VUC31" s="1000"/>
      <c r="VUD31" s="1000"/>
      <c r="VUE31" s="1000"/>
      <c r="VUF31" s="1000"/>
      <c r="VUG31" s="1000"/>
      <c r="VUH31" s="1000"/>
      <c r="VUI31" s="1000"/>
      <c r="VUJ31" s="1000"/>
      <c r="VUK31" s="1000"/>
      <c r="VUL31" s="1000"/>
      <c r="VUM31" s="1000"/>
      <c r="VUN31" s="1000"/>
      <c r="VUO31" s="1000"/>
      <c r="VUP31" s="1000"/>
      <c r="VUQ31" s="1000"/>
      <c r="VUR31" s="1000"/>
      <c r="VUS31" s="1000"/>
      <c r="VUT31" s="1000"/>
      <c r="VUU31" s="1000"/>
      <c r="VUV31" s="1000"/>
      <c r="VUW31" s="1000"/>
      <c r="VUX31" s="1000"/>
      <c r="VUY31" s="1000"/>
      <c r="VUZ31" s="1000"/>
      <c r="VVA31" s="1000"/>
      <c r="VVB31" s="1000"/>
      <c r="VVC31" s="1000"/>
      <c r="VVD31" s="1000"/>
      <c r="VVE31" s="1000"/>
      <c r="VVF31" s="1000"/>
      <c r="VVG31" s="1000"/>
      <c r="VVH31" s="1000"/>
      <c r="VVI31" s="1000"/>
      <c r="VVJ31" s="1000"/>
      <c r="VVK31" s="1000"/>
      <c r="VVL31" s="1000"/>
      <c r="VVM31" s="1000"/>
      <c r="VVN31" s="1000"/>
      <c r="VVO31" s="1000"/>
      <c r="VVP31" s="1000"/>
      <c r="VVQ31" s="1000"/>
      <c r="VVR31" s="1000"/>
      <c r="VVS31" s="1000"/>
      <c r="VVT31" s="1000"/>
      <c r="VVU31" s="1000"/>
      <c r="VVV31" s="1000"/>
      <c r="VVW31" s="1000"/>
      <c r="VVX31" s="1000"/>
      <c r="VVY31" s="1000"/>
      <c r="VVZ31" s="1000"/>
      <c r="VWA31" s="1000"/>
      <c r="VWB31" s="1000"/>
      <c r="VWC31" s="1000"/>
      <c r="VWD31" s="1000"/>
      <c r="VWE31" s="1000"/>
      <c r="VWF31" s="1000"/>
      <c r="VWG31" s="1000"/>
      <c r="VWH31" s="1000"/>
      <c r="VWI31" s="1000"/>
      <c r="VWJ31" s="1000"/>
      <c r="VWK31" s="1000"/>
      <c r="VWL31" s="1000"/>
      <c r="VWM31" s="1000"/>
      <c r="VWN31" s="1000"/>
      <c r="VWO31" s="1000"/>
      <c r="VWP31" s="1000"/>
      <c r="VWQ31" s="1000"/>
      <c r="VWR31" s="1000"/>
      <c r="VWS31" s="1000"/>
      <c r="VWT31" s="1000"/>
      <c r="VWU31" s="1000"/>
      <c r="VWV31" s="1000"/>
      <c r="VWW31" s="1000"/>
      <c r="VWX31" s="1000"/>
      <c r="VWY31" s="1000"/>
      <c r="VWZ31" s="1000"/>
      <c r="VXA31" s="1000"/>
      <c r="VXB31" s="1000"/>
      <c r="VXC31" s="1000"/>
      <c r="VXD31" s="1000"/>
      <c r="VXE31" s="1000"/>
      <c r="VXF31" s="1000"/>
      <c r="VXG31" s="1000"/>
      <c r="VXH31" s="1000"/>
      <c r="VXI31" s="1000"/>
      <c r="VXJ31" s="1000"/>
      <c r="VXK31" s="1000"/>
      <c r="VXL31" s="1000"/>
      <c r="VXM31" s="1000"/>
      <c r="VXN31" s="1000"/>
      <c r="VXO31" s="1000"/>
      <c r="VXP31" s="1000"/>
      <c r="VXQ31" s="1000"/>
      <c r="VXR31" s="1000"/>
      <c r="VXS31" s="1000"/>
      <c r="VXT31" s="1000"/>
      <c r="VXU31" s="1000"/>
      <c r="VXV31" s="1000"/>
      <c r="VXW31" s="1000"/>
      <c r="VXX31" s="1000"/>
      <c r="VXY31" s="1000"/>
      <c r="VXZ31" s="1000"/>
      <c r="VYA31" s="1000"/>
      <c r="VYB31" s="1000"/>
      <c r="VYC31" s="1000"/>
      <c r="VYD31" s="1000"/>
      <c r="VYE31" s="1000"/>
      <c r="VYF31" s="1000"/>
      <c r="VYG31" s="1000"/>
      <c r="VYH31" s="1000"/>
      <c r="VYI31" s="1000"/>
      <c r="VYJ31" s="1000"/>
      <c r="VYK31" s="1000"/>
      <c r="VYL31" s="1000"/>
      <c r="VYM31" s="1000"/>
      <c r="VYN31" s="1000"/>
      <c r="VYO31" s="1000"/>
      <c r="VYP31" s="1000"/>
      <c r="VYQ31" s="1000"/>
      <c r="VYR31" s="1000"/>
      <c r="VYS31" s="1000"/>
      <c r="VYT31" s="1000"/>
      <c r="VYU31" s="1000"/>
      <c r="VYV31" s="1000"/>
      <c r="VYW31" s="1000"/>
      <c r="VYX31" s="1000"/>
      <c r="VYY31" s="1000"/>
      <c r="VYZ31" s="1000"/>
      <c r="VZA31" s="1000"/>
      <c r="VZB31" s="1000"/>
      <c r="VZC31" s="1000"/>
      <c r="VZD31" s="1000"/>
      <c r="VZE31" s="1000"/>
      <c r="VZF31" s="1000"/>
      <c r="VZG31" s="1000"/>
      <c r="VZH31" s="1000"/>
      <c r="VZI31" s="1000"/>
      <c r="VZJ31" s="1000"/>
      <c r="VZK31" s="1000"/>
      <c r="VZL31" s="1000"/>
      <c r="VZM31" s="1000"/>
      <c r="VZN31" s="1000"/>
      <c r="VZO31" s="1000"/>
      <c r="VZP31" s="1000"/>
      <c r="VZQ31" s="1000"/>
      <c r="VZR31" s="1000"/>
      <c r="VZS31" s="1000"/>
      <c r="VZT31" s="1000"/>
      <c r="VZU31" s="1000"/>
      <c r="VZV31" s="1000"/>
      <c r="VZW31" s="1000"/>
      <c r="VZX31" s="1000"/>
      <c r="VZY31" s="1000"/>
      <c r="VZZ31" s="1000"/>
      <c r="WAA31" s="1000"/>
      <c r="WAB31" s="1000"/>
      <c r="WAC31" s="1000"/>
      <c r="WAD31" s="1000"/>
      <c r="WAE31" s="1000"/>
      <c r="WAF31" s="1000"/>
      <c r="WAG31" s="1000"/>
      <c r="WAH31" s="1000"/>
      <c r="WAI31" s="1000"/>
      <c r="WAJ31" s="1000"/>
      <c r="WAK31" s="1000"/>
      <c r="WAL31" s="1000"/>
      <c r="WAM31" s="1000"/>
      <c r="WAN31" s="1000"/>
      <c r="WAO31" s="1000"/>
      <c r="WAP31" s="1000"/>
      <c r="WAQ31" s="1000"/>
      <c r="WAR31" s="1000"/>
      <c r="WAS31" s="1000"/>
      <c r="WAT31" s="1000"/>
      <c r="WAU31" s="1000"/>
      <c r="WAV31" s="1000"/>
      <c r="WAW31" s="1000"/>
      <c r="WAX31" s="1000"/>
      <c r="WAY31" s="1000"/>
      <c r="WAZ31" s="1000"/>
      <c r="WBA31" s="1000"/>
      <c r="WBB31" s="1000"/>
      <c r="WBC31" s="1000"/>
      <c r="WBD31" s="1000"/>
      <c r="WBE31" s="1000"/>
      <c r="WBF31" s="1000"/>
      <c r="WBG31" s="1000"/>
      <c r="WBH31" s="1000"/>
      <c r="WBI31" s="1000"/>
      <c r="WBJ31" s="1000"/>
      <c r="WBK31" s="1000"/>
      <c r="WBL31" s="1000"/>
      <c r="WBM31" s="1000"/>
      <c r="WBN31" s="1000"/>
      <c r="WBO31" s="1000"/>
      <c r="WBP31" s="1000"/>
      <c r="WBQ31" s="1000"/>
      <c r="WBR31" s="1000"/>
      <c r="WBS31" s="1000"/>
      <c r="WBT31" s="1000"/>
      <c r="WBU31" s="1000"/>
      <c r="WBV31" s="1000"/>
      <c r="WBW31" s="1000"/>
      <c r="WBX31" s="1000"/>
      <c r="WBY31" s="1000"/>
      <c r="WBZ31" s="1000"/>
      <c r="WCA31" s="1000"/>
      <c r="WCB31" s="1000"/>
      <c r="WCC31" s="1000"/>
      <c r="WCD31" s="1000"/>
      <c r="WCE31" s="1000"/>
      <c r="WCF31" s="1000"/>
      <c r="WCG31" s="1000"/>
      <c r="WCH31" s="1000"/>
      <c r="WCI31" s="1000"/>
      <c r="WCJ31" s="1000"/>
      <c r="WCK31" s="1000"/>
      <c r="WCL31" s="1000"/>
      <c r="WCM31" s="1000"/>
      <c r="WCN31" s="1000"/>
      <c r="WCO31" s="1000"/>
      <c r="WCP31" s="1000"/>
      <c r="WCQ31" s="1000"/>
      <c r="WCR31" s="1000"/>
      <c r="WCS31" s="1000"/>
      <c r="WCT31" s="1000"/>
      <c r="WCU31" s="1000"/>
      <c r="WCV31" s="1000"/>
      <c r="WCW31" s="1000"/>
      <c r="WCX31" s="1000"/>
      <c r="WCY31" s="1000"/>
      <c r="WCZ31" s="1000"/>
      <c r="WDA31" s="1000"/>
      <c r="WDB31" s="1000"/>
      <c r="WDC31" s="1000"/>
      <c r="WDD31" s="1000"/>
      <c r="WDE31" s="1000"/>
      <c r="WDF31" s="1000"/>
      <c r="WDG31" s="1000"/>
      <c r="WDH31" s="1000"/>
      <c r="WDI31" s="1000"/>
      <c r="WDJ31" s="1000"/>
      <c r="WDK31" s="1000"/>
      <c r="WDL31" s="1000"/>
      <c r="WDM31" s="1000"/>
      <c r="WDN31" s="1000"/>
      <c r="WDO31" s="1000"/>
      <c r="WDP31" s="1000"/>
      <c r="WDQ31" s="1000"/>
      <c r="WDR31" s="1000"/>
      <c r="WDS31" s="1000"/>
      <c r="WDT31" s="1000"/>
      <c r="WDU31" s="1000"/>
      <c r="WDV31" s="1000"/>
      <c r="WDW31" s="1000"/>
      <c r="WDX31" s="1000"/>
      <c r="WDY31" s="1000"/>
      <c r="WDZ31" s="1000"/>
      <c r="WEA31" s="1000"/>
      <c r="WEB31" s="1000"/>
      <c r="WEC31" s="1000"/>
      <c r="WED31" s="1000"/>
      <c r="WEE31" s="1000"/>
      <c r="WEF31" s="1000"/>
      <c r="WEG31" s="1000"/>
      <c r="WEH31" s="1000"/>
      <c r="WEI31" s="1000"/>
      <c r="WEJ31" s="1000"/>
      <c r="WEK31" s="1000"/>
      <c r="WEL31" s="1000"/>
      <c r="WEM31" s="1000"/>
      <c r="WEN31" s="1000"/>
      <c r="WEO31" s="1000"/>
      <c r="WEP31" s="1000"/>
      <c r="WEQ31" s="1000"/>
      <c r="WER31" s="1000"/>
      <c r="WES31" s="1000"/>
      <c r="WET31" s="1000"/>
      <c r="WEU31" s="1000"/>
      <c r="WEV31" s="1000"/>
      <c r="WEW31" s="1000"/>
      <c r="WEX31" s="1000"/>
      <c r="WEY31" s="1000"/>
      <c r="WEZ31" s="1000"/>
      <c r="WFA31" s="1000"/>
      <c r="WFB31" s="1000"/>
      <c r="WFC31" s="1000"/>
      <c r="WFD31" s="1000"/>
      <c r="WFE31" s="1000"/>
      <c r="WFF31" s="1000"/>
      <c r="WFG31" s="1000"/>
      <c r="WFH31" s="1000"/>
      <c r="WFI31" s="1000"/>
      <c r="WFJ31" s="1000"/>
      <c r="WFK31" s="1000"/>
      <c r="WFL31" s="1000"/>
      <c r="WFM31" s="1000"/>
      <c r="WFN31" s="1000"/>
      <c r="WFO31" s="1000"/>
      <c r="WFP31" s="1000"/>
      <c r="WFQ31" s="1000"/>
      <c r="WFR31" s="1000"/>
      <c r="WFS31" s="1000"/>
      <c r="WFT31" s="1000"/>
      <c r="WFU31" s="1000"/>
      <c r="WFV31" s="1000"/>
      <c r="WFW31" s="1000"/>
      <c r="WFX31" s="1000"/>
      <c r="WFY31" s="1000"/>
      <c r="WFZ31" s="1000"/>
      <c r="WGA31" s="1000"/>
      <c r="WGB31" s="1000"/>
      <c r="WGC31" s="1000"/>
      <c r="WGD31" s="1000"/>
      <c r="WGE31" s="1000"/>
      <c r="WGF31" s="1000"/>
      <c r="WGG31" s="1000"/>
      <c r="WGH31" s="1000"/>
      <c r="WGI31" s="1000"/>
      <c r="WGJ31" s="1000"/>
      <c r="WGK31" s="1000"/>
      <c r="WGL31" s="1000"/>
      <c r="WGM31" s="1000"/>
      <c r="WGN31" s="1000"/>
      <c r="WGO31" s="1000"/>
      <c r="WGP31" s="1000"/>
      <c r="WGQ31" s="1000"/>
      <c r="WGR31" s="1000"/>
      <c r="WGS31" s="1000"/>
      <c r="WGT31" s="1000"/>
      <c r="WGU31" s="1000"/>
      <c r="WGV31" s="1000"/>
      <c r="WGW31" s="1000"/>
      <c r="WGX31" s="1000"/>
      <c r="WGY31" s="1000"/>
      <c r="WGZ31" s="1000"/>
      <c r="WHA31" s="1000"/>
      <c r="WHB31" s="1000"/>
      <c r="WHC31" s="1000"/>
      <c r="WHD31" s="1000"/>
      <c r="WHE31" s="1000"/>
      <c r="WHF31" s="1000"/>
      <c r="WHG31" s="1000"/>
      <c r="WHH31" s="1000"/>
      <c r="WHI31" s="1000"/>
      <c r="WHJ31" s="1000"/>
      <c r="WHK31" s="1000"/>
      <c r="WHL31" s="1000"/>
      <c r="WHM31" s="1000"/>
      <c r="WHN31" s="1000"/>
      <c r="WHO31" s="1000"/>
      <c r="WHP31" s="1000"/>
      <c r="WHQ31" s="1000"/>
      <c r="WHR31" s="1000"/>
      <c r="WHS31" s="1000"/>
      <c r="WHT31" s="1000"/>
      <c r="WHU31" s="1000"/>
      <c r="WHV31" s="1000"/>
      <c r="WHW31" s="1000"/>
      <c r="WHX31" s="1000"/>
      <c r="WHY31" s="1000"/>
      <c r="WHZ31" s="1000"/>
      <c r="WIA31" s="1000"/>
      <c r="WIB31" s="1000"/>
      <c r="WIC31" s="1000"/>
      <c r="WID31" s="1000"/>
      <c r="WIE31" s="1000"/>
      <c r="WIF31" s="1000"/>
      <c r="WIG31" s="1000"/>
      <c r="WIH31" s="1000"/>
      <c r="WII31" s="1000"/>
      <c r="WIJ31" s="1000"/>
      <c r="WIK31" s="1000"/>
      <c r="WIL31" s="1000"/>
      <c r="WIM31" s="1000"/>
      <c r="WIN31" s="1000"/>
      <c r="WIO31" s="1000"/>
      <c r="WIP31" s="1000"/>
      <c r="WIQ31" s="1000"/>
      <c r="WIR31" s="1000"/>
      <c r="WIS31" s="1000"/>
      <c r="WIT31" s="1000"/>
      <c r="WIU31" s="1000"/>
      <c r="WIV31" s="1000"/>
      <c r="WIW31" s="1000"/>
      <c r="WIX31" s="1000"/>
      <c r="WIY31" s="1000"/>
      <c r="WIZ31" s="1000"/>
      <c r="WJA31" s="1000"/>
      <c r="WJB31" s="1000"/>
      <c r="WJC31" s="1000"/>
      <c r="WJD31" s="1000"/>
      <c r="WJE31" s="1000"/>
      <c r="WJF31" s="1000"/>
      <c r="WJG31" s="1000"/>
      <c r="WJH31" s="1000"/>
      <c r="WJI31" s="1000"/>
      <c r="WJJ31" s="1000"/>
      <c r="WJK31" s="1000"/>
      <c r="WJL31" s="1000"/>
      <c r="WJM31" s="1000"/>
      <c r="WJN31" s="1000"/>
      <c r="WJO31" s="1000"/>
      <c r="WJP31" s="1000"/>
      <c r="WJQ31" s="1000"/>
      <c r="WJR31" s="1000"/>
      <c r="WJS31" s="1000"/>
      <c r="WJT31" s="1000"/>
      <c r="WJU31" s="1000"/>
      <c r="WJV31" s="1000"/>
      <c r="WJW31" s="1000"/>
      <c r="WJX31" s="1000"/>
      <c r="WJY31" s="1000"/>
      <c r="WJZ31" s="1000"/>
      <c r="WKA31" s="1000"/>
      <c r="WKB31" s="1000"/>
      <c r="WKC31" s="1000"/>
      <c r="WKD31" s="1000"/>
      <c r="WKE31" s="1000"/>
      <c r="WKF31" s="1000"/>
      <c r="WKG31" s="1000"/>
      <c r="WKH31" s="1000"/>
      <c r="WKI31" s="1000"/>
      <c r="WKJ31" s="1000"/>
      <c r="WKK31" s="1000"/>
      <c r="WKL31" s="1000"/>
      <c r="WKM31" s="1000"/>
      <c r="WKN31" s="1000"/>
      <c r="WKO31" s="1000"/>
      <c r="WKP31" s="1000"/>
      <c r="WKQ31" s="1000"/>
      <c r="WKR31" s="1000"/>
      <c r="WKS31" s="1000"/>
      <c r="WKT31" s="1000"/>
      <c r="WKU31" s="1000"/>
      <c r="WKV31" s="1000"/>
      <c r="WKW31" s="1000"/>
      <c r="WKX31" s="1000"/>
      <c r="WKY31" s="1000"/>
      <c r="WKZ31" s="1000"/>
      <c r="WLA31" s="1000"/>
      <c r="WLB31" s="1000"/>
      <c r="WLC31" s="1000"/>
      <c r="WLD31" s="1000"/>
      <c r="WLE31" s="1000"/>
      <c r="WLF31" s="1000"/>
      <c r="WLG31" s="1000"/>
      <c r="WLH31" s="1000"/>
      <c r="WLI31" s="1000"/>
      <c r="WLJ31" s="1000"/>
      <c r="WLK31" s="1000"/>
      <c r="WLL31" s="1000"/>
      <c r="WLM31" s="1000"/>
      <c r="WLN31" s="1000"/>
      <c r="WLO31" s="1000"/>
      <c r="WLP31" s="1000"/>
      <c r="WLQ31" s="1000"/>
      <c r="WLR31" s="1000"/>
      <c r="WLS31" s="1000"/>
      <c r="WLT31" s="1000"/>
      <c r="WLU31" s="1000"/>
      <c r="WLV31" s="1000"/>
      <c r="WLW31" s="1000"/>
      <c r="WLX31" s="1000"/>
      <c r="WLY31" s="1000"/>
      <c r="WLZ31" s="1000"/>
      <c r="WMA31" s="1000"/>
      <c r="WMB31" s="1000"/>
      <c r="WMC31" s="1000"/>
      <c r="WMD31" s="1000"/>
      <c r="WME31" s="1000"/>
      <c r="WMF31" s="1000"/>
      <c r="WMG31" s="1000"/>
      <c r="WMH31" s="1000"/>
      <c r="WMI31" s="1000"/>
      <c r="WMJ31" s="1000"/>
      <c r="WMK31" s="1000"/>
      <c r="WML31" s="1000"/>
      <c r="WMM31" s="1000"/>
      <c r="WMN31" s="1000"/>
      <c r="WMO31" s="1000"/>
      <c r="WMP31" s="1000"/>
      <c r="WMQ31" s="1000"/>
      <c r="WMR31" s="1000"/>
      <c r="WMS31" s="1000"/>
      <c r="WMT31" s="1000"/>
      <c r="WMU31" s="1000"/>
      <c r="WMV31" s="1000"/>
      <c r="WMW31" s="1000"/>
      <c r="WMX31" s="1000"/>
      <c r="WMY31" s="1000"/>
      <c r="WMZ31" s="1000"/>
      <c r="WNA31" s="1000"/>
      <c r="WNB31" s="1000"/>
      <c r="WNC31" s="1000"/>
      <c r="WND31" s="1000"/>
      <c r="WNE31" s="1000"/>
      <c r="WNF31" s="1000"/>
      <c r="WNG31" s="1000"/>
      <c r="WNH31" s="1000"/>
      <c r="WNI31" s="1000"/>
      <c r="WNJ31" s="1000"/>
      <c r="WNK31" s="1000"/>
      <c r="WNL31" s="1000"/>
      <c r="WNM31" s="1000"/>
      <c r="WNN31" s="1000"/>
      <c r="WNO31" s="1000"/>
      <c r="WNP31" s="1000"/>
      <c r="WNQ31" s="1000"/>
      <c r="WNR31" s="1000"/>
      <c r="WNS31" s="1000"/>
      <c r="WNT31" s="1000"/>
      <c r="WNU31" s="1000"/>
      <c r="WNV31" s="1000"/>
      <c r="WNW31" s="1000"/>
      <c r="WNX31" s="1000"/>
      <c r="WNY31" s="1000"/>
      <c r="WNZ31" s="1000"/>
      <c r="WOA31" s="1000"/>
      <c r="WOB31" s="1000"/>
      <c r="WOC31" s="1000"/>
      <c r="WOD31" s="1000"/>
      <c r="WOE31" s="1000"/>
      <c r="WOF31" s="1000"/>
      <c r="WOG31" s="1000"/>
      <c r="WOH31" s="1000"/>
      <c r="WOI31" s="1000"/>
      <c r="WOJ31" s="1000"/>
      <c r="WOK31" s="1000"/>
      <c r="WOL31" s="1000"/>
      <c r="WOM31" s="1000"/>
      <c r="WON31" s="1000"/>
      <c r="WOO31" s="1000"/>
      <c r="WOP31" s="1000"/>
      <c r="WOQ31" s="1000"/>
      <c r="WOR31" s="1000"/>
      <c r="WOS31" s="1000"/>
      <c r="WOT31" s="1000"/>
      <c r="WOU31" s="1000"/>
      <c r="WOV31" s="1000"/>
      <c r="WOW31" s="1000"/>
      <c r="WOX31" s="1000"/>
      <c r="WOY31" s="1000"/>
      <c r="WOZ31" s="1000"/>
      <c r="WPA31" s="1000"/>
      <c r="WPB31" s="1000"/>
      <c r="WPC31" s="1000"/>
      <c r="WPD31" s="1000"/>
      <c r="WPE31" s="1000"/>
      <c r="WPF31" s="1000"/>
      <c r="WPG31" s="1000"/>
      <c r="WPH31" s="1000"/>
      <c r="WPI31" s="1000"/>
      <c r="WPJ31" s="1000"/>
      <c r="WPK31" s="1000"/>
      <c r="WPL31" s="1000"/>
      <c r="WPM31" s="1000"/>
      <c r="WPN31" s="1000"/>
      <c r="WPO31" s="1000"/>
      <c r="WPP31" s="1000"/>
      <c r="WPQ31" s="1000"/>
      <c r="WPR31" s="1000"/>
      <c r="WPS31" s="1000"/>
      <c r="WPT31" s="1000"/>
      <c r="WPU31" s="1000"/>
      <c r="WPV31" s="1000"/>
      <c r="WPW31" s="1000"/>
      <c r="WPX31" s="1000"/>
      <c r="WPY31" s="1000"/>
      <c r="WPZ31" s="1000"/>
      <c r="WQA31" s="1000"/>
      <c r="WQB31" s="1000"/>
      <c r="WQC31" s="1000"/>
      <c r="WQD31" s="1000"/>
      <c r="WQE31" s="1000"/>
      <c r="WQF31" s="1000"/>
      <c r="WQG31" s="1000"/>
      <c r="WQH31" s="1000"/>
      <c r="WQI31" s="1000"/>
      <c r="WQJ31" s="1000"/>
      <c r="WQK31" s="1000"/>
      <c r="WQL31" s="1000"/>
      <c r="WQM31" s="1000"/>
      <c r="WQN31" s="1000"/>
      <c r="WQO31" s="1000"/>
      <c r="WQP31" s="1000"/>
      <c r="WQQ31" s="1000"/>
      <c r="WQR31" s="1000"/>
      <c r="WQS31" s="1000"/>
      <c r="WQT31" s="1000"/>
      <c r="WQU31" s="1000"/>
      <c r="WQV31" s="1000"/>
      <c r="WQW31" s="1000"/>
      <c r="WQX31" s="1000"/>
      <c r="WQY31" s="1000"/>
      <c r="WQZ31" s="1000"/>
      <c r="WRA31" s="1000"/>
      <c r="WRB31" s="1000"/>
      <c r="WRC31" s="1000"/>
      <c r="WRD31" s="1000"/>
      <c r="WRE31" s="1000"/>
      <c r="WRF31" s="1000"/>
      <c r="WRG31" s="1000"/>
      <c r="WRH31" s="1000"/>
      <c r="WRI31" s="1000"/>
      <c r="WRJ31" s="1000"/>
      <c r="WRK31" s="1000"/>
      <c r="WRL31" s="1000"/>
      <c r="WRM31" s="1000"/>
      <c r="WRN31" s="1000"/>
      <c r="WRO31" s="1000"/>
      <c r="WRP31" s="1000"/>
      <c r="WRQ31" s="1000"/>
      <c r="WRR31" s="1000"/>
      <c r="WRS31" s="1000"/>
      <c r="WRT31" s="1000"/>
      <c r="WRU31" s="1000"/>
      <c r="WRV31" s="1000"/>
      <c r="WRW31" s="1000"/>
      <c r="WRX31" s="1000"/>
      <c r="WRY31" s="1000"/>
      <c r="WRZ31" s="1000"/>
      <c r="WSA31" s="1000"/>
      <c r="WSB31" s="1000"/>
      <c r="WSC31" s="1000"/>
      <c r="WSD31" s="1000"/>
      <c r="WSE31" s="1000"/>
      <c r="WSF31" s="1000"/>
      <c r="WSG31" s="1000"/>
      <c r="WSH31" s="1000"/>
      <c r="WSI31" s="1000"/>
      <c r="WSJ31" s="1000"/>
      <c r="WSK31" s="1000"/>
      <c r="WSL31" s="1000"/>
      <c r="WSM31" s="1000"/>
      <c r="WSN31" s="1000"/>
      <c r="WSO31" s="1000"/>
      <c r="WSP31" s="1000"/>
      <c r="WSQ31" s="1000"/>
      <c r="WSR31" s="1000"/>
      <c r="WSS31" s="1000"/>
      <c r="WST31" s="1000"/>
      <c r="WSU31" s="1000"/>
      <c r="WSV31" s="1000"/>
      <c r="WSW31" s="1000"/>
      <c r="WSX31" s="1000"/>
      <c r="WSY31" s="1000"/>
      <c r="WSZ31" s="1000"/>
      <c r="WTA31" s="1000"/>
      <c r="WTB31" s="1000"/>
      <c r="WTC31" s="1000"/>
      <c r="WTD31" s="1000"/>
      <c r="WTE31" s="1000"/>
      <c r="WTF31" s="1000"/>
      <c r="WTG31" s="1000"/>
      <c r="WTH31" s="1000"/>
      <c r="WTI31" s="1000"/>
      <c r="WTJ31" s="1000"/>
      <c r="WTK31" s="1000"/>
      <c r="WTL31" s="1000"/>
      <c r="WTM31" s="1000"/>
      <c r="WTN31" s="1000"/>
      <c r="WTO31" s="1000"/>
      <c r="WTP31" s="1000"/>
      <c r="WTQ31" s="1000"/>
      <c r="WTR31" s="1000"/>
      <c r="WTS31" s="1000"/>
      <c r="WTT31" s="1000"/>
      <c r="WTU31" s="1000"/>
      <c r="WTV31" s="1000"/>
      <c r="WTW31" s="1000"/>
      <c r="WTX31" s="1000"/>
      <c r="WTY31" s="1000"/>
      <c r="WTZ31" s="1000"/>
      <c r="WUA31" s="1000"/>
      <c r="WUB31" s="1000"/>
      <c r="WUC31" s="1000"/>
      <c r="WUD31" s="1000"/>
      <c r="WUE31" s="1000"/>
      <c r="WUF31" s="1000"/>
      <c r="WUG31" s="1000"/>
      <c r="WUH31" s="1000"/>
      <c r="WUI31" s="1000"/>
      <c r="WUJ31" s="1000"/>
      <c r="WUK31" s="1000"/>
      <c r="WUL31" s="1000"/>
      <c r="WUM31" s="1000"/>
      <c r="WUN31" s="1000"/>
      <c r="WUO31" s="1000"/>
      <c r="WUP31" s="1000"/>
      <c r="WUQ31" s="1000"/>
      <c r="WUR31" s="1000"/>
      <c r="WUS31" s="1000"/>
      <c r="WUT31" s="1000"/>
      <c r="WUU31" s="1000"/>
      <c r="WUV31" s="1000"/>
      <c r="WUW31" s="1000"/>
      <c r="WUX31" s="1000"/>
      <c r="WUY31" s="1000"/>
      <c r="WUZ31" s="1000"/>
      <c r="WVA31" s="1000"/>
      <c r="WVB31" s="1000"/>
      <c r="WVC31" s="1000"/>
      <c r="WVD31" s="1000"/>
      <c r="WVE31" s="1000"/>
      <c r="WVF31" s="1000"/>
      <c r="WVG31" s="1000"/>
      <c r="WVH31" s="1000"/>
      <c r="WVI31" s="1000"/>
      <c r="WVJ31" s="1000"/>
      <c r="WVK31" s="1000"/>
      <c r="WVL31" s="1000"/>
      <c r="WVM31" s="1000"/>
      <c r="WVN31" s="1000"/>
      <c r="WVO31" s="1000"/>
      <c r="WVP31" s="1000"/>
      <c r="WVQ31" s="1000"/>
      <c r="WVR31" s="1000"/>
      <c r="WVS31" s="1000"/>
      <c r="WVT31" s="1000"/>
      <c r="WVU31" s="1000"/>
      <c r="WVV31" s="1000"/>
      <c r="WVW31" s="1000"/>
      <c r="WVX31" s="1000"/>
      <c r="WVY31" s="1000"/>
      <c r="WVZ31" s="1000"/>
      <c r="WWA31" s="1000"/>
      <c r="WWB31" s="1000"/>
      <c r="WWC31" s="1000"/>
      <c r="WWD31" s="1000"/>
      <c r="WWE31" s="1000"/>
      <c r="WWF31" s="1000"/>
      <c r="WWG31" s="1000"/>
      <c r="WWH31" s="1000"/>
      <c r="WWI31" s="1000"/>
      <c r="WWJ31" s="1000"/>
      <c r="WWK31" s="1000"/>
      <c r="WWL31" s="1000"/>
      <c r="WWM31" s="1000"/>
      <c r="WWN31" s="1000"/>
      <c r="WWO31" s="1000"/>
      <c r="WWP31" s="1000"/>
      <c r="WWQ31" s="1000"/>
      <c r="WWR31" s="1000"/>
      <c r="WWS31" s="1000"/>
      <c r="WWT31" s="1000"/>
      <c r="WWU31" s="1000"/>
      <c r="WWV31" s="1000"/>
      <c r="WWW31" s="1000"/>
      <c r="WWX31" s="1000"/>
      <c r="WWY31" s="1000"/>
      <c r="WWZ31" s="1000"/>
      <c r="WXA31" s="1000"/>
      <c r="WXB31" s="1000"/>
      <c r="WXC31" s="1000"/>
      <c r="WXD31" s="1000"/>
      <c r="WXE31" s="1000"/>
      <c r="WXF31" s="1000"/>
      <c r="WXG31" s="1000"/>
      <c r="WXH31" s="1000"/>
      <c r="WXI31" s="1000"/>
      <c r="WXJ31" s="1000"/>
      <c r="WXK31" s="1000"/>
      <c r="WXL31" s="1000"/>
      <c r="WXM31" s="1000"/>
      <c r="WXN31" s="1000"/>
      <c r="WXO31" s="1000"/>
      <c r="WXP31" s="1000"/>
      <c r="WXQ31" s="1000"/>
      <c r="WXR31" s="1000"/>
      <c r="WXS31" s="1000"/>
      <c r="WXT31" s="1000"/>
      <c r="WXU31" s="1000"/>
      <c r="WXV31" s="1000"/>
      <c r="WXW31" s="1000"/>
      <c r="WXX31" s="1000"/>
      <c r="WXY31" s="1000"/>
      <c r="WXZ31" s="1000"/>
      <c r="WYA31" s="1000"/>
      <c r="WYB31" s="1000"/>
      <c r="WYC31" s="1000"/>
      <c r="WYD31" s="1000"/>
      <c r="WYE31" s="1000"/>
      <c r="WYF31" s="1000"/>
      <c r="WYG31" s="1000"/>
      <c r="WYH31" s="1000"/>
      <c r="WYI31" s="1000"/>
      <c r="WYJ31" s="1000"/>
      <c r="WYK31" s="1000"/>
      <c r="WYL31" s="1000"/>
      <c r="WYM31" s="1000"/>
      <c r="WYN31" s="1000"/>
      <c r="WYO31" s="1000"/>
      <c r="WYP31" s="1000"/>
      <c r="WYQ31" s="1000"/>
      <c r="WYR31" s="1000"/>
      <c r="WYS31" s="1000"/>
      <c r="WYT31" s="1000"/>
      <c r="WYU31" s="1000"/>
      <c r="WYV31" s="1000"/>
      <c r="WYW31" s="1000"/>
      <c r="WYX31" s="1000"/>
      <c r="WYY31" s="1000"/>
      <c r="WYZ31" s="1000"/>
      <c r="WZA31" s="1000"/>
      <c r="WZB31" s="1000"/>
      <c r="WZC31" s="1000"/>
      <c r="WZD31" s="1000"/>
      <c r="WZE31" s="1000"/>
      <c r="WZF31" s="1000"/>
      <c r="WZG31" s="1000"/>
      <c r="WZH31" s="1000"/>
      <c r="WZI31" s="1000"/>
      <c r="WZJ31" s="1000"/>
      <c r="WZK31" s="1000"/>
      <c r="WZL31" s="1000"/>
      <c r="WZM31" s="1000"/>
      <c r="WZN31" s="1000"/>
      <c r="WZO31" s="1000"/>
      <c r="WZP31" s="1000"/>
      <c r="WZQ31" s="1000"/>
      <c r="WZR31" s="1000"/>
      <c r="WZS31" s="1000"/>
      <c r="WZT31" s="1000"/>
      <c r="WZU31" s="1000"/>
      <c r="WZV31" s="1000"/>
      <c r="WZW31" s="1000"/>
      <c r="WZX31" s="1000"/>
      <c r="WZY31" s="1000"/>
      <c r="WZZ31" s="1000"/>
      <c r="XAA31" s="1000"/>
      <c r="XAB31" s="1000"/>
      <c r="XAC31" s="1000"/>
      <c r="XAD31" s="1000"/>
      <c r="XAE31" s="1000"/>
      <c r="XAF31" s="1000"/>
      <c r="XAG31" s="1000"/>
      <c r="XAH31" s="1000"/>
      <c r="XAI31" s="1000"/>
      <c r="XAJ31" s="1000"/>
      <c r="XAK31" s="1000"/>
      <c r="XAL31" s="1000"/>
      <c r="XAM31" s="1000"/>
      <c r="XAN31" s="1000"/>
      <c r="XAO31" s="1000"/>
      <c r="XAP31" s="1000"/>
      <c r="XAQ31" s="1000"/>
      <c r="XAR31" s="1000"/>
      <c r="XAS31" s="1000"/>
      <c r="XAT31" s="1000"/>
      <c r="XAU31" s="1000"/>
      <c r="XAV31" s="1000"/>
      <c r="XAW31" s="1000"/>
      <c r="XAX31" s="1000"/>
      <c r="XAY31" s="1000"/>
      <c r="XAZ31" s="1000"/>
      <c r="XBA31" s="1000"/>
    </row>
    <row r="32" spans="1:16277" ht="34.5" customHeight="1">
      <c r="A32" s="139">
        <v>31</v>
      </c>
      <c r="B32" s="128" t="s">
        <v>349</v>
      </c>
      <c r="C32" s="128" t="s">
        <v>224</v>
      </c>
      <c r="D32" s="128">
        <v>10000</v>
      </c>
      <c r="E32" s="128">
        <v>6000</v>
      </c>
      <c r="F32" s="118">
        <v>45383</v>
      </c>
      <c r="G32" s="118">
        <v>46113</v>
      </c>
      <c r="H32" s="118" t="s">
        <v>282</v>
      </c>
      <c r="I32" s="176">
        <v>3913</v>
      </c>
      <c r="J32" s="176">
        <v>4000</v>
      </c>
      <c r="K32" s="176">
        <v>5500</v>
      </c>
      <c r="L32" s="176">
        <f t="shared" si="6"/>
        <v>6000</v>
      </c>
      <c r="M32" s="170"/>
      <c r="N32" s="170"/>
      <c r="O32" s="170"/>
      <c r="P32" s="1018"/>
      <c r="Q32" s="1018"/>
      <c r="R32" s="1018"/>
      <c r="S32" s="1018"/>
      <c r="T32" s="1019"/>
      <c r="U32" s="1019"/>
      <c r="V32" s="1019"/>
      <c r="W32" s="1018"/>
      <c r="X32" s="1018"/>
      <c r="Y32" s="1018"/>
      <c r="Z32" s="1018"/>
      <c r="AA32" s="1018"/>
      <c r="AB32" s="1018"/>
      <c r="AC32" s="1018"/>
      <c r="AD32" s="1018"/>
      <c r="AE32" s="1018"/>
      <c r="AF32" s="1018"/>
      <c r="AG32" s="1018"/>
      <c r="AH32" s="1018"/>
      <c r="AI32" s="1018"/>
    </row>
    <row r="33" spans="1:35" ht="39" customHeight="1">
      <c r="A33" s="139">
        <v>32</v>
      </c>
      <c r="B33" s="128" t="s">
        <v>350</v>
      </c>
      <c r="C33" s="128" t="s">
        <v>224</v>
      </c>
      <c r="D33" s="128">
        <v>10000</v>
      </c>
      <c r="E33" s="128">
        <v>6000</v>
      </c>
      <c r="F33" s="118">
        <v>45383</v>
      </c>
      <c r="G33" s="118">
        <v>46113</v>
      </c>
      <c r="H33" s="118" t="s">
        <v>282</v>
      </c>
      <c r="I33" s="176">
        <v>4000</v>
      </c>
      <c r="J33" s="176">
        <v>3810</v>
      </c>
      <c r="K33" s="176">
        <v>0</v>
      </c>
      <c r="L33" s="176">
        <v>0</v>
      </c>
      <c r="M33" s="128" t="s">
        <v>1106</v>
      </c>
      <c r="N33" s="170"/>
      <c r="O33" s="170"/>
      <c r="P33" s="1018"/>
      <c r="Q33" s="1018"/>
      <c r="R33" s="1018"/>
      <c r="S33" s="1018"/>
      <c r="T33" s="1019"/>
      <c r="U33" s="1019"/>
      <c r="V33" s="1019"/>
      <c r="W33" s="1018"/>
      <c r="X33" s="1018"/>
      <c r="Y33" s="1018"/>
      <c r="Z33" s="1018"/>
      <c r="AA33" s="1018"/>
      <c r="AB33" s="1018"/>
      <c r="AC33" s="1018"/>
      <c r="AD33" s="1018"/>
      <c r="AE33" s="1018"/>
      <c r="AF33" s="1018"/>
      <c r="AG33" s="1018"/>
      <c r="AH33" s="1018"/>
      <c r="AI33" s="1018"/>
    </row>
    <row r="34" spans="1:35" ht="35.4" customHeight="1">
      <c r="A34" s="139">
        <v>33</v>
      </c>
      <c r="B34" s="992" t="s">
        <v>301</v>
      </c>
      <c r="C34" s="992" t="s">
        <v>224</v>
      </c>
      <c r="D34" s="992">
        <v>25000</v>
      </c>
      <c r="E34" s="992">
        <v>5000</v>
      </c>
      <c r="F34" s="994">
        <v>44806</v>
      </c>
      <c r="G34" s="994">
        <v>45171</v>
      </c>
      <c r="H34" s="994" t="s">
        <v>282</v>
      </c>
      <c r="I34" s="1056">
        <f>E34/23*22.5</f>
        <v>4891.304347826087</v>
      </c>
      <c r="J34" s="1056">
        <f>E34/21*18</f>
        <v>4285.7142857142862</v>
      </c>
      <c r="K34" s="1056">
        <f ca="1">E34/20*0+K34</f>
        <v>0</v>
      </c>
      <c r="L34" s="1056">
        <f ca="1">F34/20*0+L34</f>
        <v>0</v>
      </c>
      <c r="M34" s="142" t="s">
        <v>1094</v>
      </c>
      <c r="N34" s="996"/>
      <c r="O34" s="996"/>
      <c r="P34" s="1018"/>
      <c r="Q34" s="1018"/>
      <c r="R34" s="1040"/>
      <c r="S34" s="1040"/>
      <c r="T34" s="1041"/>
      <c r="U34" s="1041"/>
      <c r="V34" s="1041"/>
      <c r="W34" s="1040"/>
      <c r="X34" s="1039"/>
      <c r="Y34" s="1039"/>
      <c r="Z34" s="1018"/>
      <c r="AA34" s="1018"/>
      <c r="AB34" s="1039"/>
      <c r="AC34" s="1039"/>
      <c r="AD34" s="1039"/>
      <c r="AE34" s="1039"/>
      <c r="AF34" s="1039"/>
      <c r="AG34" s="1039"/>
      <c r="AH34" s="1039"/>
      <c r="AI34" s="1039"/>
    </row>
    <row r="35" spans="1:35" ht="35.4" customHeight="1">
      <c r="A35" s="139">
        <v>34</v>
      </c>
      <c r="B35" s="992" t="s">
        <v>921</v>
      </c>
      <c r="C35" s="992" t="s">
        <v>224</v>
      </c>
      <c r="D35" s="992">
        <v>6000</v>
      </c>
      <c r="E35" s="992">
        <v>4000</v>
      </c>
      <c r="F35" s="994">
        <v>45428</v>
      </c>
      <c r="G35" s="994">
        <v>46158</v>
      </c>
      <c r="H35" s="994" t="s">
        <v>282</v>
      </c>
      <c r="I35" s="1056">
        <f>E35/23*23</f>
        <v>4000</v>
      </c>
      <c r="J35" s="1056">
        <f>E35/21*19</f>
        <v>3619.0476190476193</v>
      </c>
      <c r="K35" s="1056">
        <f>E35/20*18</f>
        <v>3600</v>
      </c>
      <c r="L35" s="1056">
        <f>E35/23*22</f>
        <v>3826.086956521739</v>
      </c>
      <c r="M35" s="128" t="s">
        <v>1092</v>
      </c>
      <c r="N35" s="996"/>
      <c r="O35" s="996"/>
      <c r="P35" s="1018"/>
      <c r="Q35" s="1018"/>
      <c r="R35" s="1040"/>
      <c r="S35" s="1040"/>
      <c r="T35" s="1041"/>
      <c r="U35" s="1041"/>
      <c r="V35" s="1041"/>
      <c r="W35" s="1040"/>
      <c r="X35" s="1039"/>
      <c r="Y35" s="1039"/>
      <c r="Z35" s="1039"/>
      <c r="AA35" s="1018"/>
      <c r="AB35" s="1039"/>
      <c r="AC35" s="1039"/>
      <c r="AD35" s="1039"/>
      <c r="AE35" s="1039"/>
      <c r="AF35" s="1039"/>
      <c r="AG35" s="1039"/>
      <c r="AH35" s="1039"/>
      <c r="AI35" s="1039"/>
    </row>
    <row r="36" spans="1:35" ht="33" customHeight="1">
      <c r="A36" s="139">
        <v>35</v>
      </c>
      <c r="B36" s="992" t="s">
        <v>351</v>
      </c>
      <c r="C36" s="992" t="s">
        <v>224</v>
      </c>
      <c r="D36" s="992">
        <v>10000</v>
      </c>
      <c r="E36" s="992">
        <v>6000</v>
      </c>
      <c r="F36" s="994">
        <v>45356</v>
      </c>
      <c r="G36" s="994">
        <v>45721</v>
      </c>
      <c r="H36" s="994" t="s">
        <v>282</v>
      </c>
      <c r="I36" s="1056">
        <f>E36/23*22</f>
        <v>5739.130434782609</v>
      </c>
      <c r="J36" s="1056">
        <f>E36/21*18.5</f>
        <v>5285.7142857142862</v>
      </c>
      <c r="K36" s="1056">
        <f t="shared" ref="K36:K41" si="9">E36/20*20</f>
        <v>6000</v>
      </c>
      <c r="L36" s="1056">
        <f>E36/23*22</f>
        <v>5739.130434782609</v>
      </c>
      <c r="M36" s="128" t="s">
        <v>1092</v>
      </c>
      <c r="N36" s="996"/>
      <c r="O36" s="996"/>
      <c r="P36" s="1018"/>
      <c r="Q36" s="1018"/>
      <c r="R36" s="1039"/>
      <c r="S36" s="1039"/>
      <c r="T36" s="1042"/>
      <c r="U36" s="1042"/>
      <c r="V36" s="1042"/>
      <c r="W36" s="1039"/>
      <c r="X36" s="1039"/>
      <c r="Y36" s="1039"/>
      <c r="Z36" s="1039"/>
      <c r="AA36" s="1018"/>
      <c r="AB36" s="1039"/>
      <c r="AC36" s="1039"/>
      <c r="AD36" s="1039"/>
      <c r="AE36" s="1039"/>
      <c r="AF36" s="1039"/>
      <c r="AG36" s="1039"/>
      <c r="AH36" s="1039"/>
      <c r="AI36" s="1039"/>
    </row>
    <row r="37" spans="1:35" ht="21" customHeight="1">
      <c r="A37" s="139">
        <v>36</v>
      </c>
      <c r="B37" s="52" t="s">
        <v>96</v>
      </c>
      <c r="C37" s="52" t="s">
        <v>352</v>
      </c>
      <c r="D37" s="52">
        <v>57000</v>
      </c>
      <c r="E37" s="52">
        <v>5000</v>
      </c>
      <c r="F37" s="119">
        <v>45370</v>
      </c>
      <c r="G37" s="119">
        <v>45735</v>
      </c>
      <c r="H37" s="52" t="s">
        <v>282</v>
      </c>
      <c r="I37" s="712">
        <f>E37/23*22</f>
        <v>4782.608695652174</v>
      </c>
      <c r="J37" s="712">
        <f>E37/21*21</f>
        <v>5000</v>
      </c>
      <c r="K37" s="712">
        <f t="shared" si="9"/>
        <v>5000</v>
      </c>
      <c r="L37" s="712">
        <f>E37/23*23</f>
        <v>5000</v>
      </c>
      <c r="M37" s="712"/>
      <c r="N37" s="712"/>
      <c r="O37" s="716"/>
      <c r="P37" s="1014">
        <f>SUM(M37:N37)</f>
        <v>0</v>
      </c>
      <c r="Q37" s="1014">
        <f>I37</f>
        <v>4782.608695652174</v>
      </c>
      <c r="R37" s="1014">
        <f>J37</f>
        <v>5000</v>
      </c>
      <c r="S37" s="1014">
        <f>K37</f>
        <v>5000</v>
      </c>
      <c r="T37" s="1022"/>
      <c r="U37" s="1016"/>
      <c r="V37" s="1016"/>
      <c r="W37" s="880"/>
      <c r="X37" s="880"/>
      <c r="Y37" s="1014"/>
      <c r="Z37" s="1014"/>
      <c r="AA37" s="1014"/>
      <c r="AB37" s="1014"/>
      <c r="AC37" s="1014"/>
      <c r="AD37" s="1014"/>
      <c r="AE37" s="1014"/>
      <c r="AF37" s="1014"/>
      <c r="AG37" s="1014"/>
      <c r="AH37" s="1014"/>
      <c r="AI37" s="1014"/>
    </row>
    <row r="38" spans="1:35" ht="67.95" customHeight="1">
      <c r="A38" s="139">
        <v>37</v>
      </c>
      <c r="B38" s="128" t="s">
        <v>303</v>
      </c>
      <c r="C38" s="128" t="s">
        <v>352</v>
      </c>
      <c r="D38" s="128">
        <v>15000</v>
      </c>
      <c r="E38" s="128">
        <v>6000</v>
      </c>
      <c r="F38" s="118">
        <v>45154</v>
      </c>
      <c r="G38" s="118">
        <v>45520</v>
      </c>
      <c r="H38" s="128" t="s">
        <v>282</v>
      </c>
      <c r="I38" s="1059">
        <f>E38/23*22</f>
        <v>5739.130434782609</v>
      </c>
      <c r="J38" s="1059">
        <f>E38/21*21</f>
        <v>6000</v>
      </c>
      <c r="K38" s="1059">
        <f t="shared" si="9"/>
        <v>6000</v>
      </c>
      <c r="L38" s="1059">
        <f>E38/23*23</f>
        <v>6000</v>
      </c>
      <c r="M38" s="991"/>
      <c r="N38" s="170"/>
      <c r="O38" s="170"/>
      <c r="P38" s="1018">
        <f>SUM(M38:N38)</f>
        <v>0</v>
      </c>
      <c r="Q38" s="1018">
        <f t="shared" ref="Q38:R38" si="10">SUM(N38:O38)</f>
        <v>0</v>
      </c>
      <c r="R38" s="1018">
        <f t="shared" si="10"/>
        <v>0</v>
      </c>
      <c r="S38" s="1018"/>
      <c r="T38" s="1019"/>
      <c r="U38" s="1019"/>
      <c r="V38" s="1019"/>
      <c r="W38" s="1018"/>
      <c r="X38" s="1018"/>
      <c r="Y38" s="1018"/>
      <c r="Z38" s="1018"/>
      <c r="AA38" s="1018"/>
      <c r="AB38" s="1018"/>
      <c r="AC38" s="1018"/>
      <c r="AD38" s="1018"/>
      <c r="AE38" s="1018"/>
      <c r="AF38" s="1018"/>
      <c r="AG38" s="1018"/>
      <c r="AH38" s="1018"/>
      <c r="AI38" s="1018"/>
    </row>
    <row r="39" spans="1:35" ht="21" customHeight="1">
      <c r="A39" s="139">
        <v>38</v>
      </c>
      <c r="B39" s="992" t="s">
        <v>314</v>
      </c>
      <c r="C39" s="992" t="s">
        <v>342</v>
      </c>
      <c r="D39" s="992">
        <v>10000</v>
      </c>
      <c r="E39" s="992">
        <v>6000</v>
      </c>
      <c r="F39" s="994">
        <v>45227</v>
      </c>
      <c r="G39" s="994">
        <v>45775</v>
      </c>
      <c r="H39" s="992" t="s">
        <v>282</v>
      </c>
      <c r="I39" s="992">
        <f>E39/23*23</f>
        <v>6000</v>
      </c>
      <c r="J39" s="1061">
        <f>E39/21*19.5</f>
        <v>5571.4285714285716</v>
      </c>
      <c r="K39" s="1061">
        <f t="shared" si="9"/>
        <v>6000</v>
      </c>
      <c r="L39" s="1061">
        <f>E39/23*23</f>
        <v>6000</v>
      </c>
      <c r="M39" s="992"/>
      <c r="N39" s="996"/>
      <c r="O39" s="996"/>
      <c r="P39" s="1039">
        <f>SUM(M39:N39)</f>
        <v>0</v>
      </c>
      <c r="Q39" s="1039">
        <f>SUM(N39:O39)</f>
        <v>0</v>
      </c>
      <c r="R39" s="1039"/>
      <c r="S39" s="1039"/>
      <c r="T39" s="1042"/>
      <c r="U39" s="1042"/>
      <c r="V39" s="1042"/>
      <c r="W39" s="1039"/>
      <c r="X39" s="1039"/>
      <c r="Y39" s="1039"/>
      <c r="Z39" s="1039"/>
      <c r="AA39" s="1039"/>
      <c r="AB39" s="1039"/>
      <c r="AC39" s="1039"/>
      <c r="AD39" s="1039"/>
      <c r="AE39" s="1039"/>
      <c r="AF39" s="1039"/>
      <c r="AG39" s="1039"/>
      <c r="AH39" s="1039"/>
      <c r="AI39" s="1039"/>
    </row>
    <row r="40" spans="1:35" ht="21" customHeight="1">
      <c r="A40" s="139">
        <v>39</v>
      </c>
      <c r="B40" s="52" t="s">
        <v>353</v>
      </c>
      <c r="C40" s="52" t="s">
        <v>337</v>
      </c>
      <c r="D40" s="52">
        <v>6000</v>
      </c>
      <c r="E40" s="52">
        <v>6000</v>
      </c>
      <c r="F40" s="119">
        <v>45498</v>
      </c>
      <c r="G40" s="119"/>
      <c r="H40" s="1110" t="s">
        <v>282</v>
      </c>
      <c r="I40" s="712">
        <v>6000</v>
      </c>
      <c r="J40" s="712">
        <f>E40/21*21</f>
        <v>6000</v>
      </c>
      <c r="K40" s="712">
        <f t="shared" si="9"/>
        <v>6000</v>
      </c>
      <c r="L40" s="712">
        <v>0</v>
      </c>
      <c r="M40" s="52" t="s">
        <v>1095</v>
      </c>
      <c r="N40" s="716" t="s">
        <v>1107</v>
      </c>
      <c r="O40" s="716"/>
      <c r="P40" s="1014"/>
      <c r="Q40" s="1014">
        <f t="shared" ref="Q40:S41" si="11">I40</f>
        <v>6000</v>
      </c>
      <c r="R40" s="1014">
        <f t="shared" si="11"/>
        <v>6000</v>
      </c>
      <c r="S40" s="1014">
        <f t="shared" si="11"/>
        <v>6000</v>
      </c>
      <c r="T40" s="1016"/>
      <c r="U40" s="1016"/>
      <c r="V40" s="1016"/>
      <c r="W40" s="1014"/>
      <c r="X40" s="1014"/>
      <c r="Y40" s="1014"/>
      <c r="Z40" s="1014"/>
      <c r="AA40" s="1014"/>
      <c r="AB40" s="1014"/>
      <c r="AC40" s="1014"/>
      <c r="AD40" s="1014"/>
      <c r="AE40" s="1014"/>
      <c r="AF40" s="1014"/>
      <c r="AG40" s="1014"/>
      <c r="AH40" s="1014"/>
      <c r="AI40" s="1014"/>
    </row>
    <row r="41" spans="1:35" ht="21" customHeight="1">
      <c r="A41" s="139">
        <v>40</v>
      </c>
      <c r="B41" s="705" t="s">
        <v>315</v>
      </c>
      <c r="C41" s="705" t="s">
        <v>316</v>
      </c>
      <c r="D41" s="705">
        <v>20000</v>
      </c>
      <c r="E41" s="705">
        <v>5000</v>
      </c>
      <c r="F41" s="706">
        <v>45061</v>
      </c>
      <c r="G41" s="705"/>
      <c r="H41" s="705" t="s">
        <v>282</v>
      </c>
      <c r="I41" s="1002">
        <v>5000</v>
      </c>
      <c r="J41" s="1002">
        <v>5000</v>
      </c>
      <c r="K41" s="1002">
        <f t="shared" si="9"/>
        <v>5000</v>
      </c>
      <c r="L41" s="1002">
        <f>E41/23*15</f>
        <v>3260.8695652173915</v>
      </c>
      <c r="M41" s="705" t="s">
        <v>1096</v>
      </c>
      <c r="N41" s="705"/>
      <c r="O41" s="716"/>
      <c r="P41" s="1014">
        <f>SUM(M41:N41)</f>
        <v>0</v>
      </c>
      <c r="Q41" s="1014">
        <f t="shared" si="11"/>
        <v>5000</v>
      </c>
      <c r="R41" s="1014">
        <f t="shared" si="11"/>
        <v>5000</v>
      </c>
      <c r="S41" s="1014">
        <f t="shared" si="11"/>
        <v>5000</v>
      </c>
      <c r="T41" s="1043"/>
      <c r="U41" s="1016"/>
      <c r="V41" s="1016"/>
      <c r="W41" s="880"/>
      <c r="X41" s="880"/>
      <c r="Y41" s="1014"/>
      <c r="Z41" s="1014"/>
      <c r="AA41" s="1014"/>
      <c r="AB41" s="1014"/>
      <c r="AC41" s="1014">
        <f>N41</f>
        <v>0</v>
      </c>
      <c r="AD41" s="1014"/>
      <c r="AE41" s="1014"/>
      <c r="AF41" s="1014"/>
      <c r="AG41" s="1014"/>
      <c r="AH41" s="1014"/>
      <c r="AI41" s="1014"/>
    </row>
    <row r="42" spans="1:35" ht="33.6" customHeight="1">
      <c r="A42" s="993">
        <v>56</v>
      </c>
      <c r="B42" s="1044" t="s">
        <v>15</v>
      </c>
      <c r="C42" s="1044"/>
      <c r="D42" s="999">
        <f>SUBTOTAL(9,D1:D12,D14,D15:D25)</f>
        <v>322000</v>
      </c>
      <c r="E42" s="999">
        <f>SUM(E2:E41)</f>
        <v>247000</v>
      </c>
      <c r="F42" s="999"/>
      <c r="G42" s="999"/>
      <c r="H42" s="999">
        <f>SUM(H20:H25)</f>
        <v>0</v>
      </c>
      <c r="I42" s="999"/>
      <c r="J42" s="999"/>
      <c r="K42" s="999"/>
      <c r="L42" s="999"/>
      <c r="M42" s="999"/>
      <c r="N42" s="999">
        <f>SUM(N20:N25)</f>
        <v>0</v>
      </c>
      <c r="O42" s="999"/>
      <c r="P42" s="999">
        <f>SUM(P20:P25)</f>
        <v>0</v>
      </c>
      <c r="Q42" s="1014">
        <f>I42</f>
        <v>0</v>
      </c>
      <c r="R42" s="999">
        <f>SUM(R20:R25)</f>
        <v>11000</v>
      </c>
      <c r="S42" s="999">
        <f>SUM(S20:S25)</f>
        <v>11000</v>
      </c>
      <c r="T42" s="1046">
        <f>SUM(T1:T25)</f>
        <v>0</v>
      </c>
      <c r="U42" s="1047">
        <f>SUM(U20:U25)</f>
        <v>0</v>
      </c>
      <c r="V42" s="1047">
        <f>SUM(V20:V38)</f>
        <v>0</v>
      </c>
      <c r="W42" s="999">
        <f>SUM(W20:W25)</f>
        <v>0</v>
      </c>
      <c r="X42" s="999">
        <f>SUM(X20:X25)</f>
        <v>0</v>
      </c>
      <c r="Y42" s="999"/>
      <c r="Z42" s="999">
        <f t="shared" ref="Z42:AI42" si="12">SUM(Z20:Z25)</f>
        <v>0</v>
      </c>
      <c r="AA42" s="999">
        <f t="shared" si="12"/>
        <v>0</v>
      </c>
      <c r="AB42" s="999">
        <f t="shared" si="12"/>
        <v>0</v>
      </c>
      <c r="AC42" s="999">
        <f t="shared" si="12"/>
        <v>0</v>
      </c>
      <c r="AD42" s="999"/>
      <c r="AE42" s="999">
        <f t="shared" si="12"/>
        <v>0</v>
      </c>
      <c r="AF42" s="999">
        <f t="shared" si="12"/>
        <v>0</v>
      </c>
      <c r="AG42" s="999">
        <f t="shared" si="12"/>
        <v>0</v>
      </c>
      <c r="AH42" s="999">
        <f t="shared" si="12"/>
        <v>0</v>
      </c>
      <c r="AI42" s="999">
        <f t="shared" si="12"/>
        <v>0</v>
      </c>
    </row>
    <row r="43" spans="1:35" ht="15.75" customHeight="1">
      <c r="A43" s="127"/>
      <c r="B43" s="485"/>
      <c r="C43" s="485"/>
      <c r="D43" s="485"/>
      <c r="E43" s="485"/>
      <c r="F43" s="485"/>
      <c r="G43" s="485"/>
      <c r="H43" s="485"/>
      <c r="I43" s="485"/>
      <c r="J43" s="485"/>
      <c r="K43" s="485"/>
      <c r="L43" s="485"/>
      <c r="M43" s="485"/>
      <c r="N43" s="485"/>
      <c r="O43" s="1049"/>
      <c r="P43" s="1049"/>
      <c r="Q43" s="1049"/>
      <c r="R43" s="1049"/>
      <c r="S43" s="1050"/>
      <c r="T43" s="1051"/>
      <c r="U43" s="1051"/>
      <c r="V43" s="1049"/>
      <c r="W43" s="1049"/>
      <c r="X43" s="1049"/>
      <c r="Y43" s="1049"/>
      <c r="Z43" s="1049"/>
      <c r="AA43" s="1049"/>
      <c r="AB43" s="1049"/>
      <c r="AC43" s="1049"/>
      <c r="AD43" s="1049"/>
      <c r="AE43" s="1049"/>
      <c r="AF43" s="1049"/>
      <c r="AG43" s="1049"/>
      <c r="AH43" s="1049"/>
      <c r="AI43" s="1049"/>
    </row>
    <row r="44" spans="1:35" ht="15.75" customHeight="1">
      <c r="A44" s="127"/>
      <c r="B44" s="485"/>
      <c r="C44" s="485"/>
      <c r="D44" s="485"/>
      <c r="E44" s="485"/>
      <c r="F44" s="485"/>
      <c r="G44" s="485"/>
      <c r="H44" s="485"/>
      <c r="I44" s="485"/>
      <c r="J44" s="485"/>
      <c r="K44" s="485"/>
      <c r="L44" s="485"/>
      <c r="M44" s="485"/>
      <c r="N44" s="485"/>
      <c r="O44" s="1049"/>
      <c r="P44" s="1049"/>
      <c r="Q44" s="1049"/>
      <c r="R44" s="1049"/>
      <c r="S44" s="1050"/>
      <c r="T44" s="1051"/>
      <c r="U44" s="1051"/>
      <c r="V44" s="1049"/>
      <c r="W44" s="1049"/>
      <c r="X44" s="1049"/>
      <c r="Y44" s="1049"/>
      <c r="Z44" s="1049"/>
      <c r="AA44" s="1049"/>
      <c r="AB44" s="1049"/>
      <c r="AC44" s="1049"/>
      <c r="AD44" s="1049"/>
      <c r="AE44" s="1049"/>
      <c r="AF44" s="1049"/>
      <c r="AG44" s="1049"/>
      <c r="AH44" s="1049"/>
      <c r="AI44" s="1049"/>
    </row>
    <row r="45" spans="1:35" ht="15.75" customHeight="1">
      <c r="A45" s="127"/>
      <c r="B45" s="485"/>
      <c r="C45" s="485"/>
      <c r="D45" s="485"/>
      <c r="E45" s="485"/>
      <c r="F45" s="485"/>
      <c r="G45" s="485"/>
      <c r="H45" s="485"/>
      <c r="I45" s="485"/>
      <c r="J45" s="485"/>
      <c r="K45" s="485"/>
      <c r="L45" s="485"/>
      <c r="M45" s="485"/>
      <c r="N45" s="485"/>
      <c r="O45" s="1049"/>
      <c r="P45" s="1049"/>
      <c r="Q45" s="1049"/>
      <c r="R45" s="1049"/>
      <c r="S45" s="1050"/>
      <c r="T45" s="1051"/>
      <c r="U45" s="1051"/>
      <c r="V45" s="1049"/>
      <c r="W45" s="1049"/>
      <c r="X45" s="1049"/>
      <c r="Y45" s="1049"/>
      <c r="Z45" s="1049"/>
      <c r="AA45" s="1049"/>
      <c r="AB45" s="1049"/>
      <c r="AC45" s="1049"/>
      <c r="AD45" s="1049"/>
      <c r="AE45" s="1049"/>
      <c r="AF45" s="1049"/>
      <c r="AG45" s="1049"/>
      <c r="AH45" s="1049"/>
      <c r="AI45" s="1049"/>
    </row>
    <row r="46" spans="1:35" ht="15.75" customHeight="1">
      <c r="A46" s="127"/>
      <c r="B46" s="485"/>
      <c r="C46" s="485"/>
      <c r="D46" s="485"/>
      <c r="E46" s="485"/>
      <c r="F46" s="485"/>
      <c r="G46" s="485"/>
      <c r="H46" s="485"/>
      <c r="I46" s="485"/>
      <c r="J46" s="485"/>
      <c r="K46" s="485"/>
      <c r="L46" s="485"/>
      <c r="M46" s="485"/>
      <c r="N46" s="485"/>
      <c r="O46" s="1049"/>
      <c r="P46" s="1049"/>
      <c r="Q46" s="1049"/>
      <c r="R46" s="1049"/>
      <c r="S46" s="1050"/>
      <c r="T46" s="1051"/>
      <c r="U46" s="1051"/>
      <c r="V46" s="1049"/>
      <c r="W46" s="1049"/>
      <c r="X46" s="1049"/>
      <c r="Y46" s="1049"/>
      <c r="Z46" s="1049"/>
      <c r="AA46" s="1049"/>
      <c r="AB46" s="1049"/>
      <c r="AC46" s="1049"/>
      <c r="AD46" s="1049"/>
      <c r="AE46" s="1049"/>
      <c r="AF46" s="1049"/>
      <c r="AG46" s="1049"/>
      <c r="AH46" s="1049"/>
      <c r="AI46" s="1049"/>
    </row>
    <row r="47" spans="1:35" ht="15.75" customHeight="1">
      <c r="A47" s="127"/>
      <c r="B47" s="485"/>
      <c r="C47" s="485"/>
      <c r="D47" s="485"/>
      <c r="E47" s="485"/>
      <c r="F47" s="485"/>
      <c r="G47" s="485"/>
      <c r="H47" s="485"/>
      <c r="I47" s="485"/>
      <c r="J47" s="485"/>
      <c r="K47" s="485"/>
      <c r="L47" s="485"/>
      <c r="M47" s="485"/>
      <c r="N47" s="485"/>
      <c r="O47" s="1049"/>
      <c r="P47" s="1049"/>
      <c r="Q47" s="1049"/>
      <c r="R47" s="1049"/>
      <c r="S47" s="1050"/>
      <c r="T47" s="1051"/>
      <c r="U47" s="1051"/>
      <c r="V47" s="1049"/>
      <c r="W47" s="1049"/>
      <c r="X47" s="1049"/>
      <c r="Y47" s="1049"/>
      <c r="Z47" s="1049"/>
      <c r="AA47" s="1049"/>
      <c r="AB47" s="1049"/>
      <c r="AC47" s="1049"/>
      <c r="AD47" s="1049"/>
      <c r="AE47" s="1049"/>
      <c r="AF47" s="1049"/>
      <c r="AG47" s="1049"/>
      <c r="AH47" s="1049"/>
      <c r="AI47" s="1049"/>
    </row>
    <row r="48" spans="1:35" ht="15.75" customHeight="1">
      <c r="A48" s="127"/>
      <c r="B48" s="485"/>
      <c r="C48" s="485"/>
      <c r="D48" s="485"/>
      <c r="E48" s="485"/>
      <c r="F48" s="485"/>
      <c r="G48" s="485"/>
      <c r="H48" s="485"/>
      <c r="I48" s="485"/>
      <c r="J48" s="485"/>
      <c r="K48" s="485"/>
      <c r="L48" s="485"/>
      <c r="M48" s="485"/>
      <c r="N48" s="485"/>
      <c r="O48" s="1049"/>
      <c r="P48" s="1049"/>
      <c r="Q48" s="1049"/>
      <c r="R48" s="1049"/>
      <c r="S48" s="1050"/>
      <c r="T48" s="1051"/>
      <c r="U48" s="1051"/>
      <c r="V48" s="1049"/>
      <c r="W48" s="1049"/>
      <c r="X48" s="1049"/>
      <c r="Y48" s="1049"/>
      <c r="Z48" s="1049"/>
      <c r="AA48" s="1049"/>
      <c r="AB48" s="1049"/>
      <c r="AC48" s="1049"/>
      <c r="AD48" s="1049"/>
      <c r="AE48" s="1049"/>
      <c r="AF48" s="1049"/>
      <c r="AG48" s="1049"/>
      <c r="AH48" s="1049"/>
      <c r="AI48" s="1049"/>
    </row>
    <row r="49" spans="1:35" ht="15.75" customHeight="1">
      <c r="A49" s="127"/>
      <c r="B49" s="485"/>
      <c r="C49" s="485"/>
      <c r="D49" s="485"/>
      <c r="E49" s="485"/>
      <c r="F49" s="485"/>
      <c r="G49" s="485"/>
      <c r="H49" s="485"/>
      <c r="I49" s="485"/>
      <c r="J49" s="485"/>
      <c r="K49" s="485"/>
      <c r="L49" s="485"/>
      <c r="M49" s="485"/>
      <c r="N49" s="485"/>
      <c r="O49" s="1049"/>
      <c r="P49" s="1049"/>
      <c r="Q49" s="1049"/>
      <c r="R49" s="1049"/>
      <c r="S49" s="1050"/>
      <c r="T49" s="1051"/>
      <c r="U49" s="1051"/>
      <c r="V49" s="1049"/>
      <c r="W49" s="1049"/>
      <c r="X49" s="1049"/>
      <c r="Y49" s="1049"/>
      <c r="Z49" s="1049"/>
      <c r="AA49" s="1049"/>
      <c r="AB49" s="1049"/>
      <c r="AC49" s="1049"/>
      <c r="AD49" s="1049"/>
      <c r="AE49" s="1049"/>
      <c r="AF49" s="1049"/>
      <c r="AG49" s="1049"/>
      <c r="AH49" s="1049"/>
      <c r="AI49" s="1049"/>
    </row>
    <row r="50" spans="1:35" ht="15.75" customHeight="1">
      <c r="A50" s="127"/>
      <c r="B50" s="485"/>
      <c r="C50" s="485"/>
      <c r="D50" s="485"/>
      <c r="E50" s="485"/>
      <c r="F50" s="485"/>
      <c r="G50" s="485"/>
      <c r="H50" s="485"/>
      <c r="I50" s="485"/>
      <c r="J50" s="485"/>
      <c r="K50" s="485"/>
      <c r="L50" s="485"/>
      <c r="M50" s="485"/>
      <c r="N50" s="485"/>
      <c r="O50" s="1049"/>
      <c r="P50" s="1049"/>
      <c r="Q50" s="1049"/>
      <c r="R50" s="1049"/>
      <c r="S50" s="1050"/>
      <c r="T50" s="1051"/>
      <c r="U50" s="1051"/>
      <c r="V50" s="1049"/>
      <c r="W50" s="1049"/>
      <c r="X50" s="1049"/>
      <c r="Y50" s="1049"/>
      <c r="Z50" s="1049"/>
      <c r="AA50" s="1049"/>
      <c r="AB50" s="1049"/>
      <c r="AC50" s="1049"/>
      <c r="AD50" s="1049"/>
      <c r="AE50" s="1049"/>
      <c r="AF50" s="1049"/>
      <c r="AG50" s="1049"/>
      <c r="AH50" s="1049"/>
      <c r="AI50" s="1049"/>
    </row>
    <row r="51" spans="1:35" ht="15.75" customHeight="1">
      <c r="A51" s="127"/>
      <c r="B51" s="485"/>
      <c r="C51" s="485"/>
      <c r="D51" s="485"/>
      <c r="E51" s="485"/>
      <c r="F51" s="485"/>
      <c r="G51" s="485"/>
      <c r="H51" s="485"/>
      <c r="I51" s="485"/>
      <c r="J51" s="485"/>
      <c r="K51" s="485"/>
      <c r="L51" s="485"/>
      <c r="M51" s="485"/>
      <c r="N51" s="485"/>
      <c r="O51" s="1049"/>
      <c r="P51" s="1049"/>
      <c r="Q51" s="1049"/>
      <c r="R51" s="1049"/>
      <c r="S51" s="1050"/>
      <c r="T51" s="1051"/>
      <c r="U51" s="1051"/>
      <c r="V51" s="1049"/>
      <c r="W51" s="1049"/>
      <c r="X51" s="1049"/>
      <c r="Y51" s="1049"/>
      <c r="Z51" s="1049"/>
      <c r="AA51" s="1049"/>
      <c r="AB51" s="1049"/>
      <c r="AC51" s="1049"/>
      <c r="AD51" s="1049"/>
      <c r="AE51" s="1049"/>
      <c r="AF51" s="1049"/>
      <c r="AG51" s="1049"/>
      <c r="AH51" s="1049"/>
      <c r="AI51" s="1049"/>
    </row>
    <row r="52" spans="1:35" ht="15.75" customHeight="1">
      <c r="A52" s="127"/>
      <c r="B52" s="485"/>
      <c r="C52" s="485"/>
      <c r="D52" s="485"/>
      <c r="E52" s="485"/>
      <c r="F52" s="485"/>
      <c r="G52" s="485"/>
      <c r="H52" s="485"/>
      <c r="I52" s="485"/>
      <c r="J52" s="485"/>
      <c r="K52" s="485"/>
      <c r="L52" s="485"/>
      <c r="M52" s="485"/>
      <c r="N52" s="485"/>
      <c r="O52" s="1049"/>
      <c r="P52" s="1049"/>
      <c r="Q52" s="1049"/>
      <c r="R52" s="1049"/>
      <c r="S52" s="1050"/>
      <c r="T52" s="1051"/>
      <c r="U52" s="1051"/>
      <c r="V52" s="1049"/>
      <c r="W52" s="1049"/>
      <c r="X52" s="1049"/>
      <c r="Y52" s="1049"/>
      <c r="Z52" s="1049"/>
      <c r="AA52" s="1049"/>
      <c r="AB52" s="1049"/>
      <c r="AC52" s="1049"/>
      <c r="AD52" s="1049"/>
      <c r="AE52" s="1049"/>
      <c r="AF52" s="1049"/>
      <c r="AG52" s="1049"/>
      <c r="AH52" s="1049"/>
      <c r="AI52" s="1049"/>
    </row>
    <row r="53" spans="1:35" ht="15.75" customHeight="1">
      <c r="A53" s="127"/>
      <c r="B53" s="485"/>
      <c r="C53" s="485"/>
      <c r="D53" s="485"/>
      <c r="E53" s="485"/>
      <c r="F53" s="485"/>
      <c r="G53" s="485"/>
      <c r="H53" s="485"/>
      <c r="I53" s="485"/>
      <c r="J53" s="485"/>
      <c r="K53" s="485"/>
      <c r="L53" s="485"/>
      <c r="M53" s="485"/>
      <c r="N53" s="485"/>
      <c r="O53" s="1049"/>
      <c r="P53" s="1049"/>
      <c r="Q53" s="1049"/>
      <c r="R53" s="1049"/>
      <c r="S53" s="1050"/>
      <c r="T53" s="1051"/>
      <c r="U53" s="1051"/>
      <c r="V53" s="1049"/>
      <c r="W53" s="1049"/>
      <c r="X53" s="1049"/>
      <c r="Y53" s="1049"/>
      <c r="Z53" s="1049"/>
      <c r="AA53" s="1049"/>
      <c r="AB53" s="1049"/>
      <c r="AC53" s="1049"/>
      <c r="AD53" s="1049"/>
      <c r="AE53" s="1049"/>
      <c r="AF53" s="1049"/>
      <c r="AG53" s="1049"/>
      <c r="AH53" s="1049"/>
      <c r="AI53" s="1049"/>
    </row>
    <row r="54" spans="1:35" ht="15.75" customHeight="1">
      <c r="A54" s="127"/>
      <c r="B54" s="485"/>
      <c r="C54" s="485"/>
      <c r="D54" s="485"/>
      <c r="E54" s="485"/>
      <c r="F54" s="485"/>
      <c r="G54" s="485"/>
      <c r="H54" s="485"/>
      <c r="I54" s="485"/>
      <c r="J54" s="485"/>
      <c r="K54" s="485"/>
      <c r="L54" s="485"/>
      <c r="M54" s="485"/>
      <c r="N54" s="485"/>
      <c r="O54" s="1049"/>
      <c r="P54" s="1049"/>
      <c r="Q54" s="1049"/>
      <c r="R54" s="1049"/>
      <c r="S54" s="1050"/>
      <c r="T54" s="1051"/>
      <c r="U54" s="1051"/>
      <c r="V54" s="1049"/>
      <c r="W54" s="1049"/>
      <c r="X54" s="1049"/>
      <c r="Y54" s="1049"/>
      <c r="Z54" s="1049"/>
      <c r="AA54" s="1049"/>
      <c r="AB54" s="1049"/>
      <c r="AC54" s="1049"/>
      <c r="AD54" s="1049"/>
      <c r="AE54" s="1049"/>
      <c r="AF54" s="1049"/>
      <c r="AG54" s="1049"/>
      <c r="AH54" s="1049"/>
      <c r="AI54" s="1049"/>
    </row>
    <row r="55" spans="1:35" ht="15.75" customHeight="1">
      <c r="A55" s="127"/>
      <c r="B55" s="485"/>
      <c r="C55" s="485"/>
      <c r="E55" s="485"/>
      <c r="F55" s="485"/>
      <c r="G55" s="485"/>
      <c r="H55" s="485"/>
      <c r="I55" s="485"/>
      <c r="J55" s="485"/>
      <c r="K55" s="485"/>
      <c r="L55" s="485"/>
      <c r="M55" s="485"/>
      <c r="N55" s="485"/>
      <c r="O55" s="1049"/>
      <c r="P55" s="1049"/>
      <c r="Q55" s="1049"/>
      <c r="R55" s="1049"/>
      <c r="S55" s="1050"/>
      <c r="T55" s="1051"/>
      <c r="U55" s="1051"/>
      <c r="V55" s="1049"/>
      <c r="W55" s="1049"/>
      <c r="X55" s="1049"/>
      <c r="Y55" s="1049"/>
      <c r="Z55" s="1049"/>
      <c r="AA55" s="1049"/>
      <c r="AB55" s="1049"/>
      <c r="AC55" s="1049"/>
      <c r="AD55" s="1049"/>
      <c r="AE55" s="1049"/>
      <c r="AF55" s="1049"/>
      <c r="AG55" s="1049"/>
      <c r="AH55" s="1049"/>
      <c r="AI55" s="1049"/>
    </row>
    <row r="56" spans="1:35" ht="15.75" customHeight="1">
      <c r="A56" s="127"/>
      <c r="B56" s="485"/>
      <c r="C56" s="485"/>
      <c r="D56" s="485"/>
      <c r="E56" s="485"/>
      <c r="F56" s="485"/>
      <c r="G56" s="485"/>
      <c r="H56" s="485"/>
      <c r="I56" s="485"/>
      <c r="J56" s="485"/>
      <c r="K56" s="485"/>
      <c r="L56" s="485"/>
      <c r="M56" s="485"/>
      <c r="N56" s="485"/>
      <c r="O56" s="1049"/>
      <c r="P56" s="1049"/>
      <c r="Q56" s="1049"/>
      <c r="R56" s="1049"/>
      <c r="S56" s="1050"/>
      <c r="T56" s="1051"/>
      <c r="U56" s="1051"/>
      <c r="V56" s="1049"/>
      <c r="W56" s="1049"/>
      <c r="X56" s="1049"/>
      <c r="Y56" s="1049"/>
      <c r="Z56" s="1049"/>
      <c r="AA56" s="1049"/>
      <c r="AB56" s="1049"/>
      <c r="AC56" s="1049"/>
      <c r="AD56" s="1049"/>
      <c r="AE56" s="1049"/>
      <c r="AF56" s="1049"/>
      <c r="AG56" s="1049"/>
      <c r="AH56" s="1049"/>
      <c r="AI56" s="1049"/>
    </row>
    <row r="57" spans="1:35" ht="15.75" customHeight="1">
      <c r="A57" s="127"/>
      <c r="B57" s="485"/>
      <c r="C57" s="485"/>
      <c r="D57" s="485"/>
      <c r="E57" s="485"/>
      <c r="F57" s="485"/>
      <c r="G57" s="485"/>
      <c r="H57" s="485"/>
      <c r="I57" s="485"/>
      <c r="J57" s="485"/>
      <c r="K57" s="485"/>
      <c r="L57" s="485"/>
      <c r="M57" s="485"/>
      <c r="N57" s="485"/>
      <c r="O57" s="1049"/>
      <c r="P57" s="1049"/>
      <c r="Q57" s="1049"/>
      <c r="R57" s="1049"/>
      <c r="S57" s="1050"/>
      <c r="T57" s="1051"/>
      <c r="U57" s="1051"/>
      <c r="V57" s="1049"/>
      <c r="W57" s="1049"/>
      <c r="X57" s="1049"/>
      <c r="Y57" s="1049"/>
      <c r="Z57" s="1049"/>
      <c r="AA57" s="1049"/>
      <c r="AB57" s="1049"/>
      <c r="AC57" s="1049"/>
      <c r="AD57" s="1049"/>
      <c r="AE57" s="1049"/>
      <c r="AF57" s="1049"/>
      <c r="AG57" s="1049"/>
      <c r="AH57" s="1049"/>
      <c r="AI57" s="1049"/>
    </row>
    <row r="58" spans="1:35" ht="15.75" customHeight="1">
      <c r="A58" s="127"/>
      <c r="B58" s="485"/>
      <c r="C58" s="485"/>
      <c r="D58" s="485"/>
      <c r="E58" s="485"/>
      <c r="F58" s="485"/>
      <c r="G58" s="485"/>
      <c r="H58" s="485"/>
      <c r="I58" s="485"/>
      <c r="J58" s="485"/>
      <c r="K58" s="485"/>
      <c r="L58" s="485"/>
      <c r="M58" s="485"/>
      <c r="N58" s="485"/>
      <c r="O58" s="1049"/>
      <c r="P58" s="1049"/>
      <c r="Q58" s="1049"/>
      <c r="R58" s="1049"/>
      <c r="S58" s="1050"/>
      <c r="T58" s="1051"/>
      <c r="U58" s="1051"/>
      <c r="V58" s="1049"/>
      <c r="W58" s="1049"/>
      <c r="X58" s="1049"/>
      <c r="Y58" s="1049"/>
      <c r="Z58" s="1049"/>
      <c r="AA58" s="1049"/>
      <c r="AB58" s="1049"/>
      <c r="AC58" s="1049"/>
      <c r="AD58" s="1049"/>
      <c r="AE58" s="1049"/>
      <c r="AF58" s="1049"/>
      <c r="AG58" s="1049"/>
      <c r="AH58" s="1049"/>
      <c r="AI58" s="1049"/>
    </row>
    <row r="59" spans="1:35" ht="15.75" customHeight="1">
      <c r="A59" s="127"/>
      <c r="B59" s="485"/>
      <c r="C59" s="485"/>
      <c r="D59" s="485"/>
      <c r="E59" s="485"/>
      <c r="F59" s="485"/>
      <c r="G59" s="485"/>
      <c r="H59" s="485"/>
      <c r="I59" s="485"/>
      <c r="J59" s="485"/>
      <c r="K59" s="485"/>
      <c r="L59" s="485"/>
      <c r="M59" s="485"/>
      <c r="N59" s="485"/>
      <c r="O59" s="1049"/>
      <c r="P59" s="1049"/>
      <c r="Q59" s="1049"/>
      <c r="R59" s="1049"/>
      <c r="S59" s="1050"/>
      <c r="T59" s="1051"/>
      <c r="U59" s="1051"/>
      <c r="V59" s="1049"/>
      <c r="W59" s="1049"/>
      <c r="X59" s="1049"/>
      <c r="Y59" s="1049"/>
      <c r="Z59" s="1049"/>
      <c r="AA59" s="1049"/>
      <c r="AB59" s="1049"/>
      <c r="AC59" s="1049"/>
      <c r="AD59" s="1049"/>
      <c r="AE59" s="1049"/>
      <c r="AF59" s="1049"/>
      <c r="AG59" s="1049"/>
      <c r="AH59" s="1049"/>
      <c r="AI59" s="1049"/>
    </row>
    <row r="60" spans="1:35" ht="15.75" customHeight="1">
      <c r="A60" s="127"/>
      <c r="B60" s="485"/>
      <c r="C60" s="485"/>
      <c r="D60" s="485"/>
      <c r="E60" s="485"/>
      <c r="F60" s="485"/>
      <c r="G60" s="485"/>
      <c r="H60" s="485"/>
      <c r="I60" s="485"/>
      <c r="J60" s="485"/>
      <c r="K60" s="485"/>
      <c r="L60" s="485"/>
      <c r="M60" s="485"/>
      <c r="N60" s="485"/>
      <c r="O60" s="1049"/>
      <c r="P60" s="1049"/>
      <c r="Q60" s="1049"/>
      <c r="R60" s="1049"/>
      <c r="S60" s="1050"/>
      <c r="T60" s="1051"/>
      <c r="U60" s="1051"/>
      <c r="V60" s="1049"/>
      <c r="W60" s="1049"/>
      <c r="X60" s="1049"/>
      <c r="Y60" s="1049"/>
      <c r="Z60" s="1049"/>
      <c r="AA60" s="1049"/>
      <c r="AB60" s="1049"/>
      <c r="AC60" s="1049"/>
      <c r="AD60" s="1049"/>
      <c r="AE60" s="1049"/>
      <c r="AF60" s="1049"/>
      <c r="AG60" s="1049"/>
      <c r="AH60" s="1049"/>
      <c r="AI60" s="1049"/>
    </row>
    <row r="61" spans="1:35" ht="15.75" customHeight="1">
      <c r="A61" s="127"/>
      <c r="B61" s="485"/>
      <c r="C61" s="485"/>
      <c r="D61" s="485"/>
      <c r="E61" s="485"/>
      <c r="F61" s="485"/>
      <c r="G61" s="485"/>
      <c r="H61" s="485"/>
      <c r="I61" s="485"/>
      <c r="J61" s="485"/>
      <c r="K61" s="485"/>
      <c r="L61" s="485"/>
      <c r="M61" s="485"/>
      <c r="N61" s="485"/>
      <c r="O61" s="1049"/>
      <c r="P61" s="1049"/>
      <c r="Q61" s="1049"/>
      <c r="R61" s="1049"/>
      <c r="S61" s="1050"/>
      <c r="T61" s="1051"/>
      <c r="U61" s="1051"/>
      <c r="V61" s="1049"/>
      <c r="W61" s="1049"/>
      <c r="X61" s="1049"/>
      <c r="Y61" s="1049"/>
      <c r="Z61" s="1049"/>
      <c r="AA61" s="1049"/>
      <c r="AB61" s="1049"/>
      <c r="AC61" s="1049"/>
      <c r="AD61" s="1049"/>
      <c r="AE61" s="1049"/>
      <c r="AF61" s="1049"/>
      <c r="AG61" s="1049"/>
      <c r="AH61" s="1049"/>
      <c r="AI61" s="1049"/>
    </row>
    <row r="62" spans="1:35" ht="15.75" customHeight="1">
      <c r="A62" s="127"/>
      <c r="B62" s="485"/>
      <c r="C62" s="485"/>
      <c r="D62" s="485"/>
      <c r="E62" s="485"/>
      <c r="F62" s="485"/>
      <c r="G62" s="485"/>
      <c r="H62" s="485"/>
      <c r="I62" s="485"/>
      <c r="J62" s="485"/>
      <c r="K62" s="485"/>
      <c r="L62" s="485"/>
      <c r="M62" s="485"/>
      <c r="N62" s="485"/>
      <c r="O62" s="1049"/>
      <c r="P62" s="1049"/>
      <c r="Q62" s="1049"/>
      <c r="R62" s="1049"/>
      <c r="S62" s="1050"/>
      <c r="T62" s="1051"/>
      <c r="U62" s="1051"/>
      <c r="V62" s="1049"/>
      <c r="W62" s="1049"/>
      <c r="X62" s="1049"/>
      <c r="Y62" s="1049"/>
      <c r="Z62" s="1049"/>
      <c r="AA62" s="1049"/>
      <c r="AB62" s="1049"/>
      <c r="AC62" s="1049"/>
      <c r="AD62" s="1049"/>
      <c r="AE62" s="1049"/>
      <c r="AF62" s="1049"/>
      <c r="AG62" s="1049"/>
      <c r="AH62" s="1049"/>
      <c r="AI62" s="1049"/>
    </row>
    <row r="63" spans="1:35" ht="15.75" customHeight="1">
      <c r="A63" s="127"/>
      <c r="B63" s="485"/>
      <c r="C63" s="485"/>
      <c r="D63" s="485"/>
      <c r="E63" s="485"/>
      <c r="F63" s="485"/>
      <c r="G63" s="485"/>
      <c r="H63" s="485"/>
      <c r="I63" s="485"/>
      <c r="J63" s="485"/>
      <c r="K63" s="485"/>
      <c r="L63" s="485"/>
      <c r="M63" s="485"/>
      <c r="N63" s="485"/>
      <c r="O63" s="1049"/>
      <c r="P63" s="1049"/>
      <c r="Q63" s="1049"/>
      <c r="R63" s="1049"/>
      <c r="S63" s="1050"/>
      <c r="T63" s="1051"/>
      <c r="U63" s="1051"/>
      <c r="V63" s="1049"/>
      <c r="W63" s="1049"/>
      <c r="X63" s="1049"/>
      <c r="Y63" s="1049"/>
      <c r="Z63" s="1049"/>
      <c r="AA63" s="1049"/>
      <c r="AB63" s="1049"/>
      <c r="AC63" s="1049"/>
      <c r="AD63" s="1049"/>
      <c r="AE63" s="1049"/>
      <c r="AF63" s="1049"/>
      <c r="AG63" s="1049"/>
      <c r="AH63" s="1049"/>
      <c r="AI63" s="1049"/>
    </row>
    <row r="64" spans="1:35" ht="15.75" customHeight="1">
      <c r="A64" s="127"/>
      <c r="B64" s="485"/>
      <c r="C64" s="485"/>
      <c r="D64" s="485"/>
      <c r="E64" s="485"/>
      <c r="F64" s="485"/>
      <c r="G64" s="485"/>
      <c r="H64" s="485"/>
      <c r="I64" s="485"/>
      <c r="J64" s="485"/>
      <c r="K64" s="485"/>
      <c r="L64" s="485"/>
      <c r="M64" s="485"/>
      <c r="N64" s="485"/>
      <c r="O64" s="1049"/>
      <c r="P64" s="1049"/>
      <c r="Q64" s="1049"/>
      <c r="R64" s="1049"/>
      <c r="S64" s="1050"/>
      <c r="T64" s="1051"/>
      <c r="U64" s="1051"/>
      <c r="V64" s="1049"/>
      <c r="W64" s="1049"/>
      <c r="X64" s="1049"/>
      <c r="Y64" s="1049"/>
      <c r="Z64" s="1049"/>
      <c r="AA64" s="1049"/>
      <c r="AB64" s="1049"/>
      <c r="AC64" s="1049"/>
      <c r="AD64" s="1049"/>
      <c r="AE64" s="1049"/>
      <c r="AF64" s="1049"/>
      <c r="AG64" s="1049"/>
      <c r="AH64" s="1049"/>
      <c r="AI64" s="1049"/>
    </row>
    <row r="65" spans="1:35" ht="15.75" customHeight="1">
      <c r="A65" s="127"/>
      <c r="B65" s="485"/>
      <c r="C65" s="485"/>
      <c r="D65" s="485"/>
      <c r="E65" s="485"/>
      <c r="F65" s="485"/>
      <c r="G65" s="485"/>
      <c r="H65" s="485"/>
      <c r="I65" s="485"/>
      <c r="J65" s="485"/>
      <c r="K65" s="485"/>
      <c r="L65" s="485"/>
      <c r="M65" s="485"/>
      <c r="N65" s="485"/>
      <c r="O65" s="1049"/>
      <c r="P65" s="1049"/>
      <c r="Q65" s="1049"/>
      <c r="R65" s="1049"/>
      <c r="S65" s="1050"/>
      <c r="T65" s="1051"/>
      <c r="U65" s="1051"/>
      <c r="V65" s="1049"/>
      <c r="W65" s="1049"/>
      <c r="X65" s="1049"/>
      <c r="Y65" s="1049"/>
      <c r="Z65" s="1049"/>
      <c r="AA65" s="1049"/>
      <c r="AB65" s="1049"/>
      <c r="AC65" s="1049"/>
      <c r="AD65" s="1049"/>
      <c r="AE65" s="1049"/>
      <c r="AF65" s="1049"/>
      <c r="AG65" s="1049"/>
      <c r="AH65" s="1049"/>
      <c r="AI65" s="1049"/>
    </row>
    <row r="66" spans="1:35" ht="15.75" customHeight="1">
      <c r="A66" s="127"/>
      <c r="B66" s="485"/>
      <c r="C66" s="485"/>
      <c r="D66" s="485"/>
      <c r="E66" s="485"/>
      <c r="F66" s="485"/>
      <c r="G66" s="485"/>
      <c r="H66" s="485"/>
      <c r="I66" s="485"/>
      <c r="J66" s="485"/>
      <c r="K66" s="485"/>
      <c r="L66" s="485"/>
      <c r="M66" s="485"/>
      <c r="N66" s="485"/>
      <c r="O66" s="1049"/>
      <c r="P66" s="1049"/>
      <c r="Q66" s="1049"/>
      <c r="R66" s="1049"/>
      <c r="S66" s="1050"/>
      <c r="T66" s="1051"/>
      <c r="U66" s="1051"/>
      <c r="V66" s="1049"/>
      <c r="W66" s="1049"/>
      <c r="X66" s="1049"/>
      <c r="Y66" s="1049"/>
      <c r="Z66" s="1049"/>
      <c r="AA66" s="1049"/>
      <c r="AB66" s="1049"/>
      <c r="AC66" s="1049"/>
      <c r="AD66" s="1049"/>
      <c r="AE66" s="1049"/>
      <c r="AF66" s="1049"/>
      <c r="AG66" s="1049"/>
      <c r="AH66" s="1049"/>
      <c r="AI66" s="1049"/>
    </row>
    <row r="67" spans="1:35" ht="15.75" customHeight="1">
      <c r="A67" s="127"/>
      <c r="B67" s="485"/>
      <c r="C67" s="485"/>
      <c r="D67" s="485"/>
      <c r="E67" s="485"/>
      <c r="F67" s="485"/>
      <c r="G67" s="485"/>
      <c r="H67" s="485"/>
      <c r="I67" s="485"/>
      <c r="J67" s="485"/>
      <c r="K67" s="485"/>
      <c r="L67" s="485"/>
      <c r="M67" s="485"/>
      <c r="N67" s="485"/>
      <c r="O67" s="1049"/>
      <c r="P67" s="1049"/>
      <c r="Q67" s="1049"/>
      <c r="R67" s="1049"/>
      <c r="S67" s="1050"/>
      <c r="T67" s="1051"/>
      <c r="U67" s="1051"/>
      <c r="V67" s="1049"/>
      <c r="W67" s="1049"/>
      <c r="X67" s="1049"/>
      <c r="Y67" s="1049"/>
      <c r="Z67" s="1049"/>
      <c r="AA67" s="1049"/>
      <c r="AB67" s="1049"/>
      <c r="AC67" s="1049"/>
      <c r="AD67" s="1049"/>
      <c r="AE67" s="1049"/>
      <c r="AF67" s="1049"/>
      <c r="AG67" s="1049"/>
      <c r="AH67" s="1049"/>
      <c r="AI67" s="1049"/>
    </row>
    <row r="68" spans="1:35" ht="15.75" customHeight="1">
      <c r="A68" s="127"/>
      <c r="B68" s="485"/>
      <c r="C68" s="485"/>
      <c r="D68" s="485"/>
      <c r="E68" s="485"/>
      <c r="F68" s="485"/>
      <c r="G68" s="485"/>
      <c r="H68" s="485"/>
      <c r="I68" s="485"/>
      <c r="J68" s="485"/>
      <c r="K68" s="485"/>
      <c r="L68" s="485"/>
      <c r="M68" s="485"/>
      <c r="N68" s="485"/>
      <c r="O68" s="1049"/>
      <c r="P68" s="1049"/>
      <c r="Q68" s="1049"/>
      <c r="R68" s="1049"/>
      <c r="S68" s="1050"/>
      <c r="T68" s="1051"/>
      <c r="U68" s="1051"/>
      <c r="V68" s="1049"/>
      <c r="W68" s="1049"/>
      <c r="X68" s="1049"/>
      <c r="Y68" s="1049"/>
      <c r="Z68" s="1049"/>
      <c r="AA68" s="1049"/>
      <c r="AB68" s="1049"/>
      <c r="AC68" s="1049"/>
      <c r="AD68" s="1049"/>
      <c r="AE68" s="1049"/>
      <c r="AF68" s="1049"/>
      <c r="AG68" s="1049"/>
      <c r="AH68" s="1049"/>
      <c r="AI68" s="1049"/>
    </row>
    <row r="69" spans="1:35" ht="15.75" customHeight="1">
      <c r="A69" s="127"/>
      <c r="B69" s="485"/>
      <c r="C69" s="485"/>
      <c r="D69" s="485"/>
      <c r="E69" s="485"/>
      <c r="F69" s="485"/>
      <c r="G69" s="485"/>
      <c r="H69" s="485"/>
      <c r="I69" s="485"/>
      <c r="J69" s="485"/>
      <c r="K69" s="485"/>
      <c r="L69" s="485"/>
      <c r="M69" s="485"/>
      <c r="N69" s="485"/>
      <c r="O69" s="1049"/>
      <c r="P69" s="1049"/>
      <c r="Q69" s="1049"/>
      <c r="R69" s="1049"/>
      <c r="S69" s="1050"/>
      <c r="T69" s="1051"/>
      <c r="U69" s="1051"/>
      <c r="V69" s="1049"/>
      <c r="W69" s="1049"/>
      <c r="X69" s="1049"/>
      <c r="Y69" s="1049"/>
      <c r="Z69" s="1049"/>
      <c r="AA69" s="1049"/>
      <c r="AB69" s="1049"/>
      <c r="AC69" s="1049"/>
      <c r="AD69" s="1049"/>
      <c r="AE69" s="1049"/>
      <c r="AF69" s="1049"/>
      <c r="AG69" s="1049"/>
      <c r="AH69" s="1049"/>
      <c r="AI69" s="1049"/>
    </row>
    <row r="70" spans="1:35" ht="15.75" customHeight="1">
      <c r="A70" s="127"/>
      <c r="B70" s="485"/>
      <c r="C70" s="485"/>
      <c r="D70" s="485"/>
      <c r="E70" s="485"/>
      <c r="F70" s="485"/>
      <c r="G70" s="485"/>
      <c r="H70" s="485"/>
      <c r="I70" s="485"/>
      <c r="J70" s="485"/>
      <c r="K70" s="485"/>
      <c r="L70" s="485"/>
      <c r="M70" s="485"/>
      <c r="N70" s="485"/>
      <c r="O70" s="1049"/>
      <c r="P70" s="1049"/>
      <c r="Q70" s="1049"/>
      <c r="R70" s="1049"/>
      <c r="S70" s="1050"/>
      <c r="T70" s="1051"/>
      <c r="U70" s="1051"/>
      <c r="V70" s="1049"/>
      <c r="W70" s="1049"/>
      <c r="X70" s="1049"/>
      <c r="Y70" s="1049"/>
      <c r="Z70" s="1049"/>
      <c r="AA70" s="1049"/>
      <c r="AB70" s="1049"/>
      <c r="AC70" s="1049"/>
      <c r="AD70" s="1049"/>
      <c r="AE70" s="1049"/>
      <c r="AF70" s="1049"/>
      <c r="AG70" s="1049"/>
      <c r="AH70" s="1049"/>
      <c r="AI70" s="1049"/>
    </row>
    <row r="71" spans="1:35" ht="15.75" customHeight="1">
      <c r="A71" s="127"/>
      <c r="B71" s="485"/>
      <c r="C71" s="485"/>
      <c r="D71" s="485"/>
      <c r="E71" s="485"/>
      <c r="F71" s="485"/>
      <c r="G71" s="485"/>
      <c r="H71" s="485"/>
      <c r="I71" s="485"/>
      <c r="J71" s="485"/>
      <c r="K71" s="485"/>
      <c r="L71" s="485"/>
      <c r="M71" s="485"/>
      <c r="N71" s="485"/>
      <c r="O71" s="1049"/>
      <c r="P71" s="1049"/>
      <c r="Q71" s="1049"/>
      <c r="R71" s="1049"/>
      <c r="S71" s="1050"/>
      <c r="T71" s="1051"/>
      <c r="U71" s="1051"/>
      <c r="V71" s="1049"/>
      <c r="W71" s="1049"/>
      <c r="X71" s="1049"/>
      <c r="Y71" s="1049"/>
      <c r="Z71" s="1049"/>
      <c r="AA71" s="1049"/>
      <c r="AB71" s="1049"/>
      <c r="AC71" s="1049"/>
      <c r="AD71" s="1049"/>
      <c r="AE71" s="1049"/>
      <c r="AF71" s="1049"/>
      <c r="AG71" s="1049"/>
      <c r="AH71" s="1049"/>
      <c r="AI71" s="1049"/>
    </row>
    <row r="72" spans="1:35" ht="15.75" customHeight="1">
      <c r="A72" s="127"/>
      <c r="B72" s="485"/>
      <c r="C72" s="485"/>
      <c r="D72" s="485"/>
      <c r="E72" s="485"/>
      <c r="F72" s="485"/>
      <c r="G72" s="485"/>
      <c r="H72" s="485"/>
      <c r="I72" s="485"/>
      <c r="J72" s="485"/>
      <c r="K72" s="485"/>
      <c r="L72" s="485"/>
      <c r="M72" s="485"/>
      <c r="N72" s="485"/>
      <c r="O72" s="1049"/>
      <c r="P72" s="1049"/>
      <c r="Q72" s="1049"/>
      <c r="R72" s="1049"/>
      <c r="S72" s="1050"/>
      <c r="T72" s="1051"/>
      <c r="U72" s="1051"/>
      <c r="V72" s="1049"/>
      <c r="W72" s="1049"/>
      <c r="X72" s="1049"/>
      <c r="Y72" s="1049"/>
      <c r="Z72" s="1049"/>
      <c r="AA72" s="1049"/>
      <c r="AB72" s="1049"/>
      <c r="AC72" s="1049"/>
      <c r="AD72" s="1049"/>
      <c r="AE72" s="1049"/>
      <c r="AF72" s="1049"/>
      <c r="AG72" s="1049"/>
      <c r="AH72" s="1049"/>
      <c r="AI72" s="1049"/>
    </row>
    <row r="73" spans="1:35" ht="15.75" customHeight="1">
      <c r="A73" s="127"/>
      <c r="B73" s="485"/>
      <c r="C73" s="485"/>
      <c r="D73" s="485"/>
      <c r="E73" s="485"/>
      <c r="F73" s="485"/>
      <c r="G73" s="485"/>
      <c r="H73" s="485"/>
      <c r="I73" s="485"/>
      <c r="J73" s="485"/>
      <c r="K73" s="485"/>
      <c r="L73" s="485"/>
      <c r="M73" s="485"/>
      <c r="N73" s="485"/>
      <c r="O73" s="1049"/>
      <c r="P73" s="1049"/>
      <c r="Q73" s="1049"/>
      <c r="R73" s="1049"/>
      <c r="S73" s="1050"/>
      <c r="T73" s="1051"/>
      <c r="U73" s="1051"/>
      <c r="V73" s="1049"/>
      <c r="W73" s="1049"/>
      <c r="X73" s="1049"/>
      <c r="Y73" s="1049"/>
      <c r="Z73" s="1049"/>
      <c r="AA73" s="1049"/>
      <c r="AB73" s="1049"/>
      <c r="AC73" s="1049"/>
      <c r="AD73" s="1049"/>
      <c r="AE73" s="1049"/>
      <c r="AF73" s="1049"/>
      <c r="AG73" s="1049"/>
      <c r="AH73" s="1049"/>
      <c r="AI73" s="1049"/>
    </row>
    <row r="74" spans="1:35" ht="15.75" customHeight="1">
      <c r="A74" s="127"/>
      <c r="B74" s="485"/>
      <c r="C74" s="485"/>
      <c r="D74" s="485"/>
      <c r="E74" s="485"/>
      <c r="F74" s="485"/>
      <c r="G74" s="485"/>
      <c r="H74" s="485"/>
      <c r="I74" s="485"/>
      <c r="J74" s="485"/>
      <c r="K74" s="485"/>
      <c r="L74" s="485"/>
      <c r="M74" s="485"/>
      <c r="N74" s="485"/>
      <c r="O74" s="1049"/>
      <c r="P74" s="1049"/>
      <c r="Q74" s="1049"/>
      <c r="R74" s="1049"/>
      <c r="S74" s="1050"/>
      <c r="T74" s="1051"/>
      <c r="U74" s="1051"/>
      <c r="V74" s="1049"/>
      <c r="W74" s="1049"/>
      <c r="X74" s="1049"/>
      <c r="Y74" s="1049"/>
      <c r="Z74" s="1049"/>
      <c r="AA74" s="1049"/>
      <c r="AB74" s="1049"/>
      <c r="AC74" s="1049"/>
      <c r="AD74" s="1049"/>
      <c r="AE74" s="1049"/>
      <c r="AF74" s="1049"/>
      <c r="AG74" s="1049"/>
      <c r="AH74" s="1049"/>
      <c r="AI74" s="1049"/>
    </row>
    <row r="75" spans="1:35" ht="15.75" customHeight="1">
      <c r="A75" s="127"/>
      <c r="B75" s="485"/>
      <c r="C75" s="485"/>
      <c r="D75" s="485"/>
      <c r="E75" s="485"/>
      <c r="F75" s="485"/>
      <c r="G75" s="485"/>
      <c r="H75" s="485"/>
      <c r="I75" s="485"/>
      <c r="J75" s="485"/>
      <c r="K75" s="485"/>
      <c r="L75" s="485"/>
      <c r="M75" s="485"/>
      <c r="N75" s="485"/>
      <c r="O75" s="1049"/>
      <c r="P75" s="1049"/>
      <c r="Q75" s="1049"/>
      <c r="R75" s="1049"/>
      <c r="S75" s="1050"/>
      <c r="T75" s="1051"/>
      <c r="U75" s="1051"/>
      <c r="V75" s="1049"/>
      <c r="W75" s="1049"/>
      <c r="X75" s="1049"/>
      <c r="Y75" s="1049"/>
      <c r="Z75" s="1049"/>
      <c r="AA75" s="1049"/>
      <c r="AB75" s="1049"/>
      <c r="AC75" s="1049"/>
      <c r="AD75" s="1049"/>
      <c r="AE75" s="1049"/>
      <c r="AF75" s="1049"/>
      <c r="AG75" s="1049"/>
      <c r="AH75" s="1049"/>
      <c r="AI75" s="1049"/>
    </row>
    <row r="76" spans="1:35" ht="15.75" customHeight="1">
      <c r="A76" s="127"/>
      <c r="B76" s="485"/>
      <c r="C76" s="485"/>
      <c r="D76" s="485"/>
      <c r="E76" s="485"/>
      <c r="F76" s="485"/>
      <c r="G76" s="485"/>
      <c r="H76" s="485"/>
      <c r="I76" s="485"/>
      <c r="J76" s="485"/>
      <c r="K76" s="485"/>
      <c r="L76" s="485"/>
      <c r="M76" s="485"/>
      <c r="N76" s="485"/>
      <c r="O76" s="1049"/>
      <c r="P76" s="1049"/>
      <c r="Q76" s="1049"/>
      <c r="R76" s="1049"/>
      <c r="S76" s="1050"/>
      <c r="T76" s="1051"/>
      <c r="U76" s="1051"/>
      <c r="V76" s="1049"/>
      <c r="W76" s="1049"/>
      <c r="X76" s="1049"/>
      <c r="Y76" s="1049"/>
      <c r="Z76" s="1049"/>
      <c r="AA76" s="1049"/>
      <c r="AB76" s="1049"/>
      <c r="AC76" s="1049"/>
      <c r="AD76" s="1049"/>
      <c r="AE76" s="1049"/>
      <c r="AF76" s="1049"/>
      <c r="AG76" s="1049"/>
      <c r="AH76" s="1049"/>
      <c r="AI76" s="1049"/>
    </row>
    <row r="77" spans="1:35" ht="15.75" customHeight="1">
      <c r="A77" s="127"/>
      <c r="B77" s="485"/>
      <c r="C77" s="485"/>
      <c r="D77" s="485"/>
      <c r="E77" s="485"/>
      <c r="F77" s="485"/>
      <c r="G77" s="485"/>
      <c r="H77" s="485"/>
      <c r="I77" s="485"/>
      <c r="J77" s="485"/>
      <c r="K77" s="485"/>
      <c r="L77" s="485"/>
      <c r="M77" s="485"/>
      <c r="N77" s="485"/>
      <c r="O77" s="1049"/>
      <c r="P77" s="1049"/>
      <c r="Q77" s="1049"/>
      <c r="R77" s="1049"/>
      <c r="S77" s="1050"/>
      <c r="T77" s="1051"/>
      <c r="U77" s="1051"/>
      <c r="V77" s="1049"/>
      <c r="W77" s="1049"/>
      <c r="X77" s="1049"/>
      <c r="Y77" s="1049"/>
      <c r="Z77" s="1049"/>
      <c r="AA77" s="1049"/>
      <c r="AB77" s="1049"/>
      <c r="AC77" s="1049"/>
      <c r="AD77" s="1049"/>
      <c r="AE77" s="1049"/>
      <c r="AF77" s="1049"/>
      <c r="AG77" s="1049"/>
      <c r="AH77" s="1049"/>
      <c r="AI77" s="1049"/>
    </row>
    <row r="78" spans="1:35" ht="15.75" customHeight="1">
      <c r="A78" s="127"/>
      <c r="B78" s="485"/>
      <c r="C78" s="485"/>
      <c r="D78" s="485"/>
      <c r="E78" s="485"/>
      <c r="F78" s="485"/>
      <c r="G78" s="485"/>
      <c r="H78" s="485"/>
      <c r="I78" s="485"/>
      <c r="J78" s="485"/>
      <c r="K78" s="485"/>
      <c r="L78" s="485"/>
      <c r="M78" s="485"/>
      <c r="N78" s="485"/>
      <c r="O78" s="1049"/>
      <c r="P78" s="1049"/>
      <c r="Q78" s="1049"/>
      <c r="R78" s="1049"/>
      <c r="S78" s="1050"/>
      <c r="T78" s="1051"/>
      <c r="U78" s="1051"/>
      <c r="V78" s="1049"/>
      <c r="W78" s="1049"/>
      <c r="X78" s="1049"/>
      <c r="Y78" s="1049"/>
      <c r="Z78" s="1049"/>
      <c r="AA78" s="1049"/>
      <c r="AB78" s="1049"/>
      <c r="AC78" s="1049"/>
      <c r="AD78" s="1049"/>
      <c r="AE78" s="1049"/>
      <c r="AF78" s="1049"/>
      <c r="AG78" s="1049"/>
      <c r="AH78" s="1049"/>
      <c r="AI78" s="1049"/>
    </row>
    <row r="79" spans="1:35" ht="15.75" customHeight="1">
      <c r="A79" s="127"/>
      <c r="B79" s="485"/>
      <c r="C79" s="485"/>
      <c r="D79" s="485"/>
      <c r="E79" s="485"/>
      <c r="F79" s="485"/>
      <c r="G79" s="485"/>
      <c r="H79" s="485"/>
      <c r="I79" s="485"/>
      <c r="J79" s="485"/>
      <c r="K79" s="485"/>
      <c r="L79" s="485"/>
      <c r="M79" s="485"/>
      <c r="N79" s="485"/>
      <c r="O79" s="1049"/>
      <c r="P79" s="1049"/>
      <c r="Q79" s="1049"/>
      <c r="R79" s="1049"/>
      <c r="S79" s="1050"/>
      <c r="T79" s="1051"/>
      <c r="U79" s="1051"/>
      <c r="V79" s="1049"/>
      <c r="W79" s="1049"/>
      <c r="X79" s="1049"/>
      <c r="Y79" s="1049"/>
      <c r="Z79" s="1049"/>
      <c r="AA79" s="1049"/>
      <c r="AB79" s="1049"/>
      <c r="AC79" s="1049"/>
      <c r="AD79" s="1049"/>
      <c r="AE79" s="1049"/>
      <c r="AF79" s="1049"/>
      <c r="AG79" s="1049"/>
      <c r="AH79" s="1049"/>
      <c r="AI79" s="1049"/>
    </row>
    <row r="80" spans="1:35" ht="15.75" customHeight="1">
      <c r="A80" s="127"/>
      <c r="B80" s="485"/>
      <c r="C80" s="485"/>
      <c r="D80" s="485"/>
      <c r="E80" s="485"/>
      <c r="F80" s="485"/>
      <c r="G80" s="485"/>
      <c r="H80" s="485"/>
      <c r="I80" s="485"/>
      <c r="J80" s="485"/>
      <c r="K80" s="485"/>
      <c r="L80" s="485"/>
      <c r="M80" s="485"/>
      <c r="N80" s="485"/>
      <c r="O80" s="1049"/>
      <c r="P80" s="1049"/>
      <c r="Q80" s="1049"/>
      <c r="R80" s="1049"/>
      <c r="S80" s="1050"/>
      <c r="T80" s="1051"/>
      <c r="U80" s="1051"/>
      <c r="V80" s="1049"/>
      <c r="W80" s="1049"/>
      <c r="X80" s="1049"/>
      <c r="Y80" s="1049"/>
      <c r="Z80" s="1049"/>
      <c r="AA80" s="1049"/>
      <c r="AB80" s="1049"/>
      <c r="AC80" s="1049"/>
      <c r="AD80" s="1049"/>
      <c r="AE80" s="1049"/>
      <c r="AF80" s="1049"/>
      <c r="AG80" s="1049"/>
      <c r="AH80" s="1049"/>
      <c r="AI80" s="1049"/>
    </row>
    <row r="81" spans="1:35" ht="15.75" customHeight="1">
      <c r="A81" s="127"/>
      <c r="B81" s="485"/>
      <c r="C81" s="485"/>
      <c r="D81" s="485"/>
      <c r="E81" s="485"/>
      <c r="F81" s="485"/>
      <c r="G81" s="485"/>
      <c r="H81" s="485"/>
      <c r="I81" s="485"/>
      <c r="J81" s="485"/>
      <c r="K81" s="485"/>
      <c r="L81" s="485"/>
      <c r="M81" s="485"/>
      <c r="N81" s="485"/>
      <c r="O81" s="1049"/>
      <c r="P81" s="1049"/>
      <c r="Q81" s="1049"/>
      <c r="R81" s="1049"/>
      <c r="S81" s="1050"/>
      <c r="T81" s="1051"/>
      <c r="U81" s="1051"/>
      <c r="V81" s="1049"/>
      <c r="W81" s="1049"/>
      <c r="X81" s="1049"/>
      <c r="Y81" s="1049"/>
      <c r="Z81" s="1049"/>
      <c r="AA81" s="1049"/>
      <c r="AB81" s="1049"/>
      <c r="AC81" s="1049"/>
      <c r="AD81" s="1049"/>
      <c r="AE81" s="1049"/>
      <c r="AF81" s="1049"/>
      <c r="AG81" s="1049"/>
      <c r="AH81" s="1049"/>
      <c r="AI81" s="1049"/>
    </row>
    <row r="82" spans="1:35" ht="15.75" customHeight="1">
      <c r="A82" s="127"/>
      <c r="B82" s="485"/>
      <c r="C82" s="485"/>
      <c r="D82" s="485"/>
      <c r="E82" s="485"/>
      <c r="F82" s="485"/>
      <c r="G82" s="485"/>
      <c r="H82" s="485"/>
      <c r="I82" s="485"/>
      <c r="J82" s="485"/>
      <c r="K82" s="485"/>
      <c r="L82" s="485"/>
      <c r="M82" s="485"/>
      <c r="N82" s="485"/>
      <c r="O82" s="1049"/>
      <c r="P82" s="1049"/>
      <c r="Q82" s="1049"/>
      <c r="R82" s="1049"/>
      <c r="S82" s="1050"/>
      <c r="T82" s="1051"/>
      <c r="U82" s="1051"/>
      <c r="V82" s="1049"/>
      <c r="W82" s="1049"/>
      <c r="X82" s="1049"/>
      <c r="Y82" s="1049"/>
      <c r="Z82" s="1049"/>
      <c r="AA82" s="1049"/>
      <c r="AB82" s="1049"/>
      <c r="AC82" s="1049"/>
      <c r="AD82" s="1049"/>
      <c r="AE82" s="1049"/>
      <c r="AF82" s="1049"/>
      <c r="AG82" s="1049"/>
      <c r="AH82" s="1049"/>
      <c r="AI82" s="1049"/>
    </row>
    <row r="83" spans="1:35" ht="15.75" customHeight="1">
      <c r="A83" s="127"/>
      <c r="B83" s="485"/>
      <c r="C83" s="485"/>
      <c r="D83" s="485"/>
      <c r="E83" s="485"/>
      <c r="F83" s="485"/>
      <c r="G83" s="485"/>
      <c r="H83" s="485"/>
      <c r="I83" s="485"/>
      <c r="J83" s="485"/>
      <c r="K83" s="485"/>
      <c r="L83" s="485"/>
      <c r="M83" s="485"/>
      <c r="N83" s="485"/>
      <c r="O83" s="1049"/>
      <c r="P83" s="1049"/>
      <c r="Q83" s="1049"/>
      <c r="R83" s="1049"/>
      <c r="S83" s="1050"/>
      <c r="T83" s="1051"/>
      <c r="U83" s="1051"/>
      <c r="V83" s="1049"/>
      <c r="W83" s="1049"/>
      <c r="X83" s="1049"/>
      <c r="Y83" s="1049"/>
      <c r="Z83" s="1049"/>
      <c r="AA83" s="1049"/>
      <c r="AB83" s="1049"/>
      <c r="AC83" s="1049"/>
      <c r="AD83" s="1049"/>
      <c r="AE83" s="1049"/>
      <c r="AF83" s="1049"/>
      <c r="AG83" s="1049"/>
      <c r="AH83" s="1049"/>
      <c r="AI83" s="1049"/>
    </row>
    <row r="84" spans="1:35" ht="15.75" customHeight="1">
      <c r="A84" s="127"/>
      <c r="B84" s="485"/>
      <c r="C84" s="485"/>
      <c r="D84" s="485"/>
      <c r="E84" s="485"/>
      <c r="F84" s="485"/>
      <c r="G84" s="485"/>
      <c r="H84" s="485"/>
      <c r="I84" s="485"/>
      <c r="J84" s="485"/>
      <c r="K84" s="485"/>
      <c r="L84" s="485"/>
      <c r="M84" s="485"/>
      <c r="N84" s="485"/>
      <c r="O84" s="1049"/>
      <c r="P84" s="1049"/>
      <c r="Q84" s="1049"/>
      <c r="R84" s="1049"/>
      <c r="S84" s="1050"/>
      <c r="T84" s="1051"/>
      <c r="U84" s="1051"/>
      <c r="V84" s="1049"/>
      <c r="W84" s="1049"/>
      <c r="X84" s="1049"/>
      <c r="Y84" s="1049"/>
      <c r="Z84" s="1049"/>
      <c r="AA84" s="1049"/>
      <c r="AB84" s="1049"/>
      <c r="AC84" s="1049"/>
      <c r="AD84" s="1049"/>
      <c r="AE84" s="1049"/>
      <c r="AF84" s="1049"/>
      <c r="AG84" s="1049"/>
      <c r="AH84" s="1049"/>
      <c r="AI84" s="1049"/>
    </row>
    <row r="85" spans="1:35" ht="15.75" customHeight="1">
      <c r="A85" s="127"/>
      <c r="B85" s="485"/>
      <c r="C85" s="485"/>
      <c r="D85" s="485"/>
      <c r="E85" s="485"/>
      <c r="F85" s="485"/>
      <c r="G85" s="485"/>
      <c r="H85" s="485"/>
      <c r="I85" s="485"/>
      <c r="J85" s="485"/>
      <c r="K85" s="485"/>
      <c r="L85" s="485"/>
      <c r="M85" s="485"/>
      <c r="N85" s="485"/>
      <c r="O85" s="1049"/>
      <c r="P85" s="1049"/>
      <c r="Q85" s="1049"/>
      <c r="R85" s="1049"/>
      <c r="S85" s="1050"/>
      <c r="T85" s="1051"/>
      <c r="U85" s="1051"/>
      <c r="V85" s="1049"/>
      <c r="W85" s="1049"/>
      <c r="X85" s="1049"/>
      <c r="Y85" s="1049"/>
      <c r="Z85" s="1049"/>
      <c r="AA85" s="1049"/>
      <c r="AB85" s="1049"/>
      <c r="AC85" s="1049"/>
      <c r="AD85" s="1049"/>
      <c r="AE85" s="1049"/>
      <c r="AF85" s="1049"/>
      <c r="AG85" s="1049"/>
      <c r="AH85" s="1049"/>
      <c r="AI85" s="1049"/>
    </row>
    <row r="86" spans="1:35" ht="15.75" customHeight="1">
      <c r="A86" s="127"/>
      <c r="B86" s="485"/>
      <c r="C86" s="485"/>
      <c r="D86" s="485"/>
      <c r="E86" s="485"/>
      <c r="F86" s="485"/>
      <c r="G86" s="485"/>
      <c r="H86" s="485"/>
      <c r="I86" s="485"/>
      <c r="J86" s="485"/>
      <c r="K86" s="485"/>
      <c r="L86" s="485"/>
      <c r="M86" s="485"/>
      <c r="N86" s="485"/>
      <c r="O86" s="1049"/>
      <c r="P86" s="1049"/>
      <c r="Q86" s="1049"/>
      <c r="R86" s="1049"/>
      <c r="S86" s="1050"/>
      <c r="T86" s="1051"/>
      <c r="U86" s="1051"/>
      <c r="V86" s="1049"/>
      <c r="W86" s="1049"/>
      <c r="X86" s="1049"/>
      <c r="Y86" s="1049"/>
      <c r="Z86" s="1049"/>
      <c r="AA86" s="1049"/>
      <c r="AB86" s="1049"/>
      <c r="AC86" s="1049"/>
      <c r="AD86" s="1049"/>
      <c r="AE86" s="1049"/>
      <c r="AF86" s="1049"/>
      <c r="AG86" s="1049"/>
      <c r="AH86" s="1049"/>
      <c r="AI86" s="1049"/>
    </row>
    <row r="87" spans="1:35" ht="15.75" customHeight="1">
      <c r="A87" s="127"/>
      <c r="B87" s="485"/>
      <c r="C87" s="485"/>
      <c r="D87" s="485"/>
      <c r="E87" s="485"/>
      <c r="F87" s="485"/>
      <c r="G87" s="485"/>
      <c r="H87" s="485"/>
      <c r="I87" s="485"/>
      <c r="J87" s="485"/>
      <c r="K87" s="485"/>
      <c r="L87" s="485"/>
      <c r="M87" s="485"/>
      <c r="N87" s="485"/>
      <c r="O87" s="1049"/>
      <c r="P87" s="1049"/>
      <c r="Q87" s="1049"/>
      <c r="R87" s="1049"/>
      <c r="S87" s="1050"/>
      <c r="T87" s="1051"/>
      <c r="U87" s="1051"/>
      <c r="V87" s="1049"/>
      <c r="W87" s="1049"/>
      <c r="X87" s="1049"/>
      <c r="Y87" s="1049"/>
      <c r="Z87" s="1049"/>
      <c r="AA87" s="1049"/>
      <c r="AB87" s="1049"/>
      <c r="AC87" s="1049"/>
      <c r="AD87" s="1049"/>
      <c r="AE87" s="1049"/>
      <c r="AF87" s="1049"/>
      <c r="AG87" s="1049"/>
      <c r="AH87" s="1049"/>
      <c r="AI87" s="1049"/>
    </row>
    <row r="88" spans="1:35" ht="15.75" customHeight="1">
      <c r="A88" s="127"/>
      <c r="B88" s="485"/>
      <c r="C88" s="485"/>
      <c r="D88" s="485"/>
      <c r="E88" s="485"/>
      <c r="F88" s="485"/>
      <c r="G88" s="485"/>
      <c r="H88" s="485"/>
      <c r="I88" s="485"/>
      <c r="J88" s="485"/>
      <c r="K88" s="485"/>
      <c r="L88" s="485"/>
      <c r="M88" s="485"/>
      <c r="N88" s="485"/>
      <c r="O88" s="1049"/>
      <c r="P88" s="1049"/>
      <c r="Q88" s="1049"/>
      <c r="R88" s="1049"/>
      <c r="S88" s="1050"/>
      <c r="T88" s="1051"/>
      <c r="U88" s="1051"/>
      <c r="V88" s="1049"/>
      <c r="W88" s="1049"/>
      <c r="X88" s="1049"/>
      <c r="Y88" s="1049"/>
      <c r="Z88" s="1049"/>
      <c r="AA88" s="1049"/>
      <c r="AB88" s="1049"/>
      <c r="AC88" s="1049"/>
      <c r="AD88" s="1049"/>
      <c r="AE88" s="1049"/>
      <c r="AF88" s="1049"/>
      <c r="AG88" s="1049"/>
      <c r="AH88" s="1049"/>
      <c r="AI88" s="1049"/>
    </row>
    <row r="89" spans="1:35" ht="15.75" customHeight="1">
      <c r="A89" s="127"/>
      <c r="B89" s="485"/>
      <c r="C89" s="485"/>
      <c r="D89" s="485"/>
      <c r="E89" s="485"/>
      <c r="F89" s="485"/>
      <c r="G89" s="485"/>
      <c r="H89" s="485"/>
      <c r="I89" s="485"/>
      <c r="J89" s="485"/>
      <c r="K89" s="485"/>
      <c r="L89" s="485"/>
      <c r="M89" s="485"/>
      <c r="N89" s="485"/>
      <c r="O89" s="1049"/>
      <c r="P89" s="1049"/>
      <c r="Q89" s="1049"/>
      <c r="R89" s="1049"/>
      <c r="S89" s="1050"/>
      <c r="T89" s="1051"/>
      <c r="U89" s="1051"/>
      <c r="V89" s="1049"/>
      <c r="W89" s="1049"/>
      <c r="X89" s="1049"/>
      <c r="Y89" s="1049"/>
      <c r="Z89" s="1049"/>
      <c r="AA89" s="1049"/>
      <c r="AB89" s="1049"/>
      <c r="AC89" s="1049"/>
      <c r="AD89" s="1049"/>
      <c r="AE89" s="1049"/>
      <c r="AF89" s="1049"/>
      <c r="AG89" s="1049"/>
      <c r="AH89" s="1049"/>
      <c r="AI89" s="1049"/>
    </row>
    <row r="90" spans="1:35" ht="15.75" customHeight="1">
      <c r="A90" s="127"/>
      <c r="B90" s="485"/>
      <c r="C90" s="485"/>
      <c r="D90" s="485"/>
      <c r="E90" s="485"/>
      <c r="F90" s="485"/>
      <c r="G90" s="485"/>
      <c r="H90" s="485"/>
      <c r="I90" s="485"/>
      <c r="J90" s="485"/>
      <c r="K90" s="485"/>
      <c r="L90" s="485"/>
      <c r="M90" s="485"/>
      <c r="N90" s="485"/>
      <c r="O90" s="1049"/>
      <c r="P90" s="1049"/>
      <c r="Q90" s="1049"/>
      <c r="R90" s="1049"/>
      <c r="S90" s="1050"/>
      <c r="T90" s="1051"/>
      <c r="U90" s="1051"/>
      <c r="V90" s="1049"/>
      <c r="W90" s="1049"/>
      <c r="X90" s="1049"/>
      <c r="Y90" s="1049"/>
      <c r="Z90" s="1049"/>
      <c r="AA90" s="1049"/>
      <c r="AB90" s="1049"/>
      <c r="AC90" s="1049"/>
      <c r="AD90" s="1049"/>
      <c r="AE90" s="1049"/>
      <c r="AF90" s="1049"/>
      <c r="AG90" s="1049"/>
      <c r="AH90" s="1049"/>
      <c r="AI90" s="1049"/>
    </row>
    <row r="91" spans="1:35" ht="15.75" customHeight="1">
      <c r="A91" s="127"/>
      <c r="B91" s="485"/>
      <c r="C91" s="485"/>
      <c r="D91" s="485"/>
      <c r="E91" s="485"/>
      <c r="F91" s="485"/>
      <c r="G91" s="485"/>
      <c r="H91" s="485"/>
      <c r="I91" s="485"/>
      <c r="J91" s="485"/>
      <c r="K91" s="485"/>
      <c r="L91" s="485"/>
      <c r="M91" s="485"/>
      <c r="N91" s="485"/>
      <c r="O91" s="1049"/>
      <c r="P91" s="1049"/>
      <c r="Q91" s="1049"/>
      <c r="R91" s="1049"/>
      <c r="S91" s="1050"/>
      <c r="T91" s="1051"/>
      <c r="U91" s="1051"/>
      <c r="V91" s="1049"/>
      <c r="W91" s="1049"/>
      <c r="X91" s="1049"/>
      <c r="Y91" s="1049"/>
      <c r="Z91" s="1049"/>
      <c r="AA91" s="1049"/>
      <c r="AB91" s="1049"/>
      <c r="AC91" s="1049"/>
      <c r="AD91" s="1049"/>
      <c r="AE91" s="1049"/>
      <c r="AF91" s="1049"/>
      <c r="AG91" s="1049"/>
      <c r="AH91" s="1049"/>
      <c r="AI91" s="1049"/>
    </row>
    <row r="92" spans="1:35" ht="15.75" customHeight="1">
      <c r="A92" s="127"/>
      <c r="B92" s="485"/>
      <c r="C92" s="485"/>
      <c r="D92" s="485"/>
      <c r="E92" s="485"/>
      <c r="F92" s="485"/>
      <c r="G92" s="485"/>
      <c r="H92" s="485"/>
      <c r="I92" s="485"/>
      <c r="J92" s="485"/>
      <c r="K92" s="485"/>
      <c r="L92" s="485"/>
      <c r="M92" s="485"/>
      <c r="N92" s="485"/>
      <c r="O92" s="1049"/>
      <c r="P92" s="1049"/>
      <c r="Q92" s="1049"/>
      <c r="R92" s="1049"/>
      <c r="S92" s="1050"/>
      <c r="T92" s="1051"/>
      <c r="U92" s="1051"/>
      <c r="V92" s="1049"/>
      <c r="W92" s="1049"/>
      <c r="X92" s="1049"/>
      <c r="Y92" s="1049"/>
      <c r="Z92" s="1049"/>
      <c r="AA92" s="1049"/>
      <c r="AB92" s="1049"/>
      <c r="AC92" s="1049"/>
      <c r="AD92" s="1049"/>
      <c r="AE92" s="1049"/>
      <c r="AF92" s="1049"/>
      <c r="AG92" s="1049"/>
      <c r="AH92" s="1049"/>
      <c r="AI92" s="1049"/>
    </row>
    <row r="93" spans="1:35" ht="15.75" customHeight="1">
      <c r="A93" s="127"/>
      <c r="B93" s="485"/>
      <c r="C93" s="485"/>
      <c r="D93" s="485"/>
      <c r="E93" s="485"/>
      <c r="F93" s="485"/>
      <c r="G93" s="485"/>
      <c r="H93" s="485"/>
      <c r="I93" s="485"/>
      <c r="J93" s="485"/>
      <c r="K93" s="485"/>
      <c r="L93" s="485"/>
      <c r="M93" s="485"/>
      <c r="N93" s="485"/>
      <c r="O93" s="1049"/>
      <c r="P93" s="1049"/>
      <c r="Q93" s="1049"/>
      <c r="R93" s="1049"/>
      <c r="S93" s="1050"/>
      <c r="T93" s="1051"/>
      <c r="U93" s="1051"/>
      <c r="V93" s="1049"/>
      <c r="W93" s="1049"/>
      <c r="X93" s="1049"/>
      <c r="Y93" s="1049"/>
      <c r="Z93" s="1049"/>
      <c r="AA93" s="1049"/>
      <c r="AB93" s="1049"/>
      <c r="AC93" s="1049"/>
      <c r="AD93" s="1049"/>
      <c r="AE93" s="1049"/>
      <c r="AF93" s="1049"/>
      <c r="AG93" s="1049"/>
      <c r="AH93" s="1049"/>
      <c r="AI93" s="1049"/>
    </row>
    <row r="94" spans="1:35" ht="15.75" customHeight="1">
      <c r="A94" s="127"/>
      <c r="B94" s="485"/>
      <c r="C94" s="485"/>
      <c r="D94" s="485"/>
      <c r="E94" s="485"/>
      <c r="F94" s="485"/>
      <c r="G94" s="485"/>
      <c r="H94" s="485"/>
      <c r="I94" s="485"/>
      <c r="J94" s="485"/>
      <c r="K94" s="485"/>
      <c r="L94" s="485"/>
      <c r="M94" s="485"/>
      <c r="N94" s="485"/>
      <c r="O94" s="1049"/>
      <c r="P94" s="1049"/>
      <c r="Q94" s="1049"/>
      <c r="R94" s="1049"/>
      <c r="S94" s="1050"/>
      <c r="T94" s="1051"/>
      <c r="U94" s="1051"/>
      <c r="V94" s="1049"/>
      <c r="W94" s="1049"/>
      <c r="X94" s="1049"/>
      <c r="Y94" s="1049"/>
      <c r="Z94" s="1049"/>
      <c r="AA94" s="1049"/>
      <c r="AB94" s="1049"/>
      <c r="AC94" s="1049"/>
      <c r="AD94" s="1049"/>
      <c r="AE94" s="1049"/>
      <c r="AF94" s="1049"/>
      <c r="AG94" s="1049"/>
      <c r="AH94" s="1049"/>
      <c r="AI94" s="1049"/>
    </row>
    <row r="95" spans="1:35" ht="15.75" customHeight="1">
      <c r="A95" s="127"/>
      <c r="B95" s="485"/>
      <c r="C95" s="485"/>
      <c r="D95" s="485"/>
      <c r="E95" s="485"/>
      <c r="F95" s="485"/>
      <c r="G95" s="485"/>
      <c r="H95" s="485"/>
      <c r="I95" s="485"/>
      <c r="J95" s="485"/>
      <c r="K95" s="485"/>
      <c r="L95" s="485"/>
      <c r="M95" s="485"/>
      <c r="N95" s="485"/>
      <c r="O95" s="1049"/>
      <c r="P95" s="1049"/>
      <c r="Q95" s="1049"/>
      <c r="R95" s="1049"/>
      <c r="S95" s="1050"/>
      <c r="T95" s="1051"/>
      <c r="U95" s="1051"/>
      <c r="V95" s="1049"/>
      <c r="W95" s="1049"/>
      <c r="X95" s="1049"/>
      <c r="Y95" s="1049"/>
      <c r="Z95" s="1049"/>
      <c r="AA95" s="1049"/>
      <c r="AB95" s="1049"/>
      <c r="AC95" s="1049"/>
      <c r="AD95" s="1049"/>
      <c r="AE95" s="1049"/>
      <c r="AF95" s="1049"/>
      <c r="AG95" s="1049"/>
      <c r="AH95" s="1049"/>
      <c r="AI95" s="1049"/>
    </row>
    <row r="96" spans="1:35" ht="15.75" customHeight="1">
      <c r="A96" s="127"/>
      <c r="B96" s="485"/>
      <c r="C96" s="485"/>
      <c r="D96" s="485"/>
      <c r="E96" s="485"/>
      <c r="F96" s="485"/>
      <c r="G96" s="485"/>
      <c r="H96" s="485"/>
      <c r="I96" s="485"/>
      <c r="J96" s="485"/>
      <c r="K96" s="485"/>
      <c r="L96" s="485"/>
      <c r="M96" s="485"/>
      <c r="N96" s="485"/>
      <c r="O96" s="1049"/>
      <c r="P96" s="1049"/>
      <c r="Q96" s="1049"/>
      <c r="R96" s="1049"/>
      <c r="S96" s="1050"/>
      <c r="T96" s="1051"/>
      <c r="U96" s="1051"/>
      <c r="V96" s="1049"/>
      <c r="W96" s="1049"/>
      <c r="X96" s="1049"/>
      <c r="Y96" s="1049"/>
      <c r="Z96" s="1049"/>
      <c r="AA96" s="1049"/>
      <c r="AB96" s="1049"/>
      <c r="AC96" s="1049"/>
      <c r="AD96" s="1049"/>
      <c r="AE96" s="1049"/>
      <c r="AF96" s="1049"/>
      <c r="AG96" s="1049"/>
      <c r="AH96" s="1049"/>
      <c r="AI96" s="1049"/>
    </row>
    <row r="97" spans="1:35" ht="15.75" customHeight="1">
      <c r="A97" s="127"/>
      <c r="B97" s="485"/>
      <c r="C97" s="485"/>
      <c r="D97" s="485"/>
      <c r="E97" s="485"/>
      <c r="F97" s="485"/>
      <c r="G97" s="485"/>
      <c r="H97" s="485"/>
      <c r="I97" s="485"/>
      <c r="J97" s="485"/>
      <c r="K97" s="485"/>
      <c r="L97" s="485"/>
      <c r="M97" s="485"/>
      <c r="N97" s="485"/>
      <c r="O97" s="1049"/>
      <c r="P97" s="1049"/>
      <c r="Q97" s="1049"/>
      <c r="R97" s="1049"/>
      <c r="S97" s="1050"/>
      <c r="T97" s="1051"/>
      <c r="U97" s="1051"/>
      <c r="V97" s="1049"/>
      <c r="W97" s="1049"/>
      <c r="X97" s="1049"/>
      <c r="Y97" s="1049"/>
      <c r="Z97" s="1049"/>
      <c r="AA97" s="1049"/>
      <c r="AB97" s="1049"/>
      <c r="AC97" s="1049"/>
      <c r="AD97" s="1049"/>
      <c r="AE97" s="1049"/>
      <c r="AF97" s="1049"/>
      <c r="AG97" s="1049"/>
      <c r="AH97" s="1049"/>
      <c r="AI97" s="1049"/>
    </row>
    <row r="98" spans="1:35" ht="15.75" customHeight="1">
      <c r="A98" s="127"/>
      <c r="B98" s="485"/>
      <c r="C98" s="485"/>
      <c r="D98" s="485"/>
      <c r="E98" s="485"/>
      <c r="F98" s="485"/>
      <c r="G98" s="485"/>
      <c r="H98" s="485"/>
      <c r="I98" s="485"/>
      <c r="J98" s="485"/>
      <c r="K98" s="485"/>
      <c r="L98" s="485"/>
      <c r="M98" s="485"/>
      <c r="N98" s="485"/>
      <c r="O98" s="1049"/>
      <c r="P98" s="1049"/>
      <c r="Q98" s="1049"/>
      <c r="R98" s="1049"/>
      <c r="S98" s="1050"/>
      <c r="T98" s="1051"/>
      <c r="U98" s="1051"/>
      <c r="V98" s="1049"/>
      <c r="W98" s="1049"/>
      <c r="X98" s="1049"/>
      <c r="Y98" s="1049"/>
      <c r="Z98" s="1049"/>
      <c r="AA98" s="1049"/>
      <c r="AB98" s="1049"/>
      <c r="AC98" s="1049"/>
      <c r="AD98" s="1049"/>
      <c r="AE98" s="1049"/>
      <c r="AF98" s="1049"/>
      <c r="AG98" s="1049"/>
      <c r="AH98" s="1049"/>
      <c r="AI98" s="1049"/>
    </row>
    <row r="99" spans="1:35" ht="15.75" customHeight="1">
      <c r="A99" s="127"/>
      <c r="B99" s="485"/>
      <c r="C99" s="485"/>
      <c r="D99" s="485"/>
      <c r="E99" s="485"/>
      <c r="F99" s="485"/>
      <c r="G99" s="485"/>
      <c r="H99" s="485"/>
      <c r="I99" s="485"/>
      <c r="J99" s="485"/>
      <c r="K99" s="485"/>
      <c r="L99" s="485"/>
      <c r="M99" s="485"/>
      <c r="N99" s="485"/>
      <c r="O99" s="1049"/>
      <c r="P99" s="1049"/>
      <c r="Q99" s="1049"/>
      <c r="R99" s="1049"/>
      <c r="S99" s="1050"/>
      <c r="T99" s="1051"/>
      <c r="U99" s="1051"/>
      <c r="V99" s="1049"/>
      <c r="W99" s="1049"/>
      <c r="X99" s="1049"/>
      <c r="Y99" s="1049"/>
      <c r="Z99" s="1049"/>
      <c r="AA99" s="1049"/>
      <c r="AB99" s="1049"/>
      <c r="AC99" s="1049"/>
      <c r="AD99" s="1049"/>
      <c r="AE99" s="1049"/>
      <c r="AF99" s="1049"/>
      <c r="AG99" s="1049"/>
      <c r="AH99" s="1049"/>
      <c r="AI99" s="1049"/>
    </row>
    <row r="100" spans="1:35" ht="15.75" customHeight="1">
      <c r="A100" s="127"/>
      <c r="B100" s="485"/>
      <c r="C100" s="485"/>
      <c r="D100" s="485"/>
      <c r="E100" s="485"/>
      <c r="F100" s="485"/>
      <c r="G100" s="485"/>
      <c r="H100" s="485"/>
      <c r="I100" s="485"/>
      <c r="J100" s="485"/>
      <c r="K100" s="485"/>
      <c r="L100" s="485"/>
      <c r="M100" s="485"/>
      <c r="N100" s="485"/>
      <c r="O100" s="1049"/>
      <c r="P100" s="1049"/>
      <c r="Q100" s="1049"/>
      <c r="R100" s="1049"/>
      <c r="S100" s="1050"/>
      <c r="T100" s="1051"/>
      <c r="U100" s="1051"/>
      <c r="V100" s="1049"/>
      <c r="W100" s="1049"/>
      <c r="X100" s="1049"/>
      <c r="Y100" s="1049"/>
      <c r="Z100" s="1049"/>
      <c r="AA100" s="1049"/>
      <c r="AB100" s="1049"/>
      <c r="AC100" s="1049"/>
      <c r="AD100" s="1049"/>
      <c r="AE100" s="1049"/>
      <c r="AF100" s="1049"/>
      <c r="AG100" s="1049"/>
      <c r="AH100" s="1049"/>
      <c r="AI100" s="1049"/>
    </row>
    <row r="101" spans="1:35" ht="15.75" customHeight="1">
      <c r="A101" s="127"/>
      <c r="B101" s="485"/>
      <c r="C101" s="485"/>
      <c r="D101" s="485"/>
      <c r="E101" s="485"/>
      <c r="F101" s="485"/>
      <c r="G101" s="485"/>
      <c r="H101" s="485"/>
      <c r="I101" s="485"/>
      <c r="J101" s="485"/>
      <c r="K101" s="485"/>
      <c r="L101" s="485"/>
      <c r="M101" s="485"/>
      <c r="N101" s="485"/>
      <c r="O101" s="1049"/>
      <c r="P101" s="1049"/>
      <c r="Q101" s="1049"/>
      <c r="R101" s="1049"/>
      <c r="S101" s="1050"/>
      <c r="T101" s="1051"/>
      <c r="U101" s="1051"/>
      <c r="V101" s="1049"/>
      <c r="W101" s="1049"/>
      <c r="X101" s="1049"/>
      <c r="Y101" s="1049"/>
      <c r="Z101" s="1049"/>
      <c r="AA101" s="1049"/>
      <c r="AB101" s="1049"/>
      <c r="AC101" s="1049"/>
      <c r="AD101" s="1049"/>
      <c r="AE101" s="1049"/>
      <c r="AF101" s="1049"/>
      <c r="AG101" s="1049"/>
      <c r="AH101" s="1049"/>
      <c r="AI101" s="1049"/>
    </row>
    <row r="102" spans="1:35" ht="15.75" customHeight="1">
      <c r="A102" s="127"/>
      <c r="B102" s="485"/>
      <c r="C102" s="485"/>
      <c r="D102" s="485"/>
      <c r="E102" s="485"/>
      <c r="F102" s="485"/>
      <c r="G102" s="485"/>
      <c r="H102" s="485"/>
      <c r="I102" s="485"/>
      <c r="J102" s="485"/>
      <c r="K102" s="485"/>
      <c r="L102" s="485"/>
      <c r="M102" s="485"/>
      <c r="N102" s="485"/>
      <c r="O102" s="1049"/>
      <c r="P102" s="1049"/>
      <c r="Q102" s="1049"/>
      <c r="R102" s="1049"/>
      <c r="S102" s="1050"/>
      <c r="T102" s="1051"/>
      <c r="U102" s="1051"/>
      <c r="V102" s="1049"/>
      <c r="W102" s="1049"/>
      <c r="X102" s="1049"/>
      <c r="Y102" s="1049"/>
      <c r="Z102" s="1049"/>
      <c r="AA102" s="1049"/>
      <c r="AB102" s="1049"/>
      <c r="AC102" s="1049"/>
      <c r="AD102" s="1049"/>
      <c r="AE102" s="1049"/>
      <c r="AF102" s="1049"/>
      <c r="AG102" s="1049"/>
      <c r="AH102" s="1049"/>
      <c r="AI102" s="1049"/>
    </row>
    <row r="103" spans="1:35" ht="15.75" customHeight="1">
      <c r="A103" s="127"/>
      <c r="B103" s="485"/>
      <c r="C103" s="485"/>
      <c r="D103" s="485"/>
      <c r="E103" s="485"/>
      <c r="F103" s="485"/>
      <c r="G103" s="485"/>
      <c r="H103" s="485"/>
      <c r="I103" s="485"/>
      <c r="J103" s="485"/>
      <c r="K103" s="485"/>
      <c r="L103" s="485"/>
      <c r="M103" s="485"/>
      <c r="N103" s="485"/>
      <c r="O103" s="1049"/>
      <c r="P103" s="1049"/>
      <c r="Q103" s="1049"/>
      <c r="R103" s="1049"/>
      <c r="S103" s="1050"/>
      <c r="T103" s="1051"/>
      <c r="U103" s="1051"/>
      <c r="V103" s="1049"/>
      <c r="W103" s="1049"/>
      <c r="X103" s="1049"/>
      <c r="Y103" s="1049"/>
      <c r="Z103" s="1049"/>
      <c r="AA103" s="1049"/>
      <c r="AB103" s="1049"/>
      <c r="AC103" s="1049"/>
      <c r="AD103" s="1049"/>
      <c r="AE103" s="1049"/>
      <c r="AF103" s="1049"/>
      <c r="AG103" s="1049"/>
      <c r="AH103" s="1049"/>
      <c r="AI103" s="1049"/>
    </row>
    <row r="104" spans="1:35" ht="15.75" customHeight="1">
      <c r="A104" s="127"/>
      <c r="B104" s="485"/>
      <c r="C104" s="485"/>
      <c r="D104" s="485"/>
      <c r="E104" s="485"/>
      <c r="F104" s="485"/>
      <c r="G104" s="485"/>
      <c r="H104" s="485"/>
      <c r="I104" s="485"/>
      <c r="J104" s="485"/>
      <c r="K104" s="485"/>
      <c r="L104" s="485"/>
      <c r="M104" s="485"/>
      <c r="N104" s="485"/>
      <c r="O104" s="1049"/>
      <c r="P104" s="1049"/>
      <c r="Q104" s="1049"/>
      <c r="R104" s="1049"/>
      <c r="S104" s="1050"/>
      <c r="T104" s="1051"/>
      <c r="U104" s="1051"/>
      <c r="V104" s="1049"/>
      <c r="W104" s="1049"/>
      <c r="X104" s="1049"/>
      <c r="Y104" s="1049"/>
      <c r="Z104" s="1049"/>
      <c r="AA104" s="1049"/>
      <c r="AB104" s="1049"/>
      <c r="AC104" s="1049"/>
      <c r="AD104" s="1049"/>
      <c r="AE104" s="1049"/>
      <c r="AF104" s="1049"/>
      <c r="AG104" s="1049"/>
      <c r="AH104" s="1049"/>
      <c r="AI104" s="1049"/>
    </row>
    <row r="105" spans="1:35" ht="15.75" customHeight="1">
      <c r="A105" s="127"/>
      <c r="B105" s="485"/>
      <c r="C105" s="485"/>
      <c r="D105" s="485"/>
      <c r="E105" s="485"/>
      <c r="F105" s="485"/>
      <c r="G105" s="485"/>
      <c r="H105" s="485"/>
      <c r="I105" s="485"/>
      <c r="J105" s="485"/>
      <c r="K105" s="485"/>
      <c r="L105" s="485"/>
      <c r="M105" s="485"/>
      <c r="N105" s="485"/>
      <c r="O105" s="1049"/>
      <c r="P105" s="1049"/>
      <c r="Q105" s="1049"/>
      <c r="R105" s="1049"/>
      <c r="S105" s="1050"/>
      <c r="T105" s="1051"/>
      <c r="U105" s="1051"/>
      <c r="V105" s="1049"/>
      <c r="W105" s="1049"/>
      <c r="X105" s="1049"/>
      <c r="Y105" s="1049"/>
      <c r="Z105" s="1049"/>
      <c r="AA105" s="1049"/>
      <c r="AB105" s="1049"/>
      <c r="AC105" s="1049"/>
      <c r="AD105" s="1049"/>
      <c r="AE105" s="1049"/>
      <c r="AF105" s="1049"/>
      <c r="AG105" s="1049"/>
      <c r="AH105" s="1049"/>
      <c r="AI105" s="1049"/>
    </row>
    <row r="106" spans="1:35" ht="15.75" customHeight="1">
      <c r="A106" s="127"/>
      <c r="B106" s="485"/>
      <c r="C106" s="485"/>
      <c r="D106" s="485"/>
      <c r="E106" s="485"/>
      <c r="F106" s="485"/>
      <c r="G106" s="485"/>
      <c r="H106" s="485"/>
      <c r="I106" s="485"/>
      <c r="J106" s="485"/>
      <c r="K106" s="485"/>
      <c r="L106" s="485"/>
      <c r="M106" s="485"/>
      <c r="N106" s="485"/>
      <c r="O106" s="1049"/>
      <c r="P106" s="1049"/>
      <c r="Q106" s="1049"/>
      <c r="R106" s="1049"/>
      <c r="S106" s="1050"/>
      <c r="T106" s="1051"/>
      <c r="U106" s="1051"/>
      <c r="V106" s="1049"/>
      <c r="W106" s="1049"/>
      <c r="X106" s="1049"/>
      <c r="Y106" s="1049"/>
      <c r="Z106" s="1049"/>
      <c r="AA106" s="1049"/>
      <c r="AB106" s="1049"/>
      <c r="AC106" s="1049"/>
      <c r="AD106" s="1049"/>
      <c r="AE106" s="1049"/>
      <c r="AF106" s="1049"/>
      <c r="AG106" s="1049"/>
      <c r="AH106" s="1049"/>
      <c r="AI106" s="1049"/>
    </row>
    <row r="107" spans="1:35" ht="15.75" customHeight="1">
      <c r="A107" s="127"/>
      <c r="B107" s="485"/>
      <c r="C107" s="485"/>
      <c r="D107" s="485"/>
      <c r="E107" s="485"/>
      <c r="F107" s="485"/>
      <c r="G107" s="485"/>
      <c r="H107" s="485"/>
      <c r="I107" s="485"/>
      <c r="J107" s="485"/>
      <c r="K107" s="485"/>
      <c r="L107" s="485"/>
      <c r="M107" s="485"/>
      <c r="N107" s="485"/>
      <c r="O107" s="1049"/>
      <c r="P107" s="1049"/>
      <c r="Q107" s="1049"/>
      <c r="R107" s="1049"/>
      <c r="S107" s="1050"/>
      <c r="T107" s="1051"/>
      <c r="U107" s="1051"/>
      <c r="V107" s="1049"/>
      <c r="W107" s="1049"/>
      <c r="X107" s="1049"/>
      <c r="Y107" s="1049"/>
      <c r="Z107" s="1049"/>
      <c r="AA107" s="1049"/>
      <c r="AB107" s="1049"/>
      <c r="AC107" s="1049"/>
      <c r="AD107" s="1049"/>
      <c r="AE107" s="1049"/>
      <c r="AF107" s="1049"/>
      <c r="AG107" s="1049"/>
      <c r="AH107" s="1049"/>
      <c r="AI107" s="1049"/>
    </row>
    <row r="108" spans="1:35" ht="15.75" customHeight="1">
      <c r="A108" s="127"/>
      <c r="B108" s="485"/>
      <c r="C108" s="485"/>
      <c r="D108" s="485"/>
      <c r="E108" s="485"/>
      <c r="F108" s="485"/>
      <c r="G108" s="485"/>
      <c r="H108" s="485"/>
      <c r="I108" s="485"/>
      <c r="J108" s="485"/>
      <c r="K108" s="485"/>
      <c r="L108" s="485"/>
      <c r="M108" s="485"/>
      <c r="N108" s="485"/>
      <c r="O108" s="1049"/>
      <c r="P108" s="1049"/>
      <c r="Q108" s="1049"/>
      <c r="R108" s="1049"/>
      <c r="S108" s="1050"/>
      <c r="T108" s="1051"/>
      <c r="U108" s="1051"/>
      <c r="V108" s="1049"/>
      <c r="W108" s="1049"/>
      <c r="X108" s="1049"/>
      <c r="Y108" s="1049"/>
      <c r="Z108" s="1049"/>
      <c r="AA108" s="1049"/>
      <c r="AB108" s="1049"/>
      <c r="AC108" s="1049"/>
      <c r="AD108" s="1049"/>
      <c r="AE108" s="1049"/>
      <c r="AF108" s="1049"/>
      <c r="AG108" s="1049"/>
      <c r="AH108" s="1049"/>
      <c r="AI108" s="1049"/>
    </row>
    <row r="109" spans="1:35" ht="15.75" customHeight="1">
      <c r="A109" s="127"/>
      <c r="B109" s="485"/>
      <c r="C109" s="485"/>
      <c r="D109" s="485"/>
      <c r="E109" s="485"/>
      <c r="F109" s="485"/>
      <c r="G109" s="485"/>
      <c r="H109" s="485"/>
      <c r="I109" s="485"/>
      <c r="J109" s="485"/>
      <c r="K109" s="485"/>
      <c r="L109" s="485"/>
      <c r="M109" s="485"/>
      <c r="N109" s="485"/>
      <c r="O109" s="1049"/>
      <c r="P109" s="1049"/>
      <c r="Q109" s="1049"/>
      <c r="R109" s="1049"/>
      <c r="S109" s="1050"/>
      <c r="T109" s="1051"/>
      <c r="U109" s="1051"/>
      <c r="V109" s="1049"/>
      <c r="W109" s="1049"/>
      <c r="X109" s="1049"/>
      <c r="Y109" s="1049"/>
      <c r="Z109" s="1049"/>
      <c r="AA109" s="1049"/>
      <c r="AB109" s="1049"/>
      <c r="AC109" s="1049"/>
      <c r="AD109" s="1049"/>
      <c r="AE109" s="1049"/>
      <c r="AF109" s="1049"/>
      <c r="AG109" s="1049"/>
      <c r="AH109" s="1049"/>
      <c r="AI109" s="1049"/>
    </row>
    <row r="110" spans="1:35" ht="15.75" customHeight="1">
      <c r="A110" s="127"/>
      <c r="B110" s="485"/>
      <c r="C110" s="485"/>
      <c r="D110" s="485"/>
      <c r="E110" s="485"/>
      <c r="F110" s="485"/>
      <c r="G110" s="485"/>
      <c r="H110" s="485"/>
      <c r="I110" s="485"/>
      <c r="J110" s="485"/>
      <c r="K110" s="485"/>
      <c r="L110" s="485"/>
      <c r="M110" s="485"/>
      <c r="N110" s="485"/>
      <c r="O110" s="1049"/>
      <c r="P110" s="1049"/>
      <c r="Q110" s="1049"/>
      <c r="R110" s="1049"/>
      <c r="S110" s="1050"/>
      <c r="T110" s="1051"/>
      <c r="U110" s="1051"/>
      <c r="V110" s="1049"/>
      <c r="W110" s="1049"/>
      <c r="X110" s="1049"/>
      <c r="Y110" s="1049"/>
      <c r="Z110" s="1049"/>
      <c r="AA110" s="1049"/>
      <c r="AB110" s="1049"/>
      <c r="AC110" s="1049"/>
      <c r="AD110" s="1049"/>
      <c r="AE110" s="1049"/>
      <c r="AF110" s="1049"/>
      <c r="AG110" s="1049"/>
      <c r="AH110" s="1049"/>
      <c r="AI110" s="1049"/>
    </row>
    <row r="111" spans="1:35" ht="15.75" customHeight="1">
      <c r="A111" s="127"/>
      <c r="B111" s="485"/>
      <c r="C111" s="485"/>
      <c r="D111" s="485"/>
      <c r="E111" s="485"/>
      <c r="F111" s="485"/>
      <c r="G111" s="485"/>
      <c r="H111" s="485"/>
      <c r="I111" s="485"/>
      <c r="J111" s="485"/>
      <c r="K111" s="485"/>
      <c r="L111" s="485"/>
      <c r="M111" s="485"/>
      <c r="N111" s="485"/>
      <c r="O111" s="1049"/>
      <c r="P111" s="1049"/>
      <c r="Q111" s="1049"/>
      <c r="R111" s="1049"/>
      <c r="S111" s="1050"/>
      <c r="T111" s="1051"/>
      <c r="U111" s="1051"/>
      <c r="V111" s="1049"/>
      <c r="W111" s="1049"/>
      <c r="X111" s="1049"/>
      <c r="Y111" s="1049"/>
      <c r="Z111" s="1049"/>
      <c r="AA111" s="1049"/>
      <c r="AB111" s="1049"/>
      <c r="AC111" s="1049"/>
      <c r="AD111" s="1049"/>
      <c r="AE111" s="1049"/>
      <c r="AF111" s="1049"/>
      <c r="AG111" s="1049"/>
      <c r="AH111" s="1049"/>
      <c r="AI111" s="1049"/>
    </row>
    <row r="112" spans="1:35" ht="15.75" customHeight="1">
      <c r="A112" s="127"/>
      <c r="B112" s="485"/>
      <c r="C112" s="485"/>
      <c r="D112" s="485"/>
      <c r="E112" s="485"/>
      <c r="F112" s="485"/>
      <c r="G112" s="485"/>
      <c r="H112" s="485"/>
      <c r="I112" s="485"/>
      <c r="J112" s="485"/>
      <c r="K112" s="485"/>
      <c r="L112" s="485"/>
      <c r="M112" s="485"/>
      <c r="N112" s="485"/>
      <c r="O112" s="1049"/>
      <c r="P112" s="1049"/>
      <c r="Q112" s="1049"/>
      <c r="R112" s="1049"/>
      <c r="S112" s="1050"/>
      <c r="T112" s="1051"/>
      <c r="U112" s="1051"/>
      <c r="V112" s="1049"/>
      <c r="W112" s="1049"/>
      <c r="X112" s="1049"/>
      <c r="Y112" s="1049"/>
      <c r="Z112" s="1049"/>
      <c r="AA112" s="1049"/>
      <c r="AB112" s="1049"/>
      <c r="AC112" s="1049"/>
      <c r="AD112" s="1049"/>
      <c r="AE112" s="1049"/>
      <c r="AF112" s="1049"/>
      <c r="AG112" s="1049"/>
      <c r="AH112" s="1049"/>
      <c r="AI112" s="1049"/>
    </row>
    <row r="113" spans="1:35" ht="15.75" customHeight="1">
      <c r="A113" s="127"/>
      <c r="B113" s="485"/>
      <c r="C113" s="485"/>
      <c r="D113" s="485"/>
      <c r="E113" s="485"/>
      <c r="F113" s="485"/>
      <c r="G113" s="485"/>
      <c r="H113" s="485"/>
      <c r="I113" s="485"/>
      <c r="J113" s="485"/>
      <c r="K113" s="485"/>
      <c r="L113" s="485"/>
      <c r="M113" s="485"/>
      <c r="N113" s="485"/>
      <c r="O113" s="1049"/>
      <c r="P113" s="1049"/>
      <c r="Q113" s="1049"/>
      <c r="R113" s="1049"/>
      <c r="S113" s="1050"/>
      <c r="T113" s="1051"/>
      <c r="U113" s="1051"/>
      <c r="V113" s="1049"/>
      <c r="W113" s="1049"/>
      <c r="X113" s="1049"/>
      <c r="Y113" s="1049"/>
      <c r="Z113" s="1049"/>
      <c r="AA113" s="1049"/>
      <c r="AB113" s="1049"/>
      <c r="AC113" s="1049"/>
      <c r="AD113" s="1049"/>
      <c r="AE113" s="1049"/>
      <c r="AF113" s="1049"/>
      <c r="AG113" s="1049"/>
      <c r="AH113" s="1049"/>
      <c r="AI113" s="1049"/>
    </row>
    <row r="114" spans="1:35" ht="15.75" customHeight="1">
      <c r="A114" s="127"/>
      <c r="B114" s="485"/>
      <c r="C114" s="485"/>
      <c r="D114" s="485"/>
      <c r="E114" s="485"/>
      <c r="F114" s="485"/>
      <c r="G114" s="485"/>
      <c r="H114" s="485"/>
      <c r="I114" s="485"/>
      <c r="J114" s="485"/>
      <c r="K114" s="485"/>
      <c r="L114" s="485"/>
      <c r="M114" s="485"/>
      <c r="N114" s="485"/>
      <c r="O114" s="1049"/>
      <c r="P114" s="1049"/>
      <c r="Q114" s="1049"/>
      <c r="R114" s="1049"/>
      <c r="S114" s="1050"/>
      <c r="T114" s="1051"/>
      <c r="U114" s="1051"/>
      <c r="V114" s="1049"/>
      <c r="W114" s="1049"/>
      <c r="X114" s="1049"/>
      <c r="Y114" s="1049"/>
      <c r="Z114" s="1049"/>
      <c r="AA114" s="1049"/>
      <c r="AB114" s="1049"/>
      <c r="AC114" s="1049"/>
      <c r="AD114" s="1049"/>
      <c r="AE114" s="1049"/>
      <c r="AF114" s="1049"/>
      <c r="AG114" s="1049"/>
      <c r="AH114" s="1049"/>
      <c r="AI114" s="1049"/>
    </row>
    <row r="115" spans="1:35" ht="15.75" customHeight="1">
      <c r="A115" s="127"/>
      <c r="B115" s="485"/>
      <c r="C115" s="485"/>
      <c r="D115" s="485"/>
      <c r="E115" s="485"/>
      <c r="F115" s="485"/>
      <c r="G115" s="485"/>
      <c r="H115" s="485"/>
      <c r="I115" s="485"/>
      <c r="J115" s="485"/>
      <c r="K115" s="485"/>
      <c r="L115" s="485"/>
      <c r="M115" s="485"/>
      <c r="N115" s="485"/>
      <c r="O115" s="1049"/>
      <c r="P115" s="1049"/>
      <c r="Q115" s="1049"/>
      <c r="R115" s="1049"/>
      <c r="S115" s="1050"/>
      <c r="T115" s="1051"/>
      <c r="U115" s="1051"/>
      <c r="V115" s="1049"/>
      <c r="W115" s="1049"/>
      <c r="X115" s="1049"/>
      <c r="Y115" s="1049"/>
      <c r="Z115" s="1049"/>
      <c r="AA115" s="1049"/>
      <c r="AB115" s="1049"/>
      <c r="AC115" s="1049"/>
      <c r="AD115" s="1049"/>
      <c r="AE115" s="1049"/>
      <c r="AF115" s="1049"/>
      <c r="AG115" s="1049"/>
      <c r="AH115" s="1049"/>
      <c r="AI115" s="1049"/>
    </row>
    <row r="116" spans="1:35" ht="15.75" customHeight="1">
      <c r="A116" s="127"/>
      <c r="B116" s="485"/>
      <c r="C116" s="485"/>
      <c r="D116" s="485"/>
      <c r="E116" s="485"/>
      <c r="F116" s="485"/>
      <c r="G116" s="485"/>
      <c r="H116" s="485"/>
      <c r="I116" s="485"/>
      <c r="J116" s="485"/>
      <c r="K116" s="485"/>
      <c r="L116" s="485"/>
      <c r="M116" s="485"/>
      <c r="N116" s="485"/>
      <c r="O116" s="1049"/>
      <c r="P116" s="1049"/>
      <c r="Q116" s="1049"/>
      <c r="R116" s="1049"/>
      <c r="S116" s="1050"/>
      <c r="T116" s="1051"/>
      <c r="U116" s="1051"/>
      <c r="V116" s="1049"/>
      <c r="W116" s="1049"/>
      <c r="X116" s="1049"/>
      <c r="Y116" s="1049"/>
      <c r="Z116" s="1049"/>
      <c r="AA116" s="1049"/>
      <c r="AB116" s="1049"/>
      <c r="AC116" s="1049"/>
      <c r="AD116" s="1049"/>
      <c r="AE116" s="1049"/>
      <c r="AF116" s="1049"/>
      <c r="AG116" s="1049"/>
      <c r="AH116" s="1049"/>
      <c r="AI116" s="1049"/>
    </row>
    <row r="117" spans="1:35" ht="15.75" customHeight="1">
      <c r="A117" s="127"/>
      <c r="B117" s="485"/>
      <c r="C117" s="485"/>
      <c r="D117" s="485"/>
      <c r="E117" s="485"/>
      <c r="F117" s="485"/>
      <c r="G117" s="485"/>
      <c r="H117" s="485"/>
      <c r="I117" s="485"/>
      <c r="J117" s="485"/>
      <c r="K117" s="485"/>
      <c r="L117" s="485"/>
      <c r="M117" s="485"/>
      <c r="N117" s="485"/>
      <c r="O117" s="1049"/>
      <c r="P117" s="1049"/>
      <c r="Q117" s="1049"/>
      <c r="R117" s="1049"/>
      <c r="S117" s="1050"/>
      <c r="T117" s="1051"/>
      <c r="U117" s="1051"/>
      <c r="V117" s="1049"/>
      <c r="W117" s="1049"/>
      <c r="X117" s="1049"/>
      <c r="Y117" s="1049"/>
      <c r="Z117" s="1049"/>
      <c r="AA117" s="1049"/>
      <c r="AB117" s="1049"/>
      <c r="AC117" s="1049"/>
      <c r="AD117" s="1049"/>
      <c r="AE117" s="1049"/>
      <c r="AF117" s="1049"/>
      <c r="AG117" s="1049"/>
      <c r="AH117" s="1049"/>
      <c r="AI117" s="1049"/>
    </row>
    <row r="118" spans="1:35" ht="15.75" customHeight="1">
      <c r="A118" s="127"/>
      <c r="B118" s="485"/>
      <c r="C118" s="485"/>
      <c r="D118" s="485"/>
      <c r="E118" s="485"/>
      <c r="F118" s="485"/>
      <c r="G118" s="485"/>
      <c r="H118" s="485"/>
      <c r="I118" s="485"/>
      <c r="J118" s="485"/>
      <c r="K118" s="485"/>
      <c r="L118" s="485"/>
      <c r="M118" s="485"/>
      <c r="N118" s="485"/>
      <c r="O118" s="1049"/>
      <c r="P118" s="1049"/>
      <c r="Q118" s="1049"/>
      <c r="R118" s="1049"/>
      <c r="S118" s="1050"/>
      <c r="T118" s="1051"/>
      <c r="U118" s="1051"/>
      <c r="V118" s="1049"/>
      <c r="W118" s="1049"/>
      <c r="X118" s="1049"/>
      <c r="Y118" s="1049"/>
      <c r="Z118" s="1049"/>
      <c r="AA118" s="1049"/>
      <c r="AB118" s="1049"/>
      <c r="AC118" s="1049"/>
      <c r="AD118" s="1049"/>
      <c r="AE118" s="1049"/>
      <c r="AF118" s="1049"/>
      <c r="AG118" s="1049"/>
      <c r="AH118" s="1049"/>
      <c r="AI118" s="1049"/>
    </row>
    <row r="119" spans="1:35" ht="15.75" customHeight="1">
      <c r="A119" s="127"/>
      <c r="B119" s="485"/>
      <c r="C119" s="485"/>
      <c r="D119" s="485"/>
      <c r="E119" s="485"/>
      <c r="F119" s="485"/>
      <c r="G119" s="485"/>
      <c r="H119" s="485"/>
      <c r="I119" s="485"/>
      <c r="J119" s="485"/>
      <c r="K119" s="485"/>
      <c r="L119" s="485"/>
      <c r="M119" s="485"/>
      <c r="N119" s="485"/>
      <c r="O119" s="1049"/>
      <c r="P119" s="1049"/>
      <c r="Q119" s="1049"/>
      <c r="R119" s="1049"/>
      <c r="S119" s="1050"/>
      <c r="T119" s="1051"/>
      <c r="U119" s="1051"/>
      <c r="V119" s="1049"/>
      <c r="W119" s="1049"/>
      <c r="X119" s="1049"/>
      <c r="Y119" s="1049"/>
      <c r="Z119" s="1049"/>
      <c r="AA119" s="1049"/>
      <c r="AB119" s="1049"/>
      <c r="AC119" s="1049"/>
      <c r="AD119" s="1049"/>
      <c r="AE119" s="1049"/>
      <c r="AF119" s="1049"/>
      <c r="AG119" s="1049"/>
      <c r="AH119" s="1049"/>
      <c r="AI119" s="1049"/>
    </row>
    <row r="120" spans="1:35" ht="15.75" customHeight="1">
      <c r="A120" s="127"/>
      <c r="B120" s="485"/>
      <c r="C120" s="485"/>
      <c r="D120" s="485"/>
      <c r="E120" s="485"/>
      <c r="F120" s="485"/>
      <c r="G120" s="485"/>
      <c r="H120" s="485"/>
      <c r="I120" s="485"/>
      <c r="J120" s="485"/>
      <c r="K120" s="485"/>
      <c r="L120" s="485"/>
      <c r="M120" s="485"/>
      <c r="N120" s="485"/>
      <c r="O120" s="1049"/>
      <c r="P120" s="1049"/>
      <c r="Q120" s="1049"/>
      <c r="R120" s="1049"/>
      <c r="S120" s="1050"/>
      <c r="T120" s="1051"/>
      <c r="U120" s="1051"/>
      <c r="V120" s="1049"/>
      <c r="W120" s="1049"/>
      <c r="X120" s="1049"/>
      <c r="Y120" s="1049"/>
      <c r="Z120" s="1049"/>
      <c r="AA120" s="1049"/>
      <c r="AB120" s="1049"/>
      <c r="AC120" s="1049"/>
      <c r="AD120" s="1049"/>
      <c r="AE120" s="1049"/>
      <c r="AF120" s="1049"/>
      <c r="AG120" s="1049"/>
      <c r="AH120" s="1049"/>
      <c r="AI120" s="1049"/>
    </row>
    <row r="121" spans="1:35" ht="15.75" customHeight="1">
      <c r="A121" s="127"/>
      <c r="B121" s="485"/>
      <c r="C121" s="485"/>
      <c r="D121" s="485"/>
      <c r="E121" s="485"/>
      <c r="F121" s="485"/>
      <c r="G121" s="485"/>
      <c r="H121" s="485"/>
      <c r="I121" s="485"/>
      <c r="J121" s="485"/>
      <c r="K121" s="485"/>
      <c r="L121" s="485"/>
      <c r="M121" s="485"/>
      <c r="N121" s="485"/>
      <c r="O121" s="1049"/>
      <c r="P121" s="1049"/>
      <c r="Q121" s="1049"/>
      <c r="R121" s="1049"/>
      <c r="S121" s="1050"/>
      <c r="T121" s="1051"/>
      <c r="U121" s="1051"/>
      <c r="V121" s="1049"/>
      <c r="W121" s="1049"/>
      <c r="X121" s="1049"/>
      <c r="Y121" s="1049"/>
      <c r="Z121" s="1049"/>
      <c r="AA121" s="1049"/>
      <c r="AB121" s="1049"/>
      <c r="AC121" s="1049"/>
      <c r="AD121" s="1049"/>
      <c r="AE121" s="1049"/>
      <c r="AF121" s="1049"/>
      <c r="AG121" s="1049"/>
      <c r="AH121" s="1049"/>
      <c r="AI121" s="1049"/>
    </row>
    <row r="122" spans="1:35" ht="15.75" customHeight="1">
      <c r="A122" s="127"/>
      <c r="B122" s="485"/>
      <c r="C122" s="485"/>
      <c r="D122" s="485"/>
      <c r="E122" s="485"/>
      <c r="F122" s="485"/>
      <c r="G122" s="485"/>
      <c r="H122" s="485"/>
      <c r="I122" s="485"/>
      <c r="J122" s="485"/>
      <c r="K122" s="485"/>
      <c r="L122" s="485"/>
      <c r="M122" s="485"/>
      <c r="N122" s="485"/>
      <c r="O122" s="1049"/>
      <c r="P122" s="1049"/>
      <c r="Q122" s="1049"/>
      <c r="R122" s="1049"/>
      <c r="S122" s="1050"/>
      <c r="T122" s="1051"/>
      <c r="U122" s="1051"/>
      <c r="V122" s="1049"/>
      <c r="W122" s="1049"/>
      <c r="X122" s="1049"/>
      <c r="Y122" s="1049"/>
      <c r="Z122" s="1049"/>
      <c r="AA122" s="1049"/>
      <c r="AB122" s="1049"/>
      <c r="AC122" s="1049"/>
      <c r="AD122" s="1049"/>
      <c r="AE122" s="1049"/>
      <c r="AF122" s="1049"/>
      <c r="AG122" s="1049"/>
      <c r="AH122" s="1049"/>
      <c r="AI122" s="1049"/>
    </row>
    <row r="123" spans="1:35" ht="15.75" customHeight="1">
      <c r="A123" s="127"/>
      <c r="B123" s="485"/>
      <c r="C123" s="485"/>
      <c r="D123" s="485"/>
      <c r="E123" s="485"/>
      <c r="F123" s="485"/>
      <c r="G123" s="485"/>
      <c r="H123" s="485"/>
      <c r="I123" s="485"/>
      <c r="J123" s="485"/>
      <c r="K123" s="485"/>
      <c r="L123" s="485"/>
      <c r="M123" s="485"/>
      <c r="N123" s="485"/>
      <c r="O123" s="1049"/>
      <c r="P123" s="1049"/>
      <c r="Q123" s="1049"/>
      <c r="R123" s="1049"/>
      <c r="S123" s="1050"/>
      <c r="T123" s="1051"/>
      <c r="U123" s="1051"/>
      <c r="V123" s="1049"/>
      <c r="W123" s="1049"/>
      <c r="X123" s="1049"/>
      <c r="Y123" s="1049"/>
      <c r="Z123" s="1049"/>
      <c r="AA123" s="1049"/>
      <c r="AB123" s="1049"/>
      <c r="AC123" s="1049"/>
      <c r="AD123" s="1049"/>
      <c r="AE123" s="1049"/>
      <c r="AF123" s="1049"/>
      <c r="AG123" s="1049"/>
      <c r="AH123" s="1049"/>
      <c r="AI123" s="1049"/>
    </row>
    <row r="124" spans="1:35" ht="15.75" customHeight="1">
      <c r="A124" s="127"/>
      <c r="B124" s="485"/>
      <c r="C124" s="485"/>
      <c r="D124" s="485"/>
      <c r="E124" s="485"/>
      <c r="F124" s="485"/>
      <c r="G124" s="485"/>
      <c r="H124" s="485"/>
      <c r="I124" s="485"/>
      <c r="J124" s="485"/>
      <c r="K124" s="485"/>
      <c r="L124" s="485"/>
      <c r="M124" s="485"/>
      <c r="N124" s="485"/>
      <c r="O124" s="1049"/>
      <c r="P124" s="1049"/>
      <c r="Q124" s="1049"/>
      <c r="R124" s="1049"/>
      <c r="S124" s="1050"/>
      <c r="T124" s="1051"/>
      <c r="U124" s="1051"/>
      <c r="V124" s="1049"/>
      <c r="W124" s="1049"/>
      <c r="X124" s="1049"/>
      <c r="Y124" s="1049"/>
      <c r="Z124" s="1049"/>
      <c r="AA124" s="1049"/>
      <c r="AB124" s="1049"/>
      <c r="AC124" s="1049"/>
      <c r="AD124" s="1049"/>
      <c r="AE124" s="1049"/>
      <c r="AF124" s="1049"/>
      <c r="AG124" s="1049"/>
      <c r="AH124" s="1049"/>
      <c r="AI124" s="1049"/>
    </row>
    <row r="125" spans="1:35" ht="15.75" customHeight="1">
      <c r="A125" s="127"/>
      <c r="B125" s="485"/>
      <c r="C125" s="485"/>
      <c r="D125" s="485"/>
      <c r="E125" s="485"/>
      <c r="F125" s="485"/>
      <c r="G125" s="485"/>
      <c r="H125" s="485"/>
      <c r="I125" s="485"/>
      <c r="J125" s="485"/>
      <c r="K125" s="485"/>
      <c r="L125" s="485"/>
      <c r="M125" s="485"/>
      <c r="N125" s="485"/>
      <c r="O125" s="1049"/>
      <c r="P125" s="1049"/>
      <c r="Q125" s="1049"/>
      <c r="R125" s="1049"/>
      <c r="S125" s="1050"/>
      <c r="T125" s="1051"/>
      <c r="U125" s="1051"/>
      <c r="V125" s="1049"/>
      <c r="W125" s="1049"/>
      <c r="X125" s="1049"/>
      <c r="Y125" s="1049"/>
      <c r="Z125" s="1049"/>
      <c r="AA125" s="1049"/>
      <c r="AB125" s="1049"/>
      <c r="AC125" s="1049"/>
      <c r="AD125" s="1049"/>
      <c r="AE125" s="1049"/>
      <c r="AF125" s="1049"/>
      <c r="AG125" s="1049"/>
      <c r="AH125" s="1049"/>
      <c r="AI125" s="1049"/>
    </row>
    <row r="126" spans="1:35" ht="15.75" customHeight="1">
      <c r="A126" s="127"/>
      <c r="B126" s="485"/>
      <c r="C126" s="485"/>
      <c r="D126" s="485"/>
      <c r="E126" s="485"/>
      <c r="F126" s="485"/>
      <c r="G126" s="485"/>
      <c r="H126" s="485"/>
      <c r="I126" s="485"/>
      <c r="J126" s="485"/>
      <c r="K126" s="485"/>
      <c r="L126" s="485"/>
      <c r="M126" s="485"/>
      <c r="N126" s="485"/>
      <c r="O126" s="1049"/>
      <c r="P126" s="1049"/>
      <c r="Q126" s="1049"/>
      <c r="R126" s="1049"/>
      <c r="S126" s="1050"/>
      <c r="T126" s="1051"/>
      <c r="U126" s="1051"/>
      <c r="V126" s="1049"/>
      <c r="W126" s="1049"/>
      <c r="X126" s="1049"/>
      <c r="Y126" s="1049"/>
      <c r="Z126" s="1049"/>
      <c r="AA126" s="1049"/>
      <c r="AB126" s="1049"/>
      <c r="AC126" s="1049"/>
      <c r="AD126" s="1049"/>
      <c r="AE126" s="1049"/>
      <c r="AF126" s="1049"/>
      <c r="AG126" s="1049"/>
      <c r="AH126" s="1049"/>
      <c r="AI126" s="1049"/>
    </row>
    <row r="127" spans="1:35" ht="15.75" customHeight="1">
      <c r="A127" s="127"/>
      <c r="B127" s="485"/>
      <c r="C127" s="485"/>
      <c r="D127" s="485"/>
      <c r="E127" s="485"/>
      <c r="F127" s="485"/>
      <c r="G127" s="485"/>
      <c r="H127" s="485"/>
      <c r="I127" s="485"/>
      <c r="J127" s="485"/>
      <c r="K127" s="485"/>
      <c r="L127" s="485"/>
      <c r="M127" s="485"/>
      <c r="N127" s="485"/>
      <c r="O127" s="1049"/>
      <c r="P127" s="1049"/>
      <c r="Q127" s="1049"/>
      <c r="R127" s="1049"/>
      <c r="S127" s="1050"/>
      <c r="T127" s="1051"/>
      <c r="U127" s="1051"/>
      <c r="V127" s="1049"/>
      <c r="W127" s="1049"/>
      <c r="X127" s="1049"/>
      <c r="Y127" s="1049"/>
      <c r="Z127" s="1049"/>
      <c r="AA127" s="1049"/>
      <c r="AB127" s="1049"/>
      <c r="AC127" s="1049"/>
      <c r="AD127" s="1049"/>
      <c r="AE127" s="1049"/>
      <c r="AF127" s="1049"/>
      <c r="AG127" s="1049"/>
      <c r="AH127" s="1049"/>
      <c r="AI127" s="1049"/>
    </row>
    <row r="128" spans="1:35" ht="15.75" customHeight="1">
      <c r="A128" s="127"/>
      <c r="B128" s="485"/>
      <c r="C128" s="485"/>
      <c r="D128" s="485"/>
      <c r="E128" s="485"/>
      <c r="F128" s="485"/>
      <c r="G128" s="485"/>
      <c r="H128" s="485"/>
      <c r="I128" s="485"/>
      <c r="J128" s="485"/>
      <c r="K128" s="485"/>
      <c r="L128" s="485"/>
      <c r="M128" s="485"/>
      <c r="N128" s="485"/>
      <c r="O128" s="1049"/>
      <c r="P128" s="1049"/>
      <c r="Q128" s="1049"/>
      <c r="R128" s="1049"/>
      <c r="S128" s="1050"/>
      <c r="T128" s="1051"/>
      <c r="U128" s="1051"/>
      <c r="V128" s="1049"/>
      <c r="W128" s="1049"/>
      <c r="X128" s="1049"/>
      <c r="Y128" s="1049"/>
      <c r="Z128" s="1049"/>
      <c r="AA128" s="1049"/>
      <c r="AB128" s="1049"/>
      <c r="AC128" s="1049"/>
      <c r="AD128" s="1049"/>
      <c r="AE128" s="1049"/>
      <c r="AF128" s="1049"/>
      <c r="AG128" s="1049"/>
      <c r="AH128" s="1049"/>
      <c r="AI128" s="1049"/>
    </row>
    <row r="129" spans="1:35" ht="15.75" customHeight="1">
      <c r="A129" s="127"/>
      <c r="B129" s="485"/>
      <c r="C129" s="485"/>
      <c r="D129" s="485"/>
      <c r="E129" s="485"/>
      <c r="F129" s="485"/>
      <c r="G129" s="485"/>
      <c r="H129" s="485"/>
      <c r="I129" s="485"/>
      <c r="J129" s="485"/>
      <c r="K129" s="485"/>
      <c r="L129" s="485"/>
      <c r="M129" s="485"/>
      <c r="N129" s="485"/>
      <c r="O129" s="1049"/>
      <c r="P129" s="1049"/>
      <c r="Q129" s="1049"/>
      <c r="R129" s="1049"/>
      <c r="S129" s="1050"/>
      <c r="T129" s="1051"/>
      <c r="U129" s="1051"/>
      <c r="V129" s="1049"/>
      <c r="W129" s="1049"/>
      <c r="X129" s="1049"/>
      <c r="Y129" s="1049"/>
      <c r="Z129" s="1049"/>
      <c r="AA129" s="1049"/>
      <c r="AB129" s="1049"/>
      <c r="AC129" s="1049"/>
      <c r="AD129" s="1049"/>
      <c r="AE129" s="1049"/>
      <c r="AF129" s="1049"/>
      <c r="AG129" s="1049"/>
      <c r="AH129" s="1049"/>
      <c r="AI129" s="1049"/>
    </row>
    <row r="130" spans="1:35" ht="15.75" customHeight="1">
      <c r="A130" s="127"/>
      <c r="B130" s="485"/>
      <c r="C130" s="485"/>
      <c r="D130" s="485"/>
      <c r="E130" s="485"/>
      <c r="F130" s="485"/>
      <c r="G130" s="485"/>
      <c r="H130" s="485"/>
      <c r="I130" s="485"/>
      <c r="J130" s="485"/>
      <c r="K130" s="485"/>
      <c r="L130" s="485"/>
      <c r="M130" s="485"/>
      <c r="N130" s="485"/>
      <c r="O130" s="1049"/>
      <c r="P130" s="1049"/>
      <c r="Q130" s="1049"/>
      <c r="R130" s="1049"/>
      <c r="S130" s="1050"/>
      <c r="T130" s="1051"/>
      <c r="U130" s="1051"/>
      <c r="V130" s="1049"/>
      <c r="W130" s="1049"/>
      <c r="X130" s="1049"/>
      <c r="Y130" s="1049"/>
      <c r="Z130" s="1049"/>
      <c r="AA130" s="1049"/>
      <c r="AB130" s="1049"/>
      <c r="AC130" s="1049"/>
      <c r="AD130" s="1049"/>
      <c r="AE130" s="1049"/>
      <c r="AF130" s="1049"/>
      <c r="AG130" s="1049"/>
      <c r="AH130" s="1049"/>
      <c r="AI130" s="1049"/>
    </row>
    <row r="131" spans="1:35" ht="15.75" customHeight="1">
      <c r="A131" s="127"/>
      <c r="B131" s="485"/>
      <c r="C131" s="485"/>
      <c r="D131" s="485"/>
      <c r="E131" s="485"/>
      <c r="F131" s="485"/>
      <c r="G131" s="485"/>
      <c r="H131" s="485"/>
      <c r="I131" s="485"/>
      <c r="J131" s="485"/>
      <c r="K131" s="485"/>
      <c r="L131" s="485"/>
      <c r="M131" s="485"/>
      <c r="N131" s="485"/>
      <c r="O131" s="1049"/>
      <c r="P131" s="1049"/>
      <c r="Q131" s="1049"/>
      <c r="R131" s="1049"/>
      <c r="S131" s="1050"/>
      <c r="T131" s="1051"/>
      <c r="U131" s="1051"/>
      <c r="V131" s="1049"/>
      <c r="W131" s="1049"/>
      <c r="X131" s="1049"/>
      <c r="Y131" s="1049"/>
      <c r="Z131" s="1049"/>
      <c r="AA131" s="1049"/>
      <c r="AB131" s="1049"/>
      <c r="AC131" s="1049"/>
      <c r="AD131" s="1049"/>
      <c r="AE131" s="1049"/>
      <c r="AF131" s="1049"/>
      <c r="AG131" s="1049"/>
      <c r="AH131" s="1049"/>
      <c r="AI131" s="1049"/>
    </row>
    <row r="132" spans="1:35" ht="15.75" customHeight="1">
      <c r="A132" s="127"/>
      <c r="B132" s="485"/>
      <c r="C132" s="485"/>
      <c r="D132" s="485"/>
      <c r="E132" s="485"/>
      <c r="F132" s="485"/>
      <c r="G132" s="485"/>
      <c r="H132" s="485"/>
      <c r="I132" s="485"/>
      <c r="J132" s="485"/>
      <c r="K132" s="485"/>
      <c r="L132" s="485"/>
      <c r="M132" s="485"/>
      <c r="N132" s="485"/>
      <c r="O132" s="1049"/>
      <c r="P132" s="1049"/>
      <c r="Q132" s="1049"/>
      <c r="R132" s="1049"/>
      <c r="S132" s="1050"/>
      <c r="T132" s="1051"/>
      <c r="U132" s="1051"/>
      <c r="V132" s="1049"/>
      <c r="W132" s="1049"/>
      <c r="X132" s="1049"/>
      <c r="Y132" s="1049"/>
      <c r="Z132" s="1049"/>
      <c r="AA132" s="1049"/>
      <c r="AB132" s="1049"/>
      <c r="AC132" s="1049"/>
      <c r="AD132" s="1049"/>
      <c r="AE132" s="1049"/>
      <c r="AF132" s="1049"/>
      <c r="AG132" s="1049"/>
      <c r="AH132" s="1049"/>
      <c r="AI132" s="1049"/>
    </row>
    <row r="133" spans="1:35" ht="15.75" customHeight="1">
      <c r="A133" s="127"/>
      <c r="B133" s="485"/>
      <c r="C133" s="485"/>
      <c r="D133" s="485"/>
      <c r="E133" s="485"/>
      <c r="F133" s="485"/>
      <c r="G133" s="485"/>
      <c r="H133" s="485"/>
      <c r="I133" s="485"/>
      <c r="J133" s="485"/>
      <c r="K133" s="485"/>
      <c r="L133" s="485"/>
      <c r="M133" s="485"/>
      <c r="N133" s="485"/>
      <c r="O133" s="1049"/>
      <c r="P133" s="1049"/>
      <c r="Q133" s="1049"/>
      <c r="R133" s="1049"/>
      <c r="S133" s="1050"/>
      <c r="T133" s="1051"/>
      <c r="U133" s="1051"/>
      <c r="V133" s="1049"/>
      <c r="W133" s="1049"/>
      <c r="X133" s="1049"/>
      <c r="Y133" s="1049"/>
      <c r="Z133" s="1049"/>
      <c r="AA133" s="1049"/>
      <c r="AB133" s="1049"/>
      <c r="AC133" s="1049"/>
      <c r="AD133" s="1049"/>
      <c r="AE133" s="1049"/>
      <c r="AF133" s="1049"/>
      <c r="AG133" s="1049"/>
      <c r="AH133" s="1049"/>
      <c r="AI133" s="1049"/>
    </row>
    <row r="134" spans="1:35" ht="15.75" customHeight="1">
      <c r="A134" s="127"/>
      <c r="B134" s="485"/>
      <c r="C134" s="485"/>
      <c r="D134" s="485"/>
      <c r="E134" s="485"/>
      <c r="F134" s="485"/>
      <c r="G134" s="485"/>
      <c r="H134" s="485"/>
      <c r="I134" s="485"/>
      <c r="J134" s="485"/>
      <c r="K134" s="485"/>
      <c r="L134" s="485"/>
      <c r="M134" s="485"/>
      <c r="N134" s="485"/>
      <c r="O134" s="1049"/>
      <c r="P134" s="1049"/>
      <c r="Q134" s="1049"/>
      <c r="R134" s="1049"/>
      <c r="S134" s="1050"/>
      <c r="T134" s="1051"/>
      <c r="U134" s="1051"/>
      <c r="V134" s="1049"/>
      <c r="W134" s="1049"/>
      <c r="X134" s="1049"/>
      <c r="Y134" s="1049"/>
      <c r="Z134" s="1049"/>
      <c r="AA134" s="1049"/>
      <c r="AB134" s="1049"/>
      <c r="AC134" s="1049"/>
      <c r="AD134" s="1049"/>
      <c r="AE134" s="1049"/>
      <c r="AF134" s="1049"/>
      <c r="AG134" s="1049"/>
      <c r="AH134" s="1049"/>
      <c r="AI134" s="1049"/>
    </row>
    <row r="135" spans="1:35" ht="15.75" customHeight="1">
      <c r="A135" s="127"/>
      <c r="B135" s="485"/>
      <c r="C135" s="485"/>
      <c r="D135" s="485"/>
      <c r="E135" s="485"/>
      <c r="F135" s="485"/>
      <c r="G135" s="485"/>
      <c r="H135" s="485"/>
      <c r="I135" s="485"/>
      <c r="J135" s="485"/>
      <c r="K135" s="485"/>
      <c r="L135" s="485"/>
      <c r="N135" s="485"/>
      <c r="O135" s="1049"/>
      <c r="P135" s="1049"/>
      <c r="Q135" s="1049"/>
      <c r="R135" s="1049"/>
      <c r="S135" s="1050"/>
      <c r="T135" s="1051"/>
      <c r="U135" s="1051"/>
      <c r="V135" s="1049"/>
      <c r="W135" s="1049"/>
      <c r="X135" s="1049"/>
      <c r="Y135" s="1049"/>
      <c r="Z135" s="1049"/>
      <c r="AA135" s="1049"/>
      <c r="AB135" s="1049"/>
      <c r="AC135" s="1049"/>
      <c r="AD135" s="1049"/>
      <c r="AE135" s="1049"/>
      <c r="AF135" s="1049"/>
      <c r="AG135" s="1049"/>
      <c r="AH135" s="1049"/>
      <c r="AI135" s="1049"/>
    </row>
    <row r="136" spans="1:35" ht="15.75" customHeight="1">
      <c r="A136" s="127"/>
      <c r="B136" s="485"/>
      <c r="C136" s="485"/>
      <c r="D136" s="485"/>
      <c r="E136" s="485"/>
      <c r="F136" s="485"/>
      <c r="G136" s="485"/>
      <c r="H136" s="485"/>
      <c r="I136" s="485"/>
      <c r="J136" s="485"/>
      <c r="K136" s="485"/>
      <c r="L136" s="485"/>
      <c r="N136" s="485"/>
      <c r="O136" s="1049"/>
      <c r="P136" s="1049"/>
      <c r="Q136" s="1049"/>
      <c r="R136" s="1049"/>
      <c r="S136" s="1050"/>
      <c r="T136" s="1051"/>
      <c r="U136" s="1051"/>
      <c r="V136" s="1049"/>
      <c r="W136" s="1049"/>
      <c r="X136" s="1049"/>
      <c r="Y136" s="1049"/>
      <c r="Z136" s="1049"/>
      <c r="AA136" s="1049"/>
      <c r="AB136" s="1049"/>
      <c r="AC136" s="1049"/>
      <c r="AD136" s="1049"/>
      <c r="AE136" s="1049"/>
      <c r="AF136" s="1049"/>
      <c r="AG136" s="1049"/>
      <c r="AH136" s="1049"/>
      <c r="AI136" s="1049"/>
    </row>
    <row r="137" spans="1:35" ht="15.75" customHeight="1">
      <c r="A137" s="127"/>
      <c r="B137" s="485"/>
      <c r="C137" s="485"/>
      <c r="D137" s="485"/>
      <c r="E137" s="485"/>
      <c r="F137" s="485"/>
      <c r="G137" s="485"/>
      <c r="H137" s="485"/>
      <c r="I137" s="485"/>
      <c r="J137" s="485"/>
      <c r="K137" s="485"/>
      <c r="L137" s="485"/>
      <c r="N137" s="485"/>
      <c r="O137" s="1049"/>
      <c r="P137" s="1049"/>
      <c r="Q137" s="1049"/>
      <c r="R137" s="1049"/>
      <c r="S137" s="1050"/>
      <c r="T137" s="1051"/>
      <c r="U137" s="1051"/>
      <c r="V137" s="1049"/>
      <c r="W137" s="1049"/>
      <c r="X137" s="1049"/>
      <c r="Y137" s="1049"/>
      <c r="Z137" s="1049"/>
      <c r="AA137" s="1049"/>
      <c r="AB137" s="1049"/>
      <c r="AC137" s="1049"/>
      <c r="AD137" s="1049"/>
      <c r="AE137" s="1049"/>
      <c r="AF137" s="1049"/>
      <c r="AG137" s="1049"/>
      <c r="AH137" s="1049"/>
      <c r="AI137" s="1049"/>
    </row>
    <row r="138" spans="1:35" ht="15.75" customHeight="1">
      <c r="A138" s="127"/>
      <c r="B138" s="485"/>
      <c r="C138" s="485"/>
      <c r="D138" s="485"/>
      <c r="E138" s="485"/>
      <c r="F138" s="485"/>
      <c r="G138" s="485"/>
      <c r="H138" s="485"/>
      <c r="I138" s="485"/>
      <c r="J138" s="485"/>
      <c r="K138" s="485"/>
      <c r="L138" s="485"/>
      <c r="N138" s="485"/>
      <c r="O138" s="1049"/>
      <c r="P138" s="1049"/>
      <c r="Q138" s="1049"/>
      <c r="R138" s="1049"/>
      <c r="S138" s="1050"/>
      <c r="T138" s="1051"/>
      <c r="U138" s="1051"/>
      <c r="V138" s="1049"/>
      <c r="W138" s="1049"/>
      <c r="X138" s="1049"/>
      <c r="Y138" s="1049"/>
      <c r="Z138" s="1049"/>
      <c r="AA138" s="1049"/>
      <c r="AB138" s="1049"/>
      <c r="AC138" s="1049"/>
      <c r="AD138" s="1049"/>
      <c r="AE138" s="1049"/>
      <c r="AF138" s="1049"/>
      <c r="AG138" s="1049"/>
      <c r="AH138" s="1049"/>
      <c r="AI138" s="1049"/>
    </row>
    <row r="139" spans="1:35" ht="15.75" customHeight="1">
      <c r="A139" s="127"/>
      <c r="B139" s="485"/>
      <c r="C139" s="485"/>
      <c r="D139" s="485"/>
      <c r="E139" s="485"/>
      <c r="F139" s="485"/>
      <c r="G139" s="485"/>
      <c r="H139" s="485"/>
      <c r="I139" s="485"/>
      <c r="J139" s="485"/>
      <c r="K139" s="485"/>
      <c r="L139" s="485"/>
      <c r="N139" s="485"/>
      <c r="O139" s="1049"/>
      <c r="P139" s="1049"/>
      <c r="Q139" s="1049"/>
      <c r="R139" s="1049"/>
      <c r="S139" s="1050"/>
      <c r="T139" s="1051"/>
      <c r="U139" s="1051"/>
      <c r="V139" s="1049"/>
      <c r="W139" s="1049"/>
      <c r="X139" s="1049"/>
      <c r="Y139" s="1049"/>
      <c r="Z139" s="1049"/>
      <c r="AA139" s="1049"/>
      <c r="AB139" s="1049"/>
      <c r="AC139" s="1049"/>
      <c r="AD139" s="1049"/>
      <c r="AE139" s="1049"/>
      <c r="AF139" s="1049"/>
      <c r="AG139" s="1049"/>
      <c r="AH139" s="1049"/>
      <c r="AI139" s="1049"/>
    </row>
    <row r="140" spans="1:35" ht="15.75" customHeight="1">
      <c r="A140" s="127"/>
      <c r="B140" s="485"/>
      <c r="C140" s="485"/>
      <c r="D140" s="485"/>
      <c r="E140" s="485"/>
      <c r="F140" s="485"/>
      <c r="G140" s="485"/>
      <c r="H140" s="485"/>
      <c r="I140" s="485"/>
      <c r="J140" s="485"/>
      <c r="K140" s="485"/>
      <c r="L140" s="485"/>
      <c r="N140" s="485"/>
      <c r="O140" s="1049"/>
      <c r="P140" s="1049"/>
      <c r="Q140" s="1049"/>
      <c r="R140" s="1049"/>
      <c r="S140" s="1050"/>
      <c r="T140" s="1051"/>
      <c r="U140" s="1051"/>
      <c r="V140" s="1049"/>
      <c r="W140" s="1049"/>
      <c r="X140" s="1049"/>
      <c r="Y140" s="1049"/>
      <c r="Z140" s="1049"/>
      <c r="AA140" s="1049"/>
      <c r="AB140" s="1049"/>
      <c r="AC140" s="1049"/>
      <c r="AD140" s="1049"/>
      <c r="AE140" s="1049"/>
      <c r="AF140" s="1049"/>
      <c r="AG140" s="1049"/>
      <c r="AH140" s="1049"/>
      <c r="AI140" s="1049"/>
    </row>
    <row r="141" spans="1:35" ht="15.75" customHeight="1">
      <c r="A141" s="127"/>
      <c r="B141" s="485"/>
      <c r="C141" s="485"/>
      <c r="D141" s="485"/>
      <c r="E141" s="485"/>
      <c r="F141" s="485"/>
      <c r="G141" s="485"/>
      <c r="H141" s="485"/>
      <c r="I141" s="485"/>
      <c r="J141" s="485"/>
      <c r="K141" s="485"/>
      <c r="L141" s="485"/>
      <c r="N141" s="485"/>
      <c r="O141" s="1049"/>
      <c r="P141" s="1049"/>
      <c r="Q141" s="1049"/>
      <c r="R141" s="1049"/>
      <c r="S141" s="1050"/>
      <c r="T141" s="1051"/>
      <c r="U141" s="1051"/>
      <c r="V141" s="1049"/>
      <c r="W141" s="1049"/>
      <c r="X141" s="1049"/>
      <c r="Y141" s="1049"/>
      <c r="Z141" s="1049"/>
      <c r="AA141" s="1049"/>
      <c r="AB141" s="1049"/>
      <c r="AC141" s="1049"/>
      <c r="AD141" s="1049"/>
      <c r="AE141" s="1049"/>
      <c r="AF141" s="1049"/>
      <c r="AG141" s="1049"/>
      <c r="AH141" s="1049"/>
      <c r="AI141" s="1049"/>
    </row>
    <row r="142" spans="1:35" ht="13.5" customHeight="1">
      <c r="S142" s="1050"/>
    </row>
    <row r="143" spans="1:35" ht="13.5" customHeight="1">
      <c r="S143" s="1050"/>
    </row>
    <row r="144" spans="1:35" ht="13.5" customHeight="1">
      <c r="S144" s="1050"/>
    </row>
    <row r="145" spans="19:19" ht="13.5" customHeight="1">
      <c r="S145" s="1050"/>
    </row>
    <row r="146" spans="19:19" ht="13.5" customHeight="1">
      <c r="S146" s="1050"/>
    </row>
    <row r="147" spans="19:19" ht="13.5" customHeight="1">
      <c r="S147" s="1050"/>
    </row>
    <row r="148" spans="19:19" ht="13.5" customHeight="1">
      <c r="S148" s="1050"/>
    </row>
    <row r="149" spans="19:19" ht="13.5" customHeight="1">
      <c r="S149" s="1050"/>
    </row>
    <row r="150" spans="19:19" ht="13.5" customHeight="1">
      <c r="S150" s="1050"/>
    </row>
    <row r="151" spans="19:19" ht="13.5" customHeight="1">
      <c r="S151" s="1050"/>
    </row>
    <row r="152" spans="19:19" ht="13.5" customHeight="1">
      <c r="S152" s="1050"/>
    </row>
    <row r="153" spans="19:19" ht="13.5" customHeight="1">
      <c r="S153" s="1050"/>
    </row>
    <row r="154" spans="19:19" ht="13.5" customHeight="1">
      <c r="S154" s="1050"/>
    </row>
    <row r="155" spans="19:19" ht="13.5" customHeight="1">
      <c r="S155" s="1050"/>
    </row>
    <row r="156" spans="19:19" ht="13.5" customHeight="1">
      <c r="S156" s="1050"/>
    </row>
    <row r="157" spans="19:19" ht="13.5" customHeight="1">
      <c r="S157" s="1050"/>
    </row>
    <row r="158" spans="19:19" ht="13.5" customHeight="1">
      <c r="S158" s="1050"/>
    </row>
    <row r="159" spans="19:19" ht="13.5" customHeight="1">
      <c r="S159" s="1050"/>
    </row>
    <row r="160" spans="19:19" ht="13.5" customHeight="1">
      <c r="S160" s="1050"/>
    </row>
    <row r="161" spans="19:19" ht="13.5" customHeight="1">
      <c r="S161" s="1050"/>
    </row>
    <row r="162" spans="19:19" ht="13.5" customHeight="1">
      <c r="S162" s="1050"/>
    </row>
    <row r="163" spans="19:19" ht="13.5" customHeight="1">
      <c r="S163" s="1050"/>
    </row>
    <row r="164" spans="19:19" ht="13.5" customHeight="1">
      <c r="S164" s="1050"/>
    </row>
    <row r="165" spans="19:19" ht="13.5" customHeight="1">
      <c r="S165" s="1050"/>
    </row>
    <row r="166" spans="19:19" ht="13.5" customHeight="1">
      <c r="S166" s="1050"/>
    </row>
    <row r="167" spans="19:19" ht="13.5" customHeight="1">
      <c r="S167" s="1050"/>
    </row>
    <row r="168" spans="19:19" ht="13.5" customHeight="1">
      <c r="S168" s="1050"/>
    </row>
    <row r="169" spans="19:19" ht="13.5" customHeight="1">
      <c r="S169" s="1050"/>
    </row>
    <row r="170" spans="19:19" ht="13.5" customHeight="1">
      <c r="S170" s="1050"/>
    </row>
    <row r="171" spans="19:19" ht="13.5" customHeight="1">
      <c r="S171" s="1050"/>
    </row>
    <row r="172" spans="19:19" ht="13.5" customHeight="1">
      <c r="S172" s="1050"/>
    </row>
    <row r="173" spans="19:19" ht="13.5" customHeight="1">
      <c r="S173" s="1050"/>
    </row>
    <row r="174" spans="19:19" ht="13.5" customHeight="1">
      <c r="S174" s="1050"/>
    </row>
    <row r="175" spans="19:19" ht="13.5" customHeight="1">
      <c r="S175" s="1050"/>
    </row>
    <row r="176" spans="19:19" ht="13.5" customHeight="1">
      <c r="S176" s="1050"/>
    </row>
    <row r="177" spans="19:19" ht="13.5" customHeight="1">
      <c r="S177" s="1050"/>
    </row>
    <row r="178" spans="19:19" ht="13.5" customHeight="1">
      <c r="S178" s="1050"/>
    </row>
    <row r="179" spans="19:19" ht="13.5" customHeight="1">
      <c r="S179" s="1050"/>
    </row>
    <row r="180" spans="19:19" ht="13.5" customHeight="1">
      <c r="S180" s="1050"/>
    </row>
    <row r="181" spans="19:19" ht="13.5" customHeight="1">
      <c r="S181" s="1050"/>
    </row>
    <row r="182" spans="19:19" ht="13.5" customHeight="1">
      <c r="S182" s="1050"/>
    </row>
    <row r="183" spans="19:19" ht="13.5" customHeight="1">
      <c r="S183" s="1050"/>
    </row>
    <row r="184" spans="19:19" ht="13.5" customHeight="1">
      <c r="S184" s="1050"/>
    </row>
    <row r="185" spans="19:19" ht="13.5" customHeight="1">
      <c r="S185" s="1050"/>
    </row>
    <row r="186" spans="19:19" ht="13.5" customHeight="1">
      <c r="S186" s="1050"/>
    </row>
    <row r="187" spans="19:19" ht="13.5" customHeight="1">
      <c r="S187" s="1050"/>
    </row>
    <row r="188" spans="19:19" ht="13.5" customHeight="1">
      <c r="S188" s="1050"/>
    </row>
    <row r="189" spans="19:19" ht="13.5" customHeight="1">
      <c r="S189" s="1050"/>
    </row>
    <row r="190" spans="19:19" ht="13.5" customHeight="1">
      <c r="S190" s="1050"/>
    </row>
    <row r="191" spans="19:19" ht="13.5" customHeight="1">
      <c r="S191" s="1050"/>
    </row>
    <row r="192" spans="19:19" ht="13.5" customHeight="1">
      <c r="S192" s="1050"/>
    </row>
    <row r="193" spans="19:19" ht="13.5" customHeight="1">
      <c r="S193" s="1050"/>
    </row>
    <row r="194" spans="19:19" ht="13.5" customHeight="1">
      <c r="S194" s="1050"/>
    </row>
    <row r="195" spans="19:19" ht="13.5" customHeight="1">
      <c r="S195" s="1050"/>
    </row>
    <row r="196" spans="19:19" ht="13.5" customHeight="1">
      <c r="S196" s="1050"/>
    </row>
    <row r="197" spans="19:19" ht="13.5" customHeight="1">
      <c r="S197" s="1050"/>
    </row>
    <row r="198" spans="19:19" ht="13.5" customHeight="1">
      <c r="S198" s="1050"/>
    </row>
    <row r="199" spans="19:19" ht="13.5" customHeight="1">
      <c r="S199" s="1050"/>
    </row>
    <row r="200" spans="19:19" ht="13.5" customHeight="1">
      <c r="S200" s="1050"/>
    </row>
    <row r="201" spans="19:19" ht="13.5" customHeight="1">
      <c r="S201" s="1050"/>
    </row>
    <row r="202" spans="19:19" ht="13.5" customHeight="1">
      <c r="S202" s="1050"/>
    </row>
    <row r="203" spans="19:19" ht="13.5" customHeight="1">
      <c r="S203" s="1050"/>
    </row>
    <row r="204" spans="19:19" ht="13.5" customHeight="1">
      <c r="S204" s="1050"/>
    </row>
    <row r="205" spans="19:19" ht="13.5" customHeight="1">
      <c r="S205" s="1050"/>
    </row>
    <row r="206" spans="19:19" ht="13.5" customHeight="1">
      <c r="S206" s="1050"/>
    </row>
    <row r="207" spans="19:19" ht="13.5" customHeight="1">
      <c r="S207" s="1050"/>
    </row>
    <row r="208" spans="19:19" ht="13.5" customHeight="1">
      <c r="S208" s="1050"/>
    </row>
    <row r="209" spans="19:19" ht="13.5" customHeight="1">
      <c r="S209" s="1050"/>
    </row>
    <row r="210" spans="19:19" ht="13.5" customHeight="1">
      <c r="S210" s="1050"/>
    </row>
    <row r="211" spans="19:19" ht="13.5" customHeight="1">
      <c r="S211" s="1050"/>
    </row>
    <row r="212" spans="19:19" ht="13.5" customHeight="1">
      <c r="S212" s="1050"/>
    </row>
    <row r="213" spans="19:19" ht="13.5" customHeight="1">
      <c r="S213" s="1050"/>
    </row>
    <row r="214" spans="19:19" ht="13.5" customHeight="1">
      <c r="S214" s="1050"/>
    </row>
    <row r="215" spans="19:19" ht="13.5" customHeight="1">
      <c r="S215" s="1050"/>
    </row>
    <row r="216" spans="19:19" ht="13.5" customHeight="1">
      <c r="S216" s="1050"/>
    </row>
    <row r="217" spans="19:19" ht="13.5" customHeight="1">
      <c r="S217" s="1050"/>
    </row>
    <row r="218" spans="19:19" ht="13.5" customHeight="1">
      <c r="S218" s="1050"/>
    </row>
    <row r="219" spans="19:19" ht="13.5" customHeight="1">
      <c r="S219" s="1050"/>
    </row>
    <row r="220" spans="19:19" ht="13.5" customHeight="1">
      <c r="S220" s="1050"/>
    </row>
    <row r="221" spans="19:19" ht="13.5" customHeight="1">
      <c r="S221" s="1050"/>
    </row>
    <row r="222" spans="19:19" ht="13.5" customHeight="1">
      <c r="S222" s="1050"/>
    </row>
    <row r="223" spans="19:19" ht="13.5" customHeight="1">
      <c r="S223" s="1050"/>
    </row>
    <row r="224" spans="19:19" ht="13.5" customHeight="1">
      <c r="S224" s="1050"/>
    </row>
    <row r="225" spans="19:19" ht="13.5" customHeight="1">
      <c r="S225" s="1050"/>
    </row>
    <row r="226" spans="19:19" ht="13.5" customHeight="1">
      <c r="S226" s="1050"/>
    </row>
    <row r="227" spans="19:19" ht="13.5" customHeight="1">
      <c r="S227" s="1050"/>
    </row>
    <row r="228" spans="19:19" ht="13.5" customHeight="1">
      <c r="S228" s="1050"/>
    </row>
    <row r="229" spans="19:19" ht="13.5" customHeight="1">
      <c r="S229" s="1050"/>
    </row>
    <row r="230" spans="19:19" ht="13.5" customHeight="1">
      <c r="S230" s="1050"/>
    </row>
    <row r="231" spans="19:19" ht="13.5" customHeight="1">
      <c r="S231" s="1050"/>
    </row>
    <row r="232" spans="19:19" ht="13.5" customHeight="1">
      <c r="S232" s="1050"/>
    </row>
    <row r="233" spans="19:19" ht="13.5" customHeight="1">
      <c r="S233" s="1050"/>
    </row>
    <row r="234" spans="19:19" ht="13.5" customHeight="1">
      <c r="S234" s="1050"/>
    </row>
    <row r="235" spans="19:19" ht="13.5" customHeight="1">
      <c r="S235" s="1050"/>
    </row>
    <row r="236" spans="19:19" ht="13.5" customHeight="1">
      <c r="S236" s="1050"/>
    </row>
    <row r="237" spans="19:19" ht="13.5" customHeight="1">
      <c r="S237" s="1050"/>
    </row>
    <row r="238" spans="19:19" ht="13.5" customHeight="1">
      <c r="S238" s="1050"/>
    </row>
    <row r="239" spans="19:19" ht="13.5" customHeight="1">
      <c r="S239" s="1050"/>
    </row>
    <row r="240" spans="19:19" ht="13.5" customHeight="1">
      <c r="S240" s="1050"/>
    </row>
    <row r="241" spans="19:19" ht="13.5" customHeight="1">
      <c r="S241" s="1050"/>
    </row>
    <row r="242" spans="19:19" ht="13.5" customHeight="1">
      <c r="S242" s="1050"/>
    </row>
    <row r="243" spans="19:19" ht="13.5" customHeight="1">
      <c r="S243" s="1050"/>
    </row>
    <row r="244" spans="19:19" ht="13.5" customHeight="1">
      <c r="S244" s="1050"/>
    </row>
    <row r="245" spans="19:19" ht="13.5" customHeight="1">
      <c r="S245" s="1050"/>
    </row>
    <row r="246" spans="19:19" ht="13.5" customHeight="1">
      <c r="S246" s="1050"/>
    </row>
    <row r="247" spans="19:19" ht="13.5" customHeight="1">
      <c r="S247" s="1050"/>
    </row>
    <row r="248" spans="19:19" ht="13.5" customHeight="1">
      <c r="S248" s="1050"/>
    </row>
    <row r="249" spans="19:19" ht="13.5" customHeight="1">
      <c r="S249" s="1050"/>
    </row>
    <row r="250" spans="19:19" ht="13.5" customHeight="1">
      <c r="S250" s="1050"/>
    </row>
    <row r="251" spans="19:19" ht="13.5" customHeight="1">
      <c r="S251" s="1050"/>
    </row>
    <row r="252" spans="19:19" ht="13.5" customHeight="1">
      <c r="S252" s="1050"/>
    </row>
    <row r="253" spans="19:19" ht="13.5" customHeight="1">
      <c r="S253" s="1050"/>
    </row>
    <row r="254" spans="19:19" ht="13.5" customHeight="1">
      <c r="S254" s="1050"/>
    </row>
    <row r="255" spans="19:19" ht="13.5" customHeight="1">
      <c r="S255" s="1050"/>
    </row>
    <row r="256" spans="19:19" ht="13.5" customHeight="1">
      <c r="S256" s="1050"/>
    </row>
    <row r="257" spans="19:19" ht="13.5" customHeight="1">
      <c r="S257" s="1050"/>
    </row>
    <row r="258" spans="19:19" ht="13.5" customHeight="1">
      <c r="S258" s="1050"/>
    </row>
    <row r="259" spans="19:19" ht="13.5" customHeight="1">
      <c r="S259" s="1050"/>
    </row>
    <row r="260" spans="19:19" ht="13.5" customHeight="1">
      <c r="S260" s="1050"/>
    </row>
    <row r="261" spans="19:19" ht="13.5" customHeight="1">
      <c r="S261" s="1050"/>
    </row>
    <row r="262" spans="19:19" ht="13.5" customHeight="1">
      <c r="S262" s="1050"/>
    </row>
    <row r="263" spans="19:19" ht="13.5" customHeight="1">
      <c r="S263" s="1050"/>
    </row>
    <row r="264" spans="19:19" ht="13.5" customHeight="1">
      <c r="S264" s="1050"/>
    </row>
    <row r="265" spans="19:19" ht="13.5" customHeight="1">
      <c r="S265" s="1050"/>
    </row>
    <row r="266" spans="19:19" ht="13.5" customHeight="1">
      <c r="S266" s="1050"/>
    </row>
    <row r="267" spans="19:19" ht="13.5" customHeight="1">
      <c r="S267" s="1050"/>
    </row>
    <row r="268" spans="19:19" ht="13.5" customHeight="1">
      <c r="S268" s="1050"/>
    </row>
    <row r="269" spans="19:19" ht="13.5" customHeight="1">
      <c r="S269" s="1050"/>
    </row>
    <row r="270" spans="19:19" ht="13.5" customHeight="1">
      <c r="S270" s="1050"/>
    </row>
    <row r="271" spans="19:19" ht="13.5" customHeight="1">
      <c r="S271" s="1050"/>
    </row>
    <row r="272" spans="19:19" ht="13.5" customHeight="1">
      <c r="S272" s="1050"/>
    </row>
    <row r="273" spans="19:19" ht="13.5" customHeight="1">
      <c r="S273" s="1050"/>
    </row>
    <row r="274" spans="19:19" ht="13.5" customHeight="1">
      <c r="S274" s="1050"/>
    </row>
    <row r="275" spans="19:19" ht="13.5" customHeight="1">
      <c r="S275" s="1050"/>
    </row>
    <row r="276" spans="19:19" ht="13.5" customHeight="1">
      <c r="S276" s="1050"/>
    </row>
    <row r="277" spans="19:19" ht="13.5" customHeight="1">
      <c r="S277" s="1050"/>
    </row>
    <row r="278" spans="19:19" ht="13.5" customHeight="1">
      <c r="S278" s="1050"/>
    </row>
    <row r="279" spans="19:19" ht="13.5" customHeight="1">
      <c r="S279" s="1050"/>
    </row>
    <row r="280" spans="19:19" ht="13.5" customHeight="1">
      <c r="S280" s="1050"/>
    </row>
    <row r="281" spans="19:19" ht="13.5" customHeight="1">
      <c r="S281" s="1050"/>
    </row>
    <row r="282" spans="19:19" ht="13.5" customHeight="1">
      <c r="S282" s="1050"/>
    </row>
    <row r="283" spans="19:19" ht="13.5" customHeight="1">
      <c r="S283" s="1050"/>
    </row>
    <row r="284" spans="19:19" ht="13.5" customHeight="1">
      <c r="S284" s="1050"/>
    </row>
    <row r="285" spans="19:19" ht="13.5" customHeight="1">
      <c r="S285" s="1050"/>
    </row>
    <row r="286" spans="19:19" ht="13.5" customHeight="1">
      <c r="S286" s="1050"/>
    </row>
    <row r="287" spans="19:19" ht="13.5" customHeight="1">
      <c r="S287" s="1050"/>
    </row>
    <row r="288" spans="19:19" ht="13.5" customHeight="1">
      <c r="S288" s="1050"/>
    </row>
    <row r="289" spans="19:19" ht="13.5" customHeight="1">
      <c r="S289" s="1050"/>
    </row>
    <row r="290" spans="19:19" ht="13.5" customHeight="1">
      <c r="S290" s="1050"/>
    </row>
    <row r="291" spans="19:19" ht="13.5" customHeight="1">
      <c r="S291" s="1050"/>
    </row>
    <row r="292" spans="19:19" ht="13.5" customHeight="1">
      <c r="S292" s="1050"/>
    </row>
    <row r="293" spans="19:19" ht="13.5" customHeight="1">
      <c r="S293" s="1050"/>
    </row>
    <row r="294" spans="19:19" ht="13.5" customHeight="1">
      <c r="S294" s="1050"/>
    </row>
    <row r="295" spans="19:19" ht="13.5" customHeight="1">
      <c r="S295" s="1050"/>
    </row>
    <row r="296" spans="19:19" ht="13.5" customHeight="1">
      <c r="S296" s="1050"/>
    </row>
    <row r="297" spans="19:19" ht="13.5" customHeight="1">
      <c r="S297" s="1050"/>
    </row>
    <row r="298" spans="19:19" ht="13.5" customHeight="1">
      <c r="S298" s="1050"/>
    </row>
    <row r="299" spans="19:19" ht="13.5" customHeight="1">
      <c r="S299" s="1050"/>
    </row>
    <row r="300" spans="19:19" ht="13.5" customHeight="1">
      <c r="S300" s="1050"/>
    </row>
    <row r="301" spans="19:19" ht="13.5" customHeight="1">
      <c r="S301" s="1050"/>
    </row>
    <row r="302" spans="19:19" ht="13.5" customHeight="1">
      <c r="S302" s="1050"/>
    </row>
    <row r="303" spans="19:19" ht="13.5" customHeight="1">
      <c r="S303" s="1050"/>
    </row>
    <row r="304" spans="19:19" ht="13.5" customHeight="1">
      <c r="S304" s="1050"/>
    </row>
    <row r="305" spans="19:19" ht="13.5" customHeight="1">
      <c r="S305" s="1050"/>
    </row>
    <row r="306" spans="19:19" ht="13.5" customHeight="1">
      <c r="S306" s="1050"/>
    </row>
    <row r="307" spans="19:19" ht="13.5" customHeight="1">
      <c r="S307" s="1050"/>
    </row>
    <row r="308" spans="19:19" ht="13.5" customHeight="1">
      <c r="S308" s="1050"/>
    </row>
    <row r="309" spans="19:19" ht="13.5" customHeight="1">
      <c r="S309" s="1050"/>
    </row>
    <row r="310" spans="19:19" ht="13.5" customHeight="1">
      <c r="S310" s="1050"/>
    </row>
    <row r="311" spans="19:19" ht="13.5" customHeight="1">
      <c r="S311" s="1050"/>
    </row>
    <row r="312" spans="19:19" ht="13.5" customHeight="1">
      <c r="S312" s="1050"/>
    </row>
    <row r="313" spans="19:19" ht="13.5" customHeight="1">
      <c r="S313" s="1050"/>
    </row>
    <row r="314" spans="19:19" ht="13.5" customHeight="1">
      <c r="S314" s="1050"/>
    </row>
    <row r="315" spans="19:19" ht="13.5" customHeight="1">
      <c r="S315" s="1050"/>
    </row>
    <row r="316" spans="19:19" ht="13.5" customHeight="1">
      <c r="S316" s="1050"/>
    </row>
    <row r="317" spans="19:19" ht="13.5" customHeight="1">
      <c r="S317" s="1050"/>
    </row>
    <row r="318" spans="19:19" ht="13.5" customHeight="1">
      <c r="S318" s="1050"/>
    </row>
    <row r="319" spans="19:19" ht="13.5" customHeight="1">
      <c r="S319" s="1050"/>
    </row>
    <row r="320" spans="19:19" ht="13.5" customHeight="1">
      <c r="S320" s="1050"/>
    </row>
    <row r="321" spans="19:19" ht="13.5" customHeight="1">
      <c r="S321" s="1050"/>
    </row>
    <row r="322" spans="19:19" ht="13.5" customHeight="1">
      <c r="S322" s="1050"/>
    </row>
    <row r="323" spans="19:19" ht="13.5" customHeight="1">
      <c r="S323" s="1050"/>
    </row>
    <row r="324" spans="19:19" ht="13.5" customHeight="1">
      <c r="S324" s="1050"/>
    </row>
    <row r="325" spans="19:19" ht="13.5" customHeight="1">
      <c r="S325" s="1050"/>
    </row>
    <row r="326" spans="19:19" ht="13.5" customHeight="1">
      <c r="S326" s="1050"/>
    </row>
    <row r="327" spans="19:19" ht="13.5" customHeight="1">
      <c r="S327" s="1050"/>
    </row>
    <row r="328" spans="19:19" ht="13.5" customHeight="1">
      <c r="S328" s="1050"/>
    </row>
    <row r="329" spans="19:19" ht="13.5" customHeight="1">
      <c r="S329" s="1050"/>
    </row>
    <row r="330" spans="19:19" ht="13.5" customHeight="1">
      <c r="S330" s="1050"/>
    </row>
    <row r="331" spans="19:19" ht="13.5" customHeight="1">
      <c r="S331" s="1050"/>
    </row>
    <row r="332" spans="19:19" ht="13.5" customHeight="1">
      <c r="S332" s="1050"/>
    </row>
    <row r="333" spans="19:19" ht="13.5" customHeight="1">
      <c r="S333" s="1050"/>
    </row>
    <row r="334" spans="19:19" ht="13.5" customHeight="1">
      <c r="S334" s="1050"/>
    </row>
    <row r="335" spans="19:19" ht="13.5" customHeight="1">
      <c r="S335" s="1050"/>
    </row>
    <row r="336" spans="19:19" ht="13.5" customHeight="1">
      <c r="S336" s="1050"/>
    </row>
    <row r="337" spans="19:19" ht="13.5" customHeight="1">
      <c r="S337" s="1050"/>
    </row>
    <row r="338" spans="19:19" ht="13.5" customHeight="1">
      <c r="S338" s="1050"/>
    </row>
    <row r="339" spans="19:19" ht="13.5" customHeight="1">
      <c r="S339" s="1050"/>
    </row>
    <row r="340" spans="19:19" ht="13.5" customHeight="1">
      <c r="S340" s="1050"/>
    </row>
    <row r="341" spans="19:19" ht="13.5" customHeight="1">
      <c r="S341" s="1050"/>
    </row>
    <row r="342" spans="19:19" ht="13.5" customHeight="1">
      <c r="S342" s="1050"/>
    </row>
    <row r="343" spans="19:19" ht="13.5" customHeight="1">
      <c r="S343" s="1050"/>
    </row>
    <row r="344" spans="19:19" ht="13.5" customHeight="1">
      <c r="S344" s="1050"/>
    </row>
    <row r="345" spans="19:19" ht="13.5" customHeight="1">
      <c r="S345" s="1050"/>
    </row>
    <row r="346" spans="19:19" ht="13.5" customHeight="1">
      <c r="S346" s="1050"/>
    </row>
    <row r="347" spans="19:19" ht="13.5" customHeight="1">
      <c r="S347" s="1050"/>
    </row>
    <row r="348" spans="19:19" ht="13.5" customHeight="1">
      <c r="S348" s="1050"/>
    </row>
    <row r="349" spans="19:19" ht="13.5" customHeight="1">
      <c r="S349" s="1050"/>
    </row>
    <row r="350" spans="19:19" ht="13.5" customHeight="1">
      <c r="S350" s="1050"/>
    </row>
    <row r="351" spans="19:19" ht="13.5" customHeight="1">
      <c r="S351" s="1050"/>
    </row>
    <row r="352" spans="19:19" ht="13.5" customHeight="1">
      <c r="S352" s="1050"/>
    </row>
    <row r="353" spans="19:19" ht="13.5" customHeight="1">
      <c r="S353" s="1050"/>
    </row>
    <row r="354" spans="19:19" ht="13.5" customHeight="1">
      <c r="S354" s="1050"/>
    </row>
    <row r="355" spans="19:19" ht="13.5" customHeight="1">
      <c r="S355" s="1050"/>
    </row>
    <row r="356" spans="19:19" ht="13.5" customHeight="1">
      <c r="S356" s="1050"/>
    </row>
    <row r="357" spans="19:19" ht="13.5" customHeight="1">
      <c r="S357" s="1050"/>
    </row>
    <row r="358" spans="19:19" ht="13.5" customHeight="1">
      <c r="S358" s="1050"/>
    </row>
    <row r="359" spans="19:19" ht="13.5" customHeight="1">
      <c r="S359" s="1050"/>
    </row>
    <row r="360" spans="19:19" ht="13.5" customHeight="1">
      <c r="S360" s="1050"/>
    </row>
    <row r="361" spans="19:19" ht="13.5" customHeight="1">
      <c r="S361" s="1050"/>
    </row>
    <row r="362" spans="19:19" ht="13.5" customHeight="1">
      <c r="S362" s="1050"/>
    </row>
    <row r="363" spans="19:19" ht="13.5" customHeight="1">
      <c r="S363" s="1050"/>
    </row>
    <row r="364" spans="19:19" ht="13.5" customHeight="1">
      <c r="S364" s="1050"/>
    </row>
    <row r="365" spans="19:19" ht="13.5" customHeight="1">
      <c r="S365" s="1050"/>
    </row>
    <row r="366" spans="19:19" ht="13.5" customHeight="1">
      <c r="S366" s="1050"/>
    </row>
    <row r="367" spans="19:19" ht="13.5" customHeight="1">
      <c r="S367" s="1050"/>
    </row>
    <row r="368" spans="19:19" ht="13.5" customHeight="1">
      <c r="S368" s="1050"/>
    </row>
    <row r="369" spans="19:19" ht="13.5" customHeight="1">
      <c r="S369" s="1050"/>
    </row>
    <row r="370" spans="19:19" ht="13.5" customHeight="1">
      <c r="S370" s="1050"/>
    </row>
    <row r="371" spans="19:19" ht="13.5" customHeight="1">
      <c r="S371" s="1050"/>
    </row>
    <row r="372" spans="19:19" ht="13.5" customHeight="1">
      <c r="S372" s="1050"/>
    </row>
    <row r="373" spans="19:19" ht="13.5" customHeight="1">
      <c r="S373" s="1050"/>
    </row>
    <row r="374" spans="19:19" ht="13.5" customHeight="1">
      <c r="S374" s="1050"/>
    </row>
    <row r="375" spans="19:19" ht="13.5" customHeight="1">
      <c r="S375" s="1050"/>
    </row>
    <row r="376" spans="19:19" ht="13.5" customHeight="1">
      <c r="S376" s="1050"/>
    </row>
    <row r="377" spans="19:19" ht="13.5" customHeight="1">
      <c r="S377" s="1050"/>
    </row>
    <row r="378" spans="19:19" ht="13.5" customHeight="1">
      <c r="S378" s="1050"/>
    </row>
    <row r="379" spans="19:19" ht="13.5" customHeight="1">
      <c r="S379" s="1050"/>
    </row>
    <row r="380" spans="19:19" ht="13.5" customHeight="1">
      <c r="S380" s="1050"/>
    </row>
    <row r="381" spans="19:19" ht="13.5" customHeight="1">
      <c r="S381" s="1050"/>
    </row>
    <row r="382" spans="19:19" ht="13.5" customHeight="1">
      <c r="S382" s="1050"/>
    </row>
    <row r="383" spans="19:19" ht="13.5" customHeight="1">
      <c r="S383" s="1050"/>
    </row>
    <row r="384" spans="19:19" ht="13.5" customHeight="1">
      <c r="S384" s="1050"/>
    </row>
    <row r="385" spans="19:19" ht="13.5" customHeight="1">
      <c r="S385" s="1050"/>
    </row>
    <row r="386" spans="19:19" ht="13.5" customHeight="1">
      <c r="S386" s="1050"/>
    </row>
    <row r="387" spans="19:19" ht="13.5" customHeight="1">
      <c r="S387" s="1050"/>
    </row>
    <row r="388" spans="19:19" ht="13.5" customHeight="1">
      <c r="S388" s="1050"/>
    </row>
    <row r="389" spans="19:19" ht="13.5" customHeight="1">
      <c r="S389" s="1050"/>
    </row>
    <row r="390" spans="19:19" ht="13.5" customHeight="1">
      <c r="S390" s="1050"/>
    </row>
    <row r="391" spans="19:19" ht="13.5" customHeight="1">
      <c r="S391" s="1050"/>
    </row>
    <row r="392" spans="19:19" ht="13.5" customHeight="1">
      <c r="S392" s="1050"/>
    </row>
    <row r="393" spans="19:19" ht="13.5" customHeight="1">
      <c r="S393" s="1050"/>
    </row>
    <row r="394" spans="19:19" ht="13.5" customHeight="1">
      <c r="S394" s="1050"/>
    </row>
    <row r="395" spans="19:19" ht="13.5" customHeight="1">
      <c r="S395" s="1050"/>
    </row>
    <row r="396" spans="19:19" ht="13.5" customHeight="1">
      <c r="S396" s="1050"/>
    </row>
    <row r="397" spans="19:19" ht="13.5" customHeight="1">
      <c r="S397" s="1050"/>
    </row>
    <row r="398" spans="19:19" ht="13.5" customHeight="1">
      <c r="S398" s="1050"/>
    </row>
    <row r="399" spans="19:19" ht="13.5" customHeight="1">
      <c r="S399" s="1050"/>
    </row>
    <row r="400" spans="19:19" ht="13.5" customHeight="1">
      <c r="S400" s="1050"/>
    </row>
    <row r="401" spans="19:19" ht="13.5" customHeight="1">
      <c r="S401" s="1050"/>
    </row>
    <row r="402" spans="19:19" ht="13.5" customHeight="1">
      <c r="S402" s="1050"/>
    </row>
    <row r="403" spans="19:19" ht="13.5" customHeight="1">
      <c r="S403" s="1050"/>
    </row>
    <row r="404" spans="19:19" ht="13.5" customHeight="1">
      <c r="S404" s="1050"/>
    </row>
    <row r="405" spans="19:19" ht="13.5" customHeight="1">
      <c r="S405" s="1050"/>
    </row>
    <row r="406" spans="19:19" ht="13.5" customHeight="1">
      <c r="S406" s="1050"/>
    </row>
    <row r="407" spans="19:19" ht="13.5" customHeight="1">
      <c r="S407" s="1050"/>
    </row>
    <row r="408" spans="19:19" ht="13.5" customHeight="1">
      <c r="S408" s="1050"/>
    </row>
    <row r="409" spans="19:19" ht="13.5" customHeight="1">
      <c r="S409" s="1050"/>
    </row>
    <row r="410" spans="19:19" ht="13.5" customHeight="1">
      <c r="S410" s="1050"/>
    </row>
    <row r="411" spans="19:19" ht="13.5" customHeight="1">
      <c r="S411" s="1050"/>
    </row>
    <row r="412" spans="19:19" ht="13.5" customHeight="1">
      <c r="S412" s="1050"/>
    </row>
    <row r="413" spans="19:19" ht="13.5" customHeight="1">
      <c r="S413" s="1050"/>
    </row>
    <row r="414" spans="19:19" ht="13.5" customHeight="1">
      <c r="S414" s="1050"/>
    </row>
    <row r="415" spans="19:19" ht="13.5" customHeight="1">
      <c r="S415" s="1050"/>
    </row>
    <row r="416" spans="19:19" ht="13.5" customHeight="1">
      <c r="S416" s="1050"/>
    </row>
    <row r="417" spans="19:19" ht="13.5" customHeight="1">
      <c r="S417" s="1050"/>
    </row>
    <row r="418" spans="19:19" ht="13.5" customHeight="1">
      <c r="S418" s="1050"/>
    </row>
    <row r="419" spans="19:19" ht="13.5" customHeight="1">
      <c r="S419" s="1050"/>
    </row>
    <row r="420" spans="19:19" ht="13.5" customHeight="1">
      <c r="S420" s="1050"/>
    </row>
    <row r="421" spans="19:19" ht="13.5" customHeight="1">
      <c r="S421" s="1050"/>
    </row>
    <row r="422" spans="19:19" ht="13.5" customHeight="1">
      <c r="S422" s="1050"/>
    </row>
    <row r="423" spans="19:19" ht="13.5" customHeight="1">
      <c r="S423" s="1050"/>
    </row>
    <row r="424" spans="19:19" ht="13.5" customHeight="1">
      <c r="S424" s="1050"/>
    </row>
    <row r="425" spans="19:19" ht="13.5" customHeight="1">
      <c r="S425" s="1050"/>
    </row>
    <row r="426" spans="19:19" ht="13.5" customHeight="1">
      <c r="S426" s="1050"/>
    </row>
    <row r="427" spans="19:19" ht="13.5" customHeight="1">
      <c r="S427" s="1050"/>
    </row>
    <row r="428" spans="19:19" ht="13.5" customHeight="1">
      <c r="S428" s="1050"/>
    </row>
    <row r="429" spans="19:19" ht="13.5" customHeight="1">
      <c r="S429" s="1050"/>
    </row>
    <row r="430" spans="19:19" ht="13.5" customHeight="1">
      <c r="S430" s="1050"/>
    </row>
    <row r="431" spans="19:19" ht="13.5" customHeight="1">
      <c r="S431" s="1050"/>
    </row>
    <row r="432" spans="19:19" ht="13.5" customHeight="1">
      <c r="S432" s="1050"/>
    </row>
    <row r="433" spans="19:19" ht="13.5" customHeight="1">
      <c r="S433" s="1050"/>
    </row>
    <row r="434" spans="19:19" ht="13.5" customHeight="1">
      <c r="S434" s="1050"/>
    </row>
    <row r="435" spans="19:19" ht="13.5" customHeight="1">
      <c r="S435" s="1050"/>
    </row>
    <row r="436" spans="19:19" ht="13.5" customHeight="1">
      <c r="S436" s="1050"/>
    </row>
    <row r="437" spans="19:19" ht="13.5" customHeight="1">
      <c r="S437" s="1050"/>
    </row>
    <row r="438" spans="19:19" ht="13.5" customHeight="1">
      <c r="S438" s="1050"/>
    </row>
    <row r="439" spans="19:19" ht="13.5" customHeight="1">
      <c r="S439" s="1050"/>
    </row>
    <row r="440" spans="19:19" ht="13.5" customHeight="1">
      <c r="S440" s="1050"/>
    </row>
    <row r="441" spans="19:19" ht="13.5" customHeight="1">
      <c r="S441" s="1050"/>
    </row>
    <row r="442" spans="19:19" ht="13.5" customHeight="1">
      <c r="S442" s="1050"/>
    </row>
    <row r="443" spans="19:19" ht="13.5" customHeight="1">
      <c r="S443" s="1050"/>
    </row>
    <row r="444" spans="19:19" ht="13.5" customHeight="1">
      <c r="S444" s="1050"/>
    </row>
    <row r="445" spans="19:19" ht="13.5" customHeight="1">
      <c r="S445" s="1050"/>
    </row>
    <row r="446" spans="19:19" ht="13.5" customHeight="1">
      <c r="S446" s="1050"/>
    </row>
    <row r="447" spans="19:19" ht="13.5" customHeight="1">
      <c r="S447" s="1050"/>
    </row>
    <row r="448" spans="19:19" ht="13.5" customHeight="1">
      <c r="S448" s="1050"/>
    </row>
    <row r="449" spans="19:19" ht="13.5" customHeight="1">
      <c r="S449" s="1050"/>
    </row>
    <row r="450" spans="19:19" ht="13.5" customHeight="1">
      <c r="S450" s="1050"/>
    </row>
    <row r="451" spans="19:19" ht="13.5" customHeight="1">
      <c r="S451" s="1050"/>
    </row>
    <row r="452" spans="19:19" ht="13.5" customHeight="1">
      <c r="S452" s="1050"/>
    </row>
    <row r="453" spans="19:19" ht="13.5" customHeight="1">
      <c r="S453" s="1050"/>
    </row>
    <row r="454" spans="19:19" ht="13.5" customHeight="1">
      <c r="S454" s="1050"/>
    </row>
    <row r="455" spans="19:19" ht="13.5" customHeight="1">
      <c r="S455" s="1050"/>
    </row>
    <row r="456" spans="19:19" ht="13.5" customHeight="1">
      <c r="S456" s="1050"/>
    </row>
    <row r="457" spans="19:19" ht="13.5" customHeight="1">
      <c r="S457" s="1050"/>
    </row>
    <row r="458" spans="19:19" ht="13.5" customHeight="1">
      <c r="S458" s="1050"/>
    </row>
    <row r="459" spans="19:19" ht="13.5" customHeight="1">
      <c r="S459" s="1050"/>
    </row>
    <row r="460" spans="19:19" ht="13.5" customHeight="1">
      <c r="S460" s="1050"/>
    </row>
    <row r="461" spans="19:19" ht="13.5" customHeight="1">
      <c r="S461" s="1050"/>
    </row>
    <row r="462" spans="19:19" ht="13.5" customHeight="1">
      <c r="S462" s="1050"/>
    </row>
    <row r="463" spans="19:19" ht="13.5" customHeight="1">
      <c r="S463" s="1050"/>
    </row>
    <row r="464" spans="19:19" ht="13.5" customHeight="1">
      <c r="S464" s="1050"/>
    </row>
    <row r="465" spans="19:19" ht="13.5" customHeight="1">
      <c r="S465" s="1050"/>
    </row>
    <row r="466" spans="19:19" ht="13.5" customHeight="1">
      <c r="S466" s="1050"/>
    </row>
    <row r="467" spans="19:19" ht="13.5" customHeight="1">
      <c r="S467" s="1050"/>
    </row>
    <row r="468" spans="19:19" ht="13.5" customHeight="1">
      <c r="S468" s="1050"/>
    </row>
    <row r="469" spans="19:19" ht="13.5" customHeight="1">
      <c r="S469" s="1050"/>
    </row>
    <row r="470" spans="19:19" ht="13.5" customHeight="1">
      <c r="S470" s="1050"/>
    </row>
    <row r="471" spans="19:19" ht="13.5" customHeight="1">
      <c r="S471" s="1050"/>
    </row>
    <row r="472" spans="19:19" ht="13.5" customHeight="1">
      <c r="S472" s="1050"/>
    </row>
    <row r="473" spans="19:19" ht="13.5" customHeight="1">
      <c r="S473" s="1050"/>
    </row>
    <row r="474" spans="19:19" ht="13.5" customHeight="1">
      <c r="S474" s="1050"/>
    </row>
    <row r="475" spans="19:19" ht="13.5" customHeight="1">
      <c r="S475" s="1050"/>
    </row>
    <row r="476" spans="19:19" ht="13.5" customHeight="1">
      <c r="S476" s="1050"/>
    </row>
    <row r="477" spans="19:19" ht="13.5" customHeight="1">
      <c r="S477" s="1050"/>
    </row>
    <row r="478" spans="19:19" ht="13.5" customHeight="1">
      <c r="S478" s="1050"/>
    </row>
    <row r="479" spans="19:19" ht="13.5" customHeight="1">
      <c r="S479" s="1050"/>
    </row>
    <row r="480" spans="19:19" ht="13.5" customHeight="1">
      <c r="S480" s="1050"/>
    </row>
    <row r="481" spans="19:19" ht="13.5" customHeight="1">
      <c r="S481" s="1050"/>
    </row>
    <row r="482" spans="19:19" ht="13.5" customHeight="1">
      <c r="S482" s="1050"/>
    </row>
    <row r="483" spans="19:19" ht="13.5" customHeight="1">
      <c r="S483" s="1050"/>
    </row>
    <row r="484" spans="19:19" ht="13.5" customHeight="1">
      <c r="S484" s="1050"/>
    </row>
    <row r="485" spans="19:19" ht="13.5" customHeight="1">
      <c r="S485" s="1050"/>
    </row>
    <row r="486" spans="19:19" ht="13.5" customHeight="1">
      <c r="S486" s="1050"/>
    </row>
    <row r="487" spans="19:19" ht="13.5" customHeight="1">
      <c r="S487" s="1050"/>
    </row>
    <row r="488" spans="19:19" ht="13.5" customHeight="1">
      <c r="S488" s="1050"/>
    </row>
    <row r="489" spans="19:19" ht="13.5" customHeight="1">
      <c r="S489" s="1050"/>
    </row>
    <row r="490" spans="19:19" ht="13.5" customHeight="1">
      <c r="S490" s="1050"/>
    </row>
    <row r="491" spans="19:19" ht="13.5" customHeight="1">
      <c r="S491" s="1050"/>
    </row>
    <row r="492" spans="19:19" ht="13.5" customHeight="1">
      <c r="S492" s="1050"/>
    </row>
    <row r="493" spans="19:19" ht="13.5" customHeight="1">
      <c r="S493" s="1050"/>
    </row>
    <row r="494" spans="19:19" ht="13.5" customHeight="1">
      <c r="S494" s="1050"/>
    </row>
    <row r="495" spans="19:19" ht="13.5" customHeight="1">
      <c r="S495" s="1050"/>
    </row>
    <row r="496" spans="19:19" ht="13.5" customHeight="1">
      <c r="S496" s="1050"/>
    </row>
    <row r="497" spans="19:19" ht="13.5" customHeight="1">
      <c r="S497" s="1050"/>
    </row>
    <row r="498" spans="19:19" ht="13.5" customHeight="1">
      <c r="S498" s="1050"/>
    </row>
    <row r="499" spans="19:19" ht="13.5" customHeight="1">
      <c r="S499" s="1050"/>
    </row>
    <row r="500" spans="19:19" ht="13.5" customHeight="1">
      <c r="S500" s="1050"/>
    </row>
    <row r="501" spans="19:19" ht="13.5" customHeight="1">
      <c r="S501" s="1050"/>
    </row>
    <row r="502" spans="19:19" ht="13.5" customHeight="1">
      <c r="S502" s="1050"/>
    </row>
    <row r="503" spans="19:19" ht="13.5" customHeight="1">
      <c r="S503" s="1050"/>
    </row>
    <row r="504" spans="19:19" ht="13.5" customHeight="1">
      <c r="S504" s="1050"/>
    </row>
    <row r="505" spans="19:19" ht="13.5" customHeight="1">
      <c r="S505" s="1050"/>
    </row>
    <row r="506" spans="19:19" ht="13.5" customHeight="1">
      <c r="S506" s="1050"/>
    </row>
    <row r="507" spans="19:19" ht="13.5" customHeight="1">
      <c r="S507" s="1050"/>
    </row>
    <row r="508" spans="19:19" ht="13.5" customHeight="1">
      <c r="S508" s="1050"/>
    </row>
    <row r="509" spans="19:19" ht="13.5" customHeight="1">
      <c r="S509" s="1050"/>
    </row>
    <row r="510" spans="19:19" ht="13.5" customHeight="1">
      <c r="S510" s="1050"/>
    </row>
    <row r="511" spans="19:19" ht="13.5" customHeight="1">
      <c r="S511" s="1050"/>
    </row>
    <row r="512" spans="19:19" ht="13.5" customHeight="1">
      <c r="S512" s="1050"/>
    </row>
    <row r="513" spans="19:19" ht="13.5" customHeight="1">
      <c r="S513" s="1050"/>
    </row>
    <row r="514" spans="19:19" ht="13.5" customHeight="1">
      <c r="S514" s="1050"/>
    </row>
    <row r="515" spans="19:19" ht="13.5" customHeight="1">
      <c r="S515" s="1050"/>
    </row>
    <row r="516" spans="19:19" ht="13.5" customHeight="1">
      <c r="S516" s="1050"/>
    </row>
    <row r="517" spans="19:19" ht="13.5" customHeight="1">
      <c r="S517" s="1050"/>
    </row>
    <row r="518" spans="19:19" ht="13.5" customHeight="1">
      <c r="S518" s="1050"/>
    </row>
    <row r="519" spans="19:19" ht="13.5" customHeight="1">
      <c r="S519" s="1050"/>
    </row>
    <row r="520" spans="19:19" ht="13.5" customHeight="1">
      <c r="S520" s="1050"/>
    </row>
    <row r="521" spans="19:19" ht="13.5" customHeight="1">
      <c r="S521" s="1050"/>
    </row>
    <row r="522" spans="19:19" ht="13.5" customHeight="1">
      <c r="S522" s="1050"/>
    </row>
    <row r="523" spans="19:19" ht="13.5" customHeight="1">
      <c r="S523" s="1050"/>
    </row>
    <row r="524" spans="19:19" ht="13.5" customHeight="1">
      <c r="S524" s="1050"/>
    </row>
    <row r="525" spans="19:19" ht="13.5" customHeight="1">
      <c r="S525" s="1050"/>
    </row>
    <row r="526" spans="19:19" ht="13.5" customHeight="1">
      <c r="S526" s="1050"/>
    </row>
    <row r="527" spans="19:19" ht="13.5" customHeight="1">
      <c r="S527" s="1050"/>
    </row>
    <row r="528" spans="19:19" ht="13.5" customHeight="1">
      <c r="S528" s="1050"/>
    </row>
    <row r="529" spans="19:19" ht="13.5" customHeight="1">
      <c r="S529" s="1050"/>
    </row>
    <row r="530" spans="19:19" ht="13.5" customHeight="1">
      <c r="S530" s="1050"/>
    </row>
    <row r="531" spans="19:19" ht="13.5" customHeight="1">
      <c r="S531" s="1050"/>
    </row>
    <row r="532" spans="19:19" ht="13.5" customHeight="1">
      <c r="S532" s="1050"/>
    </row>
    <row r="533" spans="19:19" ht="13.5" customHeight="1">
      <c r="S533" s="1050"/>
    </row>
    <row r="534" spans="19:19" ht="13.5" customHeight="1">
      <c r="S534" s="1050"/>
    </row>
    <row r="535" spans="19:19" ht="13.5" customHeight="1">
      <c r="S535" s="1050"/>
    </row>
    <row r="536" spans="19:19" ht="13.5" customHeight="1">
      <c r="S536" s="1050"/>
    </row>
    <row r="537" spans="19:19" ht="13.5" customHeight="1">
      <c r="S537" s="1050"/>
    </row>
    <row r="538" spans="19:19" ht="13.5" customHeight="1">
      <c r="S538" s="1050"/>
    </row>
    <row r="539" spans="19:19" ht="13.5" customHeight="1">
      <c r="S539" s="1050"/>
    </row>
    <row r="540" spans="19:19" ht="13.5" customHeight="1">
      <c r="S540" s="1050"/>
    </row>
    <row r="541" spans="19:19" ht="13.5" customHeight="1">
      <c r="S541" s="1050"/>
    </row>
    <row r="542" spans="19:19" ht="13.5" customHeight="1">
      <c r="S542" s="1050"/>
    </row>
    <row r="543" spans="19:19" ht="13.5" customHeight="1">
      <c r="S543" s="1050"/>
    </row>
    <row r="544" spans="19:19" ht="13.5" customHeight="1">
      <c r="S544" s="1050"/>
    </row>
    <row r="545" spans="19:19" ht="13.5" customHeight="1">
      <c r="S545" s="1050"/>
    </row>
    <row r="546" spans="19:19" ht="13.5" customHeight="1">
      <c r="S546" s="1050"/>
    </row>
    <row r="547" spans="19:19" ht="13.5" customHeight="1">
      <c r="S547" s="1050"/>
    </row>
    <row r="548" spans="19:19" ht="13.5" customHeight="1">
      <c r="S548" s="1050"/>
    </row>
    <row r="549" spans="19:19" ht="13.5" customHeight="1">
      <c r="S549" s="1050"/>
    </row>
    <row r="550" spans="19:19" ht="13.5" customHeight="1">
      <c r="S550" s="1050"/>
    </row>
    <row r="551" spans="19:19" ht="13.5" customHeight="1">
      <c r="S551" s="1050"/>
    </row>
    <row r="552" spans="19:19" ht="13.5" customHeight="1">
      <c r="S552" s="1050"/>
    </row>
    <row r="553" spans="19:19" ht="13.5" customHeight="1">
      <c r="S553" s="1050"/>
    </row>
    <row r="554" spans="19:19" ht="13.5" customHeight="1">
      <c r="S554" s="1050"/>
    </row>
    <row r="555" spans="19:19" ht="13.5" customHeight="1">
      <c r="S555" s="1050"/>
    </row>
    <row r="556" spans="19:19" ht="13.5" customHeight="1">
      <c r="S556" s="1050"/>
    </row>
    <row r="557" spans="19:19" ht="13.5" customHeight="1">
      <c r="S557" s="1050"/>
    </row>
    <row r="558" spans="19:19" ht="13.5" customHeight="1">
      <c r="S558" s="1050"/>
    </row>
    <row r="559" spans="19:19" ht="13.5" customHeight="1">
      <c r="S559" s="1050"/>
    </row>
    <row r="560" spans="19:19" ht="13.5" customHeight="1">
      <c r="S560" s="1050"/>
    </row>
    <row r="561" spans="19:19" ht="13.5" customHeight="1">
      <c r="S561" s="1050"/>
    </row>
    <row r="562" spans="19:19" ht="13.5" customHeight="1">
      <c r="S562" s="1050"/>
    </row>
    <row r="563" spans="19:19" ht="13.5" customHeight="1">
      <c r="S563" s="1050"/>
    </row>
    <row r="564" spans="19:19" ht="13.5" customHeight="1">
      <c r="S564" s="1050"/>
    </row>
    <row r="565" spans="19:19" ht="13.5" customHeight="1">
      <c r="S565" s="1050"/>
    </row>
    <row r="566" spans="19:19" ht="13.5" customHeight="1">
      <c r="S566" s="1050"/>
    </row>
    <row r="567" spans="19:19" ht="13.5" customHeight="1">
      <c r="S567" s="1050"/>
    </row>
    <row r="568" spans="19:19" ht="13.5" customHeight="1">
      <c r="S568" s="1050"/>
    </row>
    <row r="569" spans="19:19" ht="13.5" customHeight="1">
      <c r="S569" s="1050"/>
    </row>
    <row r="570" spans="19:19" ht="13.5" customHeight="1">
      <c r="S570" s="1050"/>
    </row>
    <row r="571" spans="19:19" ht="13.5" customHeight="1">
      <c r="S571" s="1050"/>
    </row>
    <row r="572" spans="19:19" ht="13.5" customHeight="1">
      <c r="S572" s="1050"/>
    </row>
    <row r="573" spans="19:19" ht="13.5" customHeight="1">
      <c r="S573" s="1050"/>
    </row>
    <row r="574" spans="19:19" ht="13.5" customHeight="1">
      <c r="S574" s="1050"/>
    </row>
    <row r="575" spans="19:19" ht="13.5" customHeight="1">
      <c r="S575" s="1050"/>
    </row>
    <row r="576" spans="19:19" ht="13.5" customHeight="1">
      <c r="S576" s="1050"/>
    </row>
    <row r="577" spans="19:19" ht="13.5" customHeight="1">
      <c r="S577" s="1050"/>
    </row>
    <row r="578" spans="19:19" ht="13.5" customHeight="1">
      <c r="S578" s="1050"/>
    </row>
    <row r="579" spans="19:19" ht="13.5" customHeight="1">
      <c r="S579" s="1050"/>
    </row>
    <row r="580" spans="19:19" ht="13.5" customHeight="1">
      <c r="S580" s="1050"/>
    </row>
    <row r="581" spans="19:19" ht="13.5" customHeight="1">
      <c r="S581" s="1050"/>
    </row>
    <row r="582" spans="19:19" ht="13.5" customHeight="1">
      <c r="S582" s="1050"/>
    </row>
    <row r="583" spans="19:19" ht="13.5" customHeight="1">
      <c r="S583" s="1050"/>
    </row>
    <row r="584" spans="19:19" ht="13.5" customHeight="1">
      <c r="S584" s="1050"/>
    </row>
    <row r="585" spans="19:19" ht="13.5" customHeight="1">
      <c r="S585" s="1050"/>
    </row>
    <row r="586" spans="19:19" ht="13.5" customHeight="1">
      <c r="S586" s="1050"/>
    </row>
    <row r="587" spans="19:19" ht="13.5" customHeight="1">
      <c r="S587" s="1050"/>
    </row>
    <row r="588" spans="19:19" ht="13.5" customHeight="1">
      <c r="S588" s="1050"/>
    </row>
    <row r="589" spans="19:19" ht="13.5" customHeight="1">
      <c r="S589" s="1050"/>
    </row>
    <row r="590" spans="19:19" ht="13.5" customHeight="1">
      <c r="S590" s="1050"/>
    </row>
    <row r="591" spans="19:19" ht="13.5" customHeight="1">
      <c r="S591" s="1050"/>
    </row>
    <row r="592" spans="19:19" ht="13.5" customHeight="1">
      <c r="S592" s="1050"/>
    </row>
    <row r="593" spans="19:19" ht="13.5" customHeight="1">
      <c r="S593" s="1050"/>
    </row>
    <row r="594" spans="19:19" ht="13.5" customHeight="1">
      <c r="S594" s="1050"/>
    </row>
    <row r="595" spans="19:19" ht="13.5" customHeight="1">
      <c r="S595" s="1050"/>
    </row>
    <row r="596" spans="19:19" ht="13.5" customHeight="1">
      <c r="S596" s="1050"/>
    </row>
    <row r="597" spans="19:19" ht="13.5" customHeight="1">
      <c r="S597" s="1050"/>
    </row>
    <row r="598" spans="19:19" ht="13.5" customHeight="1">
      <c r="S598" s="1050"/>
    </row>
    <row r="599" spans="19:19" ht="13.5" customHeight="1">
      <c r="S599" s="1050"/>
    </row>
    <row r="600" spans="19:19" ht="13.5" customHeight="1">
      <c r="S600" s="1050"/>
    </row>
    <row r="601" spans="19:19" ht="13.5" customHeight="1">
      <c r="S601" s="1050"/>
    </row>
    <row r="602" spans="19:19" ht="13.5" customHeight="1">
      <c r="S602" s="1050"/>
    </row>
    <row r="603" spans="19:19" ht="13.5" customHeight="1">
      <c r="S603" s="1050"/>
    </row>
    <row r="604" spans="19:19" ht="13.5" customHeight="1">
      <c r="S604" s="1050"/>
    </row>
    <row r="605" spans="19:19" ht="13.5" customHeight="1">
      <c r="S605" s="1050"/>
    </row>
    <row r="606" spans="19:19" ht="13.5" customHeight="1">
      <c r="S606" s="1050"/>
    </row>
    <row r="607" spans="19:19" ht="13.5" customHeight="1">
      <c r="S607" s="1050"/>
    </row>
    <row r="608" spans="19:19" ht="13.5" customHeight="1">
      <c r="S608" s="1050"/>
    </row>
    <row r="609" spans="19:19" ht="13.5" customHeight="1">
      <c r="S609" s="1050"/>
    </row>
    <row r="610" spans="19:19" ht="13.5" customHeight="1">
      <c r="S610" s="1050"/>
    </row>
    <row r="611" spans="19:19" ht="13.5" customHeight="1">
      <c r="S611" s="1050"/>
    </row>
    <row r="612" spans="19:19" ht="13.5" customHeight="1">
      <c r="S612" s="1050"/>
    </row>
    <row r="613" spans="19:19" ht="13.5" customHeight="1">
      <c r="S613" s="1050"/>
    </row>
    <row r="614" spans="19:19" ht="13.5" customHeight="1">
      <c r="S614" s="1050"/>
    </row>
    <row r="615" spans="19:19" ht="13.5" customHeight="1">
      <c r="S615" s="1050"/>
    </row>
    <row r="616" spans="19:19" ht="13.5" customHeight="1">
      <c r="S616" s="1050"/>
    </row>
    <row r="617" spans="19:19" ht="13.5" customHeight="1">
      <c r="S617" s="1050"/>
    </row>
    <row r="618" spans="19:19" ht="13.5" customHeight="1">
      <c r="S618" s="1050"/>
    </row>
    <row r="619" spans="19:19" ht="13.5" customHeight="1">
      <c r="S619" s="1050"/>
    </row>
    <row r="620" spans="19:19" ht="13.5" customHeight="1">
      <c r="S620" s="1050"/>
    </row>
    <row r="621" spans="19:19" ht="13.5" customHeight="1">
      <c r="S621" s="1050"/>
    </row>
    <row r="622" spans="19:19" ht="13.5" customHeight="1">
      <c r="S622" s="1050"/>
    </row>
    <row r="623" spans="19:19" ht="13.5" customHeight="1">
      <c r="S623" s="1050"/>
    </row>
    <row r="624" spans="19:19" ht="13.5" customHeight="1">
      <c r="S624" s="1050"/>
    </row>
    <row r="625" spans="19:19" ht="13.5" customHeight="1">
      <c r="S625" s="1050"/>
    </row>
    <row r="626" spans="19:19" ht="13.5" customHeight="1">
      <c r="S626" s="1050"/>
    </row>
    <row r="627" spans="19:19" ht="13.5" customHeight="1">
      <c r="S627" s="1050"/>
    </row>
    <row r="628" spans="19:19" ht="13.5" customHeight="1">
      <c r="S628" s="1050"/>
    </row>
    <row r="629" spans="19:19" ht="13.5" customHeight="1">
      <c r="S629" s="1050"/>
    </row>
    <row r="630" spans="19:19" ht="13.5" customHeight="1">
      <c r="S630" s="1050"/>
    </row>
    <row r="631" spans="19:19" ht="13.5" customHeight="1">
      <c r="S631" s="1050"/>
    </row>
    <row r="632" spans="19:19" ht="13.5" customHeight="1">
      <c r="S632" s="1050"/>
    </row>
    <row r="633" spans="19:19" ht="13.5" customHeight="1">
      <c r="S633" s="1050"/>
    </row>
    <row r="634" spans="19:19" ht="13.5" customHeight="1">
      <c r="S634" s="1050"/>
    </row>
    <row r="635" spans="19:19" ht="13.5" customHeight="1">
      <c r="S635" s="1050"/>
    </row>
    <row r="636" spans="19:19" ht="13.5" customHeight="1">
      <c r="S636" s="1050"/>
    </row>
    <row r="637" spans="19:19" ht="13.5" customHeight="1">
      <c r="S637" s="1050"/>
    </row>
    <row r="638" spans="19:19" ht="13.5" customHeight="1">
      <c r="S638" s="1050"/>
    </row>
    <row r="639" spans="19:19" ht="13.5" customHeight="1">
      <c r="S639" s="1050"/>
    </row>
    <row r="640" spans="19:19" ht="13.5" customHeight="1">
      <c r="S640" s="1050"/>
    </row>
    <row r="641" spans="19:19" ht="13.5" customHeight="1">
      <c r="S641" s="1050"/>
    </row>
    <row r="642" spans="19:19" ht="13.5" customHeight="1">
      <c r="S642" s="1050"/>
    </row>
    <row r="643" spans="19:19" ht="13.5" customHeight="1">
      <c r="S643" s="1050"/>
    </row>
    <row r="644" spans="19:19" ht="13.5" customHeight="1">
      <c r="S644" s="1050"/>
    </row>
    <row r="645" spans="19:19" ht="13.5" customHeight="1">
      <c r="S645" s="1050"/>
    </row>
    <row r="646" spans="19:19" ht="13.5" customHeight="1">
      <c r="S646" s="1050"/>
    </row>
    <row r="647" spans="19:19" ht="13.5" customHeight="1">
      <c r="S647" s="1050"/>
    </row>
    <row r="648" spans="19:19" ht="13.5" customHeight="1">
      <c r="S648" s="1050"/>
    </row>
    <row r="649" spans="19:19" ht="13.5" customHeight="1">
      <c r="S649" s="1050"/>
    </row>
    <row r="650" spans="19:19" ht="13.5" customHeight="1">
      <c r="S650" s="1050"/>
    </row>
    <row r="651" spans="19:19" ht="13.5" customHeight="1">
      <c r="S651" s="1050"/>
    </row>
    <row r="652" spans="19:19" ht="13.5" customHeight="1">
      <c r="S652" s="1050"/>
    </row>
    <row r="653" spans="19:19" ht="13.5" customHeight="1">
      <c r="S653" s="1050"/>
    </row>
    <row r="654" spans="19:19" ht="13.5" customHeight="1">
      <c r="S654" s="1050"/>
    </row>
    <row r="655" spans="19:19" ht="13.5" customHeight="1">
      <c r="S655" s="1050"/>
    </row>
    <row r="656" spans="19:19" ht="13.5" customHeight="1">
      <c r="S656" s="1050"/>
    </row>
    <row r="657" spans="19:19" ht="13.5" customHeight="1">
      <c r="S657" s="1050"/>
    </row>
    <row r="658" spans="19:19" ht="13.5" customHeight="1">
      <c r="S658" s="1050"/>
    </row>
    <row r="659" spans="19:19" ht="13.5" customHeight="1">
      <c r="S659" s="1050"/>
    </row>
    <row r="660" spans="19:19" ht="13.5" customHeight="1">
      <c r="S660" s="1050"/>
    </row>
    <row r="661" spans="19:19" ht="13.5" customHeight="1">
      <c r="S661" s="1050"/>
    </row>
    <row r="662" spans="19:19" ht="13.5" customHeight="1">
      <c r="S662" s="1050"/>
    </row>
    <row r="663" spans="19:19" ht="13.5" customHeight="1">
      <c r="S663" s="1050"/>
    </row>
    <row r="664" spans="19:19" ht="13.5" customHeight="1">
      <c r="S664" s="1050"/>
    </row>
    <row r="665" spans="19:19" ht="13.5" customHeight="1">
      <c r="S665" s="1050"/>
    </row>
    <row r="666" spans="19:19" ht="13.5" customHeight="1">
      <c r="S666" s="1050"/>
    </row>
    <row r="667" spans="19:19" ht="13.5" customHeight="1">
      <c r="S667" s="1050"/>
    </row>
    <row r="668" spans="19:19" ht="13.5" customHeight="1">
      <c r="S668" s="1050"/>
    </row>
    <row r="669" spans="19:19" ht="13.5" customHeight="1">
      <c r="S669" s="1050"/>
    </row>
    <row r="670" spans="19:19" ht="13.5" customHeight="1">
      <c r="S670" s="1050"/>
    </row>
    <row r="671" spans="19:19" ht="13.5" customHeight="1">
      <c r="S671" s="1050"/>
    </row>
    <row r="672" spans="19:19" ht="13.5" customHeight="1">
      <c r="S672" s="1050"/>
    </row>
    <row r="673" spans="19:19" ht="13.5" customHeight="1">
      <c r="S673" s="1050"/>
    </row>
    <row r="674" spans="19:19" ht="13.5" customHeight="1">
      <c r="S674" s="1050"/>
    </row>
    <row r="675" spans="19:19" ht="13.5" customHeight="1">
      <c r="S675" s="1050"/>
    </row>
    <row r="676" spans="19:19" ht="13.5" customHeight="1">
      <c r="S676" s="1050"/>
    </row>
    <row r="677" spans="19:19" ht="13.5" customHeight="1">
      <c r="S677" s="1050"/>
    </row>
    <row r="678" spans="19:19" ht="13.5" customHeight="1">
      <c r="S678" s="1050"/>
    </row>
    <row r="679" spans="19:19" ht="13.5" customHeight="1">
      <c r="S679" s="1050"/>
    </row>
    <row r="680" spans="19:19" ht="13.5" customHeight="1">
      <c r="S680" s="1050"/>
    </row>
    <row r="681" spans="19:19" ht="13.5" customHeight="1">
      <c r="S681" s="1050"/>
    </row>
    <row r="682" spans="19:19" ht="13.5" customHeight="1">
      <c r="S682" s="1050"/>
    </row>
    <row r="683" spans="19:19" ht="13.5" customHeight="1">
      <c r="S683" s="1050"/>
    </row>
    <row r="684" spans="19:19" ht="13.5" customHeight="1">
      <c r="S684" s="1050"/>
    </row>
    <row r="685" spans="19:19" ht="13.5" customHeight="1">
      <c r="S685" s="1050"/>
    </row>
    <row r="686" spans="19:19" ht="13.5" customHeight="1">
      <c r="S686" s="1050"/>
    </row>
    <row r="687" spans="19:19" ht="13.5" customHeight="1">
      <c r="S687" s="1050"/>
    </row>
    <row r="688" spans="19:19" ht="13.5" customHeight="1">
      <c r="S688" s="1050"/>
    </row>
    <row r="689" spans="19:19" ht="13.5" customHeight="1">
      <c r="S689" s="1050"/>
    </row>
    <row r="690" spans="19:19" ht="13.5" customHeight="1">
      <c r="S690" s="1050"/>
    </row>
    <row r="691" spans="19:19" ht="13.5" customHeight="1">
      <c r="S691" s="1050"/>
    </row>
    <row r="692" spans="19:19" ht="13.5" customHeight="1">
      <c r="S692" s="1050"/>
    </row>
    <row r="693" spans="19:19" ht="13.5" customHeight="1">
      <c r="S693" s="1050"/>
    </row>
    <row r="694" spans="19:19" ht="13.5" customHeight="1">
      <c r="S694" s="1050"/>
    </row>
    <row r="695" spans="19:19" ht="13.5" customHeight="1">
      <c r="S695" s="1050"/>
    </row>
    <row r="696" spans="19:19" ht="13.5" customHeight="1">
      <c r="S696" s="1050"/>
    </row>
    <row r="697" spans="19:19" ht="13.5" customHeight="1">
      <c r="S697" s="1050"/>
    </row>
    <row r="698" spans="19:19" ht="13.5" customHeight="1">
      <c r="S698" s="1050"/>
    </row>
    <row r="699" spans="19:19" ht="13.5" customHeight="1">
      <c r="S699" s="1050"/>
    </row>
    <row r="700" spans="19:19" ht="13.5" customHeight="1">
      <c r="S700" s="1050"/>
    </row>
    <row r="701" spans="19:19" ht="13.5" customHeight="1">
      <c r="S701" s="1050"/>
    </row>
    <row r="702" spans="19:19" ht="13.5" customHeight="1">
      <c r="S702" s="1050"/>
    </row>
    <row r="703" spans="19:19" ht="13.5" customHeight="1">
      <c r="S703" s="1050"/>
    </row>
    <row r="704" spans="19:19" ht="13.5" customHeight="1">
      <c r="S704" s="1050"/>
    </row>
    <row r="705" spans="19:19" ht="13.5" customHeight="1">
      <c r="S705" s="1050"/>
    </row>
    <row r="706" spans="19:19" ht="13.5" customHeight="1">
      <c r="S706" s="1050"/>
    </row>
    <row r="707" spans="19:19" ht="13.5" customHeight="1">
      <c r="S707" s="1050"/>
    </row>
    <row r="708" spans="19:19" ht="13.5" customHeight="1">
      <c r="S708" s="1050"/>
    </row>
    <row r="709" spans="19:19" ht="13.5" customHeight="1">
      <c r="S709" s="1050"/>
    </row>
    <row r="710" spans="19:19" ht="13.5" customHeight="1">
      <c r="S710" s="1050"/>
    </row>
    <row r="711" spans="19:19" ht="13.5" customHeight="1">
      <c r="S711" s="1050"/>
    </row>
    <row r="712" spans="19:19" ht="13.5" customHeight="1">
      <c r="S712" s="1050"/>
    </row>
    <row r="713" spans="19:19" ht="13.5" customHeight="1">
      <c r="S713" s="1050"/>
    </row>
    <row r="714" spans="19:19" ht="13.5" customHeight="1">
      <c r="S714" s="1050"/>
    </row>
    <row r="715" spans="19:19" ht="13.5" customHeight="1">
      <c r="S715" s="1050"/>
    </row>
    <row r="716" spans="19:19" ht="13.5" customHeight="1">
      <c r="S716" s="1050"/>
    </row>
    <row r="717" spans="19:19" ht="13.5" customHeight="1">
      <c r="S717" s="1050"/>
    </row>
    <row r="718" spans="19:19" ht="13.5" customHeight="1">
      <c r="S718" s="1050"/>
    </row>
    <row r="719" spans="19:19" ht="13.5" customHeight="1">
      <c r="S719" s="1050"/>
    </row>
    <row r="720" spans="19:19" ht="13.5" customHeight="1">
      <c r="S720" s="1050"/>
    </row>
    <row r="721" spans="19:19" ht="13.5" customHeight="1">
      <c r="S721" s="1050"/>
    </row>
    <row r="722" spans="19:19" ht="13.5" customHeight="1">
      <c r="S722" s="1050"/>
    </row>
    <row r="723" spans="19:19" ht="13.5" customHeight="1">
      <c r="S723" s="1050"/>
    </row>
    <row r="724" spans="19:19" ht="13.5" customHeight="1">
      <c r="S724" s="1050"/>
    </row>
    <row r="725" spans="19:19" ht="13.5" customHeight="1">
      <c r="S725" s="1050"/>
    </row>
    <row r="726" spans="19:19" ht="13.5" customHeight="1">
      <c r="S726" s="1050"/>
    </row>
    <row r="727" spans="19:19" ht="13.5" customHeight="1">
      <c r="S727" s="1050"/>
    </row>
    <row r="728" spans="19:19" ht="13.5" customHeight="1">
      <c r="S728" s="1050"/>
    </row>
    <row r="729" spans="19:19" ht="13.5" customHeight="1">
      <c r="S729" s="1050"/>
    </row>
    <row r="730" spans="19:19" ht="13.5" customHeight="1">
      <c r="S730" s="1050"/>
    </row>
    <row r="731" spans="19:19" ht="13.5" customHeight="1">
      <c r="S731" s="1050"/>
    </row>
    <row r="732" spans="19:19" ht="13.5" customHeight="1">
      <c r="S732" s="1050"/>
    </row>
    <row r="733" spans="19:19" ht="13.5" customHeight="1">
      <c r="S733" s="1050"/>
    </row>
    <row r="734" spans="19:19" ht="13.5" customHeight="1">
      <c r="S734" s="1050"/>
    </row>
    <row r="735" spans="19:19" ht="13.5" customHeight="1">
      <c r="S735" s="1050"/>
    </row>
    <row r="736" spans="19:19" ht="13.5" customHeight="1">
      <c r="S736" s="1050"/>
    </row>
    <row r="737" spans="19:19" ht="13.5" customHeight="1">
      <c r="S737" s="1050"/>
    </row>
    <row r="738" spans="19:19" ht="13.5" customHeight="1">
      <c r="S738" s="1050"/>
    </row>
    <row r="739" spans="19:19" ht="13.5" customHeight="1">
      <c r="S739" s="1050"/>
    </row>
    <row r="740" spans="19:19" ht="13.5" customHeight="1">
      <c r="S740" s="1050"/>
    </row>
    <row r="741" spans="19:19" ht="13.5" customHeight="1">
      <c r="S741" s="1050"/>
    </row>
    <row r="742" spans="19:19" ht="13.5" customHeight="1">
      <c r="S742" s="1050"/>
    </row>
    <row r="743" spans="19:19" ht="13.5" customHeight="1">
      <c r="S743" s="1050"/>
    </row>
    <row r="744" spans="19:19" ht="13.5" customHeight="1">
      <c r="S744" s="1050"/>
    </row>
    <row r="745" spans="19:19" ht="13.5" customHeight="1">
      <c r="S745" s="1050"/>
    </row>
    <row r="746" spans="19:19" ht="13.5" customHeight="1">
      <c r="S746" s="1050"/>
    </row>
    <row r="747" spans="19:19" ht="13.5" customHeight="1">
      <c r="S747" s="1050"/>
    </row>
    <row r="748" spans="19:19" ht="13.5" customHeight="1">
      <c r="S748" s="1050"/>
    </row>
    <row r="749" spans="19:19" ht="13.5" customHeight="1">
      <c r="S749" s="1050"/>
    </row>
    <row r="750" spans="19:19" ht="13.5" customHeight="1">
      <c r="S750" s="1050"/>
    </row>
    <row r="751" spans="19:19" ht="13.5" customHeight="1">
      <c r="S751" s="1050"/>
    </row>
    <row r="752" spans="19:19" ht="13.5" customHeight="1">
      <c r="S752" s="1050"/>
    </row>
    <row r="753" spans="19:19" ht="13.5" customHeight="1">
      <c r="S753" s="1050"/>
    </row>
    <row r="754" spans="19:19" ht="13.5" customHeight="1">
      <c r="S754" s="1050"/>
    </row>
    <row r="755" spans="19:19" ht="13.5" customHeight="1">
      <c r="S755" s="1050"/>
    </row>
    <row r="756" spans="19:19" ht="13.5" customHeight="1">
      <c r="S756" s="1050"/>
    </row>
    <row r="757" spans="19:19" ht="13.5" customHeight="1">
      <c r="S757" s="1050"/>
    </row>
    <row r="758" spans="19:19" ht="13.5" customHeight="1">
      <c r="S758" s="1050"/>
    </row>
    <row r="759" spans="19:19" ht="13.5" customHeight="1">
      <c r="S759" s="1050"/>
    </row>
    <row r="760" spans="19:19" ht="13.5" customHeight="1">
      <c r="S760" s="1050"/>
    </row>
    <row r="761" spans="19:19" ht="13.5" customHeight="1">
      <c r="S761" s="1050"/>
    </row>
    <row r="762" spans="19:19" ht="13.5" customHeight="1">
      <c r="S762" s="1050"/>
    </row>
    <row r="763" spans="19:19" ht="13.5" customHeight="1">
      <c r="S763" s="1050"/>
    </row>
    <row r="764" spans="19:19" ht="13.5" customHeight="1">
      <c r="S764" s="1050"/>
    </row>
    <row r="765" spans="19:19" ht="13.5" customHeight="1">
      <c r="S765" s="1050"/>
    </row>
    <row r="766" spans="19:19" ht="13.5" customHeight="1">
      <c r="S766" s="1050"/>
    </row>
    <row r="767" spans="19:19" ht="13.5" customHeight="1">
      <c r="S767" s="1050"/>
    </row>
    <row r="768" spans="19:19" ht="13.5" customHeight="1">
      <c r="S768" s="1050"/>
    </row>
    <row r="769" spans="19:19" ht="13.5" customHeight="1">
      <c r="S769" s="1050"/>
    </row>
    <row r="770" spans="19:19" ht="13.5" customHeight="1">
      <c r="S770" s="1050"/>
    </row>
    <row r="771" spans="19:19" ht="13.5" customHeight="1">
      <c r="S771" s="1050"/>
    </row>
    <row r="772" spans="19:19" ht="13.5" customHeight="1">
      <c r="S772" s="1050"/>
    </row>
    <row r="773" spans="19:19" ht="13.5" customHeight="1">
      <c r="S773" s="1050"/>
    </row>
    <row r="774" spans="19:19" ht="13.5" customHeight="1">
      <c r="S774" s="1050"/>
    </row>
    <row r="775" spans="19:19" ht="13.5" customHeight="1">
      <c r="S775" s="1050"/>
    </row>
    <row r="776" spans="19:19" ht="13.5" customHeight="1">
      <c r="S776" s="1050"/>
    </row>
    <row r="777" spans="19:19" ht="13.5" customHeight="1">
      <c r="S777" s="1050"/>
    </row>
    <row r="778" spans="19:19" ht="13.5" customHeight="1">
      <c r="S778" s="1050"/>
    </row>
    <row r="779" spans="19:19" ht="13.5" customHeight="1">
      <c r="S779" s="1050"/>
    </row>
    <row r="780" spans="19:19" ht="13.5" customHeight="1">
      <c r="S780" s="1050"/>
    </row>
    <row r="781" spans="19:19" ht="13.5" customHeight="1">
      <c r="S781" s="1050"/>
    </row>
    <row r="782" spans="19:19" ht="13.5" customHeight="1">
      <c r="S782" s="1050"/>
    </row>
    <row r="783" spans="19:19" ht="13.5" customHeight="1">
      <c r="S783" s="1050"/>
    </row>
    <row r="784" spans="19:19" ht="13.5" customHeight="1">
      <c r="S784" s="1050"/>
    </row>
    <row r="785" spans="19:19" ht="13.5" customHeight="1">
      <c r="S785" s="1050"/>
    </row>
    <row r="786" spans="19:19" ht="13.5" customHeight="1">
      <c r="S786" s="1050"/>
    </row>
    <row r="787" spans="19:19" ht="13.5" customHeight="1">
      <c r="S787" s="1050"/>
    </row>
    <row r="788" spans="19:19" ht="13.5" customHeight="1">
      <c r="S788" s="1050"/>
    </row>
    <row r="789" spans="19:19" ht="13.5" customHeight="1">
      <c r="S789" s="1050"/>
    </row>
    <row r="790" spans="19:19" ht="13.5" customHeight="1">
      <c r="S790" s="1050"/>
    </row>
    <row r="791" spans="19:19" ht="13.5" customHeight="1">
      <c r="S791" s="1050"/>
    </row>
    <row r="792" spans="19:19" ht="13.5" customHeight="1">
      <c r="S792" s="1050"/>
    </row>
    <row r="793" spans="19:19" ht="13.5" customHeight="1">
      <c r="S793" s="1050"/>
    </row>
    <row r="794" spans="19:19" ht="13.5" customHeight="1">
      <c r="S794" s="1050"/>
    </row>
    <row r="795" spans="19:19" ht="13.5" customHeight="1">
      <c r="S795" s="1050"/>
    </row>
    <row r="796" spans="19:19" ht="13.5" customHeight="1">
      <c r="S796" s="1050"/>
    </row>
    <row r="797" spans="19:19" ht="13.5" customHeight="1">
      <c r="S797" s="1050"/>
    </row>
    <row r="798" spans="19:19" ht="13.5" customHeight="1">
      <c r="S798" s="1050"/>
    </row>
    <row r="799" spans="19:19" ht="13.5" customHeight="1">
      <c r="S799" s="1050"/>
    </row>
    <row r="800" spans="19:19" ht="13.5" customHeight="1">
      <c r="S800" s="1050"/>
    </row>
    <row r="801" spans="19:19" ht="13.5" customHeight="1">
      <c r="S801" s="1050"/>
    </row>
    <row r="802" spans="19:19" ht="13.5" customHeight="1">
      <c r="S802" s="1050"/>
    </row>
    <row r="803" spans="19:19" ht="13.5" customHeight="1">
      <c r="S803" s="1050"/>
    </row>
    <row r="804" spans="19:19" ht="13.5" customHeight="1">
      <c r="S804" s="1050"/>
    </row>
    <row r="805" spans="19:19" ht="13.5" customHeight="1">
      <c r="S805" s="1050"/>
    </row>
    <row r="806" spans="19:19" ht="13.5" customHeight="1">
      <c r="S806" s="1050"/>
    </row>
    <row r="807" spans="19:19" ht="13.5" customHeight="1">
      <c r="S807" s="1050"/>
    </row>
    <row r="808" spans="19:19" ht="13.5" customHeight="1">
      <c r="S808" s="1050"/>
    </row>
    <row r="809" spans="19:19" ht="13.5" customHeight="1">
      <c r="S809" s="1050"/>
    </row>
    <row r="810" spans="19:19" ht="13.5" customHeight="1">
      <c r="S810" s="1050"/>
    </row>
    <row r="811" spans="19:19" ht="13.5" customHeight="1">
      <c r="S811" s="1050"/>
    </row>
    <row r="812" spans="19:19" ht="13.5" customHeight="1">
      <c r="S812" s="1050"/>
    </row>
    <row r="813" spans="19:19" ht="13.5" customHeight="1">
      <c r="S813" s="1050"/>
    </row>
    <row r="814" spans="19:19" ht="13.5" customHeight="1">
      <c r="S814" s="1050"/>
    </row>
    <row r="815" spans="19:19" ht="13.5" customHeight="1">
      <c r="S815" s="1050"/>
    </row>
    <row r="816" spans="19:19" ht="13.5" customHeight="1">
      <c r="S816" s="1050"/>
    </row>
    <row r="817" spans="19:19" ht="13.5" customHeight="1">
      <c r="S817" s="1050"/>
    </row>
    <row r="818" spans="19:19" ht="13.5" customHeight="1">
      <c r="S818" s="1050"/>
    </row>
    <row r="819" spans="19:19" ht="13.5" customHeight="1">
      <c r="S819" s="1050"/>
    </row>
    <row r="820" spans="19:19" ht="13.5" customHeight="1">
      <c r="S820" s="1050"/>
    </row>
    <row r="821" spans="19:19" ht="13.5" customHeight="1">
      <c r="S821" s="1050"/>
    </row>
    <row r="822" spans="19:19" ht="13.5" customHeight="1">
      <c r="S822" s="1050"/>
    </row>
    <row r="823" spans="19:19" ht="13.5" customHeight="1">
      <c r="S823" s="1050"/>
    </row>
    <row r="824" spans="19:19" ht="13.5" customHeight="1">
      <c r="S824" s="1050"/>
    </row>
    <row r="825" spans="19:19" ht="13.5" customHeight="1">
      <c r="S825" s="1050"/>
    </row>
    <row r="826" spans="19:19" ht="13.5" customHeight="1">
      <c r="S826" s="1050"/>
    </row>
    <row r="827" spans="19:19" ht="13.5" customHeight="1">
      <c r="S827" s="1050"/>
    </row>
    <row r="828" spans="19:19" ht="13.5" customHeight="1">
      <c r="S828" s="1050"/>
    </row>
    <row r="829" spans="19:19" ht="13.5" customHeight="1">
      <c r="S829" s="1050"/>
    </row>
    <row r="830" spans="19:19" ht="13.5" customHeight="1">
      <c r="S830" s="1050"/>
    </row>
    <row r="831" spans="19:19" ht="13.5" customHeight="1">
      <c r="S831" s="1050"/>
    </row>
    <row r="832" spans="19:19" ht="13.5" customHeight="1">
      <c r="S832" s="1050"/>
    </row>
    <row r="833" spans="19:19" ht="13.5" customHeight="1">
      <c r="S833" s="1050"/>
    </row>
    <row r="834" spans="19:19" ht="13.5" customHeight="1">
      <c r="S834" s="1050"/>
    </row>
    <row r="835" spans="19:19" ht="13.5" customHeight="1">
      <c r="S835" s="1050"/>
    </row>
    <row r="836" spans="19:19" ht="13.5" customHeight="1">
      <c r="S836" s="1050"/>
    </row>
    <row r="837" spans="19:19" ht="13.5" customHeight="1">
      <c r="S837" s="1050"/>
    </row>
    <row r="838" spans="19:19" ht="13.5" customHeight="1">
      <c r="S838" s="1050"/>
    </row>
    <row r="839" spans="19:19" ht="13.5" customHeight="1">
      <c r="S839" s="1050"/>
    </row>
    <row r="840" spans="19:19" ht="13.5" customHeight="1">
      <c r="S840" s="1050"/>
    </row>
    <row r="841" spans="19:19" ht="13.5" customHeight="1">
      <c r="S841" s="1050"/>
    </row>
    <row r="842" spans="19:19" ht="13.5" customHeight="1">
      <c r="S842" s="1050"/>
    </row>
    <row r="843" spans="19:19" ht="13.5" customHeight="1">
      <c r="S843" s="1050"/>
    </row>
    <row r="844" spans="19:19" ht="13.5" customHeight="1">
      <c r="S844" s="1050"/>
    </row>
    <row r="845" spans="19:19" ht="13.5" customHeight="1">
      <c r="S845" s="1050"/>
    </row>
    <row r="846" spans="19:19" ht="13.5" customHeight="1">
      <c r="S846" s="1050"/>
    </row>
    <row r="847" spans="19:19" ht="13.5" customHeight="1">
      <c r="S847" s="1050"/>
    </row>
    <row r="848" spans="19:19" ht="13.5" customHeight="1">
      <c r="S848" s="1050"/>
    </row>
    <row r="849" spans="19:19" ht="13.5" customHeight="1">
      <c r="S849" s="1050"/>
    </row>
    <row r="850" spans="19:19" ht="13.5" customHeight="1">
      <c r="S850" s="1050"/>
    </row>
    <row r="851" spans="19:19" ht="13.5" customHeight="1">
      <c r="S851" s="1050"/>
    </row>
    <row r="852" spans="19:19" ht="13.5" customHeight="1">
      <c r="S852" s="1050"/>
    </row>
    <row r="853" spans="19:19" ht="13.5" customHeight="1">
      <c r="S853" s="1050"/>
    </row>
    <row r="854" spans="19:19" ht="13.5" customHeight="1">
      <c r="S854" s="1050"/>
    </row>
    <row r="855" spans="19:19" ht="13.5" customHeight="1">
      <c r="S855" s="1050"/>
    </row>
    <row r="856" spans="19:19" ht="13.5" customHeight="1">
      <c r="S856" s="1050"/>
    </row>
    <row r="857" spans="19:19" ht="13.5" customHeight="1">
      <c r="S857" s="1050"/>
    </row>
    <row r="858" spans="19:19" ht="13.5" customHeight="1">
      <c r="S858" s="1050"/>
    </row>
    <row r="859" spans="19:19" ht="13.5" customHeight="1">
      <c r="S859" s="1050"/>
    </row>
    <row r="860" spans="19:19" ht="13.5" customHeight="1">
      <c r="S860" s="1050"/>
    </row>
    <row r="861" spans="19:19" ht="13.5" customHeight="1">
      <c r="S861" s="1050"/>
    </row>
    <row r="862" spans="19:19" ht="13.5" customHeight="1">
      <c r="S862" s="1050"/>
    </row>
    <row r="863" spans="19:19" ht="13.5" customHeight="1">
      <c r="S863" s="1050"/>
    </row>
    <row r="864" spans="19:19" ht="13.5" customHeight="1">
      <c r="S864" s="1050"/>
    </row>
    <row r="865" spans="19:19" ht="13.5" customHeight="1">
      <c r="S865" s="1050"/>
    </row>
    <row r="866" spans="19:19" ht="13.5" customHeight="1">
      <c r="S866" s="1050"/>
    </row>
    <row r="867" spans="19:19" ht="13.5" customHeight="1">
      <c r="S867" s="1050"/>
    </row>
    <row r="868" spans="19:19" ht="13.5" customHeight="1">
      <c r="S868" s="1050"/>
    </row>
    <row r="869" spans="19:19" ht="13.5" customHeight="1">
      <c r="S869" s="1050"/>
    </row>
    <row r="870" spans="19:19" ht="13.5" customHeight="1">
      <c r="S870" s="1050"/>
    </row>
    <row r="871" spans="19:19" ht="13.5" customHeight="1">
      <c r="S871" s="1050"/>
    </row>
    <row r="872" spans="19:19" ht="13.5" customHeight="1">
      <c r="S872" s="1050"/>
    </row>
    <row r="873" spans="19:19" ht="13.5" customHeight="1">
      <c r="S873" s="1050"/>
    </row>
    <row r="874" spans="19:19" ht="13.5" customHeight="1">
      <c r="S874" s="1050"/>
    </row>
    <row r="875" spans="19:19" ht="13.5" customHeight="1">
      <c r="S875" s="1050"/>
    </row>
    <row r="876" spans="19:19" ht="13.5" customHeight="1">
      <c r="S876" s="1050"/>
    </row>
    <row r="877" spans="19:19" ht="13.5" customHeight="1">
      <c r="S877" s="1050"/>
    </row>
    <row r="878" spans="19:19" ht="13.5" customHeight="1">
      <c r="S878" s="1050"/>
    </row>
    <row r="879" spans="19:19" ht="13.5" customHeight="1">
      <c r="S879" s="1050"/>
    </row>
    <row r="880" spans="19:19"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sheetData>
  <autoFilter ref="A1:XBA41" xr:uid="{FEB1FB6C-610C-47EE-97A5-C3507AAE19D9}"/>
  <phoneticPr fontId="71" type="noConversion"/>
  <pageMargins left="0.7" right="0.7" top="0.75" bottom="0.75" header="0.3" footer="0.3"/>
  <ignoredErrors>
    <ignoredError sqref="Q42" formula="1"/>
    <ignoredError sqref="AE2" formulaRange="1"/>
  </ignoredErrors>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BB11-D637-4052-BCA2-BA269B320649}">
  <dimension ref="A1:AD1019"/>
  <sheetViews>
    <sheetView tabSelected="1" workbookViewId="0">
      <pane ySplit="1" topLeftCell="A2" activePane="bottomLeft" state="frozen"/>
      <selection pane="bottomLeft" activeCell="I33" sqref="I33"/>
    </sheetView>
  </sheetViews>
  <sheetFormatPr defaultColWidth="12.59765625" defaultRowHeight="13.8"/>
  <cols>
    <col min="1" max="1" width="7.8984375" customWidth="1"/>
    <col min="2" max="2" width="22.59765625" customWidth="1"/>
    <col min="3" max="3" width="24.09765625" customWidth="1"/>
    <col min="4" max="4" width="14.5" customWidth="1"/>
    <col min="5" max="5" width="10.69921875" customWidth="1"/>
    <col min="6" max="6" width="10" customWidth="1"/>
    <col min="7" max="7" width="14" customWidth="1"/>
    <col min="8" max="11" width="13.19921875" style="1104" customWidth="1"/>
    <col min="12" max="12" width="13.19921875" customWidth="1"/>
    <col min="13" max="13" width="10.69921875" customWidth="1"/>
  </cols>
  <sheetData>
    <row r="1" spans="1:30" ht="27" customHeight="1">
      <c r="A1" s="667" t="s">
        <v>0</v>
      </c>
      <c r="B1" s="668" t="s">
        <v>356</v>
      </c>
      <c r="C1" s="669" t="s">
        <v>48</v>
      </c>
      <c r="D1" s="669" t="s">
        <v>2</v>
      </c>
      <c r="E1" s="669" t="s">
        <v>357</v>
      </c>
      <c r="F1" s="670" t="s">
        <v>358</v>
      </c>
      <c r="G1" s="671" t="s">
        <v>359</v>
      </c>
      <c r="H1" s="694">
        <v>45658</v>
      </c>
      <c r="I1" s="694">
        <v>45689</v>
      </c>
      <c r="J1" s="694">
        <v>45717</v>
      </c>
      <c r="K1" s="694">
        <v>45748</v>
      </c>
      <c r="L1" s="694" t="s">
        <v>699</v>
      </c>
      <c r="M1" s="695" t="s">
        <v>360</v>
      </c>
      <c r="N1" s="1088" t="s">
        <v>987</v>
      </c>
      <c r="O1" s="624"/>
      <c r="P1" s="624"/>
      <c r="Q1" s="624"/>
      <c r="R1" s="624"/>
      <c r="S1" s="624"/>
    </row>
    <row r="2" spans="1:30" ht="36.75" customHeight="1">
      <c r="A2" s="144">
        <v>1</v>
      </c>
      <c r="B2" s="1168" t="s">
        <v>361</v>
      </c>
      <c r="C2" s="1168" t="s">
        <v>362</v>
      </c>
      <c r="D2" s="1089">
        <v>27000</v>
      </c>
      <c r="E2" s="1054">
        <v>10000</v>
      </c>
      <c r="F2" s="1090">
        <v>15000</v>
      </c>
      <c r="G2" s="131" t="s">
        <v>363</v>
      </c>
      <c r="H2" s="1094">
        <f>F2/176*52</f>
        <v>4431.818181818182</v>
      </c>
      <c r="I2" s="1095">
        <f>F2/176*52</f>
        <v>4431.818181818182</v>
      </c>
      <c r="J2" s="1095">
        <f>F2/160*52</f>
        <v>4875</v>
      </c>
      <c r="K2" s="1095">
        <f>F2/184*52</f>
        <v>4239.130434782609</v>
      </c>
      <c r="L2" s="558"/>
      <c r="M2" s="1086">
        <f t="shared" ref="M2:M30" si="0">SUM(H2:I2)</f>
        <v>8863.636363636364</v>
      </c>
      <c r="N2" s="666"/>
      <c r="O2" s="1071"/>
    </row>
    <row r="3" spans="1:30" ht="36.75" customHeight="1">
      <c r="A3" s="144">
        <v>2</v>
      </c>
      <c r="B3" s="1169"/>
      <c r="C3" s="1169"/>
      <c r="D3" s="152"/>
      <c r="E3" s="675"/>
      <c r="F3" s="152">
        <v>15000</v>
      </c>
      <c r="G3" s="131" t="s">
        <v>364</v>
      </c>
      <c r="H3" s="153">
        <v>15000</v>
      </c>
      <c r="I3" s="1096">
        <f>F3/21*21</f>
        <v>15000.000000000002</v>
      </c>
      <c r="J3" s="1096">
        <f>F3/20*20</f>
        <v>15000</v>
      </c>
      <c r="K3" s="1156">
        <f>F3/23*23</f>
        <v>15000</v>
      </c>
      <c r="L3" s="1057"/>
      <c r="M3" s="1086">
        <f t="shared" si="0"/>
        <v>30000</v>
      </c>
      <c r="N3" s="666"/>
    </row>
    <row r="4" spans="1:30" ht="36.75" customHeight="1">
      <c r="A4" s="144">
        <v>3</v>
      </c>
      <c r="B4" s="1168" t="s">
        <v>241</v>
      </c>
      <c r="C4" s="1168" t="s">
        <v>79</v>
      </c>
      <c r="D4" s="152"/>
      <c r="E4" s="675"/>
      <c r="F4" s="152">
        <v>15000</v>
      </c>
      <c r="G4" s="131" t="s">
        <v>970</v>
      </c>
      <c r="H4" s="675">
        <f>F4/176*88+7500+1429</f>
        <v>16429</v>
      </c>
      <c r="I4" s="1097">
        <f>F4/168*12</f>
        <v>1071.4285714285716</v>
      </c>
      <c r="J4" s="1097">
        <f>F4/160*14.5</f>
        <v>1359.375</v>
      </c>
      <c r="K4" s="1091" t="s">
        <v>1097</v>
      </c>
      <c r="L4" s="1057"/>
      <c r="M4" s="1086">
        <f t="shared" si="0"/>
        <v>17500.428571428572</v>
      </c>
      <c r="N4" s="666"/>
    </row>
    <row r="5" spans="1:30" ht="36.75" customHeight="1">
      <c r="A5" s="144">
        <v>4</v>
      </c>
      <c r="B5" s="1169"/>
      <c r="C5" s="1169"/>
      <c r="D5" s="152">
        <v>30000</v>
      </c>
      <c r="E5" s="131">
        <v>5000</v>
      </c>
      <c r="F5" s="152">
        <v>9000</v>
      </c>
      <c r="G5" s="131" t="s">
        <v>364</v>
      </c>
      <c r="H5" s="1098">
        <f>F5/23*23</f>
        <v>9000</v>
      </c>
      <c r="I5" s="1091">
        <f t="shared" ref="I5:I17" si="1">F5/21*21</f>
        <v>9000</v>
      </c>
      <c r="J5" s="1091">
        <f>F5/20*20</f>
        <v>9000</v>
      </c>
      <c r="K5" s="1091" t="s">
        <v>30</v>
      </c>
      <c r="L5" s="1057"/>
      <c r="M5" s="1086">
        <f t="shared" si="0"/>
        <v>18000</v>
      </c>
      <c r="N5" s="666"/>
    </row>
    <row r="6" spans="1:30" ht="36.75" customHeight="1">
      <c r="A6" s="144">
        <v>5</v>
      </c>
      <c r="B6" s="1082" t="s">
        <v>984</v>
      </c>
      <c r="C6" s="1082" t="s">
        <v>897</v>
      </c>
      <c r="D6" s="577">
        <v>10000</v>
      </c>
      <c r="E6" s="576">
        <v>6000</v>
      </c>
      <c r="F6" s="577">
        <v>15000</v>
      </c>
      <c r="G6" s="131" t="s">
        <v>970</v>
      </c>
      <c r="H6" s="1099"/>
      <c r="I6" s="1091">
        <f>F6/168*76</f>
        <v>6785.7142857142862</v>
      </c>
      <c r="J6" s="1091">
        <f>F6/160*51+16</f>
        <v>4797.25</v>
      </c>
      <c r="K6" s="1091">
        <f>F6/184*92</f>
        <v>7500</v>
      </c>
      <c r="L6" s="1057"/>
      <c r="M6" s="1086">
        <f t="shared" si="0"/>
        <v>6785.7142857142862</v>
      </c>
      <c r="N6" s="666"/>
    </row>
    <row r="7" spans="1:30" s="979" customFormat="1" ht="54" customHeight="1">
      <c r="A7" s="144">
        <v>6</v>
      </c>
      <c r="B7" s="972" t="s">
        <v>312</v>
      </c>
      <c r="C7" s="972" t="s">
        <v>79</v>
      </c>
      <c r="D7" s="973">
        <v>30000</v>
      </c>
      <c r="E7" s="973">
        <v>5000</v>
      </c>
      <c r="F7" s="973">
        <v>9000</v>
      </c>
      <c r="G7" s="974" t="s">
        <v>364</v>
      </c>
      <c r="H7" s="1100">
        <f>F7/23*23</f>
        <v>9000</v>
      </c>
      <c r="I7" s="1101">
        <f t="shared" si="1"/>
        <v>9000</v>
      </c>
      <c r="J7" s="1101">
        <f>F7/20*20</f>
        <v>9000</v>
      </c>
      <c r="K7" s="1101">
        <f>F7/23*23</f>
        <v>9000</v>
      </c>
      <c r="L7" s="1013"/>
      <c r="M7" s="1086">
        <f t="shared" si="0"/>
        <v>18000</v>
      </c>
      <c r="N7" s="666"/>
      <c r="O7"/>
      <c r="P7"/>
      <c r="Q7"/>
      <c r="R7"/>
      <c r="S7"/>
      <c r="T7"/>
      <c r="U7"/>
      <c r="V7"/>
      <c r="W7"/>
      <c r="X7"/>
      <c r="Y7"/>
      <c r="Z7"/>
      <c r="AA7"/>
      <c r="AB7"/>
      <c r="AC7"/>
      <c r="AD7"/>
    </row>
    <row r="8" spans="1:30" s="666" customFormat="1" ht="36.75" customHeight="1">
      <c r="A8" s="144">
        <v>7</v>
      </c>
      <c r="B8" s="677" t="s">
        <v>306</v>
      </c>
      <c r="C8" s="677" t="s">
        <v>224</v>
      </c>
      <c r="D8" s="678">
        <v>25000</v>
      </c>
      <c r="E8" s="679">
        <v>10000</v>
      </c>
      <c r="F8" s="678">
        <v>9000</v>
      </c>
      <c r="G8" s="680" t="s">
        <v>365</v>
      </c>
      <c r="H8" s="1091">
        <f>F8/23*23</f>
        <v>9000</v>
      </c>
      <c r="I8" s="1091">
        <f t="shared" si="1"/>
        <v>9000</v>
      </c>
      <c r="J8" s="1091">
        <v>0</v>
      </c>
      <c r="K8" s="1091">
        <v>9000</v>
      </c>
      <c r="L8" s="1057" t="s">
        <v>43</v>
      </c>
      <c r="M8" s="1086">
        <f t="shared" si="0"/>
        <v>18000</v>
      </c>
      <c r="O8"/>
      <c r="P8"/>
      <c r="Q8"/>
      <c r="R8"/>
      <c r="S8"/>
      <c r="T8"/>
      <c r="U8"/>
      <c r="V8"/>
      <c r="W8"/>
      <c r="X8"/>
      <c r="Y8"/>
      <c r="Z8"/>
      <c r="AA8"/>
      <c r="AB8"/>
      <c r="AC8"/>
      <c r="AD8"/>
    </row>
    <row r="9" spans="1:30" s="666" customFormat="1" ht="27" customHeight="1">
      <c r="A9" s="144">
        <v>8</v>
      </c>
      <c r="B9" s="680" t="s">
        <v>366</v>
      </c>
      <c r="C9" s="680" t="s">
        <v>235</v>
      </c>
      <c r="D9" s="678">
        <v>25000</v>
      </c>
      <c r="E9" s="678">
        <v>5000</v>
      </c>
      <c r="F9" s="678">
        <v>10000</v>
      </c>
      <c r="G9" s="682" t="s">
        <v>365</v>
      </c>
      <c r="H9" s="1102">
        <f>F9/23*18</f>
        <v>7826.086956521739</v>
      </c>
      <c r="I9" s="1102">
        <f t="shared" si="1"/>
        <v>10000</v>
      </c>
      <c r="J9" s="1102">
        <v>0</v>
      </c>
      <c r="K9" s="1102">
        <v>10000</v>
      </c>
      <c r="L9" s="1057" t="s">
        <v>43</v>
      </c>
      <c r="M9" s="1086">
        <f t="shared" si="0"/>
        <v>17826.08695652174</v>
      </c>
      <c r="O9"/>
      <c r="P9"/>
      <c r="Q9"/>
      <c r="R9"/>
      <c r="S9"/>
      <c r="T9"/>
      <c r="U9"/>
      <c r="V9"/>
      <c r="W9"/>
      <c r="X9"/>
      <c r="Y9"/>
      <c r="Z9"/>
      <c r="AA9"/>
      <c r="AB9"/>
      <c r="AC9"/>
      <c r="AD9"/>
    </row>
    <row r="10" spans="1:30" s="666" customFormat="1" ht="32.25" customHeight="1">
      <c r="A10" s="144">
        <v>9</v>
      </c>
      <c r="B10" s="680" t="s">
        <v>237</v>
      </c>
      <c r="C10" s="680" t="s">
        <v>79</v>
      </c>
      <c r="D10" s="678">
        <v>20000</v>
      </c>
      <c r="E10" s="678">
        <v>0</v>
      </c>
      <c r="F10" s="678">
        <v>10000</v>
      </c>
      <c r="G10" s="680" t="s">
        <v>364</v>
      </c>
      <c r="H10" s="1091">
        <f>F10/23*23</f>
        <v>10000</v>
      </c>
      <c r="I10" s="1091">
        <f>F10/21*21-500</f>
        <v>9500</v>
      </c>
      <c r="J10" s="1091">
        <f t="shared" ref="J10:J16" si="2">F10/20*20</f>
        <v>10000</v>
      </c>
      <c r="K10" s="1091">
        <f>F10/23*23</f>
        <v>10000</v>
      </c>
      <c r="L10" s="1057"/>
      <c r="M10" s="1086">
        <f t="shared" si="0"/>
        <v>19500</v>
      </c>
      <c r="O10"/>
      <c r="P10"/>
      <c r="Q10"/>
      <c r="R10"/>
      <c r="S10"/>
      <c r="T10"/>
      <c r="U10"/>
      <c r="V10"/>
      <c r="W10"/>
      <c r="X10"/>
      <c r="Y10"/>
      <c r="Z10"/>
      <c r="AA10"/>
      <c r="AB10"/>
      <c r="AC10"/>
      <c r="AD10"/>
    </row>
    <row r="11" spans="1:30" s="666" customFormat="1" ht="32.25" customHeight="1">
      <c r="A11" s="144">
        <v>10</v>
      </c>
      <c r="B11" s="680" t="s">
        <v>526</v>
      </c>
      <c r="C11" s="680" t="s">
        <v>224</v>
      </c>
      <c r="D11" s="678">
        <v>10000</v>
      </c>
      <c r="E11" s="678">
        <v>6000</v>
      </c>
      <c r="F11" s="678">
        <v>15000</v>
      </c>
      <c r="G11" s="680" t="s">
        <v>1005</v>
      </c>
      <c r="H11" s="1091" t="s">
        <v>30</v>
      </c>
      <c r="I11" s="1091" t="s">
        <v>30</v>
      </c>
      <c r="J11" s="1091">
        <f t="shared" si="2"/>
        <v>15000</v>
      </c>
      <c r="K11" s="1091">
        <f>F11/23*22</f>
        <v>14347.826086956522</v>
      </c>
      <c r="L11" s="1057" t="s">
        <v>1006</v>
      </c>
      <c r="M11" s="1086"/>
      <c r="O11"/>
      <c r="P11"/>
      <c r="Q11" s="1161" t="s">
        <v>43</v>
      </c>
      <c r="R11"/>
      <c r="S11"/>
      <c r="T11"/>
      <c r="U11"/>
      <c r="V11"/>
      <c r="W11"/>
      <c r="X11"/>
      <c r="Y11"/>
      <c r="Z11"/>
      <c r="AA11"/>
      <c r="AB11"/>
      <c r="AC11"/>
      <c r="AD11"/>
    </row>
    <row r="12" spans="1:30" s="666" customFormat="1" ht="32.25" customHeight="1">
      <c r="A12" s="144">
        <v>11</v>
      </c>
      <c r="B12" s="680" t="s">
        <v>254</v>
      </c>
      <c r="C12" s="680" t="s">
        <v>79</v>
      </c>
      <c r="D12" s="678">
        <v>35000</v>
      </c>
      <c r="E12" s="678"/>
      <c r="F12" s="678">
        <v>15000</v>
      </c>
      <c r="G12" s="680" t="s">
        <v>986</v>
      </c>
      <c r="H12" s="1091" t="s">
        <v>30</v>
      </c>
      <c r="I12" s="1091">
        <f>F12/21*21</f>
        <v>15000.000000000002</v>
      </c>
      <c r="J12" s="1091">
        <f t="shared" si="2"/>
        <v>15000</v>
      </c>
      <c r="K12" s="1091">
        <f t="shared" ref="K12:K16" si="3">F12/23*23</f>
        <v>15000</v>
      </c>
      <c r="L12" s="1057"/>
      <c r="M12" s="1086">
        <f t="shared" si="0"/>
        <v>15000.000000000002</v>
      </c>
      <c r="O12"/>
      <c r="P12" s="1161" t="s">
        <v>43</v>
      </c>
      <c r="Q12" s="1161" t="s">
        <v>43</v>
      </c>
      <c r="R12">
        <f>200/528*15000</f>
        <v>5681.818181818182</v>
      </c>
      <c r="S12"/>
      <c r="T12"/>
      <c r="U12"/>
      <c r="V12"/>
      <c r="W12"/>
      <c r="X12"/>
      <c r="Y12"/>
      <c r="Z12"/>
      <c r="AA12"/>
      <c r="AB12"/>
      <c r="AC12"/>
      <c r="AD12"/>
    </row>
    <row r="13" spans="1:30" s="666" customFormat="1" ht="32.25" customHeight="1">
      <c r="A13" s="144">
        <v>12</v>
      </c>
      <c r="B13" s="1170" t="s">
        <v>988</v>
      </c>
      <c r="C13" s="1172" t="s">
        <v>224</v>
      </c>
      <c r="D13" s="678">
        <v>52000</v>
      </c>
      <c r="E13" s="678">
        <v>5000</v>
      </c>
      <c r="F13" s="678">
        <v>15000</v>
      </c>
      <c r="G13" s="1092" t="s">
        <v>989</v>
      </c>
      <c r="H13" s="1091" t="s">
        <v>30</v>
      </c>
      <c r="I13" s="1091">
        <f>F13/21*16</f>
        <v>11428.571428571429</v>
      </c>
      <c r="J13" s="1091">
        <f t="shared" si="2"/>
        <v>15000</v>
      </c>
      <c r="K13" s="1091">
        <f t="shared" si="3"/>
        <v>15000</v>
      </c>
      <c r="L13" s="1057"/>
      <c r="M13" s="1086">
        <f t="shared" si="0"/>
        <v>11428.571428571429</v>
      </c>
      <c r="N13" s="1120"/>
      <c r="O13"/>
      <c r="P13"/>
      <c r="Q13"/>
      <c r="R13"/>
      <c r="S13"/>
      <c r="T13"/>
      <c r="U13"/>
      <c r="V13"/>
      <c r="W13"/>
      <c r="X13"/>
      <c r="Y13"/>
      <c r="Z13"/>
      <c r="AA13"/>
      <c r="AB13"/>
      <c r="AC13"/>
      <c r="AD13"/>
    </row>
    <row r="14" spans="1:30" s="666" customFormat="1" ht="32.25" customHeight="1">
      <c r="A14" s="144">
        <v>13</v>
      </c>
      <c r="B14" s="1171"/>
      <c r="C14" s="1173"/>
      <c r="D14" s="678"/>
      <c r="E14" s="678"/>
      <c r="F14" s="678">
        <v>8000</v>
      </c>
      <c r="G14" s="1105" t="s">
        <v>991</v>
      </c>
      <c r="H14" s="1091" t="s">
        <v>30</v>
      </c>
      <c r="I14" s="1091">
        <f>F14/21*16</f>
        <v>6095.2380952380954</v>
      </c>
      <c r="J14" s="1091">
        <f>F14/20*20-1905</f>
        <v>6095</v>
      </c>
      <c r="K14" s="1091">
        <f t="shared" si="3"/>
        <v>8000</v>
      </c>
      <c r="M14" s="1086">
        <f t="shared" si="0"/>
        <v>6095.2380952380954</v>
      </c>
      <c r="N14" s="1120"/>
      <c r="O14"/>
      <c r="P14"/>
      <c r="Q14"/>
      <c r="R14"/>
      <c r="S14"/>
      <c r="T14"/>
      <c r="U14"/>
      <c r="V14"/>
      <c r="W14"/>
      <c r="X14"/>
      <c r="Y14"/>
      <c r="Z14"/>
      <c r="AA14"/>
      <c r="AB14"/>
      <c r="AC14"/>
      <c r="AD14"/>
    </row>
    <row r="15" spans="1:30" s="666" customFormat="1" ht="32.25" customHeight="1">
      <c r="A15" s="144">
        <v>14</v>
      </c>
      <c r="B15" s="1170" t="s">
        <v>303</v>
      </c>
      <c r="C15" s="1172" t="s">
        <v>224</v>
      </c>
      <c r="D15" s="678">
        <v>15000</v>
      </c>
      <c r="E15" s="678">
        <v>6000</v>
      </c>
      <c r="F15" s="678">
        <v>15000</v>
      </c>
      <c r="G15" s="1092" t="s">
        <v>989</v>
      </c>
      <c r="H15" s="1091" t="s">
        <v>30</v>
      </c>
      <c r="I15" s="1091">
        <f>F15/21*16</f>
        <v>11428.571428571429</v>
      </c>
      <c r="J15" s="1091">
        <f t="shared" si="2"/>
        <v>15000</v>
      </c>
      <c r="K15" s="1091">
        <f t="shared" si="3"/>
        <v>15000</v>
      </c>
      <c r="L15" s="1057"/>
      <c r="M15" s="1086">
        <f t="shared" si="0"/>
        <v>11428.571428571429</v>
      </c>
      <c r="N15" s="1120"/>
      <c r="O15"/>
      <c r="P15"/>
      <c r="Q15"/>
      <c r="R15"/>
      <c r="S15"/>
      <c r="T15"/>
      <c r="U15"/>
      <c r="V15"/>
      <c r="W15"/>
      <c r="X15"/>
      <c r="Y15"/>
      <c r="Z15"/>
      <c r="AA15"/>
      <c r="AB15"/>
      <c r="AC15"/>
      <c r="AD15"/>
    </row>
    <row r="16" spans="1:30" s="666" customFormat="1" ht="32.25" customHeight="1">
      <c r="A16" s="144">
        <v>15</v>
      </c>
      <c r="B16" s="1171"/>
      <c r="C16" s="1173"/>
      <c r="D16" s="678"/>
      <c r="E16" s="678"/>
      <c r="F16" s="678">
        <v>8000</v>
      </c>
      <c r="G16" s="1105" t="s">
        <v>991</v>
      </c>
      <c r="H16" s="1091" t="s">
        <v>30</v>
      </c>
      <c r="I16" s="1091">
        <f>F16/21*16</f>
        <v>6095.2380952380954</v>
      </c>
      <c r="J16" s="1091">
        <f t="shared" si="2"/>
        <v>8000</v>
      </c>
      <c r="K16" s="1091">
        <f t="shared" si="3"/>
        <v>8000</v>
      </c>
      <c r="L16" s="1057"/>
      <c r="M16" s="1086">
        <f t="shared" si="0"/>
        <v>6095.2380952380954</v>
      </c>
      <c r="N16" s="1120"/>
      <c r="O16"/>
      <c r="P16"/>
      <c r="Q16"/>
      <c r="R16"/>
      <c r="S16"/>
      <c r="T16"/>
      <c r="U16"/>
      <c r="V16"/>
      <c r="W16"/>
      <c r="X16"/>
      <c r="Y16"/>
      <c r="Z16"/>
      <c r="AA16"/>
      <c r="AB16"/>
      <c r="AC16"/>
      <c r="AD16"/>
    </row>
    <row r="17" spans="1:30" s="988" customFormat="1" ht="32.25" customHeight="1">
      <c r="A17" s="144">
        <v>16</v>
      </c>
      <c r="B17" s="981" t="s">
        <v>369</v>
      </c>
      <c r="C17" s="981" t="s">
        <v>333</v>
      </c>
      <c r="D17" s="982">
        <v>6000</v>
      </c>
      <c r="E17" s="982">
        <v>0</v>
      </c>
      <c r="F17" s="982">
        <v>20000</v>
      </c>
      <c r="G17" s="981" t="s">
        <v>370</v>
      </c>
      <c r="H17" s="1103">
        <f>F17/23*23</f>
        <v>20000</v>
      </c>
      <c r="I17" s="1103">
        <f t="shared" si="1"/>
        <v>20000</v>
      </c>
      <c r="J17" s="1103">
        <v>20000</v>
      </c>
      <c r="K17" s="1103">
        <v>10000</v>
      </c>
      <c r="L17" s="1058" t="s">
        <v>1104</v>
      </c>
      <c r="M17" s="1086">
        <f t="shared" si="0"/>
        <v>40000</v>
      </c>
      <c r="N17" s="666"/>
      <c r="O17"/>
      <c r="P17"/>
      <c r="Q17"/>
      <c r="R17"/>
      <c r="S17"/>
      <c r="T17"/>
      <c r="U17"/>
      <c r="V17"/>
      <c r="W17"/>
      <c r="X17"/>
      <c r="Y17"/>
      <c r="Z17"/>
      <c r="AA17"/>
      <c r="AB17"/>
      <c r="AC17"/>
      <c r="AD17"/>
    </row>
    <row r="18" spans="1:30" s="988" customFormat="1" ht="32.25" customHeight="1">
      <c r="A18" s="144">
        <v>17</v>
      </c>
      <c r="B18" s="981" t="s">
        <v>371</v>
      </c>
      <c r="C18" s="981" t="s">
        <v>341</v>
      </c>
      <c r="D18" s="982">
        <v>10000</v>
      </c>
      <c r="E18" s="982">
        <v>6000</v>
      </c>
      <c r="F18" s="982">
        <v>15000</v>
      </c>
      <c r="G18" s="981" t="s">
        <v>372</v>
      </c>
      <c r="H18" s="1103">
        <f>F18</f>
        <v>15000</v>
      </c>
      <c r="I18" s="1103">
        <f>F18/21*20</f>
        <v>14285.714285714286</v>
      </c>
      <c r="J18" s="1103">
        <v>0</v>
      </c>
      <c r="K18" s="1157">
        <f t="shared" ref="K18:K23" si="4">F18/23*23</f>
        <v>15000</v>
      </c>
      <c r="L18" s="1158"/>
      <c r="M18" s="1086">
        <f t="shared" si="0"/>
        <v>29285.714285714286</v>
      </c>
      <c r="N18" s="666"/>
      <c r="O18"/>
      <c r="P18"/>
      <c r="Q18"/>
      <c r="R18"/>
      <c r="S18"/>
      <c r="T18"/>
      <c r="U18"/>
      <c r="V18"/>
      <c r="W18"/>
      <c r="X18"/>
      <c r="Y18"/>
      <c r="Z18"/>
      <c r="AA18"/>
      <c r="AB18"/>
      <c r="AC18"/>
      <c r="AD18"/>
    </row>
    <row r="19" spans="1:30" s="988" customFormat="1" ht="32.25" customHeight="1">
      <c r="A19" s="144">
        <v>18</v>
      </c>
      <c r="B19" s="981" t="s">
        <v>503</v>
      </c>
      <c r="C19" s="981" t="s">
        <v>72</v>
      </c>
      <c r="D19" s="982">
        <v>16000</v>
      </c>
      <c r="E19" s="982">
        <v>6000</v>
      </c>
      <c r="F19" s="982">
        <v>15000</v>
      </c>
      <c r="G19" s="981" t="s">
        <v>985</v>
      </c>
      <c r="H19" s="1103" t="s">
        <v>30</v>
      </c>
      <c r="I19" s="1103">
        <f>F19/21*6</f>
        <v>4285.7142857142862</v>
      </c>
      <c r="J19" s="1103">
        <f>F19/20*20</f>
        <v>15000</v>
      </c>
      <c r="K19" s="1103">
        <f t="shared" si="4"/>
        <v>15000</v>
      </c>
      <c r="L19" s="1058"/>
      <c r="M19" s="1086">
        <f t="shared" si="0"/>
        <v>4285.7142857142862</v>
      </c>
      <c r="N19" s="666"/>
      <c r="O19"/>
      <c r="P19"/>
      <c r="Q19"/>
      <c r="R19"/>
      <c r="S19"/>
      <c r="T19"/>
      <c r="U19"/>
      <c r="V19"/>
      <c r="W19"/>
      <c r="X19"/>
      <c r="Y19"/>
      <c r="Z19"/>
      <c r="AA19"/>
      <c r="AB19"/>
      <c r="AC19"/>
      <c r="AD19"/>
    </row>
    <row r="20" spans="1:30" s="666" customFormat="1" ht="32.25" customHeight="1">
      <c r="A20" s="144">
        <v>19</v>
      </c>
      <c r="B20" s="1170" t="s">
        <v>990</v>
      </c>
      <c r="C20" s="1172" t="s">
        <v>72</v>
      </c>
      <c r="D20" s="678">
        <v>10000</v>
      </c>
      <c r="E20" s="678">
        <v>10000</v>
      </c>
      <c r="F20" s="678">
        <v>15000</v>
      </c>
      <c r="G20" s="1091" t="s">
        <v>985</v>
      </c>
      <c r="H20" s="1091" t="s">
        <v>30</v>
      </c>
      <c r="I20" s="1091">
        <f>F20/21*6</f>
        <v>4285.7142857142862</v>
      </c>
      <c r="J20" s="1091">
        <f>F20/20*20</f>
        <v>15000</v>
      </c>
      <c r="K20" s="1091">
        <f t="shared" si="4"/>
        <v>15000</v>
      </c>
      <c r="L20" s="1057"/>
      <c r="M20" s="1086">
        <f t="shared" si="0"/>
        <v>4285.7142857142862</v>
      </c>
      <c r="O20"/>
      <c r="P20"/>
      <c r="Q20"/>
      <c r="R20"/>
      <c r="S20"/>
      <c r="T20"/>
      <c r="U20"/>
      <c r="V20"/>
      <c r="W20"/>
      <c r="X20"/>
      <c r="Y20"/>
      <c r="Z20"/>
      <c r="AA20"/>
      <c r="AB20"/>
      <c r="AC20"/>
      <c r="AD20"/>
    </row>
    <row r="21" spans="1:30" s="666" customFormat="1" ht="32.25" customHeight="1">
      <c r="A21" s="144">
        <v>20</v>
      </c>
      <c r="B21" s="1171"/>
      <c r="C21" s="1173"/>
      <c r="D21" s="678"/>
      <c r="E21" s="678"/>
      <c r="F21" s="678">
        <v>8000</v>
      </c>
      <c r="G21" s="680" t="s">
        <v>991</v>
      </c>
      <c r="H21" s="1091" t="s">
        <v>30</v>
      </c>
      <c r="I21" s="1091">
        <f>F21/21*6</f>
        <v>2285.7142857142858</v>
      </c>
      <c r="J21" s="1091">
        <f>F21/20*20</f>
        <v>8000</v>
      </c>
      <c r="K21" s="1091">
        <f t="shared" si="4"/>
        <v>8000</v>
      </c>
      <c r="L21" s="1057"/>
      <c r="M21" s="1086">
        <f t="shared" si="0"/>
        <v>2285.7142857142858</v>
      </c>
      <c r="N21" s="1120"/>
      <c r="O21"/>
      <c r="P21"/>
      <c r="Q21"/>
      <c r="R21"/>
      <c r="S21"/>
      <c r="T21"/>
      <c r="U21"/>
      <c r="V21"/>
      <c r="W21"/>
      <c r="X21"/>
      <c r="Y21"/>
      <c r="Z21"/>
      <c r="AA21"/>
      <c r="AB21"/>
      <c r="AC21"/>
      <c r="AD21"/>
    </row>
    <row r="22" spans="1:30" s="666" customFormat="1" ht="32.25" customHeight="1">
      <c r="A22" s="144">
        <v>21</v>
      </c>
      <c r="B22" s="680" t="s">
        <v>97</v>
      </c>
      <c r="C22" s="680" t="s">
        <v>72</v>
      </c>
      <c r="D22" s="678">
        <v>30000</v>
      </c>
      <c r="E22" s="678">
        <v>5000</v>
      </c>
      <c r="F22" s="678">
        <v>15000</v>
      </c>
      <c r="G22" s="680" t="s">
        <v>985</v>
      </c>
      <c r="H22" s="1091" t="s">
        <v>30</v>
      </c>
      <c r="I22" s="1091">
        <f>F22/21*6</f>
        <v>4285.7142857142862</v>
      </c>
      <c r="J22" s="1091">
        <f>F22/20*20</f>
        <v>15000</v>
      </c>
      <c r="K22" s="1091">
        <f t="shared" si="4"/>
        <v>15000</v>
      </c>
      <c r="L22" s="1057"/>
      <c r="M22" s="1086">
        <f t="shared" si="0"/>
        <v>4285.7142857142862</v>
      </c>
      <c r="O22"/>
      <c r="P22"/>
      <c r="Q22"/>
      <c r="R22"/>
      <c r="S22"/>
      <c r="T22"/>
      <c r="U22"/>
      <c r="V22"/>
      <c r="W22"/>
      <c r="X22"/>
      <c r="Y22"/>
      <c r="Z22"/>
      <c r="AA22"/>
      <c r="AB22"/>
      <c r="AC22"/>
      <c r="AD22"/>
    </row>
    <row r="23" spans="1:30" s="988" customFormat="1" ht="32.25" customHeight="1">
      <c r="A23" s="144">
        <v>22</v>
      </c>
      <c r="B23" s="981" t="s">
        <v>349</v>
      </c>
      <c r="C23" s="981" t="s">
        <v>72</v>
      </c>
      <c r="D23" s="982">
        <v>10000</v>
      </c>
      <c r="E23" s="982">
        <v>6000</v>
      </c>
      <c r="F23" s="982">
        <v>10000</v>
      </c>
      <c r="G23" s="1083" t="s">
        <v>368</v>
      </c>
      <c r="H23" s="1093" t="s">
        <v>30</v>
      </c>
      <c r="I23" s="1093" t="s">
        <v>30</v>
      </c>
      <c r="J23" s="1103">
        <f>F23/20*16</f>
        <v>8000</v>
      </c>
      <c r="K23" s="1103">
        <f t="shared" si="4"/>
        <v>10000</v>
      </c>
      <c r="L23" s="1084"/>
      <c r="M23" s="1086">
        <f t="shared" si="0"/>
        <v>0</v>
      </c>
      <c r="O23"/>
      <c r="P23"/>
      <c r="Q23"/>
      <c r="R23"/>
      <c r="S23"/>
      <c r="T23"/>
      <c r="U23"/>
      <c r="V23"/>
      <c r="W23"/>
      <c r="X23"/>
      <c r="Y23"/>
      <c r="Z23"/>
      <c r="AA23"/>
      <c r="AB23"/>
      <c r="AC23"/>
      <c r="AD23"/>
    </row>
    <row r="24" spans="1:30" s="988" customFormat="1" ht="32.25" customHeight="1">
      <c r="A24" s="144">
        <v>23</v>
      </c>
      <c r="B24" s="981" t="s">
        <v>375</v>
      </c>
      <c r="C24" s="981" t="s">
        <v>72</v>
      </c>
      <c r="D24" s="982">
        <v>6000</v>
      </c>
      <c r="E24" s="982">
        <v>4000</v>
      </c>
      <c r="F24" s="982">
        <v>15000</v>
      </c>
      <c r="G24" s="1083" t="s">
        <v>374</v>
      </c>
      <c r="H24" s="1103">
        <v>3750</v>
      </c>
      <c r="I24" s="1103">
        <f>F24/168*117.5</f>
        <v>10491.071428571429</v>
      </c>
      <c r="J24" s="1103">
        <f>F24/160*44.5</f>
        <v>4171.875</v>
      </c>
      <c r="K24" s="1103">
        <f>F24/184*54</f>
        <v>4402.173913043478</v>
      </c>
      <c r="L24" s="1084" t="s">
        <v>1100</v>
      </c>
      <c r="M24" s="1086">
        <f t="shared" si="0"/>
        <v>14241.071428571429</v>
      </c>
      <c r="O24"/>
      <c r="P24"/>
      <c r="Q24"/>
      <c r="R24"/>
      <c r="S24"/>
      <c r="T24"/>
      <c r="U24"/>
      <c r="V24"/>
      <c r="W24"/>
      <c r="X24"/>
      <c r="Y24"/>
      <c r="Z24"/>
      <c r="AA24"/>
      <c r="AB24"/>
      <c r="AC24"/>
      <c r="AD24"/>
    </row>
    <row r="25" spans="1:30" s="666" customFormat="1" ht="32.25" customHeight="1">
      <c r="A25" s="144">
        <v>24</v>
      </c>
      <c r="B25" s="680" t="s">
        <v>1001</v>
      </c>
      <c r="C25" s="680" t="s">
        <v>341</v>
      </c>
      <c r="D25" s="678">
        <v>8000</v>
      </c>
      <c r="E25" s="678">
        <v>6000</v>
      </c>
      <c r="F25" s="678">
        <v>15000</v>
      </c>
      <c r="G25" s="1092" t="s">
        <v>1003</v>
      </c>
      <c r="H25" s="1119" t="s">
        <v>30</v>
      </c>
      <c r="I25" s="1119" t="s">
        <v>30</v>
      </c>
      <c r="J25" s="1091">
        <f>F25/20*16</f>
        <v>12000</v>
      </c>
      <c r="K25" s="1160">
        <f>F25/23*15</f>
        <v>9782.608695652174</v>
      </c>
      <c r="L25" s="1057" t="s">
        <v>1108</v>
      </c>
      <c r="M25" s="1086"/>
      <c r="O25"/>
      <c r="P25"/>
      <c r="Q25"/>
      <c r="R25"/>
      <c r="S25"/>
      <c r="T25"/>
      <c r="U25"/>
      <c r="V25"/>
      <c r="W25"/>
      <c r="X25"/>
      <c r="Y25"/>
      <c r="Z25"/>
      <c r="AA25"/>
      <c r="AB25"/>
      <c r="AC25"/>
      <c r="AD25"/>
    </row>
    <row r="26" spans="1:30" s="666" customFormat="1" ht="32.25" customHeight="1">
      <c r="A26" s="144">
        <v>25</v>
      </c>
      <c r="B26" s="1162" t="s">
        <v>1007</v>
      </c>
      <c r="C26" s="680" t="s">
        <v>341</v>
      </c>
      <c r="D26" s="678">
        <v>6000</v>
      </c>
      <c r="E26" s="678"/>
      <c r="F26" s="678">
        <v>15000</v>
      </c>
      <c r="G26" s="1092" t="s">
        <v>1110</v>
      </c>
      <c r="H26" s="1119" t="s">
        <v>30</v>
      </c>
      <c r="I26" s="1119" t="s">
        <v>30</v>
      </c>
      <c r="J26" s="1119" t="s">
        <v>30</v>
      </c>
      <c r="K26" s="1160">
        <f>F26/23*8</f>
        <v>5217.391304347826</v>
      </c>
      <c r="L26" s="1057" t="s">
        <v>1111</v>
      </c>
      <c r="M26" s="1086"/>
      <c r="O26"/>
      <c r="P26"/>
      <c r="Q26"/>
      <c r="R26"/>
      <c r="S26"/>
      <c r="T26"/>
      <c r="U26"/>
      <c r="V26"/>
      <c r="W26"/>
      <c r="X26"/>
      <c r="Y26"/>
      <c r="Z26"/>
      <c r="AA26"/>
      <c r="AB26"/>
      <c r="AC26"/>
      <c r="AD26"/>
    </row>
    <row r="27" spans="1:30" s="988" customFormat="1" ht="32.25" customHeight="1">
      <c r="A27" s="144">
        <v>26</v>
      </c>
      <c r="B27" s="1164" t="s">
        <v>1002</v>
      </c>
      <c r="C27" s="1166" t="s">
        <v>897</v>
      </c>
      <c r="D27" s="982">
        <v>10000</v>
      </c>
      <c r="E27" s="982">
        <v>6000</v>
      </c>
      <c r="F27" s="982">
        <v>15000</v>
      </c>
      <c r="G27" s="1083" t="s">
        <v>1004</v>
      </c>
      <c r="H27" s="1093" t="s">
        <v>30</v>
      </c>
      <c r="I27" s="1093" t="s">
        <v>30</v>
      </c>
      <c r="J27" s="1103">
        <f>F27/160*28</f>
        <v>2625</v>
      </c>
      <c r="K27" s="1103">
        <f>F27/184*46</f>
        <v>3750</v>
      </c>
      <c r="L27" s="1084"/>
      <c r="M27" s="1086"/>
      <c r="O27"/>
      <c r="P27"/>
      <c r="Q27"/>
      <c r="R27"/>
      <c r="S27"/>
      <c r="T27"/>
      <c r="U27"/>
      <c r="V27"/>
      <c r="W27"/>
      <c r="X27"/>
      <c r="Y27"/>
      <c r="Z27"/>
      <c r="AA27"/>
      <c r="AB27"/>
      <c r="AC27"/>
      <c r="AD27"/>
    </row>
    <row r="28" spans="1:30" s="988" customFormat="1" ht="32.25" customHeight="1">
      <c r="A28" s="144">
        <v>27</v>
      </c>
      <c r="B28" s="1165"/>
      <c r="C28" s="1167"/>
      <c r="D28" s="982">
        <v>10000</v>
      </c>
      <c r="E28" s="982">
        <v>6000</v>
      </c>
      <c r="F28" s="982">
        <v>15000</v>
      </c>
      <c r="G28" s="1083" t="s">
        <v>1099</v>
      </c>
      <c r="H28" s="1093" t="s">
        <v>30</v>
      </c>
      <c r="I28" s="1093" t="s">
        <v>30</v>
      </c>
      <c r="J28" s="1093" t="s">
        <v>30</v>
      </c>
      <c r="K28" s="1103">
        <f>F28/184*28</f>
        <v>2282.608695652174</v>
      </c>
      <c r="L28" s="1084" t="s">
        <v>1098</v>
      </c>
      <c r="M28" s="1086"/>
      <c r="O28"/>
      <c r="P28"/>
      <c r="Q28"/>
      <c r="R28"/>
      <c r="S28"/>
      <c r="T28"/>
      <c r="U28"/>
      <c r="V28"/>
      <c r="W28"/>
      <c r="X28"/>
      <c r="Y28"/>
      <c r="Z28"/>
      <c r="AA28"/>
      <c r="AB28"/>
      <c r="AC28"/>
      <c r="AD28"/>
    </row>
    <row r="29" spans="1:30" s="988" customFormat="1" ht="32.25" customHeight="1">
      <c r="A29" s="144">
        <v>28</v>
      </c>
      <c r="B29" s="1163" t="s">
        <v>1112</v>
      </c>
      <c r="C29" s="1159" t="s">
        <v>333</v>
      </c>
      <c r="D29" s="982">
        <v>25000</v>
      </c>
      <c r="E29" s="982"/>
      <c r="F29" s="982">
        <v>15000</v>
      </c>
      <c r="G29" s="1083" t="s">
        <v>1113</v>
      </c>
      <c r="H29" s="1093" t="s">
        <v>30</v>
      </c>
      <c r="I29" s="1093" t="s">
        <v>30</v>
      </c>
      <c r="J29" s="1093" t="s">
        <v>30</v>
      </c>
      <c r="K29" s="1103">
        <f>45000/512*270</f>
        <v>23730.46875</v>
      </c>
      <c r="L29" s="1084" t="s">
        <v>1114</v>
      </c>
      <c r="M29" s="1086"/>
      <c r="O29"/>
      <c r="P29"/>
      <c r="Q29"/>
      <c r="R29"/>
      <c r="S29"/>
      <c r="T29"/>
      <c r="U29"/>
      <c r="V29"/>
      <c r="W29"/>
      <c r="X29"/>
      <c r="Y29"/>
      <c r="Z29"/>
      <c r="AA29"/>
      <c r="AB29"/>
      <c r="AC29"/>
      <c r="AD29"/>
    </row>
    <row r="30" spans="1:30" s="988" customFormat="1" ht="32.25" customHeight="1">
      <c r="A30" s="144">
        <v>29</v>
      </c>
      <c r="B30" s="981" t="s">
        <v>260</v>
      </c>
      <c r="C30" s="981" t="s">
        <v>341</v>
      </c>
      <c r="D30" s="982">
        <v>20000</v>
      </c>
      <c r="E30" s="982">
        <v>5000</v>
      </c>
      <c r="F30" s="982">
        <v>10000</v>
      </c>
      <c r="G30" s="1083" t="s">
        <v>972</v>
      </c>
      <c r="H30" s="1103">
        <f>F30/176*120</f>
        <v>6818.181818181818</v>
      </c>
      <c r="I30" s="1103">
        <f>F30/168*175.5</f>
        <v>10446.428571428572</v>
      </c>
      <c r="J30" s="1103">
        <f>F30/160*98+14</f>
        <v>6139</v>
      </c>
      <c r="K30" s="1103">
        <f>F30/184*106</f>
        <v>5760.869565217391</v>
      </c>
      <c r="L30" s="1084" t="s">
        <v>1100</v>
      </c>
      <c r="M30" s="1086">
        <f t="shared" si="0"/>
        <v>17264.610389610389</v>
      </c>
      <c r="O30"/>
      <c r="P30"/>
      <c r="Q30"/>
      <c r="R30"/>
      <c r="S30"/>
      <c r="T30"/>
      <c r="U30"/>
      <c r="V30"/>
      <c r="W30"/>
      <c r="X30"/>
      <c r="Y30"/>
      <c r="Z30"/>
      <c r="AA30"/>
      <c r="AB30"/>
      <c r="AC30"/>
      <c r="AD30"/>
    </row>
    <row r="31" spans="1:30" ht="27" customHeight="1">
      <c r="A31" s="684"/>
      <c r="B31" s="685" t="s">
        <v>378</v>
      </c>
      <c r="C31" s="586"/>
      <c r="D31" s="587">
        <f>SUM(D2:D10)</f>
        <v>167000</v>
      </c>
      <c r="E31" s="587">
        <f>SUM(E2:E10)</f>
        <v>41000</v>
      </c>
      <c r="F31" s="587">
        <f>SUM(F2:F30)</f>
        <v>381000</v>
      </c>
      <c r="G31" s="586"/>
      <c r="H31" s="686">
        <f>SUM(H2:H24)</f>
        <v>119436.90513833992</v>
      </c>
      <c r="I31" s="686">
        <f>SUM(I2:I30)</f>
        <v>194202.65151515155</v>
      </c>
      <c r="J31" s="686">
        <f>SUM(J2:J30)</f>
        <v>234062.5</v>
      </c>
      <c r="K31" s="686">
        <f>SUM(K2:K30)</f>
        <v>283013.07744565222</v>
      </c>
      <c r="L31" s="587"/>
      <c r="M31" s="1087">
        <f>SUM(M2:M30)</f>
        <v>320457.73847167316</v>
      </c>
      <c r="N31" s="666"/>
    </row>
    <row r="32" spans="1:30" ht="27" customHeight="1">
      <c r="B32" s="16"/>
      <c r="C32" s="16"/>
      <c r="D32" s="16"/>
      <c r="E32" s="16"/>
      <c r="F32" s="16"/>
      <c r="G32" s="16"/>
      <c r="H32" s="419"/>
      <c r="I32" s="419"/>
      <c r="J32" s="419"/>
      <c r="K32" s="419"/>
      <c r="L32" s="16"/>
      <c r="M32" s="16"/>
    </row>
    <row r="33" spans="2:13" ht="27" customHeight="1">
      <c r="B33" s="16"/>
      <c r="C33" s="16"/>
      <c r="D33" s="16"/>
      <c r="E33" s="16"/>
      <c r="F33" s="16"/>
      <c r="G33" s="16"/>
      <c r="H33" s="419"/>
      <c r="I33" s="419"/>
      <c r="J33" s="419"/>
      <c r="K33" s="419"/>
      <c r="L33" s="1189"/>
      <c r="M33" s="16"/>
    </row>
    <row r="34" spans="2:13" ht="27" customHeight="1">
      <c r="B34" s="16"/>
      <c r="C34" s="17"/>
      <c r="D34" s="16" t="s">
        <v>379</v>
      </c>
      <c r="E34" s="16"/>
      <c r="F34" s="16"/>
      <c r="G34" s="16"/>
      <c r="H34" s="419"/>
      <c r="I34" s="419"/>
      <c r="J34" s="419"/>
      <c r="K34" s="419"/>
      <c r="L34" s="16"/>
      <c r="M34" s="16"/>
    </row>
    <row r="35" spans="2:13" ht="27" customHeight="1">
      <c r="B35" s="16"/>
      <c r="C35" s="588"/>
      <c r="D35" s="16" t="s">
        <v>380</v>
      </c>
      <c r="E35" s="16"/>
      <c r="F35" s="16"/>
      <c r="G35" s="16"/>
      <c r="H35" s="419"/>
      <c r="I35" s="419"/>
      <c r="J35" s="419"/>
      <c r="K35" s="419"/>
      <c r="L35" s="16"/>
      <c r="M35" s="16"/>
    </row>
    <row r="36" spans="2:13" ht="27" customHeight="1">
      <c r="B36" s="16"/>
      <c r="C36" s="16"/>
      <c r="D36" s="16"/>
      <c r="E36" s="16"/>
      <c r="F36" s="16"/>
      <c r="G36" s="16"/>
      <c r="H36" s="419"/>
      <c r="I36" s="419"/>
      <c r="J36" s="419"/>
      <c r="K36" s="419"/>
      <c r="L36" s="16"/>
      <c r="M36" s="16"/>
    </row>
    <row r="37" spans="2:13" ht="27" customHeight="1">
      <c r="B37" s="16"/>
      <c r="C37" s="16"/>
      <c r="D37" s="16"/>
      <c r="E37" s="1055"/>
      <c r="F37" s="16"/>
      <c r="G37" s="16"/>
      <c r="H37" s="419"/>
      <c r="I37" s="419"/>
      <c r="J37" s="419"/>
      <c r="K37" s="419"/>
      <c r="L37" s="16"/>
      <c r="M37" s="16"/>
    </row>
    <row r="38" spans="2:13" ht="27" customHeight="1">
      <c r="B38" s="16"/>
      <c r="C38" s="16"/>
      <c r="D38" s="16"/>
      <c r="E38" s="16"/>
      <c r="F38" s="16"/>
      <c r="G38" s="16"/>
      <c r="H38" s="419"/>
      <c r="I38" s="419"/>
      <c r="J38" s="419"/>
      <c r="K38" s="419"/>
      <c r="L38" s="16"/>
      <c r="M38" s="16"/>
    </row>
    <row r="39" spans="2:13" ht="27" customHeight="1">
      <c r="B39" s="16"/>
      <c r="C39" s="16"/>
      <c r="D39" s="16"/>
      <c r="E39" s="16"/>
      <c r="F39" s="16"/>
      <c r="G39" s="16"/>
      <c r="H39" s="419"/>
      <c r="I39" s="419"/>
      <c r="J39" s="419"/>
      <c r="K39" s="419"/>
      <c r="L39" s="16"/>
      <c r="M39" s="16"/>
    </row>
    <row r="40" spans="2:13" ht="13.5" customHeight="1"/>
    <row r="41" spans="2:13" ht="27" customHeight="1">
      <c r="B41" s="16"/>
      <c r="C41" s="16"/>
      <c r="D41" s="16"/>
      <c r="E41" s="16"/>
      <c r="F41" s="16"/>
      <c r="G41" s="16"/>
      <c r="H41" s="419"/>
      <c r="I41" s="419"/>
      <c r="J41" s="419"/>
      <c r="K41" s="419"/>
      <c r="L41" s="16"/>
      <c r="M41" s="16"/>
    </row>
    <row r="42" spans="2:13" ht="27" customHeight="1">
      <c r="B42" s="16"/>
      <c r="C42" s="16"/>
      <c r="D42" s="16"/>
      <c r="E42" s="16"/>
      <c r="F42" s="16"/>
      <c r="G42" s="16"/>
      <c r="H42" s="419"/>
      <c r="I42" s="419"/>
      <c r="J42" s="419"/>
      <c r="K42" s="419"/>
      <c r="L42" s="16"/>
      <c r="M42" s="16"/>
    </row>
    <row r="43" spans="2:13" ht="27" customHeight="1">
      <c r="B43" s="16"/>
      <c r="C43" s="16"/>
      <c r="D43" s="16"/>
      <c r="E43" s="16"/>
      <c r="F43" s="16"/>
      <c r="G43" s="16"/>
      <c r="H43" s="419"/>
      <c r="I43" s="419"/>
      <c r="J43" s="419"/>
      <c r="K43" s="419"/>
      <c r="L43" s="16"/>
      <c r="M43" s="16"/>
    </row>
    <row r="44" spans="2:13" ht="27" customHeight="1">
      <c r="B44" s="16"/>
      <c r="C44" s="16"/>
      <c r="D44" s="16"/>
      <c r="E44" s="16"/>
      <c r="F44" s="16"/>
      <c r="G44" s="16"/>
      <c r="H44" s="419"/>
      <c r="I44" s="419"/>
      <c r="J44" s="419"/>
      <c r="K44" s="419"/>
      <c r="L44" s="16"/>
      <c r="M44" s="16"/>
    </row>
    <row r="45" spans="2:13" ht="27" customHeight="1">
      <c r="B45" s="16"/>
      <c r="C45" s="16"/>
      <c r="D45" s="16"/>
      <c r="E45" s="16"/>
      <c r="F45" s="16"/>
      <c r="G45" s="16"/>
      <c r="H45" s="419"/>
      <c r="I45" s="419"/>
      <c r="J45" s="419"/>
      <c r="K45" s="419"/>
      <c r="L45" s="16"/>
      <c r="M45" s="16"/>
    </row>
    <row r="46" spans="2:13" ht="27" customHeight="1">
      <c r="B46" s="16"/>
      <c r="C46" s="16"/>
      <c r="D46" s="16"/>
      <c r="E46" s="16"/>
      <c r="F46" s="16"/>
      <c r="G46" s="16"/>
      <c r="H46" s="419"/>
      <c r="I46" s="419"/>
      <c r="J46" s="419"/>
      <c r="K46" s="419"/>
      <c r="L46" s="16"/>
      <c r="M46" s="16"/>
    </row>
    <row r="47" spans="2:13" ht="27" customHeight="1">
      <c r="B47" s="16"/>
      <c r="C47" s="16"/>
      <c r="D47" s="16"/>
      <c r="E47" s="16"/>
      <c r="F47" s="16"/>
      <c r="G47" s="16"/>
      <c r="H47" s="419"/>
      <c r="I47" s="419"/>
      <c r="J47" s="419"/>
      <c r="K47" s="419"/>
      <c r="L47" s="16"/>
      <c r="M47" s="16"/>
    </row>
    <row r="48" spans="2:13" ht="27" customHeight="1">
      <c r="B48" s="16"/>
      <c r="C48" s="16"/>
      <c r="D48" s="16"/>
      <c r="E48" s="16"/>
      <c r="F48" s="16"/>
      <c r="G48" s="16"/>
      <c r="H48" s="419"/>
      <c r="I48" s="419"/>
      <c r="J48" s="419"/>
      <c r="K48" s="419"/>
      <c r="L48" s="16"/>
      <c r="M48" s="16"/>
    </row>
    <row r="49" spans="2:13" ht="27" customHeight="1">
      <c r="B49" s="16"/>
      <c r="C49" s="16"/>
      <c r="D49" s="16"/>
      <c r="E49" s="16"/>
      <c r="F49" s="16"/>
      <c r="G49" s="16"/>
      <c r="H49" s="419"/>
      <c r="I49" s="419"/>
      <c r="J49" s="419"/>
      <c r="K49" s="419"/>
      <c r="L49" s="16"/>
      <c r="M49" s="16"/>
    </row>
    <row r="50" spans="2:13" ht="27" customHeight="1">
      <c r="B50" s="16"/>
      <c r="C50" s="16"/>
      <c r="D50" s="16"/>
      <c r="E50" s="16"/>
      <c r="F50" s="16"/>
      <c r="G50" s="16"/>
      <c r="H50" s="419"/>
      <c r="I50" s="419"/>
      <c r="J50" s="419"/>
      <c r="K50" s="419"/>
      <c r="L50" s="16"/>
      <c r="M50" s="16"/>
    </row>
    <row r="51" spans="2:13" ht="27" customHeight="1">
      <c r="B51" s="16"/>
      <c r="C51" s="16"/>
      <c r="D51" s="16"/>
      <c r="E51" s="16"/>
      <c r="F51" s="16"/>
      <c r="G51" s="16"/>
      <c r="H51" s="419"/>
      <c r="I51" s="419"/>
      <c r="J51" s="419"/>
      <c r="K51" s="419"/>
      <c r="L51" s="16"/>
      <c r="M51" s="16"/>
    </row>
    <row r="52" spans="2:13" ht="27" customHeight="1">
      <c r="B52" s="16"/>
      <c r="C52" s="16"/>
      <c r="D52" s="16"/>
      <c r="E52" s="16"/>
      <c r="F52" s="16"/>
      <c r="G52" s="16"/>
      <c r="H52" s="419"/>
      <c r="I52" s="419"/>
      <c r="J52" s="419"/>
      <c r="K52" s="419"/>
      <c r="L52" s="16"/>
      <c r="M52" s="16"/>
    </row>
    <row r="53" spans="2:13" ht="27" customHeight="1">
      <c r="B53" s="16"/>
      <c r="C53" s="16"/>
      <c r="D53" s="16"/>
      <c r="E53" s="16"/>
      <c r="F53" s="16"/>
      <c r="G53" s="16"/>
      <c r="H53" s="419"/>
      <c r="I53" s="419"/>
      <c r="J53" s="419"/>
      <c r="K53" s="419"/>
      <c r="L53" s="16"/>
      <c r="M53" s="16"/>
    </row>
    <row r="54" spans="2:13" ht="27" customHeight="1">
      <c r="B54" s="16"/>
      <c r="C54" s="16"/>
      <c r="D54" s="16"/>
      <c r="E54" s="16"/>
      <c r="F54" s="16"/>
      <c r="G54" s="16"/>
      <c r="H54" s="419"/>
      <c r="I54" s="419"/>
      <c r="J54" s="419"/>
      <c r="K54" s="419"/>
      <c r="L54" s="16"/>
      <c r="M54" s="16"/>
    </row>
    <row r="55" spans="2:13" ht="27" customHeight="1">
      <c r="B55" s="16"/>
      <c r="C55" s="16"/>
      <c r="D55" s="16"/>
      <c r="E55" s="16"/>
      <c r="F55" s="16"/>
      <c r="G55" s="16"/>
      <c r="H55" s="419"/>
      <c r="I55" s="419"/>
      <c r="J55" s="419"/>
      <c r="K55" s="419"/>
      <c r="L55" s="16"/>
      <c r="M55" s="16"/>
    </row>
    <row r="56" spans="2:13" ht="27" customHeight="1">
      <c r="B56" s="16"/>
      <c r="C56" s="16"/>
      <c r="D56" s="16"/>
      <c r="E56" s="16"/>
      <c r="F56" s="16"/>
      <c r="G56" s="16"/>
      <c r="H56" s="419"/>
      <c r="I56" s="419"/>
      <c r="J56" s="419"/>
      <c r="K56" s="419"/>
      <c r="L56" s="16"/>
      <c r="M56" s="16"/>
    </row>
    <row r="57" spans="2:13" ht="27" customHeight="1">
      <c r="B57" s="16"/>
      <c r="C57" s="16"/>
      <c r="D57" s="16"/>
      <c r="E57" s="16"/>
      <c r="F57" s="16"/>
      <c r="G57" s="16"/>
      <c r="H57" s="419"/>
      <c r="I57" s="419"/>
      <c r="J57" s="419"/>
      <c r="K57" s="419"/>
      <c r="L57" s="16"/>
      <c r="M57" s="16"/>
    </row>
    <row r="58" spans="2:13" ht="27" customHeight="1">
      <c r="B58" s="16"/>
      <c r="C58" s="16"/>
      <c r="D58" s="16"/>
      <c r="E58" s="16"/>
      <c r="F58" s="16"/>
      <c r="G58" s="16"/>
      <c r="H58" s="419"/>
      <c r="I58" s="419"/>
      <c r="J58" s="419"/>
      <c r="K58" s="419"/>
      <c r="L58" s="16"/>
      <c r="M58" s="16"/>
    </row>
    <row r="59" spans="2:13" ht="27" customHeight="1">
      <c r="B59" s="16"/>
      <c r="C59" s="16"/>
      <c r="D59" s="16"/>
      <c r="E59" s="16"/>
      <c r="F59" s="16"/>
      <c r="G59" s="16"/>
      <c r="H59" s="419"/>
      <c r="I59" s="419"/>
      <c r="J59" s="419"/>
      <c r="K59" s="419"/>
      <c r="L59" s="16"/>
      <c r="M59" s="16"/>
    </row>
    <row r="60" spans="2:13" ht="27" customHeight="1">
      <c r="B60" s="16"/>
      <c r="C60" s="16"/>
      <c r="D60" s="16"/>
      <c r="E60" s="16"/>
      <c r="F60" s="16"/>
      <c r="G60" s="16"/>
      <c r="H60" s="419"/>
      <c r="I60" s="419"/>
      <c r="J60" s="419"/>
      <c r="K60" s="419"/>
      <c r="L60" s="16"/>
      <c r="M60" s="16"/>
    </row>
    <row r="61" spans="2:13" ht="27" customHeight="1">
      <c r="B61" s="16"/>
      <c r="C61" s="16"/>
      <c r="D61" s="16"/>
      <c r="E61" s="16"/>
      <c r="F61" s="16"/>
      <c r="G61" s="16"/>
      <c r="H61" s="419"/>
      <c r="I61" s="419"/>
      <c r="J61" s="419"/>
      <c r="K61" s="419"/>
      <c r="L61" s="16"/>
      <c r="M61" s="16"/>
    </row>
    <row r="62" spans="2:13" ht="27" customHeight="1">
      <c r="B62" s="16"/>
      <c r="C62" s="16"/>
      <c r="D62" s="16"/>
      <c r="E62" s="16"/>
      <c r="F62" s="16"/>
      <c r="G62" s="16"/>
      <c r="H62" s="419"/>
      <c r="I62" s="419"/>
      <c r="J62" s="419"/>
      <c r="K62" s="419"/>
      <c r="L62" s="16"/>
      <c r="M62" s="16"/>
    </row>
    <row r="63" spans="2:13" ht="27" customHeight="1">
      <c r="B63" s="16"/>
      <c r="C63" s="16"/>
      <c r="D63" s="16"/>
      <c r="E63" s="16"/>
      <c r="F63" s="16"/>
      <c r="G63" s="16"/>
      <c r="H63" s="419"/>
      <c r="I63" s="419"/>
      <c r="J63" s="419"/>
      <c r="K63" s="419"/>
      <c r="L63" s="16"/>
      <c r="M63" s="16"/>
    </row>
    <row r="64" spans="2:13" ht="27" customHeight="1">
      <c r="B64" s="16"/>
      <c r="C64" s="16"/>
      <c r="D64" s="16"/>
      <c r="E64" s="16"/>
      <c r="F64" s="16"/>
      <c r="G64" s="16"/>
      <c r="H64" s="419"/>
      <c r="I64" s="419"/>
      <c r="J64" s="419"/>
      <c r="K64" s="419"/>
      <c r="L64" s="16"/>
      <c r="M64" s="16"/>
    </row>
    <row r="65" spans="2:13" ht="27" customHeight="1">
      <c r="B65" s="16"/>
      <c r="C65" s="16"/>
      <c r="D65" s="16"/>
      <c r="E65" s="16"/>
      <c r="F65" s="16"/>
      <c r="G65" s="16"/>
      <c r="H65" s="419"/>
      <c r="I65" s="419"/>
      <c r="J65" s="419"/>
      <c r="K65" s="419"/>
      <c r="L65" s="16"/>
      <c r="M65" s="16"/>
    </row>
    <row r="66" spans="2:13" ht="27" customHeight="1">
      <c r="B66" s="16"/>
      <c r="C66" s="16"/>
      <c r="D66" s="16"/>
      <c r="E66" s="16"/>
      <c r="F66" s="16"/>
      <c r="G66" s="16"/>
      <c r="H66" s="419"/>
      <c r="I66" s="419"/>
      <c r="J66" s="419"/>
      <c r="K66" s="419"/>
      <c r="L66" s="16"/>
      <c r="M66" s="16"/>
    </row>
    <row r="67" spans="2:13" ht="27" customHeight="1">
      <c r="B67" s="16"/>
      <c r="C67" s="16"/>
      <c r="D67" s="16"/>
      <c r="E67" s="16"/>
      <c r="F67" s="16"/>
      <c r="G67" s="16"/>
      <c r="H67" s="419"/>
      <c r="I67" s="419"/>
      <c r="J67" s="419"/>
      <c r="K67" s="419"/>
      <c r="L67" s="16"/>
      <c r="M67" s="16"/>
    </row>
    <row r="68" spans="2:13" ht="27" customHeight="1">
      <c r="B68" s="16"/>
      <c r="C68" s="16"/>
      <c r="D68" s="16"/>
      <c r="E68" s="16"/>
      <c r="F68" s="16"/>
      <c r="G68" s="16"/>
      <c r="H68" s="419"/>
      <c r="I68" s="419"/>
      <c r="J68" s="419"/>
      <c r="K68" s="419"/>
      <c r="L68" s="16"/>
      <c r="M68" s="16"/>
    </row>
    <row r="69" spans="2:13" ht="27" customHeight="1">
      <c r="B69" s="16"/>
      <c r="C69" s="16"/>
      <c r="D69" s="16"/>
      <c r="E69" s="16"/>
      <c r="F69" s="16"/>
      <c r="G69" s="16"/>
      <c r="H69" s="419"/>
      <c r="I69" s="419"/>
      <c r="J69" s="419"/>
      <c r="K69" s="419"/>
      <c r="L69" s="16"/>
      <c r="M69" s="16"/>
    </row>
    <row r="70" spans="2:13" ht="27" customHeight="1">
      <c r="B70" s="16"/>
      <c r="C70" s="16"/>
      <c r="D70" s="16"/>
      <c r="E70" s="16"/>
      <c r="F70" s="16"/>
      <c r="G70" s="16"/>
      <c r="H70" s="419"/>
      <c r="I70" s="419"/>
      <c r="J70" s="419"/>
      <c r="K70" s="419"/>
      <c r="L70" s="16"/>
      <c r="M70" s="16"/>
    </row>
    <row r="71" spans="2:13" ht="27" customHeight="1">
      <c r="B71" s="16"/>
      <c r="C71" s="16"/>
      <c r="D71" s="16"/>
      <c r="E71" s="16"/>
      <c r="F71" s="16"/>
      <c r="G71" s="16"/>
      <c r="H71" s="419"/>
      <c r="I71" s="419"/>
      <c r="J71" s="419"/>
      <c r="K71" s="419"/>
      <c r="L71" s="16"/>
      <c r="M71" s="16"/>
    </row>
    <row r="72" spans="2:13" ht="27" customHeight="1">
      <c r="B72" s="16"/>
      <c r="C72" s="16"/>
      <c r="D72" s="16"/>
      <c r="E72" s="16"/>
      <c r="F72" s="16"/>
      <c r="G72" s="16"/>
      <c r="H72" s="419"/>
      <c r="I72" s="419"/>
      <c r="J72" s="419"/>
      <c r="K72" s="419"/>
      <c r="L72" s="16"/>
      <c r="M72" s="16"/>
    </row>
    <row r="73" spans="2:13" ht="27" customHeight="1">
      <c r="B73" s="16"/>
      <c r="C73" s="16"/>
      <c r="D73" s="16"/>
      <c r="E73" s="16"/>
      <c r="F73" s="16"/>
      <c r="G73" s="16"/>
      <c r="H73" s="419"/>
      <c r="I73" s="419"/>
      <c r="J73" s="419"/>
      <c r="K73" s="419"/>
      <c r="L73" s="16"/>
      <c r="M73" s="16"/>
    </row>
    <row r="74" spans="2:13" ht="27" customHeight="1">
      <c r="B74" s="16"/>
      <c r="C74" s="16"/>
      <c r="D74" s="16"/>
      <c r="E74" s="16"/>
      <c r="F74" s="16"/>
      <c r="G74" s="16"/>
      <c r="H74" s="419"/>
      <c r="I74" s="419"/>
      <c r="J74" s="419"/>
      <c r="K74" s="419"/>
      <c r="L74" s="16"/>
      <c r="M74" s="16"/>
    </row>
    <row r="75" spans="2:13" ht="27" customHeight="1">
      <c r="B75" s="16"/>
      <c r="C75" s="16"/>
      <c r="D75" s="16"/>
      <c r="E75" s="16"/>
      <c r="F75" s="16"/>
      <c r="G75" s="16"/>
      <c r="H75" s="419"/>
      <c r="I75" s="419"/>
      <c r="J75" s="419"/>
      <c r="K75" s="419"/>
      <c r="L75" s="16"/>
      <c r="M75" s="16"/>
    </row>
    <row r="76" spans="2:13" ht="27" customHeight="1">
      <c r="B76" s="16"/>
      <c r="C76" s="16"/>
      <c r="D76" s="16"/>
      <c r="E76" s="16"/>
      <c r="F76" s="16"/>
      <c r="G76" s="16"/>
      <c r="H76" s="419"/>
      <c r="I76" s="419"/>
      <c r="J76" s="419"/>
      <c r="K76" s="419"/>
      <c r="L76" s="16"/>
      <c r="M76" s="16"/>
    </row>
    <row r="77" spans="2:13" ht="27" customHeight="1">
      <c r="B77" s="16"/>
      <c r="C77" s="16"/>
      <c r="D77" s="16"/>
      <c r="E77" s="16"/>
      <c r="F77" s="16"/>
      <c r="G77" s="16"/>
      <c r="H77" s="419"/>
      <c r="I77" s="419"/>
      <c r="J77" s="419"/>
      <c r="K77" s="419"/>
      <c r="L77" s="16"/>
      <c r="M77" s="16"/>
    </row>
    <row r="78" spans="2:13" ht="27" customHeight="1">
      <c r="B78" s="16"/>
      <c r="C78" s="16"/>
      <c r="D78" s="16"/>
      <c r="E78" s="16"/>
      <c r="F78" s="16"/>
      <c r="G78" s="16"/>
      <c r="H78" s="419"/>
      <c r="I78" s="419"/>
      <c r="J78" s="419"/>
      <c r="K78" s="419"/>
      <c r="L78" s="16"/>
      <c r="M78" s="16"/>
    </row>
    <row r="79" spans="2:13" ht="27" customHeight="1">
      <c r="B79" s="16"/>
      <c r="C79" s="16"/>
      <c r="D79" s="16"/>
      <c r="E79" s="16"/>
      <c r="F79" s="16"/>
      <c r="G79" s="16"/>
      <c r="H79" s="419"/>
      <c r="I79" s="419"/>
      <c r="J79" s="419"/>
      <c r="K79" s="419"/>
      <c r="L79" s="16"/>
      <c r="M79" s="16"/>
    </row>
    <row r="80" spans="2:13" ht="27" customHeight="1">
      <c r="B80" s="16"/>
      <c r="C80" s="16"/>
      <c r="D80" s="16"/>
      <c r="E80" s="16"/>
      <c r="F80" s="16"/>
      <c r="G80" s="16"/>
      <c r="H80" s="419"/>
      <c r="I80" s="419"/>
      <c r="J80" s="419"/>
      <c r="K80" s="419"/>
      <c r="L80" s="16"/>
      <c r="M80" s="16"/>
    </row>
    <row r="81" spans="2:13" ht="27" customHeight="1">
      <c r="B81" s="16"/>
      <c r="C81" s="16"/>
      <c r="D81" s="16"/>
      <c r="E81" s="16"/>
      <c r="F81" s="16"/>
      <c r="G81" s="16"/>
      <c r="H81" s="419"/>
      <c r="I81" s="419"/>
      <c r="J81" s="419"/>
      <c r="K81" s="419"/>
      <c r="L81" s="16"/>
      <c r="M81" s="16"/>
    </row>
    <row r="82" spans="2:13" ht="27" customHeight="1">
      <c r="B82" s="16"/>
      <c r="C82" s="16"/>
      <c r="D82" s="16"/>
      <c r="E82" s="16"/>
      <c r="F82" s="16"/>
      <c r="G82" s="16"/>
      <c r="H82" s="419"/>
      <c r="I82" s="419"/>
      <c r="J82" s="419"/>
      <c r="K82" s="419"/>
      <c r="L82" s="16"/>
      <c r="M82" s="16"/>
    </row>
    <row r="83" spans="2:13" ht="27" customHeight="1">
      <c r="B83" s="16"/>
      <c r="C83" s="16"/>
      <c r="D83" s="16"/>
      <c r="E83" s="16"/>
      <c r="F83" s="16"/>
      <c r="G83" s="16"/>
      <c r="H83" s="419"/>
      <c r="I83" s="419"/>
      <c r="J83" s="419"/>
      <c r="K83" s="419"/>
      <c r="L83" s="16"/>
      <c r="M83" s="16"/>
    </row>
    <row r="84" spans="2:13" ht="27" customHeight="1">
      <c r="B84" s="16"/>
      <c r="C84" s="16"/>
      <c r="D84" s="16"/>
      <c r="E84" s="16"/>
      <c r="F84" s="16"/>
      <c r="G84" s="16"/>
      <c r="H84" s="419"/>
      <c r="I84" s="419"/>
      <c r="J84" s="419"/>
      <c r="K84" s="419"/>
      <c r="L84" s="16"/>
      <c r="M84" s="16"/>
    </row>
    <row r="85" spans="2:13" ht="27" customHeight="1">
      <c r="B85" s="16"/>
      <c r="C85" s="16"/>
      <c r="D85" s="16"/>
      <c r="E85" s="16"/>
      <c r="F85" s="16"/>
      <c r="G85" s="16"/>
      <c r="H85" s="419"/>
      <c r="I85" s="419"/>
      <c r="J85" s="419"/>
      <c r="K85" s="419"/>
      <c r="L85" s="16"/>
      <c r="M85" s="16"/>
    </row>
    <row r="86" spans="2:13" ht="27" customHeight="1">
      <c r="B86" s="16"/>
      <c r="C86" s="16"/>
      <c r="D86" s="16"/>
      <c r="E86" s="16"/>
      <c r="F86" s="16"/>
      <c r="G86" s="16"/>
      <c r="H86" s="419"/>
      <c r="I86" s="419"/>
      <c r="J86" s="419"/>
      <c r="K86" s="419"/>
      <c r="L86" s="16"/>
      <c r="M86" s="16"/>
    </row>
    <row r="87" spans="2:13" ht="27" customHeight="1">
      <c r="B87" s="16"/>
      <c r="C87" s="16"/>
      <c r="D87" s="16"/>
      <c r="E87" s="16"/>
      <c r="F87" s="16"/>
      <c r="G87" s="16"/>
      <c r="H87" s="419"/>
      <c r="I87" s="419"/>
      <c r="J87" s="419"/>
      <c r="K87" s="419"/>
      <c r="L87" s="16"/>
      <c r="M87" s="16"/>
    </row>
    <row r="88" spans="2:13" ht="27" customHeight="1">
      <c r="B88" s="16"/>
      <c r="C88" s="16"/>
      <c r="D88" s="16"/>
      <c r="E88" s="16"/>
      <c r="F88" s="16"/>
      <c r="G88" s="16"/>
      <c r="H88" s="419"/>
      <c r="I88" s="419"/>
      <c r="J88" s="419"/>
      <c r="K88" s="419"/>
      <c r="L88" s="16"/>
      <c r="M88" s="16"/>
    </row>
    <row r="89" spans="2:13" ht="27" customHeight="1">
      <c r="B89" s="16"/>
      <c r="C89" s="16"/>
      <c r="D89" s="16"/>
      <c r="E89" s="16"/>
      <c r="F89" s="16"/>
      <c r="G89" s="16"/>
      <c r="H89" s="419"/>
      <c r="I89" s="419"/>
      <c r="J89" s="419"/>
      <c r="K89" s="419"/>
      <c r="L89" s="16"/>
      <c r="M89" s="16"/>
    </row>
    <row r="90" spans="2:13" ht="27" customHeight="1">
      <c r="B90" s="16"/>
      <c r="C90" s="16"/>
      <c r="D90" s="16"/>
      <c r="E90" s="16"/>
      <c r="F90" s="16"/>
      <c r="G90" s="16"/>
      <c r="H90" s="419"/>
      <c r="I90" s="419"/>
      <c r="J90" s="419"/>
      <c r="K90" s="419"/>
      <c r="L90" s="16"/>
      <c r="M90" s="16"/>
    </row>
    <row r="91" spans="2:13" ht="27" customHeight="1">
      <c r="B91" s="16"/>
      <c r="C91" s="16"/>
      <c r="D91" s="16"/>
      <c r="E91" s="16"/>
      <c r="F91" s="16"/>
      <c r="G91" s="16"/>
      <c r="H91" s="419"/>
      <c r="I91" s="419"/>
      <c r="J91" s="419"/>
      <c r="K91" s="419"/>
      <c r="L91" s="16"/>
      <c r="M91" s="16"/>
    </row>
    <row r="92" spans="2:13" ht="27" customHeight="1">
      <c r="B92" s="16"/>
      <c r="C92" s="16"/>
      <c r="D92" s="16"/>
      <c r="E92" s="16"/>
      <c r="F92" s="16"/>
      <c r="G92" s="16"/>
      <c r="H92" s="419"/>
      <c r="I92" s="419"/>
      <c r="J92" s="419"/>
      <c r="K92" s="419"/>
      <c r="L92" s="16"/>
      <c r="M92" s="16"/>
    </row>
    <row r="93" spans="2:13" ht="27" customHeight="1">
      <c r="B93" s="16"/>
      <c r="C93" s="16"/>
      <c r="D93" s="16"/>
      <c r="E93" s="16"/>
      <c r="F93" s="16"/>
      <c r="G93" s="16"/>
      <c r="H93" s="419"/>
      <c r="I93" s="419"/>
      <c r="J93" s="419"/>
      <c r="K93" s="419"/>
      <c r="L93" s="16"/>
      <c r="M93" s="16"/>
    </row>
    <row r="94" spans="2:13" ht="27" customHeight="1">
      <c r="B94" s="16"/>
      <c r="C94" s="16"/>
      <c r="D94" s="16"/>
      <c r="E94" s="16"/>
      <c r="F94" s="16"/>
      <c r="G94" s="16"/>
      <c r="H94" s="419"/>
      <c r="I94" s="419"/>
      <c r="J94" s="419"/>
      <c r="K94" s="419"/>
      <c r="L94" s="16"/>
      <c r="M94" s="16"/>
    </row>
    <row r="95" spans="2:13" ht="27" customHeight="1">
      <c r="B95" s="16"/>
      <c r="C95" s="16"/>
      <c r="D95" s="16"/>
      <c r="E95" s="16"/>
      <c r="F95" s="16"/>
      <c r="G95" s="16"/>
      <c r="H95" s="419"/>
      <c r="I95" s="419"/>
      <c r="J95" s="419"/>
      <c r="K95" s="419"/>
      <c r="L95" s="16"/>
      <c r="M95" s="16"/>
    </row>
    <row r="96" spans="2:13" ht="27" customHeight="1">
      <c r="B96" s="16"/>
      <c r="C96" s="16"/>
      <c r="D96" s="16"/>
      <c r="E96" s="16"/>
      <c r="F96" s="16"/>
      <c r="G96" s="16"/>
      <c r="H96" s="419"/>
      <c r="I96" s="419"/>
      <c r="J96" s="419"/>
      <c r="K96" s="419"/>
      <c r="L96" s="16"/>
      <c r="M96" s="16"/>
    </row>
    <row r="97" spans="2:13" ht="27" customHeight="1">
      <c r="B97" s="16"/>
      <c r="C97" s="16"/>
      <c r="D97" s="16"/>
      <c r="E97" s="16"/>
      <c r="F97" s="16"/>
      <c r="G97" s="16"/>
      <c r="H97" s="419"/>
      <c r="I97" s="419"/>
      <c r="J97" s="419"/>
      <c r="K97" s="419"/>
      <c r="L97" s="16"/>
      <c r="M97" s="16"/>
    </row>
    <row r="98" spans="2:13" ht="27" customHeight="1">
      <c r="B98" s="16"/>
      <c r="C98" s="16"/>
      <c r="D98" s="16"/>
      <c r="E98" s="16"/>
      <c r="F98" s="16"/>
      <c r="G98" s="16"/>
      <c r="H98" s="419"/>
      <c r="I98" s="419"/>
      <c r="J98" s="419"/>
      <c r="K98" s="419"/>
      <c r="L98" s="16"/>
      <c r="M98" s="16"/>
    </row>
    <row r="99" spans="2:13" ht="27" customHeight="1">
      <c r="B99" s="16"/>
      <c r="C99" s="16"/>
      <c r="D99" s="16"/>
      <c r="E99" s="16"/>
      <c r="F99" s="16"/>
      <c r="G99" s="16"/>
      <c r="H99" s="419"/>
      <c r="I99" s="419"/>
      <c r="J99" s="419"/>
      <c r="K99" s="419"/>
      <c r="L99" s="16"/>
      <c r="M99" s="16"/>
    </row>
    <row r="100" spans="2:13" ht="27" customHeight="1">
      <c r="B100" s="16"/>
      <c r="C100" s="16"/>
      <c r="D100" s="16"/>
      <c r="E100" s="16"/>
      <c r="F100" s="16"/>
      <c r="G100" s="16"/>
      <c r="H100" s="419"/>
      <c r="I100" s="419"/>
      <c r="J100" s="419"/>
      <c r="K100" s="419"/>
      <c r="L100" s="16"/>
      <c r="M100" s="16"/>
    </row>
    <row r="101" spans="2:13" ht="27" customHeight="1">
      <c r="B101" s="16"/>
      <c r="C101" s="16"/>
      <c r="D101" s="16"/>
      <c r="E101" s="16"/>
      <c r="F101" s="16"/>
      <c r="G101" s="16"/>
      <c r="H101" s="419"/>
      <c r="I101" s="419"/>
      <c r="J101" s="419"/>
      <c r="K101" s="419"/>
      <c r="L101" s="16"/>
      <c r="M101" s="16"/>
    </row>
    <row r="102" spans="2:13" ht="27" customHeight="1">
      <c r="B102" s="16"/>
      <c r="C102" s="16"/>
      <c r="D102" s="16"/>
      <c r="E102" s="16"/>
      <c r="F102" s="16"/>
      <c r="G102" s="16"/>
      <c r="H102" s="419"/>
      <c r="I102" s="419"/>
      <c r="J102" s="419"/>
      <c r="K102" s="419"/>
      <c r="L102" s="16"/>
      <c r="M102" s="16"/>
    </row>
    <row r="103" spans="2:13" ht="27" customHeight="1">
      <c r="B103" s="16"/>
      <c r="C103" s="16"/>
      <c r="D103" s="16"/>
      <c r="E103" s="16"/>
      <c r="F103" s="16"/>
      <c r="G103" s="16"/>
      <c r="H103" s="419"/>
      <c r="I103" s="419"/>
      <c r="J103" s="419"/>
      <c r="K103" s="419"/>
      <c r="L103" s="16"/>
      <c r="M103" s="16"/>
    </row>
    <row r="104" spans="2:13" ht="27" customHeight="1">
      <c r="B104" s="16"/>
      <c r="C104" s="16"/>
      <c r="D104" s="16"/>
      <c r="E104" s="16"/>
      <c r="F104" s="16"/>
      <c r="G104" s="16"/>
      <c r="H104" s="419"/>
      <c r="I104" s="419"/>
      <c r="J104" s="419"/>
      <c r="K104" s="419"/>
      <c r="L104" s="16"/>
      <c r="M104" s="16"/>
    </row>
    <row r="105" spans="2:13" ht="27" customHeight="1">
      <c r="B105" s="16"/>
      <c r="C105" s="16"/>
      <c r="D105" s="16"/>
      <c r="E105" s="16"/>
      <c r="F105" s="16"/>
      <c r="G105" s="16"/>
      <c r="H105" s="419"/>
      <c r="I105" s="419"/>
      <c r="J105" s="419"/>
      <c r="K105" s="419"/>
      <c r="L105" s="16"/>
      <c r="M105" s="16"/>
    </row>
    <row r="106" spans="2:13" ht="27" customHeight="1">
      <c r="B106" s="16"/>
      <c r="C106" s="16"/>
      <c r="D106" s="16"/>
      <c r="E106" s="16"/>
      <c r="F106" s="16"/>
      <c r="G106" s="16"/>
      <c r="H106" s="419"/>
      <c r="I106" s="419"/>
      <c r="J106" s="419"/>
      <c r="K106" s="419"/>
      <c r="L106" s="16"/>
      <c r="M106" s="16"/>
    </row>
    <row r="107" spans="2:13" ht="27" customHeight="1">
      <c r="B107" s="16"/>
      <c r="C107" s="16"/>
      <c r="D107" s="16"/>
      <c r="E107" s="16"/>
      <c r="F107" s="16"/>
      <c r="G107" s="16"/>
      <c r="H107" s="419"/>
      <c r="I107" s="419"/>
      <c r="J107" s="419"/>
      <c r="K107" s="419"/>
      <c r="L107" s="16"/>
      <c r="M107" s="16"/>
    </row>
    <row r="108" spans="2:13" ht="27" customHeight="1">
      <c r="B108" s="16"/>
      <c r="C108" s="16"/>
      <c r="D108" s="16"/>
      <c r="E108" s="16"/>
      <c r="F108" s="16"/>
      <c r="G108" s="16"/>
      <c r="H108" s="419"/>
      <c r="I108" s="419"/>
      <c r="J108" s="419"/>
      <c r="K108" s="419"/>
      <c r="L108" s="16"/>
      <c r="M108" s="16"/>
    </row>
    <row r="109" spans="2:13" ht="27" customHeight="1">
      <c r="B109" s="16"/>
      <c r="C109" s="16"/>
      <c r="D109" s="16"/>
      <c r="E109" s="16"/>
      <c r="F109" s="16"/>
      <c r="G109" s="16"/>
      <c r="H109" s="419"/>
      <c r="I109" s="419"/>
      <c r="J109" s="419"/>
      <c r="K109" s="419"/>
      <c r="L109" s="16"/>
      <c r="M109" s="16"/>
    </row>
    <row r="110" spans="2:13" ht="27" customHeight="1">
      <c r="B110" s="16"/>
      <c r="C110" s="16"/>
      <c r="D110" s="16"/>
      <c r="E110" s="16"/>
      <c r="F110" s="16"/>
      <c r="G110" s="16"/>
      <c r="H110" s="419"/>
      <c r="I110" s="419"/>
      <c r="J110" s="419"/>
      <c r="K110" s="419"/>
      <c r="L110" s="16"/>
      <c r="M110" s="16"/>
    </row>
    <row r="111" spans="2:13" ht="27" customHeight="1">
      <c r="B111" s="16"/>
      <c r="C111" s="16"/>
      <c r="D111" s="16"/>
      <c r="E111" s="16"/>
      <c r="F111" s="16"/>
      <c r="G111" s="16"/>
      <c r="H111" s="419"/>
      <c r="I111" s="419"/>
      <c r="J111" s="419"/>
      <c r="K111" s="419"/>
      <c r="L111" s="16"/>
      <c r="M111" s="16"/>
    </row>
    <row r="112" spans="2:13" ht="27" customHeight="1">
      <c r="B112" s="16"/>
      <c r="C112" s="16"/>
      <c r="D112" s="16"/>
      <c r="E112" s="16"/>
      <c r="F112" s="16"/>
      <c r="G112" s="16"/>
      <c r="H112" s="419"/>
      <c r="I112" s="419"/>
      <c r="J112" s="419"/>
      <c r="K112" s="419"/>
      <c r="L112" s="16"/>
      <c r="M112" s="16"/>
    </row>
    <row r="113" spans="2:13" ht="27" customHeight="1">
      <c r="B113" s="16"/>
      <c r="C113" s="16"/>
      <c r="D113" s="16"/>
      <c r="E113" s="16"/>
      <c r="F113" s="16"/>
      <c r="G113" s="16"/>
      <c r="H113" s="419"/>
      <c r="I113" s="419"/>
      <c r="J113" s="419"/>
      <c r="K113" s="419"/>
      <c r="L113" s="16"/>
      <c r="M113" s="16"/>
    </row>
    <row r="114" spans="2:13" ht="27" customHeight="1">
      <c r="B114" s="16"/>
      <c r="C114" s="16"/>
      <c r="D114" s="16"/>
      <c r="E114" s="16"/>
      <c r="F114" s="16"/>
      <c r="G114" s="16"/>
      <c r="H114" s="419"/>
      <c r="I114" s="419"/>
      <c r="J114" s="419"/>
      <c r="K114" s="419"/>
      <c r="L114" s="16"/>
      <c r="M114" s="16"/>
    </row>
    <row r="115" spans="2:13" ht="27" customHeight="1">
      <c r="B115" s="16"/>
      <c r="C115" s="16"/>
      <c r="D115" s="16"/>
      <c r="E115" s="16"/>
      <c r="F115" s="16"/>
      <c r="G115" s="16"/>
      <c r="H115" s="419"/>
      <c r="I115" s="419"/>
      <c r="J115" s="419"/>
      <c r="K115" s="419"/>
      <c r="L115" s="16"/>
      <c r="M115" s="16"/>
    </row>
    <row r="116" spans="2:13" ht="27" customHeight="1">
      <c r="B116" s="16"/>
      <c r="C116" s="16"/>
      <c r="D116" s="16"/>
      <c r="E116" s="16"/>
      <c r="F116" s="16"/>
      <c r="G116" s="16"/>
      <c r="H116" s="419"/>
      <c r="I116" s="419"/>
      <c r="J116" s="419"/>
      <c r="K116" s="419"/>
      <c r="L116" s="16"/>
      <c r="M116" s="16"/>
    </row>
    <row r="117" spans="2:13" ht="27" customHeight="1">
      <c r="B117" s="16"/>
      <c r="C117" s="16"/>
      <c r="D117" s="16"/>
      <c r="E117" s="16"/>
      <c r="F117" s="16"/>
      <c r="G117" s="16"/>
      <c r="H117" s="419"/>
      <c r="I117" s="419"/>
      <c r="J117" s="419"/>
      <c r="K117" s="419"/>
      <c r="L117" s="16"/>
      <c r="M117" s="16"/>
    </row>
    <row r="118" spans="2:13" ht="27" customHeight="1">
      <c r="B118" s="16"/>
      <c r="C118" s="16"/>
      <c r="D118" s="16"/>
      <c r="E118" s="16"/>
      <c r="F118" s="16"/>
      <c r="G118" s="16"/>
      <c r="H118" s="419"/>
      <c r="I118" s="419"/>
      <c r="J118" s="419"/>
      <c r="K118" s="419"/>
      <c r="L118" s="16"/>
      <c r="M118" s="16"/>
    </row>
    <row r="119" spans="2:13" ht="27" customHeight="1">
      <c r="B119" s="16"/>
      <c r="C119" s="16"/>
      <c r="D119" s="16"/>
      <c r="E119" s="16"/>
      <c r="F119" s="16"/>
      <c r="G119" s="16"/>
      <c r="H119" s="419"/>
      <c r="I119" s="419"/>
      <c r="J119" s="419"/>
      <c r="K119" s="419"/>
      <c r="L119" s="16"/>
      <c r="M119" s="16"/>
    </row>
    <row r="120" spans="2:13" ht="27" customHeight="1">
      <c r="B120" s="16"/>
      <c r="C120" s="16"/>
      <c r="D120" s="16"/>
      <c r="E120" s="16"/>
      <c r="F120" s="16"/>
      <c r="G120" s="16"/>
      <c r="H120" s="419"/>
      <c r="I120" s="419"/>
      <c r="J120" s="419"/>
      <c r="K120" s="419"/>
      <c r="L120" s="16"/>
      <c r="M120" s="16"/>
    </row>
    <row r="121" spans="2:13" ht="27" customHeight="1">
      <c r="B121" s="16"/>
      <c r="C121" s="16"/>
      <c r="D121" s="16"/>
      <c r="E121" s="16"/>
      <c r="F121" s="16"/>
      <c r="G121" s="16"/>
      <c r="H121" s="419"/>
      <c r="I121" s="419"/>
      <c r="J121" s="419"/>
      <c r="K121" s="419"/>
      <c r="L121" s="16"/>
      <c r="M121" s="16"/>
    </row>
    <row r="122" spans="2:13" ht="27" customHeight="1">
      <c r="B122" s="16"/>
      <c r="C122" s="16"/>
      <c r="D122" s="16"/>
      <c r="E122" s="16"/>
      <c r="F122" s="16"/>
      <c r="G122" s="16"/>
      <c r="H122" s="419"/>
      <c r="I122" s="419"/>
      <c r="J122" s="419"/>
      <c r="K122" s="419"/>
      <c r="L122" s="16"/>
      <c r="M122" s="16"/>
    </row>
    <row r="123" spans="2:13" ht="27" customHeight="1">
      <c r="B123" s="16"/>
      <c r="C123" s="16"/>
      <c r="D123" s="16"/>
      <c r="E123" s="16"/>
      <c r="F123" s="16"/>
      <c r="G123" s="16"/>
      <c r="H123" s="419"/>
      <c r="I123" s="419"/>
      <c r="J123" s="419"/>
      <c r="K123" s="419"/>
      <c r="L123" s="16"/>
      <c r="M123" s="16"/>
    </row>
    <row r="124" spans="2:13" ht="27" customHeight="1">
      <c r="B124" s="16"/>
      <c r="C124" s="16"/>
      <c r="D124" s="16"/>
      <c r="E124" s="16"/>
      <c r="F124" s="16"/>
      <c r="G124" s="16"/>
      <c r="H124" s="419"/>
      <c r="I124" s="419"/>
      <c r="J124" s="419"/>
      <c r="K124" s="419"/>
      <c r="L124" s="16"/>
      <c r="M124" s="16"/>
    </row>
    <row r="125" spans="2:13" ht="27" customHeight="1">
      <c r="B125" s="16"/>
      <c r="C125" s="16"/>
      <c r="D125" s="16"/>
      <c r="E125" s="16"/>
      <c r="F125" s="16"/>
      <c r="G125" s="16"/>
      <c r="H125" s="419"/>
      <c r="I125" s="419"/>
      <c r="J125" s="419"/>
      <c r="K125" s="419"/>
      <c r="L125" s="16"/>
      <c r="M125" s="16"/>
    </row>
    <row r="126" spans="2:13" ht="27" customHeight="1">
      <c r="B126" s="16"/>
      <c r="C126" s="16"/>
      <c r="D126" s="16"/>
      <c r="E126" s="16"/>
      <c r="F126" s="16"/>
      <c r="G126" s="16"/>
      <c r="H126" s="419"/>
      <c r="I126" s="419"/>
      <c r="J126" s="419"/>
      <c r="K126" s="419"/>
      <c r="L126" s="16"/>
      <c r="M126" s="16"/>
    </row>
    <row r="127" spans="2:13" ht="27" customHeight="1">
      <c r="B127" s="16"/>
      <c r="C127" s="16"/>
      <c r="D127" s="16"/>
      <c r="E127" s="16"/>
      <c r="F127" s="16"/>
      <c r="G127" s="16"/>
      <c r="H127" s="419"/>
      <c r="I127" s="419"/>
      <c r="J127" s="419"/>
      <c r="K127" s="419"/>
      <c r="L127" s="16"/>
      <c r="M127" s="16"/>
    </row>
    <row r="128" spans="2:13" ht="27" customHeight="1">
      <c r="B128" s="16"/>
      <c r="C128" s="16"/>
      <c r="D128" s="16"/>
      <c r="E128" s="16"/>
      <c r="F128" s="16"/>
      <c r="G128" s="16"/>
      <c r="H128" s="419"/>
      <c r="I128" s="419"/>
      <c r="J128" s="419"/>
      <c r="K128" s="419"/>
      <c r="L128" s="16"/>
      <c r="M128" s="16"/>
    </row>
    <row r="129" spans="2:13" ht="27" customHeight="1">
      <c r="B129" s="16"/>
      <c r="C129" s="16"/>
      <c r="D129" s="16"/>
      <c r="E129" s="16"/>
      <c r="F129" s="16"/>
      <c r="G129" s="16"/>
      <c r="H129" s="419"/>
      <c r="I129" s="419"/>
      <c r="J129" s="419"/>
      <c r="K129" s="419"/>
      <c r="L129" s="16"/>
      <c r="M129" s="16"/>
    </row>
    <row r="130" spans="2:13" ht="27" customHeight="1">
      <c r="B130" s="16"/>
      <c r="C130" s="16"/>
      <c r="D130" s="16"/>
      <c r="E130" s="16"/>
      <c r="F130" s="16"/>
      <c r="G130" s="16"/>
      <c r="H130" s="419"/>
      <c r="I130" s="419"/>
      <c r="J130" s="419"/>
      <c r="K130" s="419"/>
      <c r="L130" s="16"/>
      <c r="M130" s="16"/>
    </row>
    <row r="131" spans="2:13" ht="27" customHeight="1">
      <c r="B131" s="16"/>
      <c r="C131" s="16"/>
      <c r="D131" s="16"/>
      <c r="E131" s="16"/>
      <c r="F131" s="16"/>
      <c r="G131" s="16"/>
      <c r="H131" s="419"/>
      <c r="I131" s="419"/>
      <c r="J131" s="419"/>
      <c r="K131" s="419"/>
      <c r="L131" s="16"/>
      <c r="M131" s="16"/>
    </row>
    <row r="132" spans="2:13" ht="27" customHeight="1">
      <c r="B132" s="16"/>
      <c r="C132" s="16"/>
      <c r="D132" s="16"/>
      <c r="E132" s="16"/>
      <c r="F132" s="16"/>
      <c r="G132" s="16"/>
      <c r="H132" s="419"/>
      <c r="I132" s="419"/>
      <c r="J132" s="419"/>
      <c r="K132" s="419"/>
      <c r="L132" s="16"/>
      <c r="M132" s="16"/>
    </row>
    <row r="133" spans="2:13" ht="27" customHeight="1">
      <c r="B133" s="16"/>
      <c r="C133" s="16"/>
      <c r="D133" s="16"/>
      <c r="E133" s="16"/>
      <c r="F133" s="16"/>
      <c r="G133" s="16"/>
      <c r="H133" s="419"/>
      <c r="I133" s="419"/>
      <c r="J133" s="419"/>
      <c r="K133" s="419"/>
      <c r="L133" s="16"/>
      <c r="M133" s="16"/>
    </row>
    <row r="134" spans="2:13" ht="27" customHeight="1">
      <c r="B134" s="16"/>
      <c r="C134" s="16"/>
      <c r="D134" s="16"/>
      <c r="E134" s="16"/>
      <c r="F134" s="16"/>
      <c r="G134" s="16"/>
      <c r="H134" s="419"/>
      <c r="I134" s="419"/>
      <c r="J134" s="419"/>
      <c r="K134" s="419"/>
      <c r="L134" s="16"/>
      <c r="M134" s="16"/>
    </row>
    <row r="135" spans="2:13" ht="27" customHeight="1">
      <c r="B135" s="16"/>
      <c r="C135" s="16"/>
      <c r="D135" s="16"/>
      <c r="E135" s="16"/>
      <c r="F135" s="16"/>
      <c r="G135" s="16"/>
      <c r="H135" s="419"/>
      <c r="I135" s="419"/>
      <c r="J135" s="419"/>
      <c r="K135" s="419"/>
      <c r="L135" s="16"/>
      <c r="M135" s="16"/>
    </row>
    <row r="136" spans="2:13" ht="27" customHeight="1">
      <c r="B136" s="16"/>
      <c r="C136" s="16"/>
      <c r="D136" s="16"/>
      <c r="E136" s="16"/>
      <c r="F136" s="16"/>
      <c r="G136" s="16"/>
      <c r="H136" s="419"/>
      <c r="I136" s="419"/>
      <c r="J136" s="419"/>
      <c r="K136" s="419"/>
      <c r="L136" s="16"/>
      <c r="M136" s="16"/>
    </row>
    <row r="137" spans="2:13" ht="27" customHeight="1">
      <c r="B137" s="16"/>
      <c r="C137" s="16"/>
      <c r="D137" s="16"/>
      <c r="E137" s="16"/>
      <c r="F137" s="16"/>
      <c r="G137" s="16"/>
      <c r="H137" s="419"/>
      <c r="I137" s="419"/>
      <c r="J137" s="419"/>
      <c r="K137" s="419"/>
      <c r="L137" s="16"/>
      <c r="M137" s="16"/>
    </row>
    <row r="138" spans="2:13" ht="27" customHeight="1">
      <c r="B138" s="16"/>
      <c r="C138" s="16"/>
      <c r="D138" s="16"/>
      <c r="E138" s="16"/>
      <c r="F138" s="16"/>
      <c r="G138" s="16"/>
      <c r="H138" s="419"/>
      <c r="I138" s="419"/>
      <c r="J138" s="419"/>
      <c r="K138" s="419"/>
      <c r="L138" s="16"/>
      <c r="M138" s="16"/>
    </row>
    <row r="139" spans="2:13" ht="27" customHeight="1">
      <c r="B139" s="16"/>
      <c r="C139" s="16"/>
      <c r="D139" s="16"/>
      <c r="E139" s="16"/>
      <c r="F139" s="16"/>
      <c r="G139" s="16"/>
      <c r="H139" s="419"/>
      <c r="I139" s="419"/>
      <c r="J139" s="419"/>
      <c r="K139" s="419"/>
      <c r="L139" s="16"/>
      <c r="M139" s="16"/>
    </row>
    <row r="140" spans="2:13" ht="27" customHeight="1">
      <c r="B140" s="16"/>
      <c r="C140" s="16"/>
      <c r="D140" s="16"/>
      <c r="E140" s="16"/>
      <c r="F140" s="16"/>
      <c r="G140" s="16"/>
      <c r="H140" s="419"/>
      <c r="I140" s="419"/>
      <c r="J140" s="419"/>
      <c r="K140" s="419"/>
      <c r="L140" s="16"/>
      <c r="M140" s="16"/>
    </row>
    <row r="141" spans="2:13" ht="27" customHeight="1">
      <c r="B141" s="16"/>
      <c r="C141" s="16"/>
      <c r="D141" s="16"/>
      <c r="E141" s="16"/>
      <c r="F141" s="16"/>
      <c r="G141" s="16"/>
      <c r="H141" s="419"/>
      <c r="I141" s="419"/>
      <c r="J141" s="419"/>
      <c r="K141" s="419"/>
      <c r="L141" s="16"/>
      <c r="M141" s="16"/>
    </row>
    <row r="142" spans="2:13" ht="27" customHeight="1">
      <c r="B142" s="16"/>
      <c r="C142" s="16"/>
      <c r="D142" s="16"/>
      <c r="E142" s="16"/>
      <c r="F142" s="16"/>
      <c r="G142" s="16"/>
      <c r="H142" s="419"/>
      <c r="I142" s="419"/>
      <c r="J142" s="419"/>
      <c r="K142" s="419"/>
      <c r="L142" s="16"/>
      <c r="M142" s="16"/>
    </row>
    <row r="143" spans="2:13" ht="27" customHeight="1">
      <c r="B143" s="16"/>
      <c r="C143" s="16"/>
      <c r="D143" s="16"/>
      <c r="E143" s="16"/>
      <c r="F143" s="16"/>
      <c r="G143" s="16"/>
      <c r="H143" s="419"/>
      <c r="I143" s="419"/>
      <c r="J143" s="419"/>
      <c r="K143" s="419"/>
      <c r="L143" s="16"/>
      <c r="M143" s="16"/>
    </row>
    <row r="144" spans="2:13" ht="27" customHeight="1">
      <c r="B144" s="16"/>
      <c r="C144" s="16"/>
      <c r="D144" s="16"/>
      <c r="E144" s="16"/>
      <c r="F144" s="16"/>
      <c r="G144" s="16"/>
      <c r="H144" s="419"/>
      <c r="I144" s="419"/>
      <c r="J144" s="419"/>
      <c r="K144" s="419"/>
      <c r="L144" s="16"/>
      <c r="M144" s="16"/>
    </row>
    <row r="145" spans="2:13" ht="27" customHeight="1">
      <c r="B145" s="16"/>
      <c r="C145" s="16"/>
      <c r="D145" s="16"/>
      <c r="E145" s="16"/>
      <c r="F145" s="16"/>
      <c r="G145" s="16"/>
      <c r="H145" s="419"/>
      <c r="I145" s="419"/>
      <c r="J145" s="419"/>
      <c r="K145" s="419"/>
      <c r="L145" s="16"/>
      <c r="M145" s="16"/>
    </row>
    <row r="146" spans="2:13" ht="27" customHeight="1">
      <c r="B146" s="16"/>
      <c r="C146" s="16"/>
      <c r="D146" s="16"/>
      <c r="E146" s="16"/>
      <c r="F146" s="16"/>
      <c r="G146" s="16"/>
      <c r="H146" s="419"/>
      <c r="I146" s="419"/>
      <c r="J146" s="419"/>
      <c r="K146" s="419"/>
      <c r="L146" s="16"/>
      <c r="M146" s="16"/>
    </row>
    <row r="147" spans="2:13" ht="27" customHeight="1">
      <c r="B147" s="16"/>
      <c r="C147" s="16"/>
      <c r="D147" s="16"/>
      <c r="E147" s="16"/>
      <c r="F147" s="16"/>
      <c r="G147" s="16"/>
      <c r="H147" s="419"/>
      <c r="I147" s="419"/>
      <c r="J147" s="419"/>
      <c r="K147" s="419"/>
      <c r="L147" s="16"/>
      <c r="M147" s="16"/>
    </row>
    <row r="148" spans="2:13" ht="27" customHeight="1">
      <c r="B148" s="16"/>
      <c r="C148" s="16"/>
      <c r="D148" s="16"/>
      <c r="E148" s="16"/>
      <c r="F148" s="16"/>
      <c r="G148" s="16"/>
      <c r="H148" s="419"/>
      <c r="I148" s="419"/>
      <c r="J148" s="419"/>
      <c r="K148" s="419"/>
      <c r="L148" s="16"/>
      <c r="M148" s="16"/>
    </row>
    <row r="149" spans="2:13" ht="27" customHeight="1">
      <c r="B149" s="16"/>
      <c r="C149" s="16"/>
      <c r="D149" s="16"/>
      <c r="E149" s="16"/>
      <c r="F149" s="16"/>
      <c r="G149" s="16"/>
      <c r="H149" s="419"/>
      <c r="I149" s="419"/>
      <c r="J149" s="419"/>
      <c r="K149" s="419"/>
      <c r="L149" s="16"/>
      <c r="M149" s="16"/>
    </row>
    <row r="150" spans="2:13" ht="27" customHeight="1">
      <c r="B150" s="16"/>
      <c r="C150" s="16"/>
      <c r="D150" s="16"/>
      <c r="E150" s="16"/>
      <c r="F150" s="16"/>
      <c r="G150" s="16"/>
      <c r="H150" s="419"/>
      <c r="I150" s="419"/>
      <c r="J150" s="419"/>
      <c r="K150" s="419"/>
      <c r="L150" s="16"/>
      <c r="M150" s="16"/>
    </row>
    <row r="151" spans="2:13" ht="27" customHeight="1">
      <c r="B151" s="16"/>
      <c r="C151" s="16"/>
      <c r="D151" s="16"/>
      <c r="E151" s="16"/>
      <c r="F151" s="16"/>
      <c r="G151" s="16"/>
      <c r="H151" s="419"/>
      <c r="I151" s="419"/>
      <c r="J151" s="419"/>
      <c r="K151" s="419"/>
      <c r="L151" s="16"/>
      <c r="M151" s="16"/>
    </row>
    <row r="152" spans="2:13" ht="27" customHeight="1">
      <c r="B152" s="16"/>
      <c r="C152" s="16"/>
      <c r="D152" s="16"/>
      <c r="E152" s="16"/>
      <c r="F152" s="16"/>
      <c r="G152" s="16"/>
      <c r="H152" s="419"/>
      <c r="I152" s="419"/>
      <c r="J152" s="419"/>
      <c r="K152" s="419"/>
      <c r="L152" s="16"/>
      <c r="M152" s="16"/>
    </row>
    <row r="153" spans="2:13" ht="27" customHeight="1">
      <c r="B153" s="16"/>
      <c r="C153" s="16"/>
      <c r="D153" s="16"/>
      <c r="E153" s="16"/>
      <c r="F153" s="16"/>
      <c r="G153" s="16"/>
      <c r="H153" s="419"/>
      <c r="I153" s="419"/>
      <c r="J153" s="419"/>
      <c r="K153" s="419"/>
      <c r="L153" s="16"/>
      <c r="M153" s="16"/>
    </row>
    <row r="154" spans="2:13" ht="27" customHeight="1">
      <c r="B154" s="16"/>
      <c r="C154" s="16"/>
      <c r="D154" s="16"/>
      <c r="E154" s="16"/>
      <c r="F154" s="16"/>
      <c r="G154" s="16"/>
      <c r="H154" s="419"/>
      <c r="I154" s="419"/>
      <c r="J154" s="419"/>
      <c r="K154" s="419"/>
      <c r="L154" s="16"/>
      <c r="M154" s="16"/>
    </row>
    <row r="155" spans="2:13" ht="27" customHeight="1">
      <c r="B155" s="16"/>
      <c r="C155" s="16"/>
      <c r="D155" s="16"/>
      <c r="E155" s="16"/>
      <c r="F155" s="16"/>
      <c r="G155" s="16"/>
      <c r="H155" s="419"/>
      <c r="I155" s="419"/>
      <c r="J155" s="419"/>
      <c r="K155" s="419"/>
      <c r="L155" s="16"/>
      <c r="M155" s="16"/>
    </row>
    <row r="156" spans="2:13" ht="27" customHeight="1">
      <c r="B156" s="16"/>
      <c r="C156" s="16"/>
      <c r="D156" s="16"/>
      <c r="E156" s="16"/>
      <c r="F156" s="16"/>
      <c r="G156" s="16"/>
      <c r="H156" s="419"/>
      <c r="I156" s="419"/>
      <c r="J156" s="419"/>
      <c r="K156" s="419"/>
      <c r="L156" s="16"/>
      <c r="M156" s="16"/>
    </row>
    <row r="157" spans="2:13" ht="27" customHeight="1">
      <c r="B157" s="16"/>
      <c r="C157" s="16"/>
      <c r="D157" s="16"/>
      <c r="E157" s="16"/>
      <c r="F157" s="16"/>
      <c r="G157" s="16"/>
      <c r="H157" s="419"/>
      <c r="I157" s="419"/>
      <c r="J157" s="419"/>
      <c r="K157" s="419"/>
      <c r="L157" s="16"/>
      <c r="M157" s="16"/>
    </row>
    <row r="158" spans="2:13" ht="27" customHeight="1">
      <c r="B158" s="16"/>
      <c r="C158" s="16"/>
      <c r="D158" s="16"/>
      <c r="E158" s="16"/>
      <c r="F158" s="16"/>
      <c r="G158" s="16"/>
      <c r="H158" s="419"/>
      <c r="I158" s="419"/>
      <c r="J158" s="419"/>
      <c r="K158" s="419"/>
      <c r="L158" s="16"/>
      <c r="M158" s="16"/>
    </row>
    <row r="159" spans="2:13" ht="27" customHeight="1">
      <c r="B159" s="16"/>
      <c r="C159" s="16"/>
      <c r="D159" s="16"/>
      <c r="E159" s="16"/>
      <c r="F159" s="16"/>
      <c r="G159" s="16"/>
      <c r="H159" s="419"/>
      <c r="I159" s="419"/>
      <c r="J159" s="419"/>
      <c r="K159" s="419"/>
      <c r="L159" s="16"/>
      <c r="M159" s="16"/>
    </row>
    <row r="160" spans="2:13" ht="27" customHeight="1">
      <c r="B160" s="16"/>
      <c r="C160" s="16"/>
      <c r="D160" s="16"/>
      <c r="E160" s="16"/>
      <c r="F160" s="16"/>
      <c r="G160" s="16"/>
      <c r="H160" s="419"/>
      <c r="I160" s="419"/>
      <c r="J160" s="419"/>
      <c r="K160" s="419"/>
      <c r="L160" s="16"/>
      <c r="M160" s="16"/>
    </row>
    <row r="161" spans="2:13" ht="27" customHeight="1">
      <c r="B161" s="16"/>
      <c r="C161" s="16"/>
      <c r="D161" s="16"/>
      <c r="E161" s="16"/>
      <c r="F161" s="16"/>
      <c r="G161" s="16"/>
      <c r="H161" s="419"/>
      <c r="I161" s="419"/>
      <c r="J161" s="419"/>
      <c r="K161" s="419"/>
      <c r="L161" s="16"/>
      <c r="M161" s="16"/>
    </row>
    <row r="162" spans="2:13" ht="27" customHeight="1">
      <c r="B162" s="16"/>
      <c r="C162" s="16"/>
      <c r="D162" s="16"/>
      <c r="E162" s="16"/>
      <c r="F162" s="16"/>
      <c r="G162" s="16"/>
      <c r="H162" s="419"/>
      <c r="I162" s="419"/>
      <c r="J162" s="419"/>
      <c r="K162" s="419"/>
      <c r="L162" s="16"/>
      <c r="M162" s="16"/>
    </row>
    <row r="163" spans="2:13" ht="27" customHeight="1">
      <c r="B163" s="16"/>
      <c r="C163" s="16"/>
      <c r="D163" s="16"/>
      <c r="E163" s="16"/>
      <c r="F163" s="16"/>
      <c r="G163" s="16"/>
      <c r="H163" s="419"/>
      <c r="I163" s="419"/>
      <c r="J163" s="419"/>
      <c r="K163" s="419"/>
      <c r="L163" s="16"/>
      <c r="M163" s="16"/>
    </row>
    <row r="164" spans="2:13" ht="27" customHeight="1">
      <c r="B164" s="16"/>
      <c r="C164" s="16"/>
      <c r="D164" s="16"/>
      <c r="E164" s="16"/>
      <c r="F164" s="16"/>
      <c r="G164" s="16"/>
      <c r="H164" s="419"/>
      <c r="I164" s="419"/>
      <c r="J164" s="419"/>
      <c r="K164" s="419"/>
      <c r="L164" s="16"/>
      <c r="M164" s="16"/>
    </row>
    <row r="165" spans="2:13" ht="27" customHeight="1">
      <c r="B165" s="16"/>
      <c r="C165" s="16"/>
      <c r="D165" s="16"/>
      <c r="E165" s="16"/>
      <c r="F165" s="16"/>
      <c r="G165" s="16"/>
      <c r="H165" s="419"/>
      <c r="I165" s="419"/>
      <c r="J165" s="419"/>
      <c r="K165" s="419"/>
      <c r="L165" s="16"/>
      <c r="M165" s="16"/>
    </row>
    <row r="166" spans="2:13" ht="27" customHeight="1">
      <c r="B166" s="16"/>
      <c r="C166" s="16"/>
      <c r="D166" s="16"/>
      <c r="E166" s="16"/>
      <c r="F166" s="16"/>
      <c r="G166" s="16"/>
      <c r="H166" s="419"/>
      <c r="I166" s="419"/>
      <c r="J166" s="419"/>
      <c r="K166" s="419"/>
      <c r="L166" s="16"/>
      <c r="M166" s="16"/>
    </row>
    <row r="167" spans="2:13" ht="27" customHeight="1">
      <c r="B167" s="16"/>
      <c r="C167" s="16"/>
      <c r="D167" s="16"/>
      <c r="E167" s="16"/>
      <c r="F167" s="16"/>
      <c r="G167" s="16"/>
      <c r="H167" s="419"/>
      <c r="I167" s="419"/>
      <c r="J167" s="419"/>
      <c r="K167" s="419"/>
      <c r="L167" s="16"/>
      <c r="M167" s="16"/>
    </row>
    <row r="168" spans="2:13" ht="27" customHeight="1">
      <c r="B168" s="16"/>
      <c r="C168" s="16"/>
      <c r="D168" s="16"/>
      <c r="E168" s="16"/>
      <c r="F168" s="16"/>
      <c r="G168" s="16"/>
      <c r="H168" s="419"/>
      <c r="I168" s="419"/>
      <c r="J168" s="419"/>
      <c r="K168" s="419"/>
      <c r="L168" s="16"/>
      <c r="M168" s="16"/>
    </row>
    <row r="169" spans="2:13" ht="27" customHeight="1">
      <c r="B169" s="16"/>
      <c r="C169" s="16"/>
      <c r="D169" s="16"/>
      <c r="E169" s="16"/>
      <c r="F169" s="16"/>
      <c r="G169" s="16"/>
      <c r="H169" s="419"/>
      <c r="I169" s="419"/>
      <c r="J169" s="419"/>
      <c r="K169" s="419"/>
      <c r="L169" s="16"/>
      <c r="M169" s="16"/>
    </row>
    <row r="170" spans="2:13" ht="27" customHeight="1">
      <c r="B170" s="16"/>
      <c r="C170" s="16"/>
      <c r="D170" s="16"/>
      <c r="E170" s="16"/>
      <c r="F170" s="16"/>
      <c r="G170" s="16"/>
      <c r="H170" s="419"/>
      <c r="I170" s="419"/>
      <c r="J170" s="419"/>
      <c r="K170" s="419"/>
      <c r="L170" s="16"/>
      <c r="M170" s="16"/>
    </row>
    <row r="171" spans="2:13" ht="27" customHeight="1">
      <c r="B171" s="16"/>
      <c r="C171" s="16"/>
      <c r="D171" s="16"/>
      <c r="E171" s="16"/>
      <c r="F171" s="16"/>
      <c r="G171" s="16"/>
      <c r="H171" s="419"/>
      <c r="I171" s="419"/>
      <c r="J171" s="419"/>
      <c r="K171" s="419"/>
      <c r="L171" s="16"/>
      <c r="M171" s="16"/>
    </row>
    <row r="172" spans="2:13" ht="27" customHeight="1">
      <c r="B172" s="16"/>
      <c r="C172" s="16"/>
      <c r="D172" s="16"/>
      <c r="E172" s="16"/>
      <c r="F172" s="16"/>
      <c r="G172" s="16"/>
      <c r="H172" s="419"/>
      <c r="I172" s="419"/>
      <c r="J172" s="419"/>
      <c r="K172" s="419"/>
      <c r="L172" s="16"/>
      <c r="M172" s="16"/>
    </row>
    <row r="173" spans="2:13" ht="27" customHeight="1">
      <c r="B173" s="16"/>
      <c r="C173" s="16"/>
      <c r="D173" s="16"/>
      <c r="E173" s="16"/>
      <c r="F173" s="16"/>
      <c r="G173" s="16"/>
      <c r="H173" s="419"/>
      <c r="I173" s="419"/>
      <c r="J173" s="419"/>
      <c r="K173" s="419"/>
      <c r="L173" s="16"/>
      <c r="M173" s="16"/>
    </row>
    <row r="174" spans="2:13" ht="27" customHeight="1">
      <c r="B174" s="16"/>
      <c r="C174" s="16"/>
      <c r="D174" s="16"/>
      <c r="E174" s="16"/>
      <c r="F174" s="16"/>
      <c r="G174" s="16"/>
      <c r="H174" s="419"/>
      <c r="I174" s="419"/>
      <c r="J174" s="419"/>
      <c r="K174" s="419"/>
      <c r="L174" s="16"/>
      <c r="M174" s="16"/>
    </row>
    <row r="175" spans="2:13" ht="27" customHeight="1">
      <c r="B175" s="16"/>
      <c r="C175" s="16"/>
      <c r="D175" s="16"/>
      <c r="E175" s="16"/>
      <c r="F175" s="16"/>
      <c r="G175" s="16"/>
      <c r="H175" s="419"/>
      <c r="I175" s="419"/>
      <c r="J175" s="419"/>
      <c r="K175" s="419"/>
      <c r="L175" s="16"/>
      <c r="M175" s="16"/>
    </row>
    <row r="176" spans="2:13" ht="27" customHeight="1">
      <c r="B176" s="16"/>
      <c r="C176" s="16"/>
      <c r="D176" s="16"/>
      <c r="E176" s="16"/>
      <c r="F176" s="16"/>
      <c r="G176" s="16"/>
      <c r="H176" s="419"/>
      <c r="I176" s="419"/>
      <c r="J176" s="419"/>
      <c r="K176" s="419"/>
      <c r="L176" s="16"/>
      <c r="M176" s="16"/>
    </row>
    <row r="177" spans="2:13" ht="27" customHeight="1">
      <c r="B177" s="16"/>
      <c r="C177" s="16"/>
      <c r="D177" s="16"/>
      <c r="E177" s="16"/>
      <c r="F177" s="16"/>
      <c r="G177" s="16"/>
      <c r="H177" s="419"/>
      <c r="I177" s="419"/>
      <c r="J177" s="419"/>
      <c r="K177" s="419"/>
      <c r="L177" s="16"/>
      <c r="M177" s="16"/>
    </row>
    <row r="178" spans="2:13" ht="27" customHeight="1">
      <c r="B178" s="16"/>
      <c r="C178" s="16"/>
      <c r="D178" s="16"/>
      <c r="E178" s="16"/>
      <c r="F178" s="16"/>
      <c r="G178" s="16"/>
      <c r="H178" s="419"/>
      <c r="I178" s="419"/>
      <c r="J178" s="419"/>
      <c r="K178" s="419"/>
      <c r="L178" s="16"/>
      <c r="M178" s="16"/>
    </row>
    <row r="179" spans="2:13" ht="27" customHeight="1">
      <c r="B179" s="16"/>
      <c r="C179" s="16"/>
      <c r="D179" s="16"/>
      <c r="E179" s="16"/>
      <c r="F179" s="16"/>
      <c r="G179" s="16"/>
      <c r="H179" s="419"/>
      <c r="I179" s="419"/>
      <c r="J179" s="419"/>
      <c r="K179" s="419"/>
      <c r="L179" s="16"/>
      <c r="M179" s="16"/>
    </row>
    <row r="180" spans="2:13" ht="27" customHeight="1">
      <c r="B180" s="16"/>
      <c r="C180" s="16"/>
      <c r="D180" s="16"/>
      <c r="E180" s="16"/>
      <c r="F180" s="16"/>
      <c r="G180" s="16"/>
      <c r="H180" s="419"/>
      <c r="I180" s="419"/>
      <c r="J180" s="419"/>
      <c r="K180" s="419"/>
      <c r="L180" s="16"/>
      <c r="M180" s="16"/>
    </row>
    <row r="181" spans="2:13" ht="27" customHeight="1">
      <c r="B181" s="16"/>
      <c r="C181" s="16"/>
      <c r="D181" s="16"/>
      <c r="E181" s="16"/>
      <c r="F181" s="16"/>
      <c r="G181" s="16"/>
      <c r="H181" s="419"/>
      <c r="I181" s="419"/>
      <c r="J181" s="419"/>
      <c r="K181" s="419"/>
      <c r="L181" s="16"/>
      <c r="M181" s="16"/>
    </row>
    <row r="182" spans="2:13" ht="27" customHeight="1">
      <c r="B182" s="16"/>
      <c r="C182" s="16"/>
      <c r="D182" s="16"/>
      <c r="E182" s="16"/>
      <c r="F182" s="16"/>
      <c r="G182" s="16"/>
      <c r="H182" s="419"/>
      <c r="I182" s="419"/>
      <c r="J182" s="419"/>
      <c r="K182" s="419"/>
      <c r="L182" s="16"/>
      <c r="M182" s="16"/>
    </row>
    <row r="183" spans="2:13" ht="27" customHeight="1">
      <c r="B183" s="16"/>
      <c r="C183" s="16"/>
      <c r="D183" s="16"/>
      <c r="E183" s="16"/>
      <c r="F183" s="16"/>
      <c r="G183" s="16"/>
      <c r="H183" s="419"/>
      <c r="I183" s="419"/>
      <c r="J183" s="419"/>
      <c r="K183" s="419"/>
      <c r="L183" s="16"/>
      <c r="M183" s="16"/>
    </row>
    <row r="184" spans="2:13" ht="27" customHeight="1">
      <c r="B184" s="16"/>
      <c r="C184" s="16"/>
      <c r="D184" s="16"/>
      <c r="E184" s="16"/>
      <c r="F184" s="16"/>
      <c r="G184" s="16"/>
      <c r="H184" s="419"/>
      <c r="I184" s="419"/>
      <c r="J184" s="419"/>
      <c r="K184" s="419"/>
      <c r="L184" s="16"/>
      <c r="M184" s="16"/>
    </row>
    <row r="185" spans="2:13" ht="27" customHeight="1">
      <c r="B185" s="16"/>
      <c r="C185" s="16"/>
      <c r="D185" s="16"/>
      <c r="E185" s="16"/>
      <c r="F185" s="16"/>
      <c r="G185" s="16"/>
      <c r="H185" s="419"/>
      <c r="I185" s="419"/>
      <c r="J185" s="419"/>
      <c r="K185" s="419"/>
      <c r="L185" s="16"/>
      <c r="M185" s="16"/>
    </row>
    <row r="186" spans="2:13" ht="27" customHeight="1">
      <c r="B186" s="16"/>
      <c r="C186" s="16"/>
      <c r="D186" s="16"/>
      <c r="E186" s="16"/>
      <c r="F186" s="16"/>
      <c r="G186" s="16"/>
      <c r="H186" s="419"/>
      <c r="I186" s="419"/>
      <c r="J186" s="419"/>
      <c r="K186" s="419"/>
      <c r="L186" s="16"/>
      <c r="M186" s="16"/>
    </row>
    <row r="187" spans="2:13" ht="27" customHeight="1">
      <c r="B187" s="16"/>
      <c r="C187" s="16"/>
      <c r="D187" s="16"/>
      <c r="E187" s="16"/>
      <c r="F187" s="16"/>
      <c r="G187" s="16"/>
      <c r="H187" s="419"/>
      <c r="I187" s="419"/>
      <c r="J187" s="419"/>
      <c r="K187" s="419"/>
      <c r="L187" s="16"/>
      <c r="M187" s="16"/>
    </row>
    <row r="188" spans="2:13" ht="27" customHeight="1">
      <c r="B188" s="16"/>
      <c r="C188" s="16"/>
      <c r="D188" s="16"/>
      <c r="E188" s="16"/>
      <c r="F188" s="16"/>
      <c r="G188" s="16"/>
      <c r="H188" s="419"/>
      <c r="I188" s="419"/>
      <c r="J188" s="419"/>
      <c r="K188" s="419"/>
      <c r="L188" s="16"/>
      <c r="M188" s="16"/>
    </row>
    <row r="189" spans="2:13" ht="27" customHeight="1">
      <c r="B189" s="16"/>
      <c r="C189" s="16"/>
      <c r="D189" s="16"/>
      <c r="E189" s="16"/>
      <c r="F189" s="16"/>
      <c r="G189" s="16"/>
      <c r="H189" s="419"/>
      <c r="I189" s="419"/>
      <c r="J189" s="419"/>
      <c r="K189" s="419"/>
      <c r="L189" s="16"/>
      <c r="M189" s="16"/>
    </row>
    <row r="190" spans="2:13" ht="27" customHeight="1">
      <c r="B190" s="16"/>
      <c r="C190" s="16"/>
      <c r="D190" s="16"/>
      <c r="E190" s="16"/>
      <c r="F190" s="16"/>
      <c r="G190" s="16"/>
      <c r="H190" s="419"/>
      <c r="I190" s="419"/>
      <c r="J190" s="419"/>
      <c r="K190" s="419"/>
      <c r="L190" s="16"/>
      <c r="M190" s="16"/>
    </row>
    <row r="191" spans="2:13" ht="27" customHeight="1">
      <c r="B191" s="16"/>
      <c r="C191" s="16"/>
      <c r="D191" s="16"/>
      <c r="E191" s="16"/>
      <c r="F191" s="16"/>
      <c r="G191" s="16"/>
      <c r="H191" s="419"/>
      <c r="I191" s="419"/>
      <c r="J191" s="419"/>
      <c r="K191" s="419"/>
      <c r="L191" s="16"/>
      <c r="M191" s="16"/>
    </row>
    <row r="192" spans="2:13" ht="27" customHeight="1">
      <c r="B192" s="16"/>
      <c r="C192" s="16"/>
      <c r="D192" s="16"/>
      <c r="E192" s="16"/>
      <c r="F192" s="16"/>
      <c r="G192" s="16"/>
      <c r="H192" s="419"/>
      <c r="I192" s="419"/>
      <c r="J192" s="419"/>
      <c r="K192" s="419"/>
      <c r="L192" s="16"/>
      <c r="M192" s="16"/>
    </row>
    <row r="193" spans="2:13" ht="27" customHeight="1">
      <c r="B193" s="16"/>
      <c r="C193" s="16"/>
      <c r="D193" s="16"/>
      <c r="E193" s="16"/>
      <c r="F193" s="16"/>
      <c r="G193" s="16"/>
      <c r="H193" s="419"/>
      <c r="I193" s="419"/>
      <c r="J193" s="419"/>
      <c r="K193" s="419"/>
      <c r="L193" s="16"/>
      <c r="M193" s="16"/>
    </row>
    <row r="194" spans="2:13" ht="27" customHeight="1">
      <c r="B194" s="16"/>
      <c r="C194" s="16"/>
      <c r="D194" s="16"/>
      <c r="E194" s="16"/>
      <c r="F194" s="16"/>
      <c r="G194" s="16"/>
      <c r="H194" s="419"/>
      <c r="I194" s="419"/>
      <c r="J194" s="419"/>
      <c r="K194" s="419"/>
      <c r="L194" s="16"/>
      <c r="M194" s="16"/>
    </row>
    <row r="195" spans="2:13" ht="27" customHeight="1">
      <c r="B195" s="16"/>
      <c r="C195" s="16"/>
      <c r="D195" s="16"/>
      <c r="E195" s="16"/>
      <c r="F195" s="16"/>
      <c r="G195" s="16"/>
      <c r="H195" s="419"/>
      <c r="I195" s="419"/>
      <c r="J195" s="419"/>
      <c r="K195" s="419"/>
      <c r="L195" s="16"/>
      <c r="M195" s="16"/>
    </row>
    <row r="196" spans="2:13" ht="27" customHeight="1">
      <c r="B196" s="16"/>
      <c r="C196" s="16"/>
      <c r="D196" s="16"/>
      <c r="E196" s="16"/>
      <c r="F196" s="16"/>
      <c r="G196" s="16"/>
      <c r="H196" s="419"/>
      <c r="I196" s="419"/>
      <c r="J196" s="419"/>
      <c r="K196" s="419"/>
      <c r="L196" s="16"/>
      <c r="M196" s="16"/>
    </row>
    <row r="197" spans="2:13" ht="27" customHeight="1">
      <c r="B197" s="16"/>
      <c r="C197" s="16"/>
      <c r="D197" s="16"/>
      <c r="E197" s="16"/>
      <c r="F197" s="16"/>
      <c r="G197" s="16"/>
      <c r="H197" s="419"/>
      <c r="I197" s="419"/>
      <c r="J197" s="419"/>
      <c r="K197" s="419"/>
      <c r="L197" s="16"/>
      <c r="M197" s="16"/>
    </row>
    <row r="198" spans="2:13" ht="27" customHeight="1">
      <c r="B198" s="16"/>
      <c r="C198" s="16"/>
      <c r="D198" s="16"/>
      <c r="E198" s="16"/>
      <c r="F198" s="16"/>
      <c r="G198" s="16"/>
      <c r="H198" s="419"/>
      <c r="I198" s="419"/>
      <c r="J198" s="419"/>
      <c r="K198" s="419"/>
      <c r="L198" s="16"/>
      <c r="M198" s="16"/>
    </row>
    <row r="199" spans="2:13" ht="27" customHeight="1">
      <c r="B199" s="16"/>
      <c r="C199" s="16"/>
      <c r="D199" s="16"/>
      <c r="E199" s="16"/>
      <c r="F199" s="16"/>
      <c r="G199" s="16"/>
      <c r="H199" s="419"/>
      <c r="I199" s="419"/>
      <c r="J199" s="419"/>
      <c r="K199" s="419"/>
      <c r="L199" s="16"/>
      <c r="M199" s="16"/>
    </row>
    <row r="200" spans="2:13" ht="27" customHeight="1">
      <c r="B200" s="16"/>
      <c r="C200" s="16"/>
      <c r="D200" s="16"/>
      <c r="E200" s="16"/>
      <c r="F200" s="16"/>
      <c r="G200" s="16"/>
      <c r="H200" s="419"/>
      <c r="I200" s="419"/>
      <c r="J200" s="419"/>
      <c r="K200" s="419"/>
      <c r="L200" s="16"/>
      <c r="M200" s="16"/>
    </row>
    <row r="201" spans="2:13" ht="27" customHeight="1">
      <c r="B201" s="16"/>
      <c r="C201" s="16"/>
      <c r="D201" s="16"/>
      <c r="E201" s="16"/>
      <c r="F201" s="16"/>
      <c r="G201" s="16"/>
      <c r="H201" s="419"/>
      <c r="I201" s="419"/>
      <c r="J201" s="419"/>
      <c r="K201" s="419"/>
      <c r="L201" s="16"/>
      <c r="M201" s="16"/>
    </row>
    <row r="202" spans="2:13" ht="27" customHeight="1">
      <c r="B202" s="16"/>
      <c r="C202" s="16"/>
      <c r="D202" s="16"/>
      <c r="E202" s="16"/>
      <c r="F202" s="16"/>
      <c r="G202" s="16"/>
      <c r="H202" s="419"/>
      <c r="I202" s="419"/>
      <c r="J202" s="419"/>
      <c r="K202" s="419"/>
      <c r="L202" s="16"/>
      <c r="M202" s="16"/>
    </row>
    <row r="203" spans="2:13" ht="27" customHeight="1">
      <c r="B203" s="16"/>
      <c r="C203" s="16"/>
      <c r="D203" s="16"/>
      <c r="E203" s="16"/>
      <c r="F203" s="16"/>
      <c r="G203" s="16"/>
      <c r="H203" s="419"/>
      <c r="I203" s="419"/>
      <c r="J203" s="419"/>
      <c r="K203" s="419"/>
      <c r="L203" s="16"/>
      <c r="M203" s="16"/>
    </row>
    <row r="204" spans="2:13" ht="27" customHeight="1">
      <c r="B204" s="16"/>
      <c r="C204" s="16"/>
      <c r="D204" s="16"/>
      <c r="E204" s="16"/>
      <c r="F204" s="16"/>
      <c r="G204" s="16"/>
      <c r="H204" s="419"/>
      <c r="I204" s="419"/>
      <c r="J204" s="419"/>
      <c r="K204" s="419"/>
      <c r="L204" s="16"/>
      <c r="M204" s="16"/>
    </row>
    <row r="205" spans="2:13" ht="27" customHeight="1">
      <c r="B205" s="16"/>
      <c r="C205" s="16"/>
      <c r="D205" s="16"/>
      <c r="E205" s="16"/>
      <c r="F205" s="16"/>
      <c r="G205" s="16"/>
      <c r="H205" s="419"/>
      <c r="I205" s="419"/>
      <c r="J205" s="419"/>
      <c r="K205" s="419"/>
      <c r="L205" s="16"/>
      <c r="M205" s="16"/>
    </row>
    <row r="206" spans="2:13" ht="27" customHeight="1">
      <c r="B206" s="16"/>
      <c r="C206" s="16"/>
      <c r="D206" s="16"/>
      <c r="E206" s="16"/>
      <c r="F206" s="16"/>
      <c r="G206" s="16"/>
      <c r="H206" s="419"/>
      <c r="I206" s="419"/>
      <c r="J206" s="419"/>
      <c r="K206" s="419"/>
      <c r="L206" s="16"/>
      <c r="M206" s="16"/>
    </row>
    <row r="207" spans="2:13" ht="27" customHeight="1">
      <c r="B207" s="16"/>
      <c r="C207" s="16"/>
      <c r="D207" s="16"/>
      <c r="E207" s="16"/>
      <c r="F207" s="16"/>
      <c r="G207" s="16"/>
      <c r="H207" s="419"/>
      <c r="I207" s="419"/>
      <c r="J207" s="419"/>
      <c r="K207" s="419"/>
      <c r="L207" s="16"/>
      <c r="M207" s="16"/>
    </row>
    <row r="208" spans="2:13" ht="27" customHeight="1">
      <c r="B208" s="16"/>
      <c r="C208" s="16"/>
      <c r="D208" s="16"/>
      <c r="E208" s="16"/>
      <c r="F208" s="16"/>
      <c r="G208" s="16"/>
      <c r="H208" s="419"/>
      <c r="I208" s="419"/>
      <c r="J208" s="419"/>
      <c r="K208" s="419"/>
      <c r="L208" s="16"/>
      <c r="M208" s="16"/>
    </row>
    <row r="209" spans="2:13" ht="27" customHeight="1">
      <c r="B209" s="16"/>
      <c r="C209" s="16"/>
      <c r="D209" s="16"/>
      <c r="E209" s="16"/>
      <c r="F209" s="16"/>
      <c r="G209" s="16"/>
      <c r="H209" s="419"/>
      <c r="I209" s="419"/>
      <c r="J209" s="419"/>
      <c r="K209" s="419"/>
      <c r="L209" s="16"/>
      <c r="M209" s="16"/>
    </row>
    <row r="210" spans="2:13" ht="27" customHeight="1">
      <c r="B210" s="16"/>
      <c r="C210" s="16"/>
      <c r="D210" s="16"/>
      <c r="E210" s="16"/>
      <c r="F210" s="16"/>
      <c r="G210" s="16"/>
      <c r="H210" s="419"/>
      <c r="I210" s="419"/>
      <c r="J210" s="419"/>
      <c r="K210" s="419"/>
      <c r="L210" s="16"/>
      <c r="M210" s="16"/>
    </row>
    <row r="211" spans="2:13" ht="27" customHeight="1">
      <c r="B211" s="16"/>
      <c r="C211" s="16"/>
      <c r="D211" s="16"/>
      <c r="E211" s="16"/>
      <c r="F211" s="16"/>
      <c r="G211" s="16"/>
      <c r="H211" s="419"/>
      <c r="I211" s="419"/>
      <c r="J211" s="419"/>
      <c r="K211" s="419"/>
      <c r="L211" s="16"/>
      <c r="M211" s="16"/>
    </row>
    <row r="212" spans="2:13" ht="27" customHeight="1">
      <c r="B212" s="16"/>
      <c r="C212" s="16"/>
      <c r="D212" s="16"/>
      <c r="E212" s="16"/>
      <c r="F212" s="16"/>
      <c r="G212" s="16"/>
      <c r="H212" s="419"/>
      <c r="I212" s="419"/>
      <c r="J212" s="419"/>
      <c r="K212" s="419"/>
      <c r="L212" s="16"/>
      <c r="M212" s="16"/>
    </row>
    <row r="213" spans="2:13" ht="27" customHeight="1">
      <c r="B213" s="16"/>
      <c r="C213" s="16"/>
      <c r="D213" s="16"/>
      <c r="E213" s="16"/>
      <c r="F213" s="16"/>
      <c r="G213" s="16"/>
      <c r="H213" s="419"/>
      <c r="I213" s="419"/>
      <c r="J213" s="419"/>
      <c r="K213" s="419"/>
      <c r="L213" s="16"/>
      <c r="M213" s="16"/>
    </row>
    <row r="214" spans="2:13" ht="27" customHeight="1">
      <c r="B214" s="16"/>
      <c r="C214" s="16"/>
      <c r="D214" s="16"/>
      <c r="E214" s="16"/>
      <c r="F214" s="16"/>
      <c r="G214" s="16"/>
      <c r="H214" s="419"/>
      <c r="I214" s="419"/>
      <c r="J214" s="419"/>
      <c r="K214" s="419"/>
      <c r="L214" s="16"/>
      <c r="M214" s="16"/>
    </row>
    <row r="215" spans="2:13" ht="27" customHeight="1">
      <c r="B215" s="16"/>
      <c r="C215" s="16"/>
      <c r="D215" s="16"/>
      <c r="E215" s="16"/>
      <c r="F215" s="16"/>
      <c r="G215" s="16"/>
      <c r="H215" s="419"/>
      <c r="I215" s="419"/>
      <c r="J215" s="419"/>
      <c r="K215" s="419"/>
      <c r="L215" s="16"/>
      <c r="M215" s="16"/>
    </row>
    <row r="216" spans="2:13" ht="27" customHeight="1">
      <c r="B216" s="16"/>
      <c r="C216" s="16"/>
      <c r="D216" s="16"/>
      <c r="E216" s="16"/>
      <c r="F216" s="16"/>
      <c r="G216" s="16"/>
      <c r="H216" s="419"/>
      <c r="I216" s="419"/>
      <c r="J216" s="419"/>
      <c r="K216" s="419"/>
      <c r="L216" s="16"/>
      <c r="M216" s="16"/>
    </row>
    <row r="217" spans="2:13" ht="27" customHeight="1">
      <c r="B217" s="16"/>
      <c r="C217" s="16"/>
      <c r="D217" s="16"/>
      <c r="E217" s="16"/>
      <c r="F217" s="16"/>
      <c r="G217" s="16"/>
      <c r="H217" s="419"/>
      <c r="I217" s="419"/>
      <c r="J217" s="419"/>
      <c r="K217" s="419"/>
      <c r="L217" s="16"/>
      <c r="M217" s="16"/>
    </row>
    <row r="218" spans="2:13" ht="27" customHeight="1">
      <c r="B218" s="16"/>
      <c r="C218" s="16"/>
      <c r="D218" s="16"/>
      <c r="E218" s="16"/>
      <c r="F218" s="16"/>
      <c r="G218" s="16"/>
      <c r="H218" s="419"/>
      <c r="I218" s="419"/>
      <c r="J218" s="419"/>
      <c r="K218" s="419"/>
      <c r="L218" s="16"/>
      <c r="M218" s="16"/>
    </row>
    <row r="219" spans="2:13" ht="27" customHeight="1">
      <c r="B219" s="16"/>
      <c r="C219" s="16"/>
      <c r="D219" s="16"/>
      <c r="E219" s="16"/>
      <c r="F219" s="16"/>
      <c r="G219" s="16"/>
      <c r="H219" s="419"/>
      <c r="I219" s="419"/>
      <c r="J219" s="419"/>
      <c r="K219" s="419"/>
      <c r="L219" s="16"/>
      <c r="M219" s="16"/>
    </row>
    <row r="220" spans="2:13" ht="27" customHeight="1">
      <c r="B220" s="16"/>
      <c r="C220" s="16"/>
      <c r="D220" s="16"/>
      <c r="E220" s="16"/>
      <c r="F220" s="16"/>
      <c r="G220" s="16"/>
      <c r="H220" s="419"/>
      <c r="I220" s="419"/>
      <c r="J220" s="419"/>
      <c r="K220" s="419"/>
      <c r="L220" s="16"/>
      <c r="M220" s="16"/>
    </row>
    <row r="221" spans="2:13" ht="27" customHeight="1">
      <c r="B221" s="16"/>
      <c r="C221" s="16"/>
      <c r="D221" s="16"/>
      <c r="E221" s="16"/>
      <c r="F221" s="16"/>
      <c r="G221" s="16"/>
      <c r="H221" s="419"/>
      <c r="I221" s="419"/>
      <c r="J221" s="419"/>
      <c r="K221" s="419"/>
      <c r="L221" s="16"/>
      <c r="M221" s="16"/>
    </row>
    <row r="222" spans="2:13" ht="27" customHeight="1">
      <c r="B222" s="16"/>
      <c r="C222" s="16"/>
      <c r="D222" s="16"/>
      <c r="E222" s="16"/>
      <c r="F222" s="16"/>
      <c r="G222" s="16"/>
      <c r="H222" s="419"/>
      <c r="I222" s="419"/>
      <c r="J222" s="419"/>
      <c r="K222" s="419"/>
      <c r="L222" s="16"/>
      <c r="M222" s="16"/>
    </row>
    <row r="223" spans="2:13" ht="27" customHeight="1">
      <c r="B223" s="16"/>
      <c r="C223" s="16"/>
      <c r="D223" s="16"/>
      <c r="E223" s="16"/>
      <c r="F223" s="16"/>
      <c r="G223" s="16"/>
      <c r="H223" s="419"/>
      <c r="I223" s="419"/>
      <c r="J223" s="419"/>
      <c r="K223" s="419"/>
      <c r="L223" s="16"/>
      <c r="M223" s="16"/>
    </row>
    <row r="224" spans="2:13" ht="27" customHeight="1">
      <c r="B224" s="16"/>
      <c r="C224" s="16"/>
      <c r="D224" s="16"/>
      <c r="E224" s="16"/>
      <c r="F224" s="16"/>
      <c r="G224" s="16"/>
      <c r="H224" s="419"/>
      <c r="I224" s="419"/>
      <c r="J224" s="419"/>
      <c r="K224" s="419"/>
      <c r="L224" s="16"/>
      <c r="M224" s="16"/>
    </row>
    <row r="225" spans="2:13" ht="27" customHeight="1">
      <c r="B225" s="16"/>
      <c r="C225" s="16"/>
      <c r="D225" s="16"/>
      <c r="E225" s="16"/>
      <c r="F225" s="16"/>
      <c r="G225" s="16"/>
      <c r="H225" s="419"/>
      <c r="I225" s="419"/>
      <c r="J225" s="419"/>
      <c r="K225" s="419"/>
      <c r="L225" s="16"/>
      <c r="M225" s="16"/>
    </row>
    <row r="226" spans="2:13" ht="27" customHeight="1">
      <c r="B226" s="16"/>
      <c r="C226" s="16"/>
      <c r="D226" s="16"/>
      <c r="E226" s="16"/>
      <c r="F226" s="16"/>
      <c r="G226" s="16"/>
      <c r="H226" s="419"/>
      <c r="I226" s="419"/>
      <c r="J226" s="419"/>
      <c r="K226" s="419"/>
      <c r="L226" s="16"/>
      <c r="M226" s="16"/>
    </row>
    <row r="227" spans="2:13" ht="27" customHeight="1">
      <c r="B227" s="16"/>
      <c r="C227" s="16"/>
      <c r="D227" s="16"/>
      <c r="E227" s="16"/>
      <c r="F227" s="16"/>
      <c r="G227" s="16"/>
      <c r="H227" s="419"/>
      <c r="I227" s="419"/>
      <c r="J227" s="419"/>
      <c r="K227" s="419"/>
      <c r="L227" s="16"/>
      <c r="M227" s="16"/>
    </row>
    <row r="228" spans="2:13" ht="27" customHeight="1">
      <c r="B228" s="16"/>
      <c r="C228" s="16"/>
      <c r="D228" s="16"/>
      <c r="E228" s="16"/>
      <c r="F228" s="16"/>
      <c r="G228" s="16"/>
      <c r="H228" s="419"/>
      <c r="I228" s="419"/>
      <c r="J228" s="419"/>
      <c r="K228" s="419"/>
      <c r="L228" s="16"/>
      <c r="M228" s="16"/>
    </row>
    <row r="229" spans="2:13" ht="27" customHeight="1">
      <c r="B229" s="16"/>
      <c r="C229" s="16"/>
      <c r="D229" s="16"/>
      <c r="E229" s="16"/>
      <c r="F229" s="16"/>
      <c r="G229" s="16"/>
      <c r="H229" s="419"/>
      <c r="I229" s="419"/>
      <c r="J229" s="419"/>
      <c r="K229" s="419"/>
      <c r="L229" s="16"/>
      <c r="M229" s="16"/>
    </row>
    <row r="230" spans="2:13" ht="27" customHeight="1">
      <c r="B230" s="16"/>
      <c r="C230" s="16"/>
      <c r="D230" s="16"/>
      <c r="E230" s="16"/>
      <c r="F230" s="16"/>
      <c r="G230" s="16"/>
      <c r="H230" s="419"/>
      <c r="I230" s="419"/>
      <c r="J230" s="419"/>
      <c r="K230" s="419"/>
      <c r="L230" s="16"/>
      <c r="M230" s="16"/>
    </row>
    <row r="231" spans="2:13" ht="27" customHeight="1">
      <c r="B231" s="16"/>
      <c r="C231" s="16"/>
      <c r="D231" s="16"/>
      <c r="E231" s="16"/>
      <c r="F231" s="16"/>
      <c r="G231" s="16"/>
      <c r="H231" s="419"/>
      <c r="I231" s="419"/>
      <c r="J231" s="419"/>
      <c r="K231" s="419"/>
      <c r="L231" s="16"/>
      <c r="M231" s="16"/>
    </row>
    <row r="232" spans="2:13" ht="27" customHeight="1">
      <c r="B232" s="16"/>
      <c r="C232" s="16"/>
      <c r="D232" s="16"/>
      <c r="E232" s="16"/>
      <c r="F232" s="16"/>
      <c r="G232" s="16"/>
      <c r="H232" s="419"/>
      <c r="I232" s="419"/>
      <c r="J232" s="419"/>
      <c r="K232" s="419"/>
      <c r="L232" s="16"/>
      <c r="M232" s="16"/>
    </row>
    <row r="233" spans="2:13" ht="27" customHeight="1">
      <c r="B233" s="16"/>
      <c r="C233" s="16"/>
      <c r="D233" s="16"/>
      <c r="E233" s="16"/>
      <c r="F233" s="16"/>
      <c r="G233" s="16"/>
      <c r="H233" s="419"/>
      <c r="I233" s="419"/>
      <c r="J233" s="419"/>
      <c r="K233" s="419"/>
      <c r="L233" s="16"/>
      <c r="M233" s="16"/>
    </row>
    <row r="234" spans="2:13" ht="27" customHeight="1">
      <c r="B234" s="16"/>
      <c r="C234" s="16"/>
      <c r="D234" s="16"/>
      <c r="E234" s="16"/>
      <c r="F234" s="16"/>
      <c r="G234" s="16"/>
      <c r="H234" s="419"/>
      <c r="I234" s="419"/>
      <c r="J234" s="419"/>
      <c r="K234" s="419"/>
      <c r="L234" s="16"/>
      <c r="M234" s="16"/>
    </row>
    <row r="235" spans="2:13" ht="27" customHeight="1">
      <c r="B235" s="16"/>
      <c r="C235" s="16"/>
      <c r="D235" s="16"/>
      <c r="E235" s="16"/>
      <c r="F235" s="16"/>
      <c r="G235" s="16"/>
      <c r="H235" s="419"/>
      <c r="I235" s="419"/>
      <c r="J235" s="419"/>
      <c r="K235" s="419"/>
      <c r="L235" s="16"/>
      <c r="M235" s="16"/>
    </row>
    <row r="236" spans="2:13" ht="27" customHeight="1">
      <c r="B236" s="16"/>
      <c r="C236" s="16"/>
      <c r="D236" s="16"/>
      <c r="E236" s="16"/>
      <c r="F236" s="16"/>
      <c r="G236" s="16"/>
      <c r="H236" s="419"/>
      <c r="I236" s="419"/>
      <c r="J236" s="419"/>
      <c r="K236" s="419"/>
      <c r="L236" s="16"/>
      <c r="M236" s="16"/>
    </row>
    <row r="237" spans="2:13" ht="27" customHeight="1">
      <c r="B237" s="16"/>
      <c r="C237" s="16"/>
      <c r="D237" s="16"/>
      <c r="E237" s="16"/>
      <c r="F237" s="16"/>
      <c r="G237" s="16"/>
      <c r="H237" s="419"/>
      <c r="I237" s="419"/>
      <c r="J237" s="419"/>
      <c r="K237" s="419"/>
      <c r="L237" s="16"/>
      <c r="M237" s="16"/>
    </row>
    <row r="238" spans="2:13" ht="27" customHeight="1">
      <c r="B238" s="16"/>
      <c r="C238" s="16"/>
      <c r="D238" s="16"/>
      <c r="E238" s="16"/>
      <c r="F238" s="16"/>
      <c r="G238" s="16"/>
      <c r="H238" s="419"/>
      <c r="I238" s="419"/>
      <c r="J238" s="419"/>
      <c r="K238" s="419"/>
      <c r="L238" s="16"/>
      <c r="M238" s="16"/>
    </row>
    <row r="239" spans="2:13" ht="27" customHeight="1">
      <c r="B239" s="16"/>
      <c r="C239" s="16"/>
      <c r="D239" s="16"/>
      <c r="E239" s="16"/>
      <c r="F239" s="16"/>
      <c r="G239" s="16"/>
      <c r="H239" s="419"/>
      <c r="I239" s="419"/>
      <c r="J239" s="419"/>
      <c r="K239" s="419"/>
      <c r="L239" s="16"/>
      <c r="M239" s="16"/>
    </row>
    <row r="240" spans="2:13"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sheetData>
  <autoFilter ref="A1:S31" xr:uid="{220BBB11-D637-4052-BCA2-BA269B320649}"/>
  <mergeCells count="12">
    <mergeCell ref="B27:B28"/>
    <mergeCell ref="C27:C28"/>
    <mergeCell ref="B2:B3"/>
    <mergeCell ref="C2:C3"/>
    <mergeCell ref="B4:B5"/>
    <mergeCell ref="C4:C5"/>
    <mergeCell ref="B20:B21"/>
    <mergeCell ref="C20:C21"/>
    <mergeCell ref="B15:B16"/>
    <mergeCell ref="C15:C16"/>
    <mergeCell ref="B13:B14"/>
    <mergeCell ref="C13:C14"/>
  </mergeCells>
  <conditionalFormatting sqref="B7 C9:C13 C15 C17:C20 C22:C27 C30">
    <cfRule type="cellIs" dxfId="45" priority="1" operator="equal">
      <formula>"YL"</formula>
    </cfRule>
    <cfRule type="cellIs" dxfId="44" priority="2" operator="equal">
      <formula>"YL"</formula>
    </cfRule>
  </conditionalFormatting>
  <conditionalFormatting sqref="C2">
    <cfRule type="cellIs" dxfId="43" priority="3" operator="equal">
      <formula>"YL"</formula>
    </cfRule>
    <cfRule type="cellIs" dxfId="42" priority="4" operator="equal">
      <formula>"YL"</formula>
    </cfRule>
  </conditionalFormatting>
  <conditionalFormatting sqref="C4">
    <cfRule type="cellIs" dxfId="41" priority="5" operator="equal">
      <formula>"YL"</formula>
    </cfRule>
    <cfRule type="cellIs" dxfId="40" priority="6" operator="equal">
      <formula>"YL"</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F501A-8F64-4C60-A970-A8AC682CB516}">
  <sheetPr filterMode="1"/>
  <dimension ref="A1:J42"/>
  <sheetViews>
    <sheetView zoomScale="82" zoomScaleNormal="82" workbookViewId="0">
      <pane ySplit="1" topLeftCell="A2" activePane="bottomLeft" state="frozen"/>
      <selection pane="bottomLeft" activeCell="A26" sqref="A4:A26"/>
    </sheetView>
  </sheetViews>
  <sheetFormatPr defaultRowHeight="13.8"/>
  <cols>
    <col min="1" max="1" width="35.09765625" customWidth="1"/>
    <col min="2" max="2" width="17.59765625" bestFit="1" customWidth="1"/>
    <col min="3" max="3" width="17.19921875" customWidth="1"/>
    <col min="4" max="4" width="24.8984375" customWidth="1"/>
    <col min="5" max="5" width="31.59765625" bestFit="1" customWidth="1"/>
    <col min="6" max="6" width="12.3984375" bestFit="1" customWidth="1"/>
    <col min="7" max="7" width="18.8984375" bestFit="1" customWidth="1"/>
    <col min="8" max="8" width="15.3984375" bestFit="1" customWidth="1"/>
    <col min="9" max="9" width="12.19921875" customWidth="1"/>
  </cols>
  <sheetData>
    <row r="1" spans="1:10" s="1142" customFormat="1" ht="60.6" customHeight="1">
      <c r="A1" s="1143" t="s">
        <v>408</v>
      </c>
      <c r="B1" s="1143" t="s">
        <v>978</v>
      </c>
      <c r="C1" s="1143" t="s">
        <v>599</v>
      </c>
      <c r="D1" s="1143" t="s">
        <v>977</v>
      </c>
      <c r="E1" s="1143" t="s">
        <v>971</v>
      </c>
      <c r="F1" s="1143" t="s">
        <v>995</v>
      </c>
      <c r="G1" s="1143" t="s">
        <v>1039</v>
      </c>
      <c r="H1" s="1143" t="s">
        <v>994</v>
      </c>
      <c r="I1" s="1143" t="s">
        <v>673</v>
      </c>
    </row>
    <row r="2" spans="1:10" ht="41.4">
      <c r="A2" s="666" t="s">
        <v>285</v>
      </c>
      <c r="B2" s="1128" t="s">
        <v>1043</v>
      </c>
      <c r="C2" s="1139">
        <f>SUM('2023'!O5:P5)</f>
        <v>12000</v>
      </c>
      <c r="D2" s="1128" t="s">
        <v>1061</v>
      </c>
      <c r="E2" s="1144" t="s">
        <v>1067</v>
      </c>
      <c r="F2" s="1133" t="s">
        <v>5</v>
      </c>
      <c r="G2" s="1133" t="s">
        <v>5</v>
      </c>
      <c r="H2" s="1077">
        <v>45742</v>
      </c>
      <c r="I2" s="1072">
        <v>6000</v>
      </c>
    </row>
    <row r="3" spans="1:10" s="1000" customFormat="1" ht="41.4">
      <c r="A3" s="1072" t="s">
        <v>129</v>
      </c>
      <c r="B3" s="1131" t="s">
        <v>1043</v>
      </c>
      <c r="C3" s="1132">
        <f>SUM('2021'!O3:R3)+SUM('2022'!G3)</f>
        <v>20045.454545454544</v>
      </c>
      <c r="D3" s="1131" t="s">
        <v>1042</v>
      </c>
      <c r="E3" s="1144" t="s">
        <v>1068</v>
      </c>
      <c r="F3" s="1133" t="s">
        <v>5</v>
      </c>
      <c r="G3" s="1134" t="s">
        <v>5</v>
      </c>
      <c r="H3" s="1077">
        <v>45742</v>
      </c>
      <c r="I3" s="1072">
        <v>8000</v>
      </c>
    </row>
    <row r="4" spans="1:10">
      <c r="A4" s="666" t="s">
        <v>331</v>
      </c>
      <c r="B4" s="1131" t="s">
        <v>1043</v>
      </c>
      <c r="C4" s="1075">
        <f>SUM('2024'!O4:R4)</f>
        <v>12545.454545454544</v>
      </c>
      <c r="D4" s="666"/>
      <c r="E4" s="666"/>
      <c r="F4" s="1074"/>
      <c r="G4" s="1151" t="s">
        <v>589</v>
      </c>
      <c r="H4" s="1077">
        <v>45742</v>
      </c>
      <c r="I4" s="666">
        <v>6000</v>
      </c>
    </row>
    <row r="5" spans="1:10" hidden="1">
      <c r="A5" s="666" t="s">
        <v>198</v>
      </c>
      <c r="B5" s="666"/>
      <c r="C5" s="666"/>
      <c r="D5" s="666"/>
      <c r="E5" s="666"/>
      <c r="F5" s="666"/>
      <c r="G5" s="666"/>
      <c r="H5" s="666"/>
      <c r="I5" s="666"/>
    </row>
    <row r="6" spans="1:10" hidden="1">
      <c r="A6" s="1125" t="s">
        <v>203</v>
      </c>
      <c r="B6" s="666"/>
      <c r="C6" s="1075"/>
      <c r="D6" s="666"/>
      <c r="E6" s="666"/>
      <c r="F6" s="666"/>
      <c r="G6" s="666"/>
      <c r="H6" s="666"/>
      <c r="I6" s="666"/>
    </row>
    <row r="7" spans="1:10" hidden="1">
      <c r="A7" s="666" t="s">
        <v>334</v>
      </c>
      <c r="B7" s="666"/>
      <c r="C7" s="666"/>
      <c r="D7" s="666"/>
      <c r="E7" s="666"/>
      <c r="F7" s="666"/>
      <c r="G7" s="666"/>
      <c r="H7" s="666"/>
      <c r="I7" s="666"/>
    </row>
    <row r="8" spans="1:10" hidden="1">
      <c r="A8" s="666" t="s">
        <v>241</v>
      </c>
      <c r="B8" s="666"/>
      <c r="C8" s="666"/>
      <c r="D8" s="666"/>
      <c r="E8" s="666"/>
      <c r="F8" s="666"/>
      <c r="G8" s="666"/>
      <c r="H8" s="666"/>
      <c r="I8" s="666"/>
    </row>
    <row r="9" spans="1:10" hidden="1">
      <c r="A9" s="666" t="s">
        <v>20</v>
      </c>
      <c r="B9" s="666"/>
      <c r="C9" s="666"/>
      <c r="D9" s="666"/>
      <c r="E9" s="666"/>
      <c r="F9" s="666"/>
      <c r="G9" s="666"/>
      <c r="H9" s="666"/>
      <c r="I9" s="666"/>
    </row>
    <row r="10" spans="1:10" hidden="1">
      <c r="A10" s="666" t="s">
        <v>916</v>
      </c>
      <c r="B10" s="666"/>
      <c r="C10" s="666"/>
      <c r="D10" s="666"/>
      <c r="E10" s="666"/>
      <c r="F10" s="666"/>
      <c r="G10" s="666"/>
      <c r="H10" s="666"/>
      <c r="I10" s="666"/>
    </row>
    <row r="11" spans="1:10" ht="41.4">
      <c r="A11" s="666" t="s">
        <v>336</v>
      </c>
      <c r="B11" s="1155" t="s">
        <v>1043</v>
      </c>
      <c r="C11" s="1075">
        <f>SUM('2024'!K28:M28)</f>
        <v>14236.363636363636</v>
      </c>
      <c r="D11" s="1149" t="s">
        <v>1088</v>
      </c>
      <c r="E11" s="1144" t="s">
        <v>1067</v>
      </c>
      <c r="F11" s="1149" t="s">
        <v>1087</v>
      </c>
      <c r="G11" s="1149" t="s">
        <v>589</v>
      </c>
      <c r="H11" s="1077">
        <v>45742</v>
      </c>
      <c r="I11" s="1075">
        <f>SUM('2025'!K12)</f>
        <v>6000</v>
      </c>
    </row>
    <row r="12" spans="1:10" ht="15.6">
      <c r="A12" s="666" t="s">
        <v>297</v>
      </c>
      <c r="B12" s="666" t="s">
        <v>979</v>
      </c>
      <c r="C12" s="1075">
        <f>SUM('2025'!I13:K13)</f>
        <v>13685.300207039338</v>
      </c>
      <c r="D12" s="1149" t="s">
        <v>1085</v>
      </c>
      <c r="E12" s="666" t="s">
        <v>992</v>
      </c>
      <c r="F12" s="1151" t="s">
        <v>589</v>
      </c>
      <c r="G12" s="1151" t="s">
        <v>1086</v>
      </c>
      <c r="H12" s="1080">
        <v>45307</v>
      </c>
      <c r="I12" s="1111">
        <f>SUM('2024'!I13:T13)</f>
        <v>59272.727272727272</v>
      </c>
    </row>
    <row r="13" spans="1:10" hidden="1">
      <c r="A13" s="666" t="s">
        <v>289</v>
      </c>
      <c r="B13" s="1154"/>
      <c r="C13" s="666"/>
      <c r="D13" s="666"/>
      <c r="E13" s="666"/>
      <c r="F13" s="666"/>
      <c r="G13" s="666"/>
      <c r="H13" s="666"/>
      <c r="I13" s="666"/>
    </row>
    <row r="14" spans="1:10" hidden="1">
      <c r="A14" s="666" t="s">
        <v>288</v>
      </c>
      <c r="B14" s="666"/>
      <c r="C14" s="666"/>
      <c r="D14" s="666"/>
      <c r="E14" s="666"/>
      <c r="F14" s="666"/>
      <c r="G14" s="666"/>
      <c r="H14" s="666"/>
      <c r="I14" s="666"/>
    </row>
    <row r="15" spans="1:10">
      <c r="A15" s="666" t="s">
        <v>339</v>
      </c>
      <c r="B15" s="1152" t="s">
        <v>979</v>
      </c>
      <c r="C15" s="1076">
        <f>SUM('2024'!I17:T17)+SUM('2025'!I16:K16)</f>
        <v>64884.528514963298</v>
      </c>
      <c r="D15" s="1149" t="s">
        <v>1084</v>
      </c>
      <c r="E15" s="666" t="s">
        <v>981</v>
      </c>
      <c r="F15" s="1151" t="s">
        <v>589</v>
      </c>
      <c r="G15" s="1074"/>
      <c r="H15" s="1081" t="s">
        <v>581</v>
      </c>
      <c r="I15" s="666">
        <v>0</v>
      </c>
    </row>
    <row r="16" spans="1:10">
      <c r="A16" s="666" t="s">
        <v>286</v>
      </c>
      <c r="B16" s="666" t="s">
        <v>979</v>
      </c>
      <c r="C16" s="1150">
        <f>SUM('2023'!S9:T9)+SUM('2024'!I5:T5)+SUM('2025'!I17:J17)</f>
        <v>41533.587468891819</v>
      </c>
      <c r="D16" s="1149" t="s">
        <v>1083</v>
      </c>
      <c r="E16" s="666" t="s">
        <v>981</v>
      </c>
      <c r="F16" s="1151" t="s">
        <v>589</v>
      </c>
      <c r="G16" s="1151" t="s">
        <v>581</v>
      </c>
      <c r="H16" s="1081" t="s">
        <v>581</v>
      </c>
      <c r="I16" s="666">
        <v>0</v>
      </c>
      <c r="J16" s="1076"/>
    </row>
    <row r="17" spans="1:9">
      <c r="A17" s="666" t="s">
        <v>293</v>
      </c>
      <c r="B17" s="1154" t="s">
        <v>979</v>
      </c>
      <c r="C17" s="1075">
        <f>SUM('2025'!K18)</f>
        <v>6000</v>
      </c>
      <c r="D17" s="1073" t="s">
        <v>997</v>
      </c>
      <c r="E17" s="666" t="s">
        <v>996</v>
      </c>
      <c r="F17" s="1151" t="s">
        <v>589</v>
      </c>
      <c r="G17" s="1074"/>
      <c r="H17" s="1113">
        <v>45716</v>
      </c>
      <c r="I17" s="1075">
        <f>SUM('2023'!Q23:T23) + SUM('2024'!I19:T19) + SUM('2025'!I18:J18)</f>
        <v>102590.90909090909</v>
      </c>
    </row>
    <row r="18" spans="1:9">
      <c r="A18" s="666" t="s">
        <v>340</v>
      </c>
      <c r="B18" s="666"/>
      <c r="C18" s="1075">
        <f>SUM('2024'!P16:T16)+SUM('2025'!I19:K19)</f>
        <v>29925.925925925927</v>
      </c>
      <c r="D18" s="1149" t="s">
        <v>1077</v>
      </c>
      <c r="E18" s="666"/>
      <c r="F18" s="1149" t="s">
        <v>1087</v>
      </c>
      <c r="G18" s="1149" t="s">
        <v>581</v>
      </c>
      <c r="H18" s="1149" t="s">
        <v>581</v>
      </c>
      <c r="I18" s="666">
        <v>0</v>
      </c>
    </row>
    <row r="19" spans="1:9">
      <c r="A19" s="666" t="s">
        <v>294</v>
      </c>
      <c r="B19" s="666" t="s">
        <v>979</v>
      </c>
      <c r="D19" s="1149" t="s">
        <v>1083</v>
      </c>
      <c r="E19" s="666" t="s">
        <v>981</v>
      </c>
      <c r="F19" s="1151" t="s">
        <v>589</v>
      </c>
      <c r="G19" s="1074"/>
      <c r="H19" s="1081" t="s">
        <v>581</v>
      </c>
      <c r="I19" s="666">
        <v>0</v>
      </c>
    </row>
    <row r="20" spans="1:9" hidden="1">
      <c r="A20" s="666" t="s">
        <v>201</v>
      </c>
      <c r="B20" s="666"/>
      <c r="C20" s="666"/>
      <c r="D20" s="666"/>
      <c r="E20" s="666"/>
      <c r="F20" s="666"/>
      <c r="G20" s="666"/>
      <c r="H20" s="666"/>
      <c r="I20" s="666"/>
    </row>
    <row r="21" spans="1:9">
      <c r="A21" s="666" t="s">
        <v>343</v>
      </c>
      <c r="B21" s="666"/>
      <c r="C21" s="1075">
        <f>SUM('2024'!I33:T33)+SUM('2025'!I22:K22)</f>
        <v>73881.422924901184</v>
      </c>
      <c r="D21" s="1149" t="s">
        <v>1084</v>
      </c>
      <c r="E21" s="666"/>
      <c r="F21" s="1149" t="s">
        <v>1087</v>
      </c>
      <c r="G21" s="1149" t="s">
        <v>581</v>
      </c>
      <c r="H21" s="1149" t="s">
        <v>581</v>
      </c>
      <c r="I21" s="666">
        <v>0</v>
      </c>
    </row>
    <row r="22" spans="1:9">
      <c r="A22" s="666" t="s">
        <v>344</v>
      </c>
      <c r="B22" s="1153" t="s">
        <v>979</v>
      </c>
      <c r="C22" s="1075">
        <f>SUM('2024'!I41:T41)+SUM('2025'!I23:K23)</f>
        <v>55321.661430357082</v>
      </c>
      <c r="D22" s="1149" t="s">
        <v>1082</v>
      </c>
      <c r="E22" s="666" t="s">
        <v>981</v>
      </c>
      <c r="F22" s="1149" t="s">
        <v>589</v>
      </c>
      <c r="G22" s="1149" t="s">
        <v>581</v>
      </c>
      <c r="H22" s="1149" t="s">
        <v>581</v>
      </c>
      <c r="I22" s="1149">
        <v>0</v>
      </c>
    </row>
    <row r="23" spans="1:9" s="1000" customFormat="1">
      <c r="A23" s="1072" t="s">
        <v>292</v>
      </c>
      <c r="B23" s="1072" t="s">
        <v>979</v>
      </c>
      <c r="C23" s="1078">
        <f>SUM(0)</f>
        <v>0</v>
      </c>
      <c r="D23" s="1072" t="s">
        <v>998</v>
      </c>
      <c r="E23" s="1112" t="s">
        <v>993</v>
      </c>
      <c r="F23" s="1077" t="s">
        <v>908</v>
      </c>
      <c r="G23" s="1077"/>
      <c r="H23" s="1113">
        <v>45716</v>
      </c>
      <c r="I23" s="1078" t="e">
        <f>SUM('2024'!K25:T25)+SUM('2025'!#REF!)</f>
        <v>#REF!</v>
      </c>
    </row>
    <row r="24" spans="1:9">
      <c r="A24" s="1149" t="s">
        <v>345</v>
      </c>
      <c r="B24" s="1149" t="s">
        <v>499</v>
      </c>
      <c r="C24" s="1075">
        <f>SUM('2024'!K27:T27)+SUM('2025'!I24:K24)</f>
        <v>62858.174854131379</v>
      </c>
      <c r="D24" s="1149" t="s">
        <v>1081</v>
      </c>
      <c r="E24" s="1147" t="s">
        <v>1076</v>
      </c>
      <c r="F24" s="1149" t="s">
        <v>589</v>
      </c>
      <c r="G24" s="666"/>
      <c r="H24" s="1149" t="s">
        <v>581</v>
      </c>
      <c r="I24" s="1149">
        <v>0</v>
      </c>
    </row>
    <row r="25" spans="1:9" hidden="1">
      <c r="A25" s="666" t="s">
        <v>346</v>
      </c>
      <c r="B25" s="666"/>
      <c r="C25" s="666"/>
      <c r="D25" s="666"/>
      <c r="E25" s="666"/>
      <c r="F25" s="666"/>
      <c r="G25" s="666"/>
      <c r="H25" s="666"/>
      <c r="I25" s="666"/>
    </row>
    <row r="26" spans="1:9" ht="41.4">
      <c r="A26" s="1128" t="s">
        <v>347</v>
      </c>
      <c r="B26" s="1149" t="s">
        <v>1043</v>
      </c>
      <c r="C26" s="1075">
        <f>SUM('2024'!M38:O38)</f>
        <v>15136.363636363636</v>
      </c>
      <c r="D26" s="666" t="s">
        <v>1080</v>
      </c>
      <c r="E26" s="1144" t="s">
        <v>1071</v>
      </c>
      <c r="F26" s="666" t="s">
        <v>589</v>
      </c>
      <c r="G26" s="1149" t="s">
        <v>589</v>
      </c>
      <c r="H26" s="1148">
        <v>45742</v>
      </c>
      <c r="I26" s="666">
        <f>SUM('2025'!K26,'2025'!K27)</f>
        <v>12000</v>
      </c>
    </row>
    <row r="27" spans="1:9" hidden="1">
      <c r="A27" s="666" t="s">
        <v>221</v>
      </c>
      <c r="B27" s="666"/>
      <c r="C27" s="666"/>
      <c r="D27" s="666"/>
      <c r="E27" s="666"/>
      <c r="F27" s="666"/>
      <c r="G27" s="666"/>
      <c r="H27" s="666"/>
      <c r="I27" s="666"/>
    </row>
    <row r="28" spans="1:9">
      <c r="A28" s="666" t="s">
        <v>306</v>
      </c>
      <c r="B28" s="666" t="s">
        <v>1043</v>
      </c>
      <c r="C28" s="666">
        <v>0</v>
      </c>
      <c r="D28" s="666"/>
      <c r="E28" s="666"/>
      <c r="F28" s="1077" t="s">
        <v>908</v>
      </c>
      <c r="G28" s="1077" t="s">
        <v>908</v>
      </c>
      <c r="H28" s="1080">
        <v>45716</v>
      </c>
      <c r="I28" s="666" t="e">
        <f>SUM('2025'!#REF!)</f>
        <v>#REF!</v>
      </c>
    </row>
    <row r="29" spans="1:9">
      <c r="A29" s="666" t="s">
        <v>87</v>
      </c>
      <c r="B29" s="666" t="s">
        <v>1043</v>
      </c>
      <c r="C29" s="666">
        <v>0</v>
      </c>
      <c r="D29" s="666"/>
      <c r="E29" s="666" t="s">
        <v>1078</v>
      </c>
      <c r="F29" s="666" t="s">
        <v>589</v>
      </c>
      <c r="G29" s="666" t="s">
        <v>589</v>
      </c>
      <c r="H29" s="1113">
        <v>45742</v>
      </c>
      <c r="I29" s="1075">
        <f>SUM('2025'!K29)</f>
        <v>5000</v>
      </c>
    </row>
    <row r="30" spans="1:9">
      <c r="A30" s="666" t="s">
        <v>309</v>
      </c>
      <c r="B30" s="666" t="s">
        <v>979</v>
      </c>
      <c r="C30" s="1075">
        <f>SUM('2023'!S43:T43)+SUM('2024'!I33:T33)+SUM('2025'!I30:K30)</f>
        <v>75959.062676453977</v>
      </c>
      <c r="D30" s="666" t="s">
        <v>1079</v>
      </c>
      <c r="E30" s="666" t="s">
        <v>980</v>
      </c>
      <c r="F30" s="1074" t="s">
        <v>589</v>
      </c>
      <c r="G30" s="1074" t="s">
        <v>589</v>
      </c>
      <c r="H30" s="1074">
        <v>45230</v>
      </c>
      <c r="I30" s="1075">
        <f>SUM('2023'!I43:R43)+SUM('2022'!N63:R63)</f>
        <v>124268.77470355731</v>
      </c>
    </row>
    <row r="31" spans="1:9">
      <c r="A31" s="666" t="s">
        <v>97</v>
      </c>
      <c r="B31" s="666" t="s">
        <v>1043</v>
      </c>
      <c r="C31" s="666">
        <v>0</v>
      </c>
      <c r="D31" s="666"/>
      <c r="E31" s="1147" t="s">
        <v>1076</v>
      </c>
      <c r="F31" s="666" t="s">
        <v>589</v>
      </c>
      <c r="G31" s="666" t="s">
        <v>589</v>
      </c>
      <c r="H31" s="1113">
        <v>45742</v>
      </c>
      <c r="I31" s="666">
        <f>SUM('2025'!K31)</f>
        <v>5000</v>
      </c>
    </row>
    <row r="32" spans="1:9">
      <c r="A32" s="666" t="s">
        <v>349</v>
      </c>
      <c r="B32" s="666" t="s">
        <v>499</v>
      </c>
      <c r="C32" s="1075">
        <f>SUM('2024'!I20:T20)+SUM('2025'!I33:K33)</f>
        <v>22796.531986531987</v>
      </c>
      <c r="D32" s="666" t="s">
        <v>1077</v>
      </c>
      <c r="E32" s="1147" t="s">
        <v>1076</v>
      </c>
      <c r="F32" s="666" t="s">
        <v>589</v>
      </c>
      <c r="G32" s="666"/>
      <c r="H32" s="666"/>
      <c r="I32" s="666" t="s">
        <v>581</v>
      </c>
    </row>
    <row r="33" spans="1:9">
      <c r="A33" s="666" t="s">
        <v>350</v>
      </c>
      <c r="B33" s="666" t="s">
        <v>979</v>
      </c>
      <c r="C33" s="1075">
        <f>SUM('2024'!I34:T34)+SUM('2025'!I33:K33)</f>
        <v>23059.158249158252</v>
      </c>
      <c r="D33" s="666" t="s">
        <v>1075</v>
      </c>
      <c r="E33" s="1147" t="s">
        <v>1076</v>
      </c>
      <c r="F33" s="666" t="s">
        <v>589</v>
      </c>
      <c r="G33" s="666"/>
      <c r="H33" s="666"/>
      <c r="I33" s="666" t="s">
        <v>581</v>
      </c>
    </row>
    <row r="34" spans="1:9" ht="17.399999999999999">
      <c r="A34" s="666" t="s">
        <v>301</v>
      </c>
      <c r="B34" s="666" t="s">
        <v>979</v>
      </c>
      <c r="C34" s="1075">
        <f>SUM('2023'!T32)+SUM('2024'!I42:T42)+4819+4280+0</f>
        <v>64930.357048748359</v>
      </c>
      <c r="D34" s="666" t="s">
        <v>1073</v>
      </c>
      <c r="E34" s="1140" t="s">
        <v>1064</v>
      </c>
      <c r="F34" s="666" t="s">
        <v>589</v>
      </c>
      <c r="G34" s="666" t="s">
        <v>1074</v>
      </c>
      <c r="H34" s="1146">
        <v>45204</v>
      </c>
      <c r="I34" s="1075">
        <f>SUM('2023'!I32:S32)</f>
        <v>43136.363636363632</v>
      </c>
    </row>
    <row r="35" spans="1:9">
      <c r="A35" s="666" t="s">
        <v>921</v>
      </c>
      <c r="B35" s="666" t="s">
        <v>979</v>
      </c>
      <c r="C35" s="1075">
        <f>SUM('2024'!I2:T2)+SUM('2025'!I35:K35)</f>
        <v>22658.683982683982</v>
      </c>
      <c r="D35" s="666" t="s">
        <v>1065</v>
      </c>
      <c r="E35" s="1141" t="s">
        <v>981</v>
      </c>
      <c r="F35" s="666" t="s">
        <v>589</v>
      </c>
      <c r="G35" s="666"/>
      <c r="H35" s="666" t="s">
        <v>581</v>
      </c>
      <c r="I35" s="666">
        <v>0</v>
      </c>
    </row>
    <row r="36" spans="1:9">
      <c r="A36" s="666" t="s">
        <v>351</v>
      </c>
      <c r="B36" s="666" t="s">
        <v>979</v>
      </c>
      <c r="C36" s="1075">
        <f>SUM('2024'!K39:T39)+SUM('2025'!I36:K36)-1508</f>
        <v>33516.844720496898</v>
      </c>
      <c r="D36" s="1145" t="s">
        <v>1072</v>
      </c>
      <c r="E36" s="1141" t="s">
        <v>981</v>
      </c>
      <c r="F36" s="1074" t="s">
        <v>589</v>
      </c>
      <c r="G36" s="1074"/>
      <c r="H36" s="1081" t="s">
        <v>581</v>
      </c>
      <c r="I36" s="666">
        <v>0</v>
      </c>
    </row>
    <row r="37" spans="1:9" hidden="1">
      <c r="A37" s="666" t="s">
        <v>96</v>
      </c>
      <c r="B37" s="666"/>
      <c r="C37" s="666"/>
      <c r="D37" s="666"/>
      <c r="E37" s="666"/>
      <c r="F37" s="666"/>
      <c r="G37" s="666"/>
      <c r="H37" s="666"/>
      <c r="I37" s="666"/>
    </row>
    <row r="38" spans="1:9">
      <c r="A38" s="666" t="s">
        <v>303</v>
      </c>
      <c r="B38" s="1140" t="s">
        <v>979</v>
      </c>
      <c r="C38" s="1075">
        <f>SUM('2024'!Q25:T25)+SUM('2025'!I38:K38)</f>
        <v>41602.766798418976</v>
      </c>
      <c r="D38" s="1141" t="s">
        <v>1065</v>
      </c>
      <c r="E38" s="1140" t="s">
        <v>1064</v>
      </c>
      <c r="F38" s="1130" t="s">
        <v>5</v>
      </c>
      <c r="G38" s="1140" t="s">
        <v>1066</v>
      </c>
      <c r="H38" s="1113">
        <v>45539</v>
      </c>
      <c r="I38" s="666">
        <f>SUM('2023'!P35:T35)+SUM('2024'!I25:P25)</f>
        <v>80609</v>
      </c>
    </row>
    <row r="39" spans="1:9">
      <c r="A39" s="666" t="s">
        <v>314</v>
      </c>
      <c r="B39" s="666" t="s">
        <v>979</v>
      </c>
      <c r="C39" s="1075">
        <f>SUM('2025'!K39)</f>
        <v>6000</v>
      </c>
      <c r="D39" s="1129" t="s">
        <v>1040</v>
      </c>
      <c r="E39" s="666" t="s">
        <v>982</v>
      </c>
      <c r="F39" s="1130" t="s">
        <v>5</v>
      </c>
      <c r="G39" s="1130" t="s">
        <v>1041</v>
      </c>
      <c r="H39" s="1113">
        <v>45716</v>
      </c>
      <c r="I39" s="1075">
        <f>SUM('2023'!I53:T53)+SUM('2024'!I31:T31)+SUM('2025'!I39:J39)</f>
        <v>70725.798356233136</v>
      </c>
    </row>
    <row r="40" spans="1:9" ht="41.4">
      <c r="A40" s="666" t="s">
        <v>353</v>
      </c>
      <c r="B40" s="666" t="s">
        <v>1043</v>
      </c>
      <c r="C40" s="1075">
        <f>SUM('2024'!P26:R26)-2455</f>
        <v>11999.545454545456</v>
      </c>
      <c r="D40" s="1141" t="s">
        <v>1063</v>
      </c>
      <c r="E40" s="1144" t="s">
        <v>1071</v>
      </c>
      <c r="F40" s="666" t="s">
        <v>589</v>
      </c>
      <c r="G40" s="666" t="s">
        <v>589</v>
      </c>
      <c r="H40" s="1113">
        <v>45742</v>
      </c>
      <c r="I40" s="666">
        <f>SUM('2025'!K40)</f>
        <v>6000</v>
      </c>
    </row>
    <row r="41" spans="1:9" ht="41.4">
      <c r="A41" s="666" t="s">
        <v>315</v>
      </c>
      <c r="B41" s="666" t="s">
        <v>1043</v>
      </c>
      <c r="C41" s="1075">
        <f>SUM('2023'!M54:R54)+2824</f>
        <v>24005.818181818184</v>
      </c>
      <c r="D41" s="666" t="s">
        <v>1062</v>
      </c>
      <c r="E41" s="1144" t="s">
        <v>1069</v>
      </c>
      <c r="F41" s="666" t="s">
        <v>589</v>
      </c>
      <c r="G41" s="666" t="s">
        <v>589</v>
      </c>
      <c r="H41" s="1113">
        <v>45742</v>
      </c>
      <c r="I41" s="666">
        <f>SUM('2025'!K41)</f>
        <v>5000</v>
      </c>
    </row>
    <row r="42" spans="1:9" ht="41.4">
      <c r="A42" s="666" t="s">
        <v>1037</v>
      </c>
      <c r="B42" s="666" t="s">
        <v>1043</v>
      </c>
      <c r="C42" s="666">
        <v>17478</v>
      </c>
      <c r="D42" s="666" t="s">
        <v>1038</v>
      </c>
      <c r="E42" s="1144" t="s">
        <v>1070</v>
      </c>
      <c r="F42" s="666"/>
      <c r="G42" s="666"/>
      <c r="H42" s="666"/>
      <c r="I42" s="666">
        <v>0</v>
      </c>
    </row>
  </sheetData>
  <autoFilter ref="A1:I42" xr:uid="{E44F501A-8F64-4C60-A970-A8AC682CB516}">
    <filterColumn colId="2">
      <customFilters>
        <customFilter operator="notEqual" val=" "/>
      </customFilters>
    </filterColumn>
  </autoFilter>
  <phoneticPr fontId="62" type="noConversion"/>
  <pageMargins left="0.7" right="0.7" top="0.75" bottom="0.75" header="0.3" footer="0.3"/>
  <pageSetup paperSize="9" orientation="portrait" r:id="rId1"/>
  <ignoredErrors>
    <ignoredError sqref="C2 I38" formulaRange="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4C1C-A968-46A8-8054-259CC27104FC}">
  <dimension ref="A1:D17"/>
  <sheetViews>
    <sheetView workbookViewId="0">
      <selection activeCell="F11" sqref="F11"/>
    </sheetView>
  </sheetViews>
  <sheetFormatPr defaultRowHeight="13.8"/>
  <cols>
    <col min="1" max="1" width="23.3984375" customWidth="1"/>
    <col min="2" max="2" width="26.19921875" customWidth="1"/>
    <col min="3" max="3" width="14.69921875" customWidth="1"/>
  </cols>
  <sheetData>
    <row r="1" spans="1:4">
      <c r="C1" t="s">
        <v>489</v>
      </c>
      <c r="D1" t="s">
        <v>425</v>
      </c>
    </row>
    <row r="2" spans="1:4">
      <c r="A2" t="s">
        <v>1007</v>
      </c>
      <c r="B2" t="s">
        <v>1008</v>
      </c>
      <c r="C2">
        <v>6000</v>
      </c>
      <c r="D2" t="s">
        <v>425</v>
      </c>
    </row>
    <row r="3" spans="1:4">
      <c r="A3" t="s">
        <v>1009</v>
      </c>
      <c r="B3" t="s">
        <v>1010</v>
      </c>
      <c r="C3">
        <v>6000</v>
      </c>
      <c r="D3" t="s">
        <v>425</v>
      </c>
    </row>
    <row r="4" spans="1:4">
      <c r="A4" t="s">
        <v>1011</v>
      </c>
      <c r="B4" t="s">
        <v>1012</v>
      </c>
      <c r="C4">
        <v>6000</v>
      </c>
      <c r="D4" t="s">
        <v>425</v>
      </c>
    </row>
    <row r="5" spans="1:4">
      <c r="A5" t="s">
        <v>1013</v>
      </c>
      <c r="B5" t="s">
        <v>1008</v>
      </c>
      <c r="C5">
        <v>6000</v>
      </c>
      <c r="D5" t="s">
        <v>425</v>
      </c>
    </row>
    <row r="6" spans="1:4">
      <c r="A6" t="s">
        <v>1014</v>
      </c>
      <c r="B6" t="s">
        <v>1015</v>
      </c>
      <c r="C6">
        <v>6000</v>
      </c>
      <c r="D6" t="s">
        <v>425</v>
      </c>
    </row>
    <row r="7" spans="1:4">
      <c r="A7" t="s">
        <v>1016</v>
      </c>
      <c r="B7" t="s">
        <v>1017</v>
      </c>
      <c r="C7">
        <v>12000</v>
      </c>
      <c r="D7" t="s">
        <v>425</v>
      </c>
    </row>
    <row r="8" spans="1:4">
      <c r="A8" t="s">
        <v>1018</v>
      </c>
      <c r="B8" t="s">
        <v>1019</v>
      </c>
      <c r="C8">
        <v>6000</v>
      </c>
      <c r="D8" t="s">
        <v>425</v>
      </c>
    </row>
    <row r="9" spans="1:4">
      <c r="A9" t="s">
        <v>1020</v>
      </c>
      <c r="B9" t="s">
        <v>1021</v>
      </c>
      <c r="C9">
        <v>6000</v>
      </c>
      <c r="D9" t="s">
        <v>425</v>
      </c>
    </row>
    <row r="10" spans="1:4">
      <c r="A10" t="s">
        <v>1022</v>
      </c>
      <c r="B10" t="s">
        <v>1023</v>
      </c>
      <c r="C10">
        <v>6000</v>
      </c>
      <c r="D10" t="s">
        <v>425</v>
      </c>
    </row>
    <row r="11" spans="1:4">
      <c r="A11" t="s">
        <v>1024</v>
      </c>
      <c r="B11" t="s">
        <v>1025</v>
      </c>
      <c r="C11">
        <v>6000</v>
      </c>
      <c r="D11" t="s">
        <v>425</v>
      </c>
    </row>
    <row r="12" spans="1:4">
      <c r="A12" t="s">
        <v>1026</v>
      </c>
      <c r="B12" t="s">
        <v>1025</v>
      </c>
      <c r="C12">
        <v>6000</v>
      </c>
      <c r="D12" t="s">
        <v>425</v>
      </c>
    </row>
    <row r="13" spans="1:4">
      <c r="A13" t="s">
        <v>1027</v>
      </c>
      <c r="B13" t="s">
        <v>1028</v>
      </c>
      <c r="C13">
        <v>6000</v>
      </c>
      <c r="D13" t="s">
        <v>425</v>
      </c>
    </row>
    <row r="14" spans="1:4">
      <c r="A14" t="s">
        <v>893</v>
      </c>
      <c r="B14" t="s">
        <v>1029</v>
      </c>
      <c r="C14">
        <v>6000</v>
      </c>
      <c r="D14" t="s">
        <v>425</v>
      </c>
    </row>
    <row r="15" spans="1:4">
      <c r="A15" t="s">
        <v>1030</v>
      </c>
      <c r="B15" t="s">
        <v>1031</v>
      </c>
      <c r="C15">
        <v>6000</v>
      </c>
      <c r="D15" t="s">
        <v>425</v>
      </c>
    </row>
    <row r="16" spans="1:4">
      <c r="A16" t="s">
        <v>1032</v>
      </c>
      <c r="B16" t="s">
        <v>1033</v>
      </c>
      <c r="C16">
        <v>6000</v>
      </c>
      <c r="D16" t="s">
        <v>425</v>
      </c>
    </row>
    <row r="17" spans="1:4">
      <c r="A17" t="s">
        <v>1034</v>
      </c>
      <c r="B17" t="s">
        <v>1035</v>
      </c>
      <c r="C17">
        <v>6000</v>
      </c>
      <c r="D17" t="s">
        <v>425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Q1000"/>
  <sheetViews>
    <sheetView workbookViewId="0">
      <pane ySplit="2" topLeftCell="A25" activePane="bottomLeft" state="frozen"/>
      <selection pane="bottomLeft" activeCell="H66" sqref="H66"/>
    </sheetView>
  </sheetViews>
  <sheetFormatPr defaultColWidth="12.59765625" defaultRowHeight="15" customHeight="1"/>
  <cols>
    <col min="1" max="1" width="27.19921875" customWidth="1"/>
    <col min="2" max="2" width="22.69921875" customWidth="1"/>
    <col min="3" max="3" width="12" customWidth="1"/>
    <col min="4" max="4" width="15.59765625" customWidth="1"/>
    <col min="5" max="6" width="8.59765625" customWidth="1"/>
    <col min="7" max="7" width="18.19921875" customWidth="1"/>
    <col min="8" max="17" width="8.59765625" customWidth="1"/>
  </cols>
  <sheetData>
    <row r="1" spans="1:8" ht="15.6" customHeight="1">
      <c r="A1" s="110"/>
      <c r="B1" s="1174" t="s">
        <v>407</v>
      </c>
      <c r="C1" s="1175"/>
    </row>
    <row r="2" spans="1:8" ht="30.6" hidden="1" customHeight="1">
      <c r="A2" s="630" t="s">
        <v>408</v>
      </c>
      <c r="B2" s="630" t="s">
        <v>409</v>
      </c>
      <c r="C2" s="631" t="s">
        <v>410</v>
      </c>
    </row>
    <row r="3" spans="1:8" ht="13.5" hidden="1" customHeight="1">
      <c r="A3" s="36" t="s">
        <v>411</v>
      </c>
      <c r="B3" s="36">
        <v>62700</v>
      </c>
      <c r="C3" s="4" t="s">
        <v>379</v>
      </c>
    </row>
    <row r="4" spans="1:8" ht="13.5" hidden="1" customHeight="1">
      <c r="A4" s="36" t="s">
        <v>412</v>
      </c>
      <c r="B4" s="36">
        <v>90000</v>
      </c>
      <c r="C4" s="4" t="s">
        <v>413</v>
      </c>
      <c r="D4" s="98" t="s">
        <v>414</v>
      </c>
      <c r="E4" s="632"/>
    </row>
    <row r="5" spans="1:8" ht="13.5" hidden="1" customHeight="1">
      <c r="A5" s="36" t="s">
        <v>95</v>
      </c>
      <c r="B5" s="36">
        <v>56000</v>
      </c>
      <c r="C5" s="4"/>
    </row>
    <row r="6" spans="1:8" ht="14.4" hidden="1">
      <c r="A6" s="40" t="s">
        <v>253</v>
      </c>
      <c r="B6" s="40">
        <v>55435</v>
      </c>
      <c r="C6" s="40" t="s">
        <v>379</v>
      </c>
      <c r="D6" s="98" t="s">
        <v>416</v>
      </c>
      <c r="F6" s="1176" t="s">
        <v>415</v>
      </c>
      <c r="G6" s="1177"/>
      <c r="H6" s="1178"/>
    </row>
    <row r="7" spans="1:8" ht="13.5" hidden="1" customHeight="1">
      <c r="A7" s="74" t="s">
        <v>417</v>
      </c>
      <c r="B7" s="74">
        <v>49400</v>
      </c>
      <c r="C7" s="74" t="s">
        <v>379</v>
      </c>
      <c r="F7" s="637"/>
      <c r="H7" s="281"/>
    </row>
    <row r="8" spans="1:8" ht="13.5" hidden="1" customHeight="1">
      <c r="A8" s="74" t="s">
        <v>419</v>
      </c>
      <c r="B8" s="74">
        <v>61000</v>
      </c>
      <c r="C8" s="74" t="s">
        <v>379</v>
      </c>
      <c r="F8" s="25" t="s">
        <v>418</v>
      </c>
      <c r="G8" s="638">
        <v>81000</v>
      </c>
      <c r="H8" s="25"/>
    </row>
    <row r="9" spans="1:8" ht="13.5" hidden="1" customHeight="1">
      <c r="A9" s="74" t="s">
        <v>421</v>
      </c>
      <c r="B9" s="74">
        <v>47000</v>
      </c>
      <c r="C9" s="74" t="s">
        <v>379</v>
      </c>
      <c r="F9" s="25" t="s">
        <v>126</v>
      </c>
      <c r="G9" s="58" t="s">
        <v>420</v>
      </c>
      <c r="H9" s="25"/>
    </row>
    <row r="10" spans="1:8" ht="13.5" hidden="1" customHeight="1">
      <c r="A10" s="25" t="s">
        <v>127</v>
      </c>
      <c r="B10" s="36">
        <v>20000</v>
      </c>
      <c r="C10" s="4" t="s">
        <v>413</v>
      </c>
      <c r="F10" s="25" t="s">
        <v>422</v>
      </c>
      <c r="G10" s="638">
        <v>55000</v>
      </c>
      <c r="H10" s="497" t="s">
        <v>423</v>
      </c>
    </row>
    <row r="11" spans="1:8" ht="13.5" hidden="1" customHeight="1">
      <c r="A11" s="74" t="s">
        <v>426</v>
      </c>
      <c r="B11" s="74">
        <v>42000</v>
      </c>
      <c r="C11" s="74" t="s">
        <v>379</v>
      </c>
      <c r="F11" s="74" t="s">
        <v>424</v>
      </c>
      <c r="G11" s="226">
        <v>74000</v>
      </c>
      <c r="H11" s="639" t="s">
        <v>425</v>
      </c>
    </row>
    <row r="12" spans="1:8" ht="13.5" hidden="1" customHeight="1">
      <c r="A12" s="74" t="s">
        <v>427</v>
      </c>
      <c r="B12" s="74">
        <v>25000</v>
      </c>
      <c r="C12" s="74" t="s">
        <v>379</v>
      </c>
    </row>
    <row r="13" spans="1:8" ht="13.5" hidden="1" customHeight="1">
      <c r="A13" s="74" t="s">
        <v>75</v>
      </c>
      <c r="B13" s="74">
        <v>34000</v>
      </c>
      <c r="C13" s="74" t="s">
        <v>379</v>
      </c>
      <c r="D13" s="98" t="s">
        <v>428</v>
      </c>
    </row>
    <row r="14" spans="1:8" ht="13.5" hidden="1" customHeight="1">
      <c r="A14" s="74" t="s">
        <v>429</v>
      </c>
      <c r="B14" s="74">
        <v>27000</v>
      </c>
      <c r="C14" s="74" t="s">
        <v>379</v>
      </c>
    </row>
    <row r="15" spans="1:8" ht="13.5" hidden="1" customHeight="1">
      <c r="A15" s="74" t="s">
        <v>430</v>
      </c>
      <c r="B15" s="74">
        <v>25000</v>
      </c>
      <c r="C15" s="74" t="s">
        <v>379</v>
      </c>
      <c r="G15" s="510">
        <v>96818</v>
      </c>
    </row>
    <row r="16" spans="1:8" ht="13.5" hidden="1" customHeight="1">
      <c r="A16" s="74" t="s">
        <v>153</v>
      </c>
      <c r="B16" s="74">
        <v>34000</v>
      </c>
      <c r="C16" s="74" t="s">
        <v>379</v>
      </c>
    </row>
    <row r="17" spans="1:17" ht="13.5" hidden="1" customHeight="1">
      <c r="A17" s="74" t="s">
        <v>431</v>
      </c>
      <c r="B17" s="74">
        <v>51500</v>
      </c>
      <c r="C17" s="74" t="s">
        <v>379</v>
      </c>
    </row>
    <row r="18" spans="1:17" ht="13.5" hidden="1" customHeight="1">
      <c r="A18" s="74" t="s">
        <v>432</v>
      </c>
      <c r="B18" s="74">
        <v>54090</v>
      </c>
      <c r="C18" s="74" t="s">
        <v>379</v>
      </c>
    </row>
    <row r="19" spans="1:17" ht="13.5" hidden="1" customHeight="1">
      <c r="A19" s="74" t="s">
        <v>134</v>
      </c>
      <c r="B19" s="74">
        <v>37909</v>
      </c>
      <c r="C19" s="74" t="s">
        <v>379</v>
      </c>
    </row>
    <row r="20" spans="1:17" ht="13.5" hidden="1" customHeight="1">
      <c r="A20" s="74" t="s">
        <v>433</v>
      </c>
      <c r="B20" s="74">
        <v>29800</v>
      </c>
      <c r="C20" s="160" t="s">
        <v>379</v>
      </c>
    </row>
    <row r="21" spans="1:17" ht="13.5" hidden="1" customHeight="1">
      <c r="A21" s="74" t="s">
        <v>434</v>
      </c>
      <c r="B21" s="40">
        <v>57478</v>
      </c>
      <c r="C21" s="160" t="s">
        <v>379</v>
      </c>
      <c r="G21" s="633">
        <v>45098</v>
      </c>
    </row>
    <row r="22" spans="1:17" ht="13.5" hidden="1" customHeight="1">
      <c r="A22" s="74" t="s">
        <v>435</v>
      </c>
      <c r="B22" s="634">
        <f>62381+50000</f>
        <v>112381</v>
      </c>
      <c r="C22" s="160"/>
      <c r="D22" s="98" t="s">
        <v>436</v>
      </c>
      <c r="G22" s="510">
        <v>56818</v>
      </c>
      <c r="H22" s="510">
        <v>40000</v>
      </c>
    </row>
    <row r="23" spans="1:17" ht="13.5" hidden="1" customHeight="1">
      <c r="A23" s="74" t="s">
        <v>152</v>
      </c>
      <c r="B23" s="74">
        <v>20727</v>
      </c>
      <c r="C23" s="160" t="s">
        <v>379</v>
      </c>
    </row>
    <row r="24" spans="1:17" ht="13.5" hidden="1" customHeight="1">
      <c r="A24" s="74" t="s">
        <v>437</v>
      </c>
      <c r="B24" s="74">
        <v>29000</v>
      </c>
      <c r="C24" s="160" t="s">
        <v>379</v>
      </c>
      <c r="D24" s="107" t="s">
        <v>425</v>
      </c>
    </row>
    <row r="25" spans="1:17" ht="13.5" customHeight="1">
      <c r="A25" s="635" t="s">
        <v>165</v>
      </c>
      <c r="B25" s="635">
        <v>24783</v>
      </c>
      <c r="C25" s="636" t="s">
        <v>413</v>
      </c>
      <c r="D25" s="98" t="s">
        <v>438</v>
      </c>
    </row>
    <row r="26" spans="1:17" ht="13.5" hidden="1" customHeight="1">
      <c r="A26" s="160" t="s">
        <v>439</v>
      </c>
      <c r="B26" s="74">
        <v>32000</v>
      </c>
      <c r="C26" s="160" t="s">
        <v>379</v>
      </c>
    </row>
    <row r="27" spans="1:17" ht="13.5" hidden="1" customHeight="1">
      <c r="A27" s="160" t="s">
        <v>440</v>
      </c>
      <c r="B27" s="74">
        <v>56591</v>
      </c>
      <c r="C27" s="160" t="s">
        <v>441</v>
      </c>
    </row>
    <row r="28" spans="1:17" ht="13.5" hidden="1" customHeight="1">
      <c r="A28" s="74" t="s">
        <v>442</v>
      </c>
      <c r="B28" s="74">
        <v>38650</v>
      </c>
      <c r="C28" s="160" t="s">
        <v>379</v>
      </c>
    </row>
    <row r="29" spans="1:17" ht="13.5" hidden="1" customHeight="1">
      <c r="A29" s="160" t="s">
        <v>135</v>
      </c>
      <c r="B29" s="74">
        <v>26000</v>
      </c>
      <c r="C29" s="160" t="s">
        <v>379</v>
      </c>
    </row>
    <row r="30" spans="1:17" ht="13.5" hidden="1" customHeight="1">
      <c r="A30" s="635" t="s">
        <v>443</v>
      </c>
      <c r="B30" s="635">
        <v>34000</v>
      </c>
      <c r="C30" s="636" t="s">
        <v>413</v>
      </c>
      <c r="D30" s="98" t="s">
        <v>444</v>
      </c>
    </row>
    <row r="31" spans="1:17" ht="13.5" hidden="1" customHeight="1">
      <c r="A31" s="74" t="s">
        <v>445</v>
      </c>
      <c r="B31" s="74">
        <v>24000</v>
      </c>
      <c r="C31" s="160" t="s">
        <v>379</v>
      </c>
      <c r="D31" s="107" t="s">
        <v>379</v>
      </c>
      <c r="O31" s="98" t="s">
        <v>126</v>
      </c>
      <c r="P31" s="98" t="s">
        <v>379</v>
      </c>
      <c r="Q31" s="98" t="s">
        <v>446</v>
      </c>
    </row>
    <row r="32" spans="1:17" ht="13.5" hidden="1" customHeight="1">
      <c r="A32" s="25" t="s">
        <v>139</v>
      </c>
      <c r="B32" s="25">
        <f>36000+31000</f>
        <v>67000</v>
      </c>
      <c r="C32" s="4" t="s">
        <v>413</v>
      </c>
      <c r="D32" s="98" t="s">
        <v>447</v>
      </c>
      <c r="E32" s="98" t="s">
        <v>448</v>
      </c>
      <c r="N32" s="98">
        <v>2021</v>
      </c>
      <c r="O32" s="98">
        <v>71000</v>
      </c>
      <c r="P32" s="98">
        <v>35000</v>
      </c>
      <c r="Q32" s="98">
        <f t="shared" ref="Q32:Q33" si="0">O32-P32</f>
        <v>36000</v>
      </c>
    </row>
    <row r="33" spans="1:17" ht="13.5" hidden="1" customHeight="1">
      <c r="A33" s="74" t="s">
        <v>449</v>
      </c>
      <c r="B33" s="74">
        <v>63454</v>
      </c>
      <c r="C33" s="160" t="s">
        <v>379</v>
      </c>
      <c r="D33" s="107"/>
      <c r="N33" s="98">
        <v>2022</v>
      </c>
      <c r="O33" s="98">
        <v>57000</v>
      </c>
      <c r="P33" s="98">
        <v>25500</v>
      </c>
      <c r="Q33" s="98">
        <f t="shared" si="0"/>
        <v>31500</v>
      </c>
    </row>
    <row r="34" spans="1:17" ht="13.5" hidden="1" customHeight="1">
      <c r="A34" s="74" t="s">
        <v>450</v>
      </c>
      <c r="B34" s="74">
        <v>26100</v>
      </c>
      <c r="C34" s="160" t="s">
        <v>379</v>
      </c>
      <c r="D34" s="107"/>
    </row>
    <row r="35" spans="1:17" ht="13.5" hidden="1" customHeight="1">
      <c r="A35" s="74" t="s">
        <v>451</v>
      </c>
      <c r="B35" s="74">
        <v>24000</v>
      </c>
      <c r="C35" s="160" t="s">
        <v>379</v>
      </c>
      <c r="P35" s="640" t="s">
        <v>452</v>
      </c>
      <c r="Q35" s="640">
        <f>SUM(Q32:Q33)</f>
        <v>67500</v>
      </c>
    </row>
    <row r="36" spans="1:17" ht="13.5" hidden="1" customHeight="1">
      <c r="A36" s="25" t="s">
        <v>453</v>
      </c>
      <c r="B36" s="25">
        <v>78652</v>
      </c>
      <c r="C36" s="160" t="s">
        <v>379</v>
      </c>
      <c r="D36" s="107"/>
    </row>
    <row r="37" spans="1:17" ht="13.5" hidden="1" customHeight="1">
      <c r="A37" s="25" t="s">
        <v>454</v>
      </c>
      <c r="B37" s="25">
        <v>27478</v>
      </c>
      <c r="C37" s="4" t="s">
        <v>413</v>
      </c>
    </row>
    <row r="38" spans="1:17" ht="13.5" hidden="1" customHeight="1">
      <c r="A38" s="74" t="s">
        <v>455</v>
      </c>
      <c r="B38" s="74">
        <f>28500-6000</f>
        <v>22500</v>
      </c>
      <c r="C38" s="74" t="s">
        <v>379</v>
      </c>
      <c r="D38" s="107"/>
    </row>
    <row r="39" spans="1:17" ht="13.5" hidden="1" customHeight="1">
      <c r="A39" s="74" t="s">
        <v>143</v>
      </c>
      <c r="B39" s="74">
        <v>43250</v>
      </c>
      <c r="C39" s="74" t="s">
        <v>379</v>
      </c>
      <c r="D39" s="107"/>
    </row>
    <row r="40" spans="1:17" ht="13.5" hidden="1" customHeight="1">
      <c r="A40" s="74" t="s">
        <v>456</v>
      </c>
      <c r="B40" s="74">
        <v>40909</v>
      </c>
      <c r="C40" s="74" t="s">
        <v>379</v>
      </c>
      <c r="D40" s="107"/>
      <c r="E40" s="98"/>
    </row>
    <row r="41" spans="1:17" ht="13.5" hidden="1" customHeight="1">
      <c r="A41" s="74" t="s">
        <v>457</v>
      </c>
      <c r="B41" s="74">
        <v>24000</v>
      </c>
      <c r="C41" s="74" t="s">
        <v>379</v>
      </c>
      <c r="D41" s="98"/>
      <c r="E41" s="98"/>
    </row>
    <row r="42" spans="1:17" ht="13.5" hidden="1" customHeight="1">
      <c r="A42" s="25" t="s">
        <v>458</v>
      </c>
      <c r="B42" s="25">
        <v>12000</v>
      </c>
      <c r="C42" s="4" t="s">
        <v>413</v>
      </c>
      <c r="D42" s="98" t="s">
        <v>447</v>
      </c>
      <c r="E42" s="98"/>
    </row>
    <row r="43" spans="1:17" ht="13.5" hidden="1" customHeight="1">
      <c r="A43" s="25" t="s">
        <v>459</v>
      </c>
      <c r="B43" s="25"/>
      <c r="C43" s="4" t="s">
        <v>460</v>
      </c>
      <c r="D43" s="98"/>
      <c r="E43" s="98"/>
    </row>
    <row r="44" spans="1:17" ht="13.5" hidden="1" customHeight="1">
      <c r="A44" s="25" t="s">
        <v>461</v>
      </c>
      <c r="B44" s="25">
        <v>15456</v>
      </c>
      <c r="C44" s="4" t="s">
        <v>413</v>
      </c>
      <c r="D44" s="98"/>
      <c r="E44" s="98"/>
    </row>
    <row r="45" spans="1:17" ht="13.5" hidden="1" customHeight="1">
      <c r="A45" s="74" t="s">
        <v>175</v>
      </c>
      <c r="B45" s="74">
        <v>12000</v>
      </c>
      <c r="C45" s="160" t="s">
        <v>379</v>
      </c>
      <c r="D45" s="107"/>
      <c r="E45" s="98"/>
      <c r="G45" s="98">
        <v>108826</v>
      </c>
      <c r="H45" s="98">
        <v>80000</v>
      </c>
    </row>
    <row r="46" spans="1:17" ht="13.5" hidden="1" customHeight="1">
      <c r="A46" s="25" t="s">
        <v>158</v>
      </c>
      <c r="B46" s="25">
        <v>12000</v>
      </c>
      <c r="C46" s="4" t="s">
        <v>413</v>
      </c>
      <c r="D46" s="98"/>
      <c r="E46" s="98"/>
    </row>
    <row r="47" spans="1:17" ht="13.5" hidden="1" customHeight="1">
      <c r="A47" s="74" t="s">
        <v>462</v>
      </c>
      <c r="B47" s="74">
        <v>12000</v>
      </c>
      <c r="C47" s="160" t="s">
        <v>379</v>
      </c>
      <c r="D47" s="107"/>
      <c r="E47" s="98"/>
    </row>
    <row r="48" spans="1:17" ht="13.5" hidden="1" customHeight="1">
      <c r="A48" s="80" t="s">
        <v>463</v>
      </c>
      <c r="B48" s="25">
        <f>54826+54000</f>
        <v>108826</v>
      </c>
      <c r="C48" s="4" t="s">
        <v>413</v>
      </c>
      <c r="D48" s="98" t="s">
        <v>464</v>
      </c>
      <c r="E48" s="98"/>
      <c r="G48" s="98">
        <f>G45-H45</f>
        <v>28826</v>
      </c>
    </row>
    <row r="49" spans="1:5" ht="13.5" hidden="1" customHeight="1">
      <c r="A49" s="74" t="s">
        <v>465</v>
      </c>
      <c r="B49" s="74">
        <v>61339</v>
      </c>
      <c r="C49" s="160" t="s">
        <v>379</v>
      </c>
      <c r="D49" s="98"/>
      <c r="E49" s="98"/>
    </row>
    <row r="50" spans="1:5" ht="13.5" hidden="1" customHeight="1">
      <c r="A50" s="74" t="s">
        <v>466</v>
      </c>
      <c r="B50" s="74" t="s">
        <v>467</v>
      </c>
      <c r="C50" s="74" t="s">
        <v>379</v>
      </c>
      <c r="D50" s="98"/>
      <c r="E50" s="98"/>
    </row>
    <row r="51" spans="1:5" ht="13.5" hidden="1" customHeight="1">
      <c r="A51" s="25" t="s">
        <v>172</v>
      </c>
      <c r="B51" s="25">
        <v>26500</v>
      </c>
      <c r="C51" s="4" t="s">
        <v>413</v>
      </c>
      <c r="D51" s="98"/>
      <c r="E51" s="98">
        <f>24000+42000</f>
        <v>66000</v>
      </c>
    </row>
    <row r="52" spans="1:5" ht="13.5" hidden="1" customHeight="1">
      <c r="A52" s="25" t="s">
        <v>468</v>
      </c>
      <c r="B52" s="25">
        <v>24000</v>
      </c>
      <c r="C52" s="4" t="s">
        <v>413</v>
      </c>
      <c r="D52" s="98"/>
      <c r="E52" s="98"/>
    </row>
    <row r="53" spans="1:5" ht="13.5" hidden="1" customHeight="1">
      <c r="A53" s="25" t="s">
        <v>469</v>
      </c>
      <c r="B53" s="25">
        <v>17391</v>
      </c>
      <c r="C53" s="4">
        <v>28630</v>
      </c>
      <c r="D53" s="98" t="s">
        <v>470</v>
      </c>
      <c r="E53" s="98"/>
    </row>
    <row r="54" spans="1:5" ht="13.5" hidden="1" customHeight="1">
      <c r="A54" s="74" t="s">
        <v>471</v>
      </c>
      <c r="B54" s="74">
        <v>12000</v>
      </c>
      <c r="C54" s="74" t="s">
        <v>379</v>
      </c>
      <c r="D54" s="98"/>
      <c r="E54" s="98"/>
    </row>
    <row r="55" spans="1:5" ht="13.5" hidden="1" customHeight="1">
      <c r="A55" s="25" t="s">
        <v>221</v>
      </c>
      <c r="B55" s="25">
        <v>12000</v>
      </c>
      <c r="C55" s="4" t="s">
        <v>413</v>
      </c>
    </row>
    <row r="56" spans="1:5" ht="13.5" hidden="1" customHeight="1">
      <c r="A56" s="25" t="s">
        <v>472</v>
      </c>
      <c r="B56" s="25">
        <v>12000</v>
      </c>
      <c r="C56" s="4" t="s">
        <v>413</v>
      </c>
    </row>
    <row r="57" spans="1:5" ht="13.5" hidden="1" customHeight="1">
      <c r="A57" s="74" t="s">
        <v>473</v>
      </c>
      <c r="B57" s="74">
        <v>12000</v>
      </c>
      <c r="C57" s="160" t="s">
        <v>379</v>
      </c>
    </row>
    <row r="58" spans="1:5" ht="13.5" hidden="1" customHeight="1">
      <c r="A58" s="74" t="s">
        <v>207</v>
      </c>
      <c r="B58" s="232">
        <v>103652</v>
      </c>
      <c r="C58" s="160" t="s">
        <v>425</v>
      </c>
      <c r="D58" s="98" t="s">
        <v>474</v>
      </c>
    </row>
    <row r="59" spans="1:5" ht="13.5" hidden="1" customHeight="1">
      <c r="A59" s="74" t="s">
        <v>254</v>
      </c>
      <c r="B59" s="232">
        <v>67666</v>
      </c>
      <c r="C59" s="160" t="s">
        <v>425</v>
      </c>
      <c r="D59" s="98" t="s">
        <v>474</v>
      </c>
    </row>
    <row r="60" spans="1:5" ht="13.5" hidden="1" customHeight="1">
      <c r="A60" s="74" t="s">
        <v>241</v>
      </c>
      <c r="B60" s="232">
        <v>73000</v>
      </c>
      <c r="C60" s="160" t="s">
        <v>425</v>
      </c>
      <c r="D60" s="98" t="s">
        <v>474</v>
      </c>
    </row>
    <row r="61" spans="1:5" ht="13.5" hidden="1" customHeight="1">
      <c r="A61" s="25" t="s">
        <v>475</v>
      </c>
      <c r="B61" s="229">
        <v>12000</v>
      </c>
      <c r="C61" s="4"/>
    </row>
    <row r="62" spans="1:5" ht="13.5" hidden="1" customHeight="1">
      <c r="A62" s="74" t="s">
        <v>476</v>
      </c>
      <c r="B62" s="232">
        <v>6000</v>
      </c>
      <c r="C62" s="160" t="s">
        <v>379</v>
      </c>
      <c r="E62" s="98">
        <v>15428.57143</v>
      </c>
    </row>
    <row r="63" spans="1:5" ht="13.5" hidden="1" customHeight="1">
      <c r="A63" s="74" t="s">
        <v>477</v>
      </c>
      <c r="B63" s="232">
        <v>103944</v>
      </c>
      <c r="C63" s="160" t="s">
        <v>379</v>
      </c>
    </row>
    <row r="64" spans="1:5" ht="13.5" hidden="1" customHeight="1">
      <c r="A64" s="74" t="s">
        <v>248</v>
      </c>
      <c r="B64" s="232">
        <v>52963</v>
      </c>
      <c r="C64" s="160" t="s">
        <v>379</v>
      </c>
    </row>
    <row r="65" spans="1:5" ht="13.5" hidden="1" customHeight="1">
      <c r="A65" s="562" t="s">
        <v>478</v>
      </c>
      <c r="B65" s="641">
        <v>95719</v>
      </c>
      <c r="C65" s="4"/>
    </row>
    <row r="66" spans="1:5" ht="13.5" hidden="1" customHeight="1">
      <c r="A66" s="562" t="s">
        <v>479</v>
      </c>
      <c r="B66" s="641">
        <f>21091+29800</f>
        <v>50891</v>
      </c>
      <c r="C66" s="4"/>
    </row>
    <row r="67" spans="1:5" ht="13.5" hidden="1" customHeight="1">
      <c r="A67" s="562" t="s">
        <v>480</v>
      </c>
      <c r="B67" s="641">
        <f>'To beDeleted'!W86</f>
        <v>24000</v>
      </c>
      <c r="C67" s="4" t="s">
        <v>441</v>
      </c>
      <c r="D67" s="98" t="s">
        <v>481</v>
      </c>
    </row>
    <row r="68" spans="1:5" ht="13.5" hidden="1" customHeight="1">
      <c r="A68" s="562" t="s">
        <v>482</v>
      </c>
      <c r="B68" s="641">
        <v>55000</v>
      </c>
      <c r="C68" s="4" t="s">
        <v>379</v>
      </c>
    </row>
    <row r="69" spans="1:5" ht="13.5" hidden="1" customHeight="1">
      <c r="A69" s="562" t="s">
        <v>483</v>
      </c>
      <c r="B69" s="641">
        <f>35000+33500</f>
        <v>68500</v>
      </c>
      <c r="C69" s="4" t="s">
        <v>379</v>
      </c>
    </row>
    <row r="70" spans="1:5" ht="13.5" hidden="1" customHeight="1">
      <c r="A70" s="562" t="s">
        <v>231</v>
      </c>
      <c r="B70" s="641">
        <v>95045</v>
      </c>
      <c r="C70" s="4" t="s">
        <v>379</v>
      </c>
    </row>
    <row r="71" spans="1:5" ht="13.5" hidden="1" customHeight="1">
      <c r="A71" s="562" t="s">
        <v>229</v>
      </c>
      <c r="B71" s="641">
        <f>40500+50000</f>
        <v>90500</v>
      </c>
      <c r="C71" s="4" t="s">
        <v>379</v>
      </c>
    </row>
    <row r="72" spans="1:5" ht="13.5" hidden="1" customHeight="1">
      <c r="A72" s="107"/>
      <c r="B72" s="98" t="s">
        <v>484</v>
      </c>
      <c r="C72" s="16"/>
      <c r="E72" s="98">
        <f>25000-E62</f>
        <v>9571.42857</v>
      </c>
    </row>
    <row r="73" spans="1:5" ht="13.5" hidden="1" customHeight="1">
      <c r="A73" s="642"/>
      <c r="B73" s="98" t="s">
        <v>485</v>
      </c>
      <c r="C73" s="16"/>
    </row>
    <row r="74" spans="1:5" ht="13.5" hidden="1" customHeight="1">
      <c r="A74" s="643"/>
      <c r="B74" s="98" t="s">
        <v>486</v>
      </c>
      <c r="C74" s="16"/>
    </row>
    <row r="75" spans="1:5" ht="13.5" hidden="1" customHeight="1">
      <c r="A75" t="s">
        <v>397</v>
      </c>
      <c r="B75">
        <v>16364</v>
      </c>
      <c r="C75" s="16" t="s">
        <v>446</v>
      </c>
      <c r="D75" t="s">
        <v>913</v>
      </c>
    </row>
    <row r="76" spans="1:5" ht="13.5" hidden="1" customHeight="1">
      <c r="A76" t="s">
        <v>912</v>
      </c>
      <c r="B76">
        <v>15136</v>
      </c>
      <c r="C76" s="16" t="s">
        <v>446</v>
      </c>
      <c r="D76" t="s">
        <v>913</v>
      </c>
    </row>
    <row r="77" spans="1:5" ht="13.5" hidden="1" customHeight="1">
      <c r="A77" t="s">
        <v>922</v>
      </c>
      <c r="B77">
        <v>12000</v>
      </c>
      <c r="C77" s="16" t="s">
        <v>446</v>
      </c>
    </row>
    <row r="78" spans="1:5" ht="13.5" customHeight="1">
      <c r="C78" s="16"/>
    </row>
    <row r="79" spans="1:5" ht="13.5" customHeight="1">
      <c r="C79" s="16"/>
    </row>
    <row r="80" spans="1:5" ht="13.5" customHeight="1">
      <c r="C80" s="16"/>
    </row>
    <row r="81" spans="3:3" ht="13.5" customHeight="1">
      <c r="C81" s="16"/>
    </row>
    <row r="82" spans="3:3" ht="13.5" customHeight="1">
      <c r="C82" s="16"/>
    </row>
    <row r="83" spans="3:3" ht="13.5" customHeight="1">
      <c r="C83" s="16"/>
    </row>
    <row r="84" spans="3:3" ht="13.5" customHeight="1">
      <c r="C84" s="16"/>
    </row>
    <row r="85" spans="3:3" ht="13.5" customHeight="1">
      <c r="C85" s="16"/>
    </row>
    <row r="86" spans="3:3" ht="13.5" customHeight="1">
      <c r="C86" s="16"/>
    </row>
    <row r="87" spans="3:3" ht="13.5" customHeight="1">
      <c r="C87" s="16"/>
    </row>
    <row r="88" spans="3:3" ht="13.5" customHeight="1">
      <c r="C88" s="16"/>
    </row>
    <row r="89" spans="3:3" ht="13.5" customHeight="1">
      <c r="C89" s="16"/>
    </row>
    <row r="90" spans="3:3" ht="13.5" customHeight="1">
      <c r="C90" s="16"/>
    </row>
    <row r="91" spans="3:3" ht="13.5" customHeight="1">
      <c r="C91" s="16"/>
    </row>
    <row r="92" spans="3:3" ht="13.5" customHeight="1">
      <c r="C92" s="16"/>
    </row>
    <row r="93" spans="3:3" ht="13.5" customHeight="1">
      <c r="C93" s="16"/>
    </row>
    <row r="94" spans="3:3" ht="13.5" customHeight="1">
      <c r="C94" s="16"/>
    </row>
    <row r="95" spans="3:3" ht="13.5" customHeight="1">
      <c r="C95" s="16"/>
    </row>
    <row r="96" spans="3:3" ht="13.5" customHeight="1">
      <c r="C96" s="16"/>
    </row>
    <row r="97" spans="3:3" ht="13.5" customHeight="1">
      <c r="C97" s="16"/>
    </row>
    <row r="98" spans="3:3" ht="13.5" customHeight="1">
      <c r="C98" s="16"/>
    </row>
    <row r="99" spans="3:3" ht="13.5" customHeight="1">
      <c r="C99" s="16"/>
    </row>
    <row r="100" spans="3:3" ht="13.5" customHeight="1">
      <c r="C100" s="16"/>
    </row>
    <row r="101" spans="3:3" ht="13.5" customHeight="1">
      <c r="C101" s="16"/>
    </row>
    <row r="102" spans="3:3" ht="13.5" customHeight="1">
      <c r="C102" s="16"/>
    </row>
    <row r="103" spans="3:3" ht="13.5" customHeight="1">
      <c r="C103" s="16"/>
    </row>
    <row r="104" spans="3:3" ht="13.5" customHeight="1">
      <c r="C104" s="16"/>
    </row>
    <row r="105" spans="3:3" ht="13.5" customHeight="1">
      <c r="C105" s="16"/>
    </row>
    <row r="106" spans="3:3" ht="13.5" customHeight="1">
      <c r="C106" s="16"/>
    </row>
    <row r="107" spans="3:3" ht="13.5" customHeight="1">
      <c r="C107" s="16"/>
    </row>
    <row r="108" spans="3:3" ht="13.5" customHeight="1">
      <c r="C108" s="16"/>
    </row>
    <row r="109" spans="3:3" ht="13.5" customHeight="1">
      <c r="C109" s="16"/>
    </row>
    <row r="110" spans="3:3" ht="13.5" customHeight="1">
      <c r="C110" s="16"/>
    </row>
    <row r="111" spans="3:3" ht="13.5" customHeight="1">
      <c r="C111" s="16"/>
    </row>
    <row r="112" spans="3:3" ht="13.5" customHeight="1">
      <c r="C112" s="16"/>
    </row>
    <row r="113" spans="3:3" ht="13.5" customHeight="1">
      <c r="C113" s="16"/>
    </row>
    <row r="114" spans="3:3" ht="13.5" customHeight="1">
      <c r="C114" s="16"/>
    </row>
    <row r="115" spans="3:3" ht="13.5" customHeight="1">
      <c r="C115" s="16"/>
    </row>
    <row r="116" spans="3:3" ht="13.5" customHeight="1">
      <c r="C116" s="16"/>
    </row>
    <row r="117" spans="3:3" ht="13.5" customHeight="1">
      <c r="C117" s="16"/>
    </row>
    <row r="118" spans="3:3" ht="13.5" customHeight="1">
      <c r="C118" s="16"/>
    </row>
    <row r="119" spans="3:3" ht="13.5" customHeight="1">
      <c r="C119" s="16"/>
    </row>
    <row r="120" spans="3:3" ht="13.5" customHeight="1">
      <c r="C120" s="16"/>
    </row>
    <row r="121" spans="3:3" ht="13.5" customHeight="1">
      <c r="C121" s="16"/>
    </row>
    <row r="122" spans="3:3" ht="13.5" customHeight="1">
      <c r="C122" s="16"/>
    </row>
    <row r="123" spans="3:3" ht="13.5" customHeight="1">
      <c r="C123" s="16"/>
    </row>
    <row r="124" spans="3:3" ht="13.5" customHeight="1">
      <c r="C124" s="16"/>
    </row>
    <row r="125" spans="3:3" ht="13.5" customHeight="1">
      <c r="C125" s="16"/>
    </row>
    <row r="126" spans="3:3" ht="13.5" customHeight="1">
      <c r="C126" s="16"/>
    </row>
    <row r="127" spans="3:3" ht="13.5" customHeight="1">
      <c r="C127" s="16"/>
    </row>
    <row r="128" spans="3:3" ht="13.5" customHeight="1">
      <c r="C128" s="16"/>
    </row>
    <row r="129" spans="3:3" ht="13.5" customHeight="1">
      <c r="C129" s="16"/>
    </row>
    <row r="130" spans="3:3" ht="13.5" customHeight="1">
      <c r="C130" s="16"/>
    </row>
    <row r="131" spans="3:3" ht="13.5" customHeight="1">
      <c r="C131" s="16"/>
    </row>
    <row r="132" spans="3:3" ht="13.5" customHeight="1">
      <c r="C132" s="16"/>
    </row>
    <row r="133" spans="3:3" ht="13.5" customHeight="1">
      <c r="C133" s="16"/>
    </row>
    <row r="134" spans="3:3" ht="13.5" customHeight="1">
      <c r="C134" s="16"/>
    </row>
    <row r="135" spans="3:3" ht="13.5" customHeight="1">
      <c r="C135" s="16"/>
    </row>
    <row r="136" spans="3:3" ht="13.5" customHeight="1">
      <c r="C136" s="16"/>
    </row>
    <row r="137" spans="3:3" ht="13.5" customHeight="1">
      <c r="C137" s="16"/>
    </row>
    <row r="138" spans="3:3" ht="13.5" customHeight="1">
      <c r="C138" s="16"/>
    </row>
    <row r="139" spans="3:3" ht="13.5" customHeight="1">
      <c r="C139" s="16"/>
    </row>
    <row r="140" spans="3:3" ht="13.5" customHeight="1">
      <c r="C140" s="16"/>
    </row>
    <row r="141" spans="3:3" ht="13.5" customHeight="1">
      <c r="C141" s="16"/>
    </row>
    <row r="142" spans="3:3" ht="13.5" customHeight="1">
      <c r="C142" s="16"/>
    </row>
    <row r="143" spans="3:3" ht="13.5" customHeight="1">
      <c r="C143" s="16"/>
    </row>
    <row r="144" spans="3:3" ht="13.5" customHeight="1">
      <c r="C144" s="16"/>
    </row>
    <row r="145" spans="3:3" ht="13.5" customHeight="1">
      <c r="C145" s="16"/>
    </row>
    <row r="146" spans="3:3" ht="13.5" customHeight="1">
      <c r="C146" s="16"/>
    </row>
    <row r="147" spans="3:3" ht="13.5" customHeight="1">
      <c r="C147" s="16"/>
    </row>
    <row r="148" spans="3:3" ht="13.5" customHeight="1">
      <c r="C148" s="16"/>
    </row>
    <row r="149" spans="3:3" ht="13.5" customHeight="1">
      <c r="C149" s="16"/>
    </row>
    <row r="150" spans="3:3" ht="13.5" customHeight="1">
      <c r="C150" s="16"/>
    </row>
    <row r="151" spans="3:3" ht="13.5" customHeight="1">
      <c r="C151" s="16"/>
    </row>
    <row r="152" spans="3:3" ht="13.5" customHeight="1">
      <c r="C152" s="16"/>
    </row>
    <row r="153" spans="3:3" ht="13.5" customHeight="1">
      <c r="C153" s="16"/>
    </row>
    <row r="154" spans="3:3" ht="13.5" customHeight="1">
      <c r="C154" s="16"/>
    </row>
    <row r="155" spans="3:3" ht="13.5" customHeight="1">
      <c r="C155" s="16"/>
    </row>
    <row r="156" spans="3:3" ht="13.5" customHeight="1">
      <c r="C156" s="16"/>
    </row>
    <row r="157" spans="3:3" ht="13.5" customHeight="1">
      <c r="C157" s="16"/>
    </row>
    <row r="158" spans="3:3" ht="13.5" customHeight="1">
      <c r="C158" s="16"/>
    </row>
    <row r="159" spans="3:3" ht="13.5" customHeight="1">
      <c r="C159" s="16"/>
    </row>
    <row r="160" spans="3:3" ht="13.5" customHeight="1">
      <c r="C160" s="16"/>
    </row>
    <row r="161" spans="3:3" ht="13.5" customHeight="1">
      <c r="C161" s="16"/>
    </row>
    <row r="162" spans="3:3" ht="13.5" customHeight="1">
      <c r="C162" s="16"/>
    </row>
    <row r="163" spans="3:3" ht="13.5" customHeight="1">
      <c r="C163" s="16"/>
    </row>
    <row r="164" spans="3:3" ht="13.5" customHeight="1">
      <c r="C164" s="16"/>
    </row>
    <row r="165" spans="3:3" ht="13.5" customHeight="1">
      <c r="C165" s="16"/>
    </row>
    <row r="166" spans="3:3" ht="13.5" customHeight="1">
      <c r="C166" s="16"/>
    </row>
    <row r="167" spans="3:3" ht="13.5" customHeight="1">
      <c r="C167" s="16"/>
    </row>
    <row r="168" spans="3:3" ht="13.5" customHeight="1">
      <c r="C168" s="16"/>
    </row>
    <row r="169" spans="3:3" ht="13.5" customHeight="1">
      <c r="C169" s="16"/>
    </row>
    <row r="170" spans="3:3" ht="13.5" customHeight="1">
      <c r="C170" s="16"/>
    </row>
    <row r="171" spans="3:3" ht="13.5" customHeight="1">
      <c r="C171" s="16"/>
    </row>
    <row r="172" spans="3:3" ht="13.5" customHeight="1">
      <c r="C172" s="16"/>
    </row>
    <row r="173" spans="3:3" ht="13.5" customHeight="1">
      <c r="C173" s="16"/>
    </row>
    <row r="174" spans="3:3" ht="13.5" customHeight="1">
      <c r="C174" s="16"/>
    </row>
    <row r="175" spans="3:3" ht="13.5" customHeight="1">
      <c r="C175" s="16"/>
    </row>
    <row r="176" spans="3:3" ht="13.5" customHeight="1">
      <c r="C176" s="16"/>
    </row>
    <row r="177" spans="3:3" ht="13.5" customHeight="1">
      <c r="C177" s="16"/>
    </row>
    <row r="178" spans="3:3" ht="13.5" customHeight="1">
      <c r="C178" s="16"/>
    </row>
    <row r="179" spans="3:3" ht="13.5" customHeight="1">
      <c r="C179" s="16"/>
    </row>
    <row r="180" spans="3:3" ht="13.5" customHeight="1">
      <c r="C180" s="16"/>
    </row>
    <row r="181" spans="3:3" ht="13.5" customHeight="1">
      <c r="C181" s="16"/>
    </row>
    <row r="182" spans="3:3" ht="13.5" customHeight="1">
      <c r="C182" s="16"/>
    </row>
    <row r="183" spans="3:3" ht="13.5" customHeight="1">
      <c r="C183" s="16"/>
    </row>
    <row r="184" spans="3:3" ht="13.5" customHeight="1">
      <c r="C184" s="16"/>
    </row>
    <row r="185" spans="3:3" ht="13.5" customHeight="1">
      <c r="C185" s="16"/>
    </row>
    <row r="186" spans="3:3" ht="13.5" customHeight="1">
      <c r="C186" s="16"/>
    </row>
    <row r="187" spans="3:3" ht="13.5" customHeight="1">
      <c r="C187" s="16"/>
    </row>
    <row r="188" spans="3:3" ht="13.5" customHeight="1">
      <c r="C188" s="16"/>
    </row>
    <row r="189" spans="3:3" ht="13.5" customHeight="1">
      <c r="C189" s="16"/>
    </row>
    <row r="190" spans="3:3" ht="13.5" customHeight="1">
      <c r="C190" s="16"/>
    </row>
    <row r="191" spans="3:3" ht="13.5" customHeight="1">
      <c r="C191" s="16"/>
    </row>
    <row r="192" spans="3:3" ht="13.5" customHeight="1">
      <c r="C192" s="16"/>
    </row>
    <row r="193" spans="3:3" ht="13.5" customHeight="1">
      <c r="C193" s="16"/>
    </row>
    <row r="194" spans="3:3" ht="13.5" customHeight="1">
      <c r="C194" s="16"/>
    </row>
    <row r="195" spans="3:3" ht="13.5" customHeight="1">
      <c r="C195" s="16"/>
    </row>
    <row r="196" spans="3:3" ht="13.5" customHeight="1">
      <c r="C196" s="16"/>
    </row>
    <row r="197" spans="3:3" ht="13.5" customHeight="1">
      <c r="C197" s="16"/>
    </row>
    <row r="198" spans="3:3" ht="13.5" customHeight="1">
      <c r="C198" s="16"/>
    </row>
    <row r="199" spans="3:3" ht="13.5" customHeight="1">
      <c r="C199" s="16"/>
    </row>
    <row r="200" spans="3:3" ht="13.5" customHeight="1">
      <c r="C200" s="16"/>
    </row>
    <row r="201" spans="3:3" ht="13.5" customHeight="1">
      <c r="C201" s="16"/>
    </row>
    <row r="202" spans="3:3" ht="13.5" customHeight="1">
      <c r="C202" s="16"/>
    </row>
    <row r="203" spans="3:3" ht="13.5" customHeight="1">
      <c r="C203" s="16"/>
    </row>
    <row r="204" spans="3:3" ht="13.5" customHeight="1">
      <c r="C204" s="16"/>
    </row>
    <row r="205" spans="3:3" ht="13.5" customHeight="1">
      <c r="C205" s="16"/>
    </row>
    <row r="206" spans="3:3" ht="13.5" customHeight="1">
      <c r="C206" s="16"/>
    </row>
    <row r="207" spans="3:3" ht="13.5" customHeight="1">
      <c r="C207" s="16"/>
    </row>
    <row r="208" spans="3:3" ht="13.5" customHeight="1">
      <c r="C208" s="16"/>
    </row>
    <row r="209" spans="3:3" ht="13.5" customHeight="1">
      <c r="C209" s="16"/>
    </row>
    <row r="210" spans="3:3" ht="13.5" customHeight="1">
      <c r="C210" s="16"/>
    </row>
    <row r="211" spans="3:3" ht="13.5" customHeight="1">
      <c r="C211" s="16"/>
    </row>
    <row r="212" spans="3:3" ht="13.5" customHeight="1">
      <c r="C212" s="16"/>
    </row>
    <row r="213" spans="3:3" ht="13.5" customHeight="1">
      <c r="C213" s="16"/>
    </row>
    <row r="214" spans="3:3" ht="13.5" customHeight="1">
      <c r="C214" s="16"/>
    </row>
    <row r="215" spans="3:3" ht="13.5" customHeight="1">
      <c r="C215" s="16"/>
    </row>
    <row r="216" spans="3:3" ht="13.5" customHeight="1">
      <c r="C216" s="16"/>
    </row>
    <row r="217" spans="3:3" ht="13.5" customHeight="1">
      <c r="C217" s="16"/>
    </row>
    <row r="218" spans="3:3" ht="13.5" customHeight="1">
      <c r="C218" s="16"/>
    </row>
    <row r="219" spans="3:3" ht="13.5" customHeight="1">
      <c r="C219" s="16"/>
    </row>
    <row r="220" spans="3:3" ht="13.5" customHeight="1">
      <c r="C220" s="16"/>
    </row>
    <row r="221" spans="3:3" ht="13.5" customHeight="1">
      <c r="C221" s="16"/>
    </row>
    <row r="222" spans="3:3" ht="13.5" customHeight="1">
      <c r="C222" s="16"/>
    </row>
    <row r="223" spans="3:3" ht="13.5" customHeight="1">
      <c r="C223" s="16"/>
    </row>
    <row r="224" spans="3:3" ht="13.5" customHeight="1">
      <c r="C224" s="16"/>
    </row>
    <row r="225" spans="3:3" ht="13.5" customHeight="1">
      <c r="C225" s="16"/>
    </row>
    <row r="226" spans="3:3" ht="13.5" customHeight="1">
      <c r="C226" s="16"/>
    </row>
    <row r="227" spans="3:3" ht="13.5" customHeight="1">
      <c r="C227" s="16"/>
    </row>
    <row r="228" spans="3:3" ht="13.5" customHeight="1">
      <c r="C228" s="16"/>
    </row>
    <row r="229" spans="3:3" ht="13.5" customHeight="1">
      <c r="C229" s="16"/>
    </row>
    <row r="230" spans="3:3" ht="13.5" customHeight="1">
      <c r="C230" s="16"/>
    </row>
    <row r="231" spans="3:3" ht="13.5" customHeight="1">
      <c r="C231" s="16"/>
    </row>
    <row r="232" spans="3:3" ht="13.5" customHeight="1">
      <c r="C232" s="16"/>
    </row>
    <row r="233" spans="3:3" ht="13.5" customHeight="1">
      <c r="C233" s="16"/>
    </row>
    <row r="234" spans="3:3" ht="13.5" customHeight="1">
      <c r="C234" s="16"/>
    </row>
    <row r="235" spans="3:3" ht="13.5" customHeight="1">
      <c r="C235" s="16"/>
    </row>
    <row r="236" spans="3:3" ht="13.5" customHeight="1">
      <c r="C236" s="16"/>
    </row>
    <row r="237" spans="3:3" ht="13.5" customHeight="1">
      <c r="C237" s="16"/>
    </row>
    <row r="238" spans="3:3" ht="13.5" customHeight="1">
      <c r="C238" s="16"/>
    </row>
    <row r="239" spans="3:3" ht="13.5" customHeight="1">
      <c r="C239" s="16"/>
    </row>
    <row r="240" spans="3:3" ht="13.5" customHeight="1">
      <c r="C240" s="16"/>
    </row>
    <row r="241" spans="3:3" ht="13.5" customHeight="1">
      <c r="C241" s="16"/>
    </row>
    <row r="242" spans="3:3" ht="13.5" customHeight="1">
      <c r="C242" s="16"/>
    </row>
    <row r="243" spans="3:3" ht="13.5" customHeight="1">
      <c r="C243" s="16"/>
    </row>
    <row r="244" spans="3:3" ht="13.5" customHeight="1">
      <c r="C244" s="16"/>
    </row>
    <row r="245" spans="3:3" ht="13.5" customHeight="1">
      <c r="C245" s="16"/>
    </row>
    <row r="246" spans="3:3" ht="13.5" customHeight="1">
      <c r="C246" s="16"/>
    </row>
    <row r="247" spans="3:3" ht="13.5" customHeight="1">
      <c r="C247" s="16"/>
    </row>
    <row r="248" spans="3:3" ht="13.5" customHeight="1">
      <c r="C248" s="16"/>
    </row>
    <row r="249" spans="3:3" ht="13.5" customHeight="1">
      <c r="C249" s="16"/>
    </row>
    <row r="250" spans="3:3" ht="13.5" customHeight="1">
      <c r="C250" s="16"/>
    </row>
    <row r="251" spans="3:3" ht="13.5" customHeight="1">
      <c r="C251" s="16"/>
    </row>
    <row r="252" spans="3:3" ht="13.5" customHeight="1">
      <c r="C252" s="16"/>
    </row>
    <row r="253" spans="3:3" ht="13.5" customHeight="1">
      <c r="C253" s="16"/>
    </row>
    <row r="254" spans="3:3" ht="13.5" customHeight="1">
      <c r="C254" s="16"/>
    </row>
    <row r="255" spans="3:3" ht="13.5" customHeight="1">
      <c r="C255" s="16"/>
    </row>
    <row r="256" spans="3:3" ht="13.5" customHeight="1">
      <c r="C256" s="16"/>
    </row>
    <row r="257" spans="3:3" ht="13.5" customHeight="1">
      <c r="C257" s="16"/>
    </row>
    <row r="258" spans="3:3" ht="13.5" customHeight="1">
      <c r="C258" s="16"/>
    </row>
    <row r="259" spans="3:3" ht="13.5" customHeight="1">
      <c r="C259" s="16"/>
    </row>
    <row r="260" spans="3:3" ht="13.5" customHeight="1">
      <c r="C260" s="16"/>
    </row>
    <row r="261" spans="3:3" ht="13.5" customHeight="1">
      <c r="C261" s="16"/>
    </row>
    <row r="262" spans="3:3" ht="13.5" customHeight="1">
      <c r="C262" s="16"/>
    </row>
    <row r="263" spans="3:3" ht="13.5" customHeight="1">
      <c r="C263" s="16"/>
    </row>
    <row r="264" spans="3:3" ht="13.5" customHeight="1">
      <c r="C264" s="16"/>
    </row>
    <row r="265" spans="3:3" ht="13.5" customHeight="1">
      <c r="C265" s="16"/>
    </row>
    <row r="266" spans="3:3" ht="13.5" customHeight="1">
      <c r="C266" s="16"/>
    </row>
    <row r="267" spans="3:3" ht="13.5" customHeight="1">
      <c r="C267" s="16"/>
    </row>
    <row r="268" spans="3:3" ht="13.5" customHeight="1">
      <c r="C268" s="16"/>
    </row>
    <row r="269" spans="3:3" ht="13.5" customHeight="1">
      <c r="C269" s="16"/>
    </row>
    <row r="270" spans="3:3" ht="13.5" customHeight="1">
      <c r="C270" s="16"/>
    </row>
    <row r="271" spans="3:3" ht="13.5" customHeight="1">
      <c r="C271" s="16"/>
    </row>
    <row r="272" spans="3:3" ht="13.5" customHeight="1">
      <c r="C272" s="16"/>
    </row>
    <row r="273" spans="3:3" ht="13.5" customHeight="1">
      <c r="C273" s="16"/>
    </row>
    <row r="274" spans="3:3" ht="13.5" customHeight="1">
      <c r="C274" s="16"/>
    </row>
    <row r="275" spans="3:3" ht="15.75" customHeight="1"/>
    <row r="276" spans="3:3" ht="15.75" customHeight="1"/>
    <row r="277" spans="3:3" ht="15.75" customHeight="1"/>
    <row r="278" spans="3:3" ht="15.75" customHeight="1"/>
    <row r="279" spans="3:3" ht="15.75" customHeight="1"/>
    <row r="280" spans="3:3" ht="15.75" customHeight="1"/>
    <row r="281" spans="3:3" ht="15.75" customHeight="1"/>
    <row r="282" spans="3:3" ht="15.75" customHeight="1"/>
    <row r="283" spans="3:3" ht="15.75" customHeight="1"/>
    <row r="284" spans="3:3" ht="15.75" customHeight="1"/>
    <row r="285" spans="3:3" ht="15.75" customHeight="1"/>
    <row r="286" spans="3:3" ht="15.75" customHeight="1"/>
    <row r="287" spans="3:3" ht="15.75" customHeight="1"/>
    <row r="288" spans="3: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77" xr:uid="{00000000-0009-0000-0000-000009000000}">
    <filterColumn colId="0">
      <filters>
        <filter val="Samee"/>
      </filters>
    </filterColumn>
  </autoFilter>
  <mergeCells count="2">
    <mergeCell ref="B1:C1"/>
    <mergeCell ref="F6:H6"/>
  </mergeCell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L1000"/>
  <sheetViews>
    <sheetView workbookViewId="0">
      <pane xSplit="5" ySplit="1" topLeftCell="F122" activePane="bottomRight" state="frozen"/>
      <selection pane="topRight"/>
      <selection pane="bottomLeft"/>
      <selection pane="bottomRight" activeCell="A132" sqref="A132:XFD132"/>
    </sheetView>
  </sheetViews>
  <sheetFormatPr defaultColWidth="12.59765625" defaultRowHeight="15" customHeight="1"/>
  <cols>
    <col min="1" max="1" width="7.59765625" customWidth="1"/>
    <col min="2" max="2" width="15.5" customWidth="1"/>
    <col min="3" max="3" width="12.59765625" customWidth="1"/>
    <col min="4" max="5" width="7.59765625" customWidth="1"/>
    <col min="6" max="6" width="10.19921875" customWidth="1"/>
    <col min="7" max="7" width="9.69921875" customWidth="1"/>
    <col min="8" max="19" width="7.59765625" customWidth="1"/>
    <col min="20" max="20" width="21.69921875" customWidth="1"/>
    <col min="21" max="23" width="7.59765625" customWidth="1"/>
    <col min="24" max="24" width="11.69921875" customWidth="1"/>
    <col min="25" max="25" width="8.69921875" customWidth="1"/>
    <col min="26" max="26" width="7.59765625" customWidth="1"/>
    <col min="27" max="27" width="9.19921875" customWidth="1"/>
    <col min="28" max="28" width="11.19921875" customWidth="1"/>
    <col min="29" max="29" width="8.69921875" customWidth="1"/>
    <col min="30" max="30" width="10.69921875" customWidth="1"/>
    <col min="31" max="31" width="11.19921875" customWidth="1"/>
    <col min="32" max="32" width="9.19921875" customWidth="1"/>
    <col min="33" max="49" width="7.59765625" customWidth="1"/>
  </cols>
  <sheetData>
    <row r="1" spans="1:53" ht="47.25" customHeight="1">
      <c r="A1" s="30" t="s">
        <v>0</v>
      </c>
      <c r="B1" s="31" t="s">
        <v>1</v>
      </c>
      <c r="C1" s="31" t="s">
        <v>48</v>
      </c>
      <c r="D1" s="32" t="s">
        <v>2</v>
      </c>
      <c r="E1" s="31" t="s">
        <v>3</v>
      </c>
      <c r="F1" s="31" t="s">
        <v>4</v>
      </c>
      <c r="G1" s="32" t="s">
        <v>49</v>
      </c>
      <c r="H1" s="32" t="s">
        <v>50</v>
      </c>
      <c r="I1" s="32" t="s">
        <v>930</v>
      </c>
      <c r="J1" s="32" t="s">
        <v>931</v>
      </c>
      <c r="K1" s="32" t="s">
        <v>932</v>
      </c>
      <c r="L1" s="32" t="s">
        <v>933</v>
      </c>
      <c r="M1" s="32" t="s">
        <v>934</v>
      </c>
      <c r="N1" s="32" t="s">
        <v>8</v>
      </c>
      <c r="O1" s="32" t="s">
        <v>9</v>
      </c>
      <c r="P1" s="32" t="s">
        <v>12</v>
      </c>
      <c r="Q1" s="32" t="s">
        <v>13</v>
      </c>
      <c r="R1" s="32" t="s">
        <v>14</v>
      </c>
      <c r="S1" s="82" t="s">
        <v>58</v>
      </c>
      <c r="T1" s="82" t="s">
        <v>59</v>
      </c>
      <c r="U1" s="82" t="s">
        <v>15</v>
      </c>
      <c r="V1" s="82" t="s">
        <v>60</v>
      </c>
      <c r="W1" s="82" t="s">
        <v>61</v>
      </c>
      <c r="X1" s="31" t="s">
        <v>16</v>
      </c>
      <c r="Y1" s="92" t="s">
        <v>62</v>
      </c>
      <c r="Z1" s="92" t="s">
        <v>63</v>
      </c>
      <c r="AA1" s="92" t="s">
        <v>64</v>
      </c>
      <c r="AB1" s="92" t="s">
        <v>65</v>
      </c>
      <c r="AC1" s="92" t="s">
        <v>66</v>
      </c>
      <c r="AD1" s="92" t="s">
        <v>67</v>
      </c>
      <c r="AE1" s="92" t="s">
        <v>68</v>
      </c>
      <c r="AF1" s="92" t="s">
        <v>69</v>
      </c>
      <c r="AG1" s="92" t="s">
        <v>819</v>
      </c>
      <c r="AH1" s="92" t="s">
        <v>820</v>
      </c>
      <c r="AI1" s="94"/>
      <c r="AJ1" s="94"/>
      <c r="AK1" s="94"/>
      <c r="AL1" s="94"/>
      <c r="AM1" s="94"/>
      <c r="AN1" s="94"/>
      <c r="AO1" s="95"/>
      <c r="AP1" s="95"/>
      <c r="AQ1" s="95"/>
      <c r="AR1" s="95"/>
      <c r="AS1" s="95"/>
      <c r="AT1" s="95"/>
      <c r="AU1" s="95"/>
      <c r="AV1" s="95"/>
      <c r="AW1" s="95"/>
      <c r="AX1" s="112"/>
      <c r="AY1" s="112"/>
      <c r="AZ1" s="112"/>
      <c r="BA1" s="112"/>
    </row>
    <row r="2" spans="1:53" ht="14.4">
      <c r="A2" s="33">
        <v>1</v>
      </c>
      <c r="B2" s="34" t="s">
        <v>821</v>
      </c>
      <c r="C2" s="34" t="s">
        <v>72</v>
      </c>
      <c r="D2" s="35">
        <v>15000</v>
      </c>
      <c r="E2" s="36">
        <v>5000</v>
      </c>
      <c r="F2" s="37"/>
      <c r="G2" s="37"/>
      <c r="H2" s="36" t="s">
        <v>21</v>
      </c>
      <c r="I2" s="37" t="s">
        <v>30</v>
      </c>
      <c r="J2" s="37" t="s">
        <v>30</v>
      </c>
      <c r="K2" s="37" t="s">
        <v>30</v>
      </c>
      <c r="L2" s="37" t="s">
        <v>30</v>
      </c>
      <c r="M2" s="37" t="s">
        <v>30</v>
      </c>
      <c r="N2" s="37" t="s">
        <v>30</v>
      </c>
      <c r="O2" s="37" t="s">
        <v>30</v>
      </c>
      <c r="P2" s="37">
        <v>0</v>
      </c>
      <c r="Q2" s="37">
        <v>2000</v>
      </c>
      <c r="R2" s="37">
        <v>3000</v>
      </c>
      <c r="S2" s="37">
        <v>3500</v>
      </c>
      <c r="T2" s="37">
        <v>0</v>
      </c>
      <c r="U2" s="36">
        <f t="shared" ref="U2:V2" si="0">SUM(I2:T2)</f>
        <v>8500</v>
      </c>
      <c r="V2" s="36">
        <f t="shared" si="0"/>
        <v>17000</v>
      </c>
      <c r="W2" s="36">
        <f t="shared" ref="W2:W4" si="1">U2+V2</f>
        <v>25500</v>
      </c>
      <c r="X2" s="36">
        <f t="shared" ref="X2:X4" si="2">D2*2</f>
        <v>30000</v>
      </c>
      <c r="Y2" s="36">
        <f t="shared" ref="Y2:Y4" si="3">X2-W2</f>
        <v>4500</v>
      </c>
      <c r="Z2" s="36"/>
      <c r="AA2" s="37"/>
      <c r="AB2" s="36">
        <v>0</v>
      </c>
      <c r="AC2" s="36">
        <v>0</v>
      </c>
      <c r="AD2" s="36"/>
      <c r="AE2" s="36">
        <f t="shared" ref="AE2:AE3" si="4">Q2</f>
        <v>2000</v>
      </c>
      <c r="AF2" s="36"/>
      <c r="AG2" s="36"/>
      <c r="AH2" s="36"/>
      <c r="AI2" s="36">
        <f t="shared" ref="AI2:AI3" si="5">SUM(AA2:AH2)</f>
        <v>2000</v>
      </c>
      <c r="AJ2" s="36">
        <f t="shared" ref="AJ2:AJ3" si="6">Y2+AI2</f>
        <v>6500</v>
      </c>
      <c r="AK2" s="36"/>
      <c r="AL2" s="36"/>
      <c r="AM2" s="36"/>
      <c r="AN2" s="36"/>
      <c r="AO2" s="96"/>
      <c r="AP2" s="96"/>
      <c r="AQ2" s="96"/>
      <c r="AR2" s="96"/>
      <c r="AS2" s="96"/>
      <c r="AT2" s="96"/>
      <c r="AU2" s="96"/>
      <c r="AV2" s="96"/>
      <c r="AW2" s="96"/>
    </row>
    <row r="3" spans="1:53" ht="14.4">
      <c r="A3" s="33">
        <v>2</v>
      </c>
      <c r="B3" s="36" t="s">
        <v>822</v>
      </c>
      <c r="C3" s="36" t="s">
        <v>72</v>
      </c>
      <c r="D3" s="36">
        <v>20000</v>
      </c>
      <c r="E3" s="36">
        <v>5000</v>
      </c>
      <c r="F3" s="37"/>
      <c r="G3" s="37"/>
      <c r="H3" s="36" t="s">
        <v>21</v>
      </c>
      <c r="I3" s="37" t="s">
        <v>30</v>
      </c>
      <c r="J3" s="37" t="s">
        <v>30</v>
      </c>
      <c r="K3" s="37" t="s">
        <v>30</v>
      </c>
      <c r="L3" s="37" t="s">
        <v>30</v>
      </c>
      <c r="M3" s="37" t="s">
        <v>30</v>
      </c>
      <c r="N3" s="37" t="s">
        <v>30</v>
      </c>
      <c r="O3" s="37" t="s">
        <v>30</v>
      </c>
      <c r="P3" s="37" t="s">
        <v>30</v>
      </c>
      <c r="Q3" s="37">
        <v>4000</v>
      </c>
      <c r="R3" s="37">
        <v>3500</v>
      </c>
      <c r="S3" s="37">
        <v>0</v>
      </c>
      <c r="T3" s="37">
        <v>0</v>
      </c>
      <c r="U3" s="36">
        <f t="shared" ref="U3:U4" si="7">SUM(I3:T3)</f>
        <v>7500</v>
      </c>
      <c r="V3" s="36">
        <v>0</v>
      </c>
      <c r="W3" s="36">
        <f t="shared" si="1"/>
        <v>7500</v>
      </c>
      <c r="X3" s="36">
        <f t="shared" si="2"/>
        <v>40000</v>
      </c>
      <c r="Y3" s="36">
        <f t="shared" si="3"/>
        <v>32500</v>
      </c>
      <c r="Z3" s="36"/>
      <c r="AA3" s="37"/>
      <c r="AB3" s="36">
        <v>0</v>
      </c>
      <c r="AC3" s="36">
        <v>0</v>
      </c>
      <c r="AD3" s="36"/>
      <c r="AE3" s="36">
        <f t="shared" si="4"/>
        <v>4000</v>
      </c>
      <c r="AF3" s="36"/>
      <c r="AG3" s="36"/>
      <c r="AH3" s="36"/>
      <c r="AI3" s="36">
        <f t="shared" si="5"/>
        <v>4000</v>
      </c>
      <c r="AJ3" s="36">
        <f t="shared" si="6"/>
        <v>36500</v>
      </c>
      <c r="AK3" s="36"/>
      <c r="AL3" s="36"/>
      <c r="AM3" s="36"/>
      <c r="AN3" s="36"/>
      <c r="AO3" s="96"/>
      <c r="AP3" s="96"/>
      <c r="AQ3" s="96"/>
      <c r="AR3" s="96"/>
      <c r="AS3" s="96"/>
      <c r="AT3" s="96"/>
      <c r="AU3" s="96"/>
      <c r="AV3" s="96"/>
      <c r="AW3" s="96"/>
    </row>
    <row r="4" spans="1:53" ht="14.4">
      <c r="A4" s="33">
        <v>3</v>
      </c>
      <c r="B4" s="34" t="s">
        <v>823</v>
      </c>
      <c r="C4" s="34" t="s">
        <v>93</v>
      </c>
      <c r="D4" s="37">
        <v>6000</v>
      </c>
      <c r="E4" s="36">
        <v>4000</v>
      </c>
      <c r="F4" s="37"/>
      <c r="G4" s="37"/>
      <c r="H4" s="36" t="s">
        <v>21</v>
      </c>
      <c r="I4" s="37" t="s">
        <v>30</v>
      </c>
      <c r="J4" s="37" t="s">
        <v>30</v>
      </c>
      <c r="K4" s="37" t="s">
        <v>30</v>
      </c>
      <c r="L4" s="37" t="s">
        <v>30</v>
      </c>
      <c r="M4" s="37" t="s">
        <v>30</v>
      </c>
      <c r="N4" s="37" t="s">
        <v>30</v>
      </c>
      <c r="O4" s="37" t="s">
        <v>30</v>
      </c>
      <c r="P4" s="37" t="s">
        <v>30</v>
      </c>
      <c r="Q4" s="37" t="s">
        <v>30</v>
      </c>
      <c r="R4" s="37">
        <v>2000</v>
      </c>
      <c r="S4" s="37">
        <v>4000</v>
      </c>
      <c r="T4" s="37">
        <v>0</v>
      </c>
      <c r="U4" s="36">
        <f t="shared" si="7"/>
        <v>6000</v>
      </c>
      <c r="V4" s="36">
        <v>0</v>
      </c>
      <c r="W4" s="36">
        <f t="shared" si="1"/>
        <v>6000</v>
      </c>
      <c r="X4" s="36">
        <f t="shared" si="2"/>
        <v>12000</v>
      </c>
      <c r="Y4" s="36">
        <f t="shared" si="3"/>
        <v>6000</v>
      </c>
      <c r="Z4" s="37"/>
      <c r="AA4" s="37"/>
      <c r="AB4" s="36">
        <v>0</v>
      </c>
      <c r="AC4" s="36">
        <v>0</v>
      </c>
      <c r="AD4" s="37"/>
      <c r="AE4" s="36"/>
      <c r="AF4" s="37"/>
      <c r="AG4" s="36"/>
      <c r="AH4" s="36"/>
      <c r="AI4" s="36"/>
      <c r="AJ4" s="36"/>
      <c r="AK4" s="36"/>
      <c r="AL4" s="36"/>
      <c r="AM4" s="36"/>
      <c r="AN4" s="36"/>
      <c r="AO4" s="96"/>
      <c r="AP4" s="96"/>
      <c r="AQ4" s="96"/>
      <c r="AR4" s="96"/>
      <c r="AS4" s="96"/>
      <c r="AT4" s="96"/>
      <c r="AU4" s="96"/>
      <c r="AV4" s="96"/>
      <c r="AW4" s="96"/>
    </row>
    <row r="5" spans="1:53" ht="14.4">
      <c r="A5" s="33">
        <v>4</v>
      </c>
      <c r="B5" s="38" t="s">
        <v>824</v>
      </c>
      <c r="C5" s="39" t="s">
        <v>86</v>
      </c>
      <c r="D5" s="40">
        <v>6000</v>
      </c>
      <c r="E5" s="40">
        <v>6000</v>
      </c>
      <c r="F5" s="40" t="s">
        <v>21</v>
      </c>
      <c r="G5" s="41" t="s">
        <v>30</v>
      </c>
      <c r="H5" s="41" t="s">
        <v>30</v>
      </c>
      <c r="I5" s="41" t="s">
        <v>30</v>
      </c>
      <c r="J5" s="41" t="s">
        <v>30</v>
      </c>
      <c r="K5" s="41" t="s">
        <v>30</v>
      </c>
      <c r="L5" s="41" t="s">
        <v>30</v>
      </c>
      <c r="M5" s="41" t="s">
        <v>30</v>
      </c>
      <c r="N5" s="41" t="s">
        <v>30</v>
      </c>
      <c r="O5" s="41">
        <v>3000</v>
      </c>
      <c r="P5" s="41">
        <v>6000</v>
      </c>
      <c r="Q5" s="41">
        <v>6000</v>
      </c>
      <c r="R5" s="41">
        <v>6000</v>
      </c>
      <c r="S5" s="40">
        <f t="shared" ref="S5:S15" si="8">SUM(G5:R5)</f>
        <v>21000</v>
      </c>
      <c r="T5" s="40">
        <v>0</v>
      </c>
      <c r="U5" s="40">
        <f t="shared" ref="U5:U9" si="9">S5+T5</f>
        <v>21000</v>
      </c>
      <c r="V5" s="40">
        <f t="shared" ref="V5:V8" si="10">D5*2</f>
        <v>12000</v>
      </c>
      <c r="W5" s="40">
        <f t="shared" ref="W5:W8" si="11">V5-U5</f>
        <v>-9000</v>
      </c>
      <c r="X5" s="40"/>
      <c r="Y5" s="41"/>
      <c r="Z5" s="40">
        <v>0</v>
      </c>
      <c r="AA5" s="40">
        <v>0</v>
      </c>
      <c r="AB5" s="40"/>
      <c r="AC5" s="40">
        <f>O5</f>
        <v>3000</v>
      </c>
      <c r="AD5" s="40"/>
      <c r="AE5" s="40"/>
      <c r="AF5" s="40"/>
      <c r="AG5" s="40">
        <f>SUM(Y5:AF5)</f>
        <v>3000</v>
      </c>
      <c r="AH5" s="40">
        <f>W5+AG5</f>
        <v>-6000</v>
      </c>
      <c r="AI5" s="40"/>
      <c r="AJ5" s="40"/>
      <c r="AK5" s="36"/>
      <c r="AL5" s="36"/>
      <c r="AM5" s="36"/>
      <c r="AN5" s="36"/>
      <c r="AO5" s="96"/>
      <c r="AP5" s="96"/>
      <c r="AQ5" s="96"/>
      <c r="AR5" s="96"/>
      <c r="AS5" s="96"/>
      <c r="AT5" s="96"/>
      <c r="AU5" s="96"/>
      <c r="AV5" s="96"/>
      <c r="AW5" s="96"/>
    </row>
    <row r="6" spans="1:53" ht="14.4">
      <c r="A6" s="33">
        <v>5</v>
      </c>
      <c r="B6" s="34" t="s">
        <v>825</v>
      </c>
      <c r="C6" s="36" t="s">
        <v>74</v>
      </c>
      <c r="D6" s="37">
        <v>6000</v>
      </c>
      <c r="E6" s="36">
        <v>6000</v>
      </c>
      <c r="F6" s="36" t="s">
        <v>21</v>
      </c>
      <c r="G6" s="37" t="s">
        <v>30</v>
      </c>
      <c r="H6" s="37" t="s">
        <v>30</v>
      </c>
      <c r="I6" s="37" t="s">
        <v>30</v>
      </c>
      <c r="J6" s="37" t="s">
        <v>30</v>
      </c>
      <c r="K6" s="37" t="s">
        <v>30</v>
      </c>
      <c r="L6" s="37" t="s">
        <v>30</v>
      </c>
      <c r="M6" s="37" t="s">
        <v>30</v>
      </c>
      <c r="N6" s="37" t="s">
        <v>30</v>
      </c>
      <c r="O6" s="37" t="s">
        <v>30</v>
      </c>
      <c r="P6" s="37">
        <v>6000</v>
      </c>
      <c r="Q6" s="37">
        <v>6000</v>
      </c>
      <c r="R6" s="37">
        <v>6000</v>
      </c>
      <c r="S6" s="36">
        <f t="shared" si="8"/>
        <v>18000</v>
      </c>
      <c r="T6" s="36">
        <v>0</v>
      </c>
      <c r="U6" s="36">
        <f t="shared" si="9"/>
        <v>18000</v>
      </c>
      <c r="V6" s="36">
        <f t="shared" si="10"/>
        <v>12000</v>
      </c>
      <c r="W6" s="36">
        <f t="shared" si="11"/>
        <v>-6000</v>
      </c>
      <c r="X6" s="37"/>
      <c r="Y6" s="37"/>
      <c r="Z6" s="36">
        <v>0</v>
      </c>
      <c r="AA6" s="36">
        <v>0</v>
      </c>
      <c r="AB6" s="37"/>
      <c r="AC6" s="36"/>
      <c r="AD6" s="37"/>
      <c r="AE6" s="36"/>
      <c r="AF6" s="36"/>
      <c r="AG6" s="36"/>
      <c r="AH6" s="36"/>
      <c r="AI6" s="36"/>
      <c r="AJ6" s="36"/>
      <c r="AK6" s="36"/>
      <c r="AL6" s="36"/>
      <c r="AM6" s="36"/>
      <c r="AN6" s="36"/>
      <c r="AO6" s="96"/>
      <c r="AP6" s="96"/>
      <c r="AQ6" s="96"/>
      <c r="AR6" s="96"/>
      <c r="AS6" s="96"/>
      <c r="AT6" s="96"/>
      <c r="AU6" s="96"/>
      <c r="AV6" s="96"/>
      <c r="AW6" s="96"/>
    </row>
    <row r="7" spans="1:53" ht="14.4">
      <c r="A7" s="33">
        <v>6</v>
      </c>
      <c r="B7" s="34" t="s">
        <v>826</v>
      </c>
      <c r="C7" s="36" t="s">
        <v>72</v>
      </c>
      <c r="D7" s="37">
        <v>6000</v>
      </c>
      <c r="E7" s="36">
        <v>6000</v>
      </c>
      <c r="F7" s="36" t="s">
        <v>19</v>
      </c>
      <c r="G7" s="37" t="s">
        <v>30</v>
      </c>
      <c r="H7" s="37" t="s">
        <v>30</v>
      </c>
      <c r="I7" s="37" t="s">
        <v>30</v>
      </c>
      <c r="J7" s="37" t="s">
        <v>30</v>
      </c>
      <c r="K7" s="37" t="s">
        <v>30</v>
      </c>
      <c r="L7" s="37" t="s">
        <v>30</v>
      </c>
      <c r="M7" s="37" t="s">
        <v>30</v>
      </c>
      <c r="N7" s="37" t="s">
        <v>30</v>
      </c>
      <c r="O7" s="37">
        <v>2000</v>
      </c>
      <c r="P7" s="37">
        <v>0</v>
      </c>
      <c r="Q7" s="37">
        <v>0</v>
      </c>
      <c r="R7" s="37">
        <v>0</v>
      </c>
      <c r="S7" s="36">
        <f t="shared" si="8"/>
        <v>2000</v>
      </c>
      <c r="T7" s="36">
        <v>0</v>
      </c>
      <c r="U7" s="36">
        <f t="shared" si="9"/>
        <v>2000</v>
      </c>
      <c r="V7" s="36">
        <f t="shared" si="10"/>
        <v>12000</v>
      </c>
      <c r="W7" s="36">
        <f t="shared" si="11"/>
        <v>10000</v>
      </c>
      <c r="X7" s="37"/>
      <c r="Y7" s="37"/>
      <c r="Z7" s="36">
        <v>0</v>
      </c>
      <c r="AA7" s="36">
        <v>0</v>
      </c>
      <c r="AB7" s="37"/>
      <c r="AC7" s="36">
        <f t="shared" ref="AC7:AC8" si="12">O7</f>
        <v>2000</v>
      </c>
      <c r="AD7" s="37"/>
      <c r="AE7" s="36"/>
      <c r="AF7" s="36"/>
      <c r="AG7" s="36"/>
      <c r="AH7" s="36"/>
      <c r="AI7" s="36"/>
      <c r="AJ7" s="36"/>
      <c r="AK7" s="36"/>
      <c r="AL7" s="36"/>
      <c r="AM7" s="36"/>
      <c r="AN7" s="36"/>
      <c r="AO7" s="97"/>
      <c r="AP7" s="36"/>
      <c r="AQ7" s="36"/>
      <c r="AR7" s="36"/>
      <c r="AS7" s="36"/>
      <c r="AT7" s="36"/>
      <c r="AU7" s="36"/>
      <c r="AV7" s="36"/>
      <c r="AW7" s="36"/>
    </row>
    <row r="8" spans="1:53" ht="14.4">
      <c r="A8" s="33">
        <v>7</v>
      </c>
      <c r="B8" s="34" t="s">
        <v>827</v>
      </c>
      <c r="C8" s="34" t="s">
        <v>74</v>
      </c>
      <c r="D8" s="35">
        <v>6000</v>
      </c>
      <c r="E8" s="36">
        <v>0</v>
      </c>
      <c r="F8" s="36" t="s">
        <v>828</v>
      </c>
      <c r="G8" s="37" t="s">
        <v>30</v>
      </c>
      <c r="H8" s="37" t="s">
        <v>30</v>
      </c>
      <c r="I8" s="37" t="s">
        <v>30</v>
      </c>
      <c r="J8" s="37" t="s">
        <v>30</v>
      </c>
      <c r="K8" s="37" t="s">
        <v>30</v>
      </c>
      <c r="L8" s="37" t="s">
        <v>30</v>
      </c>
      <c r="M8" s="37">
        <f>0+2400</f>
        <v>2400</v>
      </c>
      <c r="N8" s="37">
        <v>3000</v>
      </c>
      <c r="O8" s="37">
        <v>3000</v>
      </c>
      <c r="P8" s="37">
        <v>3000</v>
      </c>
      <c r="Q8" s="37">
        <v>0</v>
      </c>
      <c r="R8" s="37">
        <v>0</v>
      </c>
      <c r="S8" s="36">
        <f t="shared" si="8"/>
        <v>11400</v>
      </c>
      <c r="T8" s="36">
        <v>0</v>
      </c>
      <c r="U8" s="36">
        <f t="shared" si="9"/>
        <v>11400</v>
      </c>
      <c r="V8" s="36">
        <f t="shared" si="10"/>
        <v>12000</v>
      </c>
      <c r="W8" s="36">
        <f t="shared" si="11"/>
        <v>600</v>
      </c>
      <c r="X8" s="36"/>
      <c r="Y8" s="37"/>
      <c r="Z8" s="36">
        <v>0</v>
      </c>
      <c r="AA8" s="36">
        <v>0</v>
      </c>
      <c r="AB8" s="36">
        <f>O8</f>
        <v>3000</v>
      </c>
      <c r="AC8" s="36">
        <f t="shared" si="12"/>
        <v>3000</v>
      </c>
      <c r="AD8" s="36">
        <f>P8</f>
        <v>3000</v>
      </c>
      <c r="AE8" s="36"/>
      <c r="AF8" s="36"/>
      <c r="AG8" s="36">
        <f>SUM(Y8:AF8)</f>
        <v>9000</v>
      </c>
      <c r="AH8" s="36">
        <f>W8+AG8</f>
        <v>9600</v>
      </c>
      <c r="AI8" s="36"/>
      <c r="AJ8" s="36"/>
      <c r="AK8" s="36"/>
      <c r="AL8" s="36"/>
      <c r="AM8" s="36"/>
      <c r="AN8" s="36"/>
      <c r="AO8" s="96"/>
      <c r="AP8" s="96"/>
      <c r="AQ8" s="96"/>
      <c r="AR8" s="96"/>
      <c r="AS8" s="96"/>
      <c r="AT8" s="96"/>
      <c r="AU8" s="96"/>
      <c r="AV8" s="96"/>
      <c r="AW8" s="96"/>
    </row>
    <row r="9" spans="1:53" ht="14.4">
      <c r="A9" s="33">
        <v>8</v>
      </c>
      <c r="B9" s="40" t="s">
        <v>99</v>
      </c>
      <c r="C9" s="40" t="s">
        <v>72</v>
      </c>
      <c r="D9" s="42">
        <v>6000</v>
      </c>
      <c r="E9" s="42">
        <v>4000</v>
      </c>
      <c r="F9" s="40" t="s">
        <v>21</v>
      </c>
      <c r="G9" s="40"/>
      <c r="H9" s="40"/>
      <c r="I9" s="40"/>
      <c r="J9" s="40"/>
      <c r="K9" s="40"/>
      <c r="L9" s="40"/>
      <c r="M9" s="40"/>
      <c r="N9" s="40"/>
      <c r="O9" s="40">
        <v>1000</v>
      </c>
      <c r="P9" s="40">
        <v>0</v>
      </c>
      <c r="Q9" s="40">
        <v>1500</v>
      </c>
      <c r="R9" s="40">
        <v>2000</v>
      </c>
      <c r="S9" s="40">
        <f t="shared" si="8"/>
        <v>4500</v>
      </c>
      <c r="T9" s="40">
        <v>0</v>
      </c>
      <c r="U9" s="40">
        <f t="shared" si="9"/>
        <v>4500</v>
      </c>
      <c r="V9" s="40"/>
      <c r="W9" s="40"/>
      <c r="X9" s="40"/>
      <c r="Y9" s="40"/>
      <c r="Z9" s="40"/>
      <c r="AA9" s="40"/>
      <c r="AB9" s="40"/>
      <c r="AC9" s="40"/>
      <c r="AD9" s="40"/>
      <c r="AE9" s="40"/>
      <c r="AF9" s="40"/>
      <c r="AG9" s="40"/>
      <c r="AH9" s="40"/>
      <c r="AI9" s="40"/>
      <c r="AJ9" s="36"/>
      <c r="AK9" s="36"/>
      <c r="AL9" s="36"/>
      <c r="AM9" s="36"/>
      <c r="AN9" s="36"/>
      <c r="AO9" s="96"/>
      <c r="AP9" s="96"/>
      <c r="AQ9" s="96"/>
      <c r="AR9" s="96"/>
      <c r="AS9" s="96"/>
      <c r="AT9" s="96"/>
      <c r="AU9" s="96"/>
      <c r="AV9" s="96"/>
      <c r="AW9" s="96"/>
    </row>
    <row r="10" spans="1:53" ht="14.4">
      <c r="A10" s="33">
        <v>9</v>
      </c>
      <c r="B10" s="40" t="s">
        <v>39</v>
      </c>
      <c r="C10" s="40" t="s">
        <v>131</v>
      </c>
      <c r="D10" s="41">
        <v>15000</v>
      </c>
      <c r="E10" s="40">
        <v>10000</v>
      </c>
      <c r="F10" s="40" t="s">
        <v>21</v>
      </c>
      <c r="G10" s="40"/>
      <c r="H10" s="40">
        <v>10000</v>
      </c>
      <c r="I10" s="40"/>
      <c r="J10" s="40"/>
      <c r="K10" s="40"/>
      <c r="L10" s="40"/>
      <c r="M10" s="40"/>
      <c r="N10" s="40"/>
      <c r="O10" s="40"/>
      <c r="P10" s="40"/>
      <c r="Q10" s="40"/>
      <c r="R10" s="40"/>
      <c r="S10" s="40">
        <f t="shared" si="8"/>
        <v>10000</v>
      </c>
      <c r="T10" s="40"/>
      <c r="U10" s="40"/>
      <c r="V10" s="40"/>
      <c r="W10" s="40"/>
      <c r="X10" s="40"/>
      <c r="Y10" s="40"/>
      <c r="Z10" s="40"/>
      <c r="AA10" s="40"/>
      <c r="AB10" s="40"/>
      <c r="AC10" s="40"/>
      <c r="AD10" s="40"/>
      <c r="AE10" s="40"/>
      <c r="AF10" s="40"/>
      <c r="AG10" s="40"/>
      <c r="AH10" s="40"/>
      <c r="AI10" s="40"/>
      <c r="AJ10" s="40"/>
      <c r="AK10" s="36"/>
      <c r="AL10" s="36"/>
      <c r="AM10" s="36"/>
      <c r="AN10" s="36"/>
      <c r="AO10" s="96"/>
      <c r="AP10" s="96"/>
      <c r="AQ10" s="96"/>
      <c r="AR10" s="96"/>
      <c r="AS10" s="96"/>
      <c r="AT10" s="96"/>
      <c r="AU10" s="96"/>
      <c r="AV10" s="96"/>
      <c r="AW10" s="96"/>
    </row>
    <row r="11" spans="1:53" ht="14.4">
      <c r="A11" s="33">
        <v>10</v>
      </c>
      <c r="B11" s="34" t="s">
        <v>100</v>
      </c>
      <c r="C11" s="36" t="s">
        <v>101</v>
      </c>
      <c r="D11" s="37">
        <v>6000</v>
      </c>
      <c r="E11" s="36">
        <v>6000</v>
      </c>
      <c r="F11" s="36" t="s">
        <v>21</v>
      </c>
      <c r="G11" s="36">
        <v>0</v>
      </c>
      <c r="H11" s="36">
        <v>4000</v>
      </c>
      <c r="I11" s="36"/>
      <c r="J11" s="36"/>
      <c r="K11" s="36"/>
      <c r="L11" s="36"/>
      <c r="M11" s="36"/>
      <c r="N11" s="36"/>
      <c r="O11" s="36"/>
      <c r="P11" s="36"/>
      <c r="Q11" s="36"/>
      <c r="R11" s="36"/>
      <c r="S11" s="37">
        <f t="shared" si="8"/>
        <v>4000</v>
      </c>
      <c r="T11" s="37">
        <f>'2020'!AH27</f>
        <v>-2000</v>
      </c>
      <c r="U11" s="37">
        <f t="shared" ref="U11:U12" si="13">S11+T11</f>
        <v>2000</v>
      </c>
      <c r="V11" s="37">
        <f>D11*2</f>
        <v>12000</v>
      </c>
      <c r="W11" s="36">
        <f t="shared" ref="W11:W12" si="14">T11+V11</f>
        <v>10000</v>
      </c>
      <c r="X11" s="36">
        <v>0</v>
      </c>
      <c r="Y11" s="36">
        <f>0</f>
        <v>0</v>
      </c>
      <c r="Z11" s="36"/>
      <c r="AA11" s="36"/>
      <c r="AB11" s="36"/>
      <c r="AC11" s="36"/>
      <c r="AD11" s="36"/>
      <c r="AE11" s="36"/>
      <c r="AF11" s="36"/>
      <c r="AG11" s="36"/>
      <c r="AH11" s="36"/>
      <c r="AI11" s="36"/>
      <c r="AJ11" s="36">
        <f t="shared" ref="AJ11:AJ12" si="15">SUM(X11:AI11)</f>
        <v>0</v>
      </c>
      <c r="AK11" s="36">
        <f t="shared" ref="AK11:AK12" si="16">U11-AJ11</f>
        <v>2000</v>
      </c>
      <c r="AL11" s="36"/>
      <c r="AM11" s="36"/>
      <c r="AN11" s="36"/>
      <c r="AO11" s="96"/>
      <c r="AP11" s="96"/>
      <c r="AQ11" s="96"/>
      <c r="AR11" s="96"/>
      <c r="AS11" s="96"/>
      <c r="AT11" s="96"/>
      <c r="AU11" s="96"/>
      <c r="AV11" s="96"/>
      <c r="AW11" s="96"/>
    </row>
    <row r="12" spans="1:53" ht="14.4">
      <c r="A12" s="33">
        <v>11</v>
      </c>
      <c r="B12" s="40" t="s">
        <v>89</v>
      </c>
      <c r="C12" s="40" t="s">
        <v>86</v>
      </c>
      <c r="D12" s="41">
        <v>6000</v>
      </c>
      <c r="E12" s="40">
        <v>10000</v>
      </c>
      <c r="F12" s="40" t="s">
        <v>21</v>
      </c>
      <c r="G12" s="40">
        <v>10000</v>
      </c>
      <c r="H12" s="40">
        <v>0</v>
      </c>
      <c r="I12" s="40"/>
      <c r="J12" s="40"/>
      <c r="K12" s="40"/>
      <c r="L12" s="40"/>
      <c r="M12" s="40"/>
      <c r="N12" s="40"/>
      <c r="O12" s="40"/>
      <c r="P12" s="40"/>
      <c r="Q12" s="40"/>
      <c r="R12" s="40"/>
      <c r="S12" s="41">
        <f t="shared" si="8"/>
        <v>10000</v>
      </c>
      <c r="T12" s="41"/>
      <c r="U12" s="41">
        <f t="shared" si="13"/>
        <v>10000</v>
      </c>
      <c r="V12" s="41">
        <v>0</v>
      </c>
      <c r="W12" s="40">
        <f t="shared" si="14"/>
        <v>0</v>
      </c>
      <c r="X12" s="40">
        <f>G12</f>
        <v>10000</v>
      </c>
      <c r="Y12" s="40">
        <v>0</v>
      </c>
      <c r="Z12" s="40"/>
      <c r="AA12" s="40"/>
      <c r="AB12" s="40"/>
      <c r="AC12" s="40"/>
      <c r="AD12" s="40"/>
      <c r="AE12" s="40"/>
      <c r="AF12" s="40"/>
      <c r="AG12" s="40"/>
      <c r="AH12" s="40"/>
      <c r="AI12" s="40"/>
      <c r="AJ12" s="36">
        <f t="shared" si="15"/>
        <v>10000</v>
      </c>
      <c r="AK12" s="36">
        <f t="shared" si="16"/>
        <v>0</v>
      </c>
      <c r="AL12" s="36"/>
      <c r="AM12" s="36"/>
      <c r="AN12" s="36"/>
      <c r="AO12" s="96"/>
      <c r="AP12" s="96"/>
      <c r="AQ12" s="96"/>
      <c r="AR12" s="96"/>
      <c r="AS12" s="96"/>
      <c r="AT12" s="96"/>
      <c r="AU12" s="96"/>
      <c r="AV12" s="96"/>
      <c r="AW12" s="96"/>
    </row>
    <row r="13" spans="1:53" ht="15.75" customHeight="1">
      <c r="A13" s="33">
        <v>12</v>
      </c>
      <c r="B13" s="34" t="s">
        <v>829</v>
      </c>
      <c r="C13" s="34" t="s">
        <v>74</v>
      </c>
      <c r="D13" s="35">
        <v>6000</v>
      </c>
      <c r="E13" s="36">
        <v>6000</v>
      </c>
      <c r="F13" s="36" t="s">
        <v>21</v>
      </c>
      <c r="G13" s="37">
        <v>6000</v>
      </c>
      <c r="H13" s="37">
        <v>3000</v>
      </c>
      <c r="I13" s="37">
        <v>0</v>
      </c>
      <c r="J13" s="37"/>
      <c r="K13" s="37"/>
      <c r="L13" s="37"/>
      <c r="M13" s="37"/>
      <c r="N13" s="37"/>
      <c r="O13" s="37"/>
      <c r="P13" s="37"/>
      <c r="Q13" s="37"/>
      <c r="R13" s="37"/>
      <c r="S13" s="37">
        <f t="shared" si="8"/>
        <v>9000</v>
      </c>
      <c r="T13" s="37"/>
      <c r="U13" s="37"/>
      <c r="V13" s="37"/>
      <c r="W13" s="36"/>
      <c r="X13" s="36"/>
      <c r="Y13" s="36"/>
      <c r="Z13" s="37">
        <v>0</v>
      </c>
      <c r="AA13" s="36">
        <v>0</v>
      </c>
      <c r="AB13" s="37"/>
      <c r="AC13" s="36"/>
      <c r="AD13" s="36"/>
      <c r="AE13" s="36"/>
      <c r="AF13" s="36"/>
      <c r="AG13" s="36"/>
      <c r="AH13" s="36"/>
      <c r="AI13" s="36"/>
      <c r="AJ13" s="36"/>
      <c r="AK13" s="36"/>
      <c r="AL13" s="36"/>
      <c r="AM13" s="36"/>
      <c r="AN13" s="36"/>
      <c r="AO13" s="96"/>
      <c r="AP13" s="96"/>
      <c r="AQ13" s="96"/>
      <c r="AR13" s="96"/>
      <c r="AS13" s="96"/>
      <c r="AT13" s="96"/>
      <c r="AU13" s="96"/>
      <c r="AV13" s="96"/>
      <c r="AW13" s="96"/>
    </row>
    <row r="14" spans="1:53" ht="14.4">
      <c r="A14" s="33">
        <v>13</v>
      </c>
      <c r="B14" s="36" t="s">
        <v>22</v>
      </c>
      <c r="C14" s="36" t="s">
        <v>72</v>
      </c>
      <c r="D14" s="37">
        <v>30000</v>
      </c>
      <c r="E14" s="36">
        <v>5000</v>
      </c>
      <c r="F14" s="36" t="s">
        <v>21</v>
      </c>
      <c r="G14" s="36">
        <v>5000</v>
      </c>
      <c r="H14" s="36">
        <v>5000</v>
      </c>
      <c r="I14" s="36">
        <v>5000</v>
      </c>
      <c r="J14" s="36">
        <v>5000</v>
      </c>
      <c r="K14" s="36">
        <v>10000</v>
      </c>
      <c r="L14" s="36"/>
      <c r="M14" s="36"/>
      <c r="N14" s="36"/>
      <c r="O14" s="36"/>
      <c r="P14" s="36"/>
      <c r="Q14" s="36"/>
      <c r="R14" s="36"/>
      <c r="S14" s="37">
        <f t="shared" si="8"/>
        <v>30000</v>
      </c>
      <c r="T14" s="37">
        <f>'2020'!AH14</f>
        <v>10000</v>
      </c>
      <c r="U14" s="37">
        <f t="shared" ref="U14:U15" si="17">S14+T14</f>
        <v>40000</v>
      </c>
      <c r="V14" s="37">
        <f t="shared" ref="V14:V15" si="18">D14*2</f>
        <v>60000</v>
      </c>
      <c r="W14" s="36">
        <f t="shared" ref="W14:W15" si="19">T14+V14</f>
        <v>70000</v>
      </c>
      <c r="X14" s="36"/>
      <c r="Y14" s="36">
        <f>G14</f>
        <v>5000</v>
      </c>
      <c r="Z14" s="36">
        <v>5000</v>
      </c>
      <c r="AA14" s="36">
        <f t="shared" ref="AA14:AB14" si="20">I14</f>
        <v>5000</v>
      </c>
      <c r="AB14" s="36">
        <f t="shared" si="20"/>
        <v>5000</v>
      </c>
      <c r="AC14" s="36"/>
      <c r="AD14" s="36"/>
      <c r="AE14" s="36"/>
      <c r="AF14" s="36"/>
      <c r="AG14" s="36"/>
      <c r="AH14" s="36"/>
      <c r="AI14" s="36"/>
      <c r="AJ14" s="36"/>
      <c r="AK14" s="36">
        <f t="shared" ref="AK14:AK15" si="21">SUM(Y14:AJ14)</f>
        <v>20000</v>
      </c>
      <c r="AL14" s="36">
        <f t="shared" ref="AL14:AL15" si="22">U14-AK14</f>
        <v>20000</v>
      </c>
      <c r="AM14" s="36">
        <f>'2019'!P4</f>
        <v>50000</v>
      </c>
      <c r="AN14" s="36">
        <f>'2020'!S3</f>
        <v>57500</v>
      </c>
      <c r="AO14" s="96">
        <f t="shared" ref="AO14:AO15" si="23">S14</f>
        <v>30000</v>
      </c>
      <c r="AP14" s="96">
        <f t="shared" ref="AP14:AP15" si="24">AM14+AN14+AO14</f>
        <v>137500</v>
      </c>
      <c r="AQ14" s="96">
        <f>SUM('2020'!K3:R3)</f>
        <v>37500</v>
      </c>
      <c r="AR14" s="96">
        <f>SUM(G14:Q14)</f>
        <v>30000</v>
      </c>
      <c r="AS14" s="96">
        <f t="shared" ref="AS14:AS15" si="25">AQ14+AR14</f>
        <v>67500</v>
      </c>
      <c r="AT14" s="96">
        <f t="shared" ref="AT14:AT15" si="26">AP14-AS14</f>
        <v>70000</v>
      </c>
      <c r="AU14" s="96"/>
      <c r="AV14" s="96"/>
      <c r="AW14" s="96"/>
    </row>
    <row r="15" spans="1:53" ht="14.4">
      <c r="A15" s="33">
        <v>14</v>
      </c>
      <c r="B15" s="36" t="s">
        <v>18</v>
      </c>
      <c r="C15" s="36" t="s">
        <v>72</v>
      </c>
      <c r="D15" s="37">
        <v>20000</v>
      </c>
      <c r="E15" s="36">
        <v>10000</v>
      </c>
      <c r="F15" s="36" t="s">
        <v>167</v>
      </c>
      <c r="G15" s="36">
        <v>8000</v>
      </c>
      <c r="H15" s="36">
        <v>6000</v>
      </c>
      <c r="I15" s="36">
        <v>7000</v>
      </c>
      <c r="J15" s="36">
        <v>7000</v>
      </c>
      <c r="K15" s="36">
        <v>10000</v>
      </c>
      <c r="L15" s="36"/>
      <c r="M15" s="36"/>
      <c r="N15" s="36"/>
      <c r="O15" s="36"/>
      <c r="P15" s="36"/>
      <c r="Q15" s="36"/>
      <c r="R15" s="36"/>
      <c r="S15" s="37">
        <f t="shared" si="8"/>
        <v>38000</v>
      </c>
      <c r="T15" s="37">
        <f>'2020'!AH23</f>
        <v>-10500</v>
      </c>
      <c r="U15" s="37">
        <f t="shared" si="17"/>
        <v>27500</v>
      </c>
      <c r="V15" s="37">
        <f t="shared" si="18"/>
        <v>40000</v>
      </c>
      <c r="W15" s="36">
        <f t="shared" si="19"/>
        <v>29500</v>
      </c>
      <c r="X15" s="36"/>
      <c r="Y15" s="36">
        <f>0</f>
        <v>0</v>
      </c>
      <c r="Z15" s="36">
        <f t="shared" ref="Z15:AB15" si="27">H15</f>
        <v>6000</v>
      </c>
      <c r="AA15" s="36">
        <f t="shared" si="27"/>
        <v>7000</v>
      </c>
      <c r="AB15" s="36">
        <f t="shared" si="27"/>
        <v>7000</v>
      </c>
      <c r="AC15" s="36"/>
      <c r="AD15" s="36"/>
      <c r="AE15" s="36"/>
      <c r="AF15" s="36"/>
      <c r="AG15" s="36"/>
      <c r="AH15" s="36"/>
      <c r="AI15" s="36"/>
      <c r="AJ15" s="36"/>
      <c r="AK15" s="36">
        <f t="shared" si="21"/>
        <v>20000</v>
      </c>
      <c r="AL15" s="36">
        <f t="shared" si="22"/>
        <v>7500</v>
      </c>
      <c r="AM15" s="36">
        <f>'2019'!P2</f>
        <v>42500</v>
      </c>
      <c r="AN15" s="36">
        <f>'2020'!S2</f>
        <v>49000</v>
      </c>
      <c r="AO15" s="96">
        <f t="shared" si="23"/>
        <v>38000</v>
      </c>
      <c r="AP15" s="96">
        <f t="shared" si="24"/>
        <v>129500</v>
      </c>
      <c r="AQ15" s="96">
        <f>SUM('2020'!K2:R2)</f>
        <v>30500</v>
      </c>
      <c r="AR15" s="96">
        <f>SUM(G15:R15)</f>
        <v>38000</v>
      </c>
      <c r="AS15" s="96">
        <f t="shared" si="25"/>
        <v>68500</v>
      </c>
      <c r="AT15" s="96">
        <f t="shared" si="26"/>
        <v>61000</v>
      </c>
      <c r="AU15" s="96"/>
      <c r="AV15" s="96"/>
      <c r="AW15" s="96"/>
    </row>
    <row r="16" spans="1:53" ht="14.4">
      <c r="A16" s="33">
        <v>15</v>
      </c>
      <c r="B16" s="40">
        <v>4500</v>
      </c>
      <c r="C16" s="36" t="s">
        <v>425</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98"/>
    </row>
    <row r="17" spans="1:49" ht="14.4">
      <c r="A17" s="33">
        <v>16</v>
      </c>
      <c r="B17" s="40">
        <v>21000</v>
      </c>
      <c r="C17" s="36" t="s">
        <v>425</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98"/>
    </row>
    <row r="18" spans="1:49" ht="14.4">
      <c r="A18" s="33">
        <v>17</v>
      </c>
      <c r="B18" s="43" t="s">
        <v>103</v>
      </c>
      <c r="C18" s="43" t="s">
        <v>72</v>
      </c>
      <c r="D18" s="44">
        <v>12000</v>
      </c>
      <c r="E18" s="45">
        <v>4000</v>
      </c>
      <c r="F18" s="45" t="s">
        <v>164</v>
      </c>
      <c r="G18" s="45">
        <v>2000</v>
      </c>
      <c r="H18" s="45">
        <v>0</v>
      </c>
      <c r="I18" s="45">
        <v>2000</v>
      </c>
      <c r="J18" s="44">
        <v>0</v>
      </c>
      <c r="K18" s="1179" t="s">
        <v>830</v>
      </c>
      <c r="L18" s="1177"/>
      <c r="M18" s="1177"/>
      <c r="N18" s="1177"/>
      <c r="O18" s="1177"/>
      <c r="P18" s="1177"/>
      <c r="Q18" s="1177"/>
      <c r="R18" s="1178"/>
      <c r="S18" s="44">
        <f t="shared" ref="S18:S21" si="28">SUM(G18:R18)</f>
        <v>4000</v>
      </c>
      <c r="T18" s="44">
        <v>0</v>
      </c>
      <c r="U18" s="44">
        <f t="shared" ref="U18:U21" si="29">S18+T18</f>
        <v>4000</v>
      </c>
      <c r="V18" s="44">
        <f t="shared" ref="V18:V22" si="30">D18*2</f>
        <v>24000</v>
      </c>
      <c r="W18" s="45">
        <f t="shared" ref="W18:W21" si="31">T18+V18</f>
        <v>24000</v>
      </c>
      <c r="X18" s="45"/>
      <c r="Y18" s="45">
        <v>0</v>
      </c>
      <c r="Z18" s="44">
        <v>0</v>
      </c>
      <c r="AA18" s="45">
        <v>0</v>
      </c>
      <c r="AB18" s="44">
        <v>0</v>
      </c>
      <c r="AC18" s="45"/>
      <c r="AD18" s="45"/>
      <c r="AE18" s="45"/>
      <c r="AF18" s="45"/>
      <c r="AG18" s="45"/>
      <c r="AH18" s="45"/>
      <c r="AI18" s="45"/>
      <c r="AJ18" s="45"/>
      <c r="AK18" s="45">
        <f t="shared" ref="AK18:AK21" si="32">SUM(Y18:AJ18)</f>
        <v>0</v>
      </c>
      <c r="AL18" s="45">
        <f t="shared" ref="AL18:AL21" si="33">U18-AK18</f>
        <v>4000</v>
      </c>
      <c r="AM18" s="45"/>
      <c r="AN18" s="45"/>
      <c r="AO18" s="99"/>
      <c r="AP18" s="99"/>
      <c r="AQ18" s="99"/>
      <c r="AR18" s="99"/>
      <c r="AS18" s="99"/>
      <c r="AT18" s="99"/>
      <c r="AU18" s="99"/>
      <c r="AV18" s="99"/>
      <c r="AW18" s="99"/>
    </row>
    <row r="19" spans="1:49" ht="14.4">
      <c r="A19" s="33">
        <v>18</v>
      </c>
      <c r="B19" s="34" t="s">
        <v>102</v>
      </c>
      <c r="C19" s="34" t="s">
        <v>82</v>
      </c>
      <c r="D19" s="37">
        <v>6000</v>
      </c>
      <c r="E19" s="36">
        <v>6000</v>
      </c>
      <c r="F19" s="36" t="s">
        <v>21</v>
      </c>
      <c r="G19" s="36">
        <v>6000</v>
      </c>
      <c r="H19" s="36">
        <v>6000</v>
      </c>
      <c r="I19" s="36">
        <v>6000</v>
      </c>
      <c r="J19" s="36">
        <v>0</v>
      </c>
      <c r="K19" s="36">
        <v>0</v>
      </c>
      <c r="L19" s="36">
        <v>0</v>
      </c>
      <c r="M19" s="36"/>
      <c r="N19" s="36"/>
      <c r="O19" s="36"/>
      <c r="P19" s="36"/>
      <c r="Q19" s="36"/>
      <c r="R19" s="36"/>
      <c r="S19" s="37">
        <f t="shared" si="28"/>
        <v>18000</v>
      </c>
      <c r="T19" s="37">
        <f>'2020'!AH2</f>
        <v>21000</v>
      </c>
      <c r="U19" s="37">
        <f t="shared" si="29"/>
        <v>39000</v>
      </c>
      <c r="V19" s="37">
        <f t="shared" si="30"/>
        <v>12000</v>
      </c>
      <c r="W19" s="36">
        <f t="shared" si="31"/>
        <v>33000</v>
      </c>
      <c r="X19" s="36"/>
      <c r="Y19" s="36">
        <f t="shared" ref="Y19:Z19" si="34">G19</f>
        <v>6000</v>
      </c>
      <c r="Z19" s="36">
        <f t="shared" si="34"/>
        <v>6000</v>
      </c>
      <c r="AA19" s="36"/>
      <c r="AB19" s="36">
        <f>I19</f>
        <v>6000</v>
      </c>
      <c r="AC19" s="36">
        <v>0</v>
      </c>
      <c r="AD19" s="36">
        <v>0</v>
      </c>
      <c r="AE19" s="36"/>
      <c r="AF19" s="36"/>
      <c r="AG19" s="36"/>
      <c r="AH19" s="36"/>
      <c r="AI19" s="36"/>
      <c r="AJ19" s="36"/>
      <c r="AK19" s="36">
        <f t="shared" si="32"/>
        <v>18000</v>
      </c>
      <c r="AL19" s="36">
        <f t="shared" si="33"/>
        <v>21000</v>
      </c>
      <c r="AM19" s="36"/>
      <c r="AN19" s="36"/>
      <c r="AO19" s="96"/>
      <c r="AP19" s="96"/>
      <c r="AQ19" s="96"/>
      <c r="AR19" s="96"/>
      <c r="AS19" s="96"/>
      <c r="AT19" s="96"/>
      <c r="AU19" s="96"/>
      <c r="AV19" s="96"/>
      <c r="AW19" s="96"/>
    </row>
    <row r="20" spans="1:49" ht="14.4">
      <c r="A20" s="33">
        <v>19</v>
      </c>
      <c r="B20" s="34" t="s">
        <v>20</v>
      </c>
      <c r="C20" s="34" t="s">
        <v>76</v>
      </c>
      <c r="D20" s="35">
        <v>17000</v>
      </c>
      <c r="E20" s="36">
        <v>10000</v>
      </c>
      <c r="F20" s="36" t="s">
        <v>21</v>
      </c>
      <c r="G20" s="36">
        <v>10000</v>
      </c>
      <c r="H20" s="36">
        <v>10000</v>
      </c>
      <c r="I20" s="36">
        <v>4000</v>
      </c>
      <c r="J20" s="36">
        <v>0</v>
      </c>
      <c r="K20" s="36">
        <v>0</v>
      </c>
      <c r="L20" s="36" t="s">
        <v>43</v>
      </c>
      <c r="M20" s="36"/>
      <c r="N20" s="36"/>
      <c r="O20" s="36"/>
      <c r="P20" s="36"/>
      <c r="Q20" s="36"/>
      <c r="R20" s="36"/>
      <c r="S20" s="37">
        <f t="shared" si="28"/>
        <v>24000</v>
      </c>
      <c r="T20" s="37">
        <f>'2020'!AH10</f>
        <v>-6000</v>
      </c>
      <c r="U20" s="37">
        <f t="shared" si="29"/>
        <v>18000</v>
      </c>
      <c r="V20" s="37">
        <f t="shared" si="30"/>
        <v>34000</v>
      </c>
      <c r="W20" s="36">
        <f t="shared" si="31"/>
        <v>28000</v>
      </c>
      <c r="X20" s="36"/>
      <c r="Y20" s="36">
        <f t="shared" ref="Y20:AB20" si="35">G20</f>
        <v>10000</v>
      </c>
      <c r="Z20" s="36">
        <f t="shared" si="35"/>
        <v>10000</v>
      </c>
      <c r="AA20" s="36">
        <f t="shared" si="35"/>
        <v>4000</v>
      </c>
      <c r="AB20" s="36">
        <f t="shared" si="35"/>
        <v>0</v>
      </c>
      <c r="AC20" s="36">
        <v>0</v>
      </c>
      <c r="AD20" s="36">
        <v>0</v>
      </c>
      <c r="AE20" s="36"/>
      <c r="AF20" s="36"/>
      <c r="AG20" s="36"/>
      <c r="AH20" s="36"/>
      <c r="AI20" s="36"/>
      <c r="AJ20" s="36"/>
      <c r="AK20" s="36">
        <f t="shared" si="32"/>
        <v>24000</v>
      </c>
      <c r="AL20" s="36">
        <f t="shared" si="33"/>
        <v>-6000</v>
      </c>
      <c r="AM20" s="36"/>
      <c r="AN20" s="36"/>
      <c r="AO20" s="96"/>
      <c r="AP20" s="96"/>
      <c r="AQ20" s="96"/>
      <c r="AR20" s="96"/>
      <c r="AS20" s="96"/>
      <c r="AT20" s="96"/>
      <c r="AU20" s="96"/>
      <c r="AV20" s="96"/>
      <c r="AW20" s="96"/>
    </row>
    <row r="21" spans="1:49" ht="15.75" customHeight="1">
      <c r="A21" s="33">
        <v>20</v>
      </c>
      <c r="B21" s="34" t="s">
        <v>831</v>
      </c>
      <c r="C21" s="34" t="s">
        <v>82</v>
      </c>
      <c r="D21" s="35">
        <v>6000</v>
      </c>
      <c r="E21" s="36">
        <v>6000</v>
      </c>
      <c r="F21" s="36" t="s">
        <v>21</v>
      </c>
      <c r="G21" s="37" t="s">
        <v>30</v>
      </c>
      <c r="H21" s="37" t="s">
        <v>30</v>
      </c>
      <c r="I21" s="37">
        <v>6000</v>
      </c>
      <c r="J21" s="36">
        <v>6000</v>
      </c>
      <c r="K21" s="36">
        <v>5000</v>
      </c>
      <c r="L21" s="36">
        <v>6000</v>
      </c>
      <c r="M21" s="36">
        <v>6000</v>
      </c>
      <c r="N21" s="36"/>
      <c r="O21" s="36"/>
      <c r="P21" s="36"/>
      <c r="Q21" s="36"/>
      <c r="R21" s="36"/>
      <c r="S21" s="37">
        <f t="shared" si="28"/>
        <v>29000</v>
      </c>
      <c r="T21" s="37"/>
      <c r="U21" s="37">
        <f t="shared" si="29"/>
        <v>29000</v>
      </c>
      <c r="V21" s="37">
        <f t="shared" si="30"/>
        <v>12000</v>
      </c>
      <c r="W21" s="36">
        <f t="shared" si="31"/>
        <v>12000</v>
      </c>
      <c r="X21" s="36"/>
      <c r="Y21" s="36" t="str">
        <f>G21</f>
        <v>NA</v>
      </c>
      <c r="Z21" s="36">
        <v>0</v>
      </c>
      <c r="AA21" s="36">
        <v>0</v>
      </c>
      <c r="AB21" s="36">
        <v>0</v>
      </c>
      <c r="AC21" s="36">
        <f t="shared" ref="AC21:AE21" si="36">K21</f>
        <v>5000</v>
      </c>
      <c r="AD21" s="36">
        <f t="shared" si="36"/>
        <v>6000</v>
      </c>
      <c r="AE21" s="36">
        <f t="shared" si="36"/>
        <v>6000</v>
      </c>
      <c r="AF21" s="36"/>
      <c r="AG21" s="36"/>
      <c r="AH21" s="36"/>
      <c r="AI21" s="36"/>
      <c r="AJ21" s="36"/>
      <c r="AK21" s="36">
        <f t="shared" si="32"/>
        <v>17000</v>
      </c>
      <c r="AL21" s="36">
        <f t="shared" si="33"/>
        <v>12000</v>
      </c>
      <c r="AM21" s="36"/>
      <c r="AN21" s="36"/>
      <c r="AO21" s="97"/>
      <c r="AP21" s="36"/>
      <c r="AQ21" s="36"/>
      <c r="AR21" s="36"/>
      <c r="AS21" s="36"/>
      <c r="AT21" s="36"/>
      <c r="AU21" s="36"/>
      <c r="AV21" s="97"/>
      <c r="AW21" s="36"/>
    </row>
    <row r="22" spans="1:49" ht="15.75" customHeight="1">
      <c r="A22" s="33">
        <v>21</v>
      </c>
      <c r="B22" s="34" t="s">
        <v>832</v>
      </c>
      <c r="C22" s="34" t="s">
        <v>72</v>
      </c>
      <c r="D22" s="35">
        <v>12000</v>
      </c>
      <c r="E22" s="35">
        <v>4000</v>
      </c>
      <c r="F22" s="36" t="s">
        <v>167</v>
      </c>
      <c r="G22" s="37" t="s">
        <v>30</v>
      </c>
      <c r="H22" s="37" t="s">
        <v>30</v>
      </c>
      <c r="I22" s="37" t="s">
        <v>30</v>
      </c>
      <c r="J22" s="37" t="s">
        <v>30</v>
      </c>
      <c r="K22" s="37" t="s">
        <v>30</v>
      </c>
      <c r="L22" s="37" t="s">
        <v>30</v>
      </c>
      <c r="M22" s="36">
        <v>3000</v>
      </c>
      <c r="N22" s="37"/>
      <c r="O22" s="37"/>
      <c r="P22" s="37"/>
      <c r="Q22" s="37"/>
      <c r="R22" s="37"/>
      <c r="S22" s="37"/>
      <c r="T22" s="37"/>
      <c r="U22" s="37"/>
      <c r="V22" s="37">
        <f t="shared" si="30"/>
        <v>24000</v>
      </c>
      <c r="W22" s="36"/>
      <c r="X22" s="36"/>
      <c r="Y22" s="36"/>
      <c r="Z22" s="37"/>
      <c r="AA22" s="36"/>
      <c r="AB22" s="37"/>
      <c r="AC22" s="36"/>
      <c r="AD22" s="36"/>
      <c r="AE22" s="36"/>
      <c r="AF22" s="36"/>
      <c r="AG22" s="36"/>
      <c r="AH22" s="36"/>
      <c r="AI22" s="36"/>
      <c r="AJ22" s="36"/>
      <c r="AK22" s="36"/>
      <c r="AL22" s="36"/>
      <c r="AM22" s="36"/>
      <c r="AN22" s="36"/>
      <c r="AO22" s="97"/>
      <c r="AP22" s="36"/>
      <c r="AQ22" s="36"/>
      <c r="AR22" s="36"/>
      <c r="AS22" s="36"/>
      <c r="AT22" s="36"/>
      <c r="AU22" s="36"/>
      <c r="AV22" s="96"/>
      <c r="AW22" s="96"/>
    </row>
    <row r="23" spans="1:49" ht="15.75" customHeight="1">
      <c r="A23" s="33">
        <v>22</v>
      </c>
      <c r="B23" s="5" t="s">
        <v>833</v>
      </c>
      <c r="C23" s="5" t="s">
        <v>72</v>
      </c>
      <c r="D23" s="46">
        <v>12000</v>
      </c>
      <c r="E23" s="46">
        <v>4000</v>
      </c>
      <c r="F23" s="47" t="s">
        <v>164</v>
      </c>
      <c r="G23" s="46" t="s">
        <v>30</v>
      </c>
      <c r="H23" s="46" t="s">
        <v>30</v>
      </c>
      <c r="I23" s="46">
        <v>4000</v>
      </c>
      <c r="J23" s="46">
        <v>3000</v>
      </c>
      <c r="K23" s="46">
        <v>4000</v>
      </c>
      <c r="L23" s="46">
        <v>4000</v>
      </c>
      <c r="M23" s="46">
        <v>3000</v>
      </c>
      <c r="N23" s="46">
        <v>4000</v>
      </c>
      <c r="O23" s="72">
        <f>E23/23*0</f>
        <v>0</v>
      </c>
      <c r="P23" s="46" t="s">
        <v>834</v>
      </c>
      <c r="Q23" s="46"/>
      <c r="R23" s="46"/>
      <c r="S23" s="46"/>
      <c r="T23" s="46"/>
      <c r="U23" s="46"/>
      <c r="V23" s="46">
        <v>24000</v>
      </c>
      <c r="W23" s="47"/>
      <c r="X23" s="47"/>
      <c r="Y23" s="47"/>
      <c r="Z23" s="46"/>
      <c r="AA23" s="46">
        <v>0</v>
      </c>
      <c r="AB23" s="46">
        <v>0</v>
      </c>
      <c r="AC23" s="47"/>
      <c r="AD23" s="46">
        <v>0</v>
      </c>
      <c r="AE23" s="46">
        <v>0</v>
      </c>
      <c r="AF23" s="46">
        <v>0</v>
      </c>
      <c r="AG23" s="47">
        <v>0</v>
      </c>
      <c r="AH23" s="47"/>
      <c r="AI23" s="47"/>
      <c r="AJ23" s="47"/>
      <c r="AK23" s="47"/>
      <c r="AL23" s="47"/>
      <c r="AM23" s="47"/>
      <c r="AN23" s="47"/>
      <c r="AO23" s="100"/>
      <c r="AP23" s="100"/>
      <c r="AQ23" s="100"/>
      <c r="AR23" s="100"/>
      <c r="AS23" s="100"/>
      <c r="AT23" s="101"/>
      <c r="AU23" s="101"/>
      <c r="AV23" s="101"/>
      <c r="AW23" s="101"/>
    </row>
    <row r="24" spans="1:49" ht="15.75" customHeight="1">
      <c r="A24" s="33">
        <v>23</v>
      </c>
      <c r="B24" s="5" t="s">
        <v>835</v>
      </c>
      <c r="C24" s="5" t="s">
        <v>72</v>
      </c>
      <c r="D24" s="6">
        <v>12000</v>
      </c>
      <c r="E24" s="6">
        <v>4000</v>
      </c>
      <c r="F24" s="47" t="s">
        <v>164</v>
      </c>
      <c r="G24" s="46" t="s">
        <v>30</v>
      </c>
      <c r="H24" s="46" t="s">
        <v>30</v>
      </c>
      <c r="I24" s="46" t="s">
        <v>30</v>
      </c>
      <c r="J24" s="46" t="s">
        <v>30</v>
      </c>
      <c r="K24" s="46" t="s">
        <v>30</v>
      </c>
      <c r="L24" s="46" t="s">
        <v>30</v>
      </c>
      <c r="M24" s="46">
        <v>3000</v>
      </c>
      <c r="N24" s="46">
        <v>3000</v>
      </c>
      <c r="O24" s="46">
        <v>4000</v>
      </c>
      <c r="P24" s="46">
        <v>0</v>
      </c>
      <c r="Q24" s="46"/>
      <c r="R24" s="46"/>
      <c r="S24" s="46"/>
      <c r="T24" s="46"/>
      <c r="U24" s="46"/>
      <c r="V24" s="46">
        <v>24000</v>
      </c>
      <c r="W24" s="47"/>
      <c r="X24" s="47"/>
      <c r="Y24" s="47"/>
      <c r="Z24" s="46"/>
      <c r="AA24" s="47"/>
      <c r="AB24" s="46"/>
      <c r="AC24" s="47"/>
      <c r="AD24" s="47"/>
      <c r="AE24" s="47"/>
      <c r="AF24" s="46">
        <v>0</v>
      </c>
      <c r="AG24" s="47">
        <v>0</v>
      </c>
      <c r="AH24" s="47">
        <v>0</v>
      </c>
      <c r="AI24" s="47"/>
      <c r="AJ24" s="47"/>
      <c r="AK24" s="47"/>
      <c r="AL24" s="47"/>
      <c r="AM24" s="47"/>
      <c r="AN24" s="47"/>
      <c r="AO24" s="100"/>
      <c r="AP24" s="100"/>
      <c r="AQ24" s="100"/>
      <c r="AR24" s="100"/>
      <c r="AS24" s="100"/>
      <c r="AT24" s="101"/>
      <c r="AU24" s="101"/>
      <c r="AV24" s="102"/>
      <c r="AW24" s="102"/>
    </row>
    <row r="25" spans="1:49" ht="15.75" customHeight="1">
      <c r="A25" s="33">
        <v>24</v>
      </c>
      <c r="B25" s="5" t="s">
        <v>836</v>
      </c>
      <c r="C25" s="5" t="s">
        <v>72</v>
      </c>
      <c r="D25" s="6">
        <v>12000</v>
      </c>
      <c r="E25" s="6">
        <v>4000</v>
      </c>
      <c r="F25" s="47" t="s">
        <v>164</v>
      </c>
      <c r="G25" s="46" t="s">
        <v>30</v>
      </c>
      <c r="H25" s="46" t="s">
        <v>30</v>
      </c>
      <c r="I25" s="46" t="s">
        <v>30</v>
      </c>
      <c r="J25" s="46" t="s">
        <v>30</v>
      </c>
      <c r="K25" s="46" t="s">
        <v>30</v>
      </c>
      <c r="L25" s="46" t="s">
        <v>30</v>
      </c>
      <c r="M25" s="46">
        <v>3000</v>
      </c>
      <c r="N25" s="46">
        <v>3000</v>
      </c>
      <c r="O25" s="46">
        <v>4000</v>
      </c>
      <c r="P25" s="46">
        <v>4000</v>
      </c>
      <c r="Q25" s="46"/>
      <c r="R25" s="46"/>
      <c r="S25" s="46"/>
      <c r="T25" s="46"/>
      <c r="U25" s="46"/>
      <c r="V25" s="46">
        <v>24000</v>
      </c>
      <c r="W25" s="47"/>
      <c r="X25" s="47"/>
      <c r="Y25" s="47"/>
      <c r="Z25" s="46"/>
      <c r="AA25" s="47"/>
      <c r="AB25" s="46"/>
      <c r="AC25" s="47"/>
      <c r="AD25" s="47"/>
      <c r="AE25" s="47"/>
      <c r="AF25" s="46">
        <v>0</v>
      </c>
      <c r="AG25" s="47">
        <v>0</v>
      </c>
      <c r="AH25" s="47">
        <v>0</v>
      </c>
      <c r="AI25" s="47"/>
      <c r="AJ25" s="47"/>
      <c r="AK25" s="47"/>
      <c r="AL25" s="47"/>
      <c r="AM25" s="47"/>
      <c r="AN25" s="47"/>
      <c r="AO25" s="100"/>
      <c r="AP25" s="100"/>
      <c r="AQ25" s="100"/>
      <c r="AR25" s="100"/>
      <c r="AS25" s="100"/>
      <c r="AT25" s="101"/>
      <c r="AU25" s="101"/>
      <c r="AV25" s="102"/>
      <c r="AW25" s="102"/>
    </row>
    <row r="26" spans="1:49" ht="15.75" customHeight="1">
      <c r="A26" s="33">
        <v>25</v>
      </c>
      <c r="B26" s="5" t="s">
        <v>837</v>
      </c>
      <c r="C26" s="5" t="s">
        <v>163</v>
      </c>
      <c r="D26" s="5">
        <v>25000</v>
      </c>
      <c r="E26" s="6">
        <v>5000</v>
      </c>
      <c r="F26" s="47" t="s">
        <v>164</v>
      </c>
      <c r="G26" s="46" t="s">
        <v>30</v>
      </c>
      <c r="H26" s="46" t="s">
        <v>30</v>
      </c>
      <c r="I26" s="46">
        <v>4000</v>
      </c>
      <c r="J26" s="46">
        <v>4000</v>
      </c>
      <c r="K26" s="46">
        <v>4000</v>
      </c>
      <c r="L26" s="46">
        <v>5000</v>
      </c>
      <c r="M26" s="46">
        <v>5000</v>
      </c>
      <c r="N26" s="46">
        <v>5000</v>
      </c>
      <c r="O26" s="46">
        <v>5000</v>
      </c>
      <c r="P26" s="46">
        <f>E26/20*0</f>
        <v>0</v>
      </c>
      <c r="Q26" s="46"/>
      <c r="R26" s="46"/>
      <c r="S26" s="46"/>
      <c r="T26" s="46"/>
      <c r="U26" s="46"/>
      <c r="V26" s="46">
        <v>50000</v>
      </c>
      <c r="W26" s="47"/>
      <c r="X26" s="47"/>
      <c r="Y26" s="47"/>
      <c r="Z26" s="46"/>
      <c r="AA26" s="46">
        <v>0</v>
      </c>
      <c r="AB26" s="46">
        <v>0</v>
      </c>
      <c r="AC26" s="47"/>
      <c r="AD26" s="46">
        <v>0</v>
      </c>
      <c r="AE26" s="46">
        <v>0</v>
      </c>
      <c r="AF26" s="46">
        <v>0</v>
      </c>
      <c r="AG26" s="47">
        <v>0</v>
      </c>
      <c r="AH26" s="47">
        <v>0</v>
      </c>
      <c r="AI26" s="47"/>
      <c r="AJ26" s="47"/>
      <c r="AK26" s="46">
        <v>0</v>
      </c>
      <c r="AL26" s="46">
        <v>0</v>
      </c>
      <c r="AM26" s="46">
        <v>0</v>
      </c>
      <c r="AN26" s="46">
        <v>0</v>
      </c>
      <c r="AO26" s="103">
        <v>0</v>
      </c>
      <c r="AP26" s="103">
        <v>0</v>
      </c>
      <c r="AQ26" s="100"/>
      <c r="AR26" s="100"/>
      <c r="AS26" s="103">
        <v>0</v>
      </c>
      <c r="AT26" s="104">
        <v>0</v>
      </c>
      <c r="AU26" s="101"/>
      <c r="AV26" s="102"/>
      <c r="AW26" s="102"/>
    </row>
    <row r="27" spans="1:49" ht="15.75" customHeight="1">
      <c r="A27" s="33">
        <v>26</v>
      </c>
      <c r="B27" s="48" t="s">
        <v>815</v>
      </c>
      <c r="C27" s="5" t="s">
        <v>74</v>
      </c>
      <c r="D27" s="6">
        <v>6000</v>
      </c>
      <c r="E27" s="6">
        <v>11250</v>
      </c>
      <c r="F27" s="47" t="s">
        <v>21</v>
      </c>
      <c r="G27" s="46" t="s">
        <v>30</v>
      </c>
      <c r="H27" s="46" t="s">
        <v>30</v>
      </c>
      <c r="I27" s="46" t="s">
        <v>30</v>
      </c>
      <c r="J27" s="46" t="s">
        <v>30</v>
      </c>
      <c r="K27" s="46" t="s">
        <v>30</v>
      </c>
      <c r="L27" s="46" t="s">
        <v>30</v>
      </c>
      <c r="M27" s="46" t="s">
        <v>30</v>
      </c>
      <c r="N27" s="46">
        <v>9062</v>
      </c>
      <c r="O27" s="46">
        <v>11250</v>
      </c>
      <c r="P27" s="46">
        <v>0</v>
      </c>
      <c r="Q27" s="46"/>
      <c r="R27" s="46"/>
      <c r="S27" s="46"/>
      <c r="T27" s="46"/>
      <c r="U27" s="46"/>
      <c r="V27" s="46"/>
      <c r="W27" s="47"/>
      <c r="X27" s="47"/>
      <c r="Y27" s="47"/>
      <c r="Z27" s="46"/>
      <c r="AA27" s="47"/>
      <c r="AB27" s="46"/>
      <c r="AC27" s="47"/>
      <c r="AD27" s="47"/>
      <c r="AE27" s="47"/>
      <c r="AF27" s="46">
        <v>9062</v>
      </c>
      <c r="AG27" s="47">
        <f t="shared" ref="AG27:AH27" si="37">O27</f>
        <v>11250</v>
      </c>
      <c r="AH27" s="47">
        <f t="shared" si="37"/>
        <v>0</v>
      </c>
      <c r="AI27" s="47"/>
      <c r="AJ27" s="47"/>
      <c r="AK27" s="47"/>
      <c r="AL27" s="47"/>
      <c r="AM27" s="47"/>
      <c r="AN27" s="47"/>
      <c r="AO27" s="100"/>
      <c r="AP27" s="100"/>
      <c r="AQ27" s="100"/>
      <c r="AR27" s="100"/>
      <c r="AS27" s="100"/>
      <c r="AT27" s="101"/>
      <c r="AU27" s="101"/>
      <c r="AV27" s="102"/>
      <c r="AW27" s="102"/>
    </row>
    <row r="28" spans="1:49" ht="15.75" customHeight="1">
      <c r="A28" s="33">
        <v>27</v>
      </c>
      <c r="B28" s="5" t="s">
        <v>73</v>
      </c>
      <c r="C28" s="5" t="s">
        <v>74</v>
      </c>
      <c r="D28" s="6">
        <v>25000</v>
      </c>
      <c r="E28" s="6">
        <v>10000</v>
      </c>
      <c r="F28" s="47" t="s">
        <v>21</v>
      </c>
      <c r="G28" s="46">
        <v>10000</v>
      </c>
      <c r="H28" s="46">
        <v>10000</v>
      </c>
      <c r="I28" s="46">
        <v>10000</v>
      </c>
      <c r="J28" s="46">
        <v>10000</v>
      </c>
      <c r="K28" s="46">
        <v>10000</v>
      </c>
      <c r="L28" s="46">
        <v>10000</v>
      </c>
      <c r="M28" s="46">
        <v>10000</v>
      </c>
      <c r="N28" s="46">
        <v>10000</v>
      </c>
      <c r="O28" s="46">
        <v>10000</v>
      </c>
      <c r="P28" s="46">
        <v>10000</v>
      </c>
      <c r="Q28" s="46"/>
      <c r="R28" s="46"/>
      <c r="S28" s="46">
        <v>90000</v>
      </c>
      <c r="T28" s="46">
        <v>0</v>
      </c>
      <c r="U28" s="46">
        <v>90000</v>
      </c>
      <c r="V28" s="46">
        <v>50000</v>
      </c>
      <c r="W28" s="47"/>
      <c r="X28" s="47"/>
      <c r="Y28" s="46">
        <v>10000</v>
      </c>
      <c r="Z28" s="46">
        <v>10000</v>
      </c>
      <c r="AA28" s="46">
        <v>10000</v>
      </c>
      <c r="AB28" s="46">
        <v>10000</v>
      </c>
      <c r="AC28" s="46">
        <v>10000</v>
      </c>
      <c r="AD28" s="46">
        <v>10000</v>
      </c>
      <c r="AE28" s="46">
        <v>10000</v>
      </c>
      <c r="AF28" s="46">
        <v>10000</v>
      </c>
      <c r="AG28" s="47">
        <f t="shared" ref="AG28:AH28" si="38">O28</f>
        <v>10000</v>
      </c>
      <c r="AH28" s="47">
        <f t="shared" si="38"/>
        <v>10000</v>
      </c>
      <c r="AI28" s="47"/>
      <c r="AJ28" s="47"/>
      <c r="AK28" s="47"/>
      <c r="AL28" s="47"/>
      <c r="AM28" s="47"/>
      <c r="AN28" s="47"/>
      <c r="AO28" s="100"/>
      <c r="AP28" s="100"/>
      <c r="AQ28" s="100"/>
      <c r="AR28" s="100"/>
      <c r="AS28" s="100"/>
      <c r="AT28" s="101"/>
      <c r="AU28" s="101"/>
      <c r="AV28" s="102"/>
      <c r="AW28" s="102"/>
    </row>
    <row r="29" spans="1:49" ht="15.75" customHeight="1">
      <c r="A29" s="33">
        <v>28</v>
      </c>
      <c r="B29" s="5" t="s">
        <v>83</v>
      </c>
      <c r="C29" s="5" t="s">
        <v>133</v>
      </c>
      <c r="D29" s="5">
        <v>25000</v>
      </c>
      <c r="E29" s="5">
        <v>10000</v>
      </c>
      <c r="F29" s="47" t="s">
        <v>21</v>
      </c>
      <c r="G29" s="46">
        <v>5000</v>
      </c>
      <c r="H29" s="46">
        <v>10000</v>
      </c>
      <c r="I29" s="46">
        <v>10000</v>
      </c>
      <c r="J29" s="46">
        <v>10000</v>
      </c>
      <c r="K29" s="46">
        <v>10000</v>
      </c>
      <c r="L29" s="46">
        <v>10000</v>
      </c>
      <c r="M29" s="46">
        <v>10000</v>
      </c>
      <c r="N29" s="46">
        <v>10000</v>
      </c>
      <c r="O29" s="46">
        <v>10000</v>
      </c>
      <c r="P29" s="47">
        <v>10000</v>
      </c>
      <c r="Q29" s="47"/>
      <c r="R29" s="47"/>
      <c r="S29" s="46">
        <v>85000</v>
      </c>
      <c r="T29" s="46">
        <v>0</v>
      </c>
      <c r="U29" s="46"/>
      <c r="V29" s="46">
        <v>50000</v>
      </c>
      <c r="W29" s="46">
        <v>50000</v>
      </c>
      <c r="X29" s="47"/>
      <c r="Y29" s="46">
        <v>5000</v>
      </c>
      <c r="Z29" s="46">
        <v>10000</v>
      </c>
      <c r="AA29" s="46">
        <v>10000</v>
      </c>
      <c r="AB29" s="46">
        <v>10000</v>
      </c>
      <c r="AC29" s="46">
        <v>10000</v>
      </c>
      <c r="AD29" s="46">
        <v>10000</v>
      </c>
      <c r="AE29" s="46">
        <v>10000</v>
      </c>
      <c r="AF29" s="46">
        <v>10000</v>
      </c>
      <c r="AG29" s="47">
        <f t="shared" ref="AG29:AH29" si="39">O29</f>
        <v>10000</v>
      </c>
      <c r="AH29" s="47">
        <f t="shared" si="39"/>
        <v>10000</v>
      </c>
      <c r="AI29" s="47"/>
      <c r="AJ29" s="47"/>
      <c r="AK29" s="46">
        <v>75000</v>
      </c>
      <c r="AL29" s="46">
        <v>-75000</v>
      </c>
      <c r="AM29" s="47"/>
      <c r="AN29" s="47"/>
      <c r="AO29" s="100"/>
      <c r="AP29" s="100"/>
      <c r="AQ29" s="100"/>
      <c r="AR29" s="100"/>
      <c r="AS29" s="100"/>
      <c r="AT29" s="101"/>
      <c r="AU29" s="101"/>
      <c r="AV29" s="101"/>
      <c r="AW29" s="101"/>
    </row>
    <row r="30" spans="1:49" ht="15.75" customHeight="1">
      <c r="A30" s="33">
        <v>29</v>
      </c>
      <c r="B30" s="5" t="s">
        <v>105</v>
      </c>
      <c r="C30" s="5" t="s">
        <v>72</v>
      </c>
      <c r="D30" s="6">
        <v>25000</v>
      </c>
      <c r="E30" s="6">
        <v>10000</v>
      </c>
      <c r="F30" s="47" t="s">
        <v>21</v>
      </c>
      <c r="G30" s="46">
        <v>2500</v>
      </c>
      <c r="H30" s="46">
        <v>4000</v>
      </c>
      <c r="I30" s="46">
        <v>4000</v>
      </c>
      <c r="J30" s="46">
        <v>10000</v>
      </c>
      <c r="K30" s="46">
        <v>10000</v>
      </c>
      <c r="L30" s="46">
        <v>10000</v>
      </c>
      <c r="M30" s="46">
        <v>10000</v>
      </c>
      <c r="N30" s="46">
        <v>10000</v>
      </c>
      <c r="O30" s="46">
        <v>10000</v>
      </c>
      <c r="P30" s="47" t="s">
        <v>43</v>
      </c>
      <c r="Q30" s="47"/>
      <c r="R30" s="47"/>
      <c r="S30" s="46">
        <v>70500</v>
      </c>
      <c r="T30" s="46">
        <v>0</v>
      </c>
      <c r="U30" s="46">
        <v>70500</v>
      </c>
      <c r="V30" s="46">
        <v>50000</v>
      </c>
      <c r="W30" s="46">
        <v>50000</v>
      </c>
      <c r="X30" s="47"/>
      <c r="Y30" s="47"/>
      <c r="Z30" s="46">
        <v>0</v>
      </c>
      <c r="AA30" s="46">
        <v>0</v>
      </c>
      <c r="AB30" s="46">
        <v>0</v>
      </c>
      <c r="AC30" s="46">
        <v>0</v>
      </c>
      <c r="AD30" s="46">
        <v>0</v>
      </c>
      <c r="AE30" s="47"/>
      <c r="AF30" s="46">
        <v>10000</v>
      </c>
      <c r="AG30" s="47">
        <f t="shared" ref="AG30:AG33" si="40">O30</f>
        <v>10000</v>
      </c>
      <c r="AH30" s="47">
        <v>0</v>
      </c>
      <c r="AI30" s="47"/>
      <c r="AJ30" s="47"/>
      <c r="AK30" s="47"/>
      <c r="AL30" s="47"/>
      <c r="AM30" s="47"/>
      <c r="AN30" s="47"/>
      <c r="AO30" s="100"/>
      <c r="AP30" s="100"/>
      <c r="AQ30" s="100"/>
      <c r="AR30" s="100"/>
      <c r="AS30" s="100"/>
      <c r="AT30" s="101"/>
      <c r="AU30" s="101"/>
      <c r="AV30" s="101"/>
      <c r="AW30" s="101"/>
    </row>
    <row r="31" spans="1:49" ht="15.75" customHeight="1">
      <c r="A31" s="33">
        <v>30</v>
      </c>
      <c r="B31" s="5" t="s">
        <v>25</v>
      </c>
      <c r="C31" s="5" t="s">
        <v>140</v>
      </c>
      <c r="D31" s="6">
        <v>20000</v>
      </c>
      <c r="E31" s="6">
        <v>25000</v>
      </c>
      <c r="F31" s="47" t="s">
        <v>21</v>
      </c>
      <c r="G31" s="46">
        <v>8000</v>
      </c>
      <c r="H31" s="46">
        <v>7000</v>
      </c>
      <c r="I31" s="46">
        <v>7000</v>
      </c>
      <c r="J31" s="46">
        <v>7000</v>
      </c>
      <c r="K31" s="46">
        <v>10000</v>
      </c>
      <c r="L31" s="46">
        <v>25000</v>
      </c>
      <c r="M31" s="46">
        <v>25000</v>
      </c>
      <c r="N31" s="46">
        <v>20000</v>
      </c>
      <c r="O31" s="73">
        <f>45000-'[4]Sep 21'!$H$80</f>
        <v>45000</v>
      </c>
      <c r="P31" s="47">
        <v>25000</v>
      </c>
      <c r="Q31" s="47"/>
      <c r="R31" s="47"/>
      <c r="S31" s="46">
        <v>154000</v>
      </c>
      <c r="T31" s="46">
        <v>0</v>
      </c>
      <c r="U31" s="46">
        <v>154000</v>
      </c>
      <c r="V31" s="46">
        <v>40000</v>
      </c>
      <c r="W31" s="46">
        <v>40000</v>
      </c>
      <c r="X31" s="47"/>
      <c r="Y31" s="46">
        <v>8000</v>
      </c>
      <c r="Z31" s="46">
        <v>7000</v>
      </c>
      <c r="AA31" s="46">
        <v>7000</v>
      </c>
      <c r="AB31" s="46">
        <v>7000</v>
      </c>
      <c r="AC31" s="46">
        <f>K31</f>
        <v>10000</v>
      </c>
      <c r="AD31" s="46">
        <v>15000</v>
      </c>
      <c r="AE31" s="46">
        <v>25000</v>
      </c>
      <c r="AF31" s="46">
        <v>20000</v>
      </c>
      <c r="AG31" s="77">
        <f t="shared" si="40"/>
        <v>45000</v>
      </c>
      <c r="AH31" s="47">
        <f t="shared" ref="AH31:AH33" si="41">P31</f>
        <v>25000</v>
      </c>
      <c r="AI31" s="47"/>
      <c r="AJ31" s="47"/>
      <c r="AK31" s="46">
        <v>81000</v>
      </c>
      <c r="AL31" s="46">
        <v>73000</v>
      </c>
      <c r="AM31" s="47"/>
      <c r="AN31" s="47"/>
      <c r="AO31" s="100"/>
      <c r="AP31" s="100"/>
      <c r="AQ31" s="100"/>
      <c r="AR31" s="100"/>
      <c r="AS31" s="100"/>
      <c r="AT31" s="101"/>
      <c r="AU31" s="101"/>
      <c r="AV31" s="101"/>
      <c r="AW31" s="101"/>
    </row>
    <row r="32" spans="1:49" ht="15.75" customHeight="1">
      <c r="A32" s="33">
        <v>31</v>
      </c>
      <c r="B32" s="48" t="s">
        <v>838</v>
      </c>
      <c r="C32" s="5" t="s">
        <v>74</v>
      </c>
      <c r="D32" s="6">
        <v>6000</v>
      </c>
      <c r="E32" s="6">
        <v>11250</v>
      </c>
      <c r="F32" s="47" t="s">
        <v>21</v>
      </c>
      <c r="G32" s="46" t="s">
        <v>30</v>
      </c>
      <c r="H32" s="46" t="s">
        <v>30</v>
      </c>
      <c r="I32" s="46" t="s">
        <v>30</v>
      </c>
      <c r="J32" s="46" t="s">
        <v>30</v>
      </c>
      <c r="K32" s="46" t="s">
        <v>30</v>
      </c>
      <c r="L32" s="46" t="s">
        <v>30</v>
      </c>
      <c r="M32" s="46" t="s">
        <v>30</v>
      </c>
      <c r="N32" s="46">
        <v>11000</v>
      </c>
      <c r="O32" s="46">
        <v>11250</v>
      </c>
      <c r="P32" s="46">
        <v>11250</v>
      </c>
      <c r="Q32" s="46"/>
      <c r="R32" s="46"/>
      <c r="S32" s="46"/>
      <c r="T32" s="46"/>
      <c r="U32" s="46"/>
      <c r="V32" s="46"/>
      <c r="W32" s="47"/>
      <c r="X32" s="47"/>
      <c r="Y32" s="47"/>
      <c r="Z32" s="46"/>
      <c r="AA32" s="47"/>
      <c r="AB32" s="46"/>
      <c r="AC32" s="47"/>
      <c r="AD32" s="47"/>
      <c r="AE32" s="47"/>
      <c r="AF32" s="46">
        <v>11000</v>
      </c>
      <c r="AG32" s="47">
        <f t="shared" si="40"/>
        <v>11250</v>
      </c>
      <c r="AH32" s="47">
        <f t="shared" si="41"/>
        <v>11250</v>
      </c>
      <c r="AI32" s="47"/>
      <c r="AJ32" s="47"/>
      <c r="AK32" s="47"/>
      <c r="AL32" s="47"/>
      <c r="AM32" s="47"/>
      <c r="AN32" s="47"/>
      <c r="AO32" s="100"/>
      <c r="AP32" s="100"/>
      <c r="AQ32" s="100"/>
      <c r="AR32" s="100"/>
      <c r="AS32" s="100"/>
      <c r="AT32" s="101"/>
      <c r="AU32" s="101"/>
      <c r="AV32" s="102"/>
      <c r="AW32" s="102"/>
    </row>
    <row r="33" spans="1:49" ht="15.75" customHeight="1">
      <c r="A33" s="33">
        <v>32</v>
      </c>
      <c r="B33" s="5" t="s">
        <v>827</v>
      </c>
      <c r="C33" s="5" t="s">
        <v>160</v>
      </c>
      <c r="D33" s="6">
        <v>6000</v>
      </c>
      <c r="E33" s="6">
        <v>4000</v>
      </c>
      <c r="F33" s="47" t="s">
        <v>21</v>
      </c>
      <c r="G33" s="46" t="s">
        <v>30</v>
      </c>
      <c r="H33" s="46">
        <v>4000</v>
      </c>
      <c r="I33" s="46">
        <v>4000</v>
      </c>
      <c r="J33" s="46">
        <v>4000</v>
      </c>
      <c r="K33" s="46">
        <v>4000</v>
      </c>
      <c r="L33" s="46">
        <v>4000</v>
      </c>
      <c r="M33" s="46">
        <v>4000</v>
      </c>
      <c r="N33" s="46">
        <v>4000</v>
      </c>
      <c r="O33" s="46">
        <v>4000</v>
      </c>
      <c r="P33" s="46">
        <f>E33/25*11</f>
        <v>1760</v>
      </c>
      <c r="Q33" s="46"/>
      <c r="R33" s="46"/>
      <c r="S33" s="46">
        <v>32000</v>
      </c>
      <c r="T33" s="46"/>
      <c r="U33" s="46">
        <v>32000</v>
      </c>
      <c r="V33" s="46">
        <v>12000</v>
      </c>
      <c r="W33" s="46">
        <v>12000</v>
      </c>
      <c r="X33" s="47"/>
      <c r="Y33" s="47" t="s">
        <v>30</v>
      </c>
      <c r="Z33" s="46">
        <v>4000</v>
      </c>
      <c r="AA33" s="46">
        <v>4000</v>
      </c>
      <c r="AB33" s="46">
        <v>4000</v>
      </c>
      <c r="AC33" s="46">
        <v>4000</v>
      </c>
      <c r="AD33" s="46">
        <v>4000</v>
      </c>
      <c r="AE33" s="46">
        <v>4000</v>
      </c>
      <c r="AF33" s="46">
        <v>4000</v>
      </c>
      <c r="AG33" s="47">
        <f t="shared" si="40"/>
        <v>4000</v>
      </c>
      <c r="AH33" s="47">
        <f t="shared" si="41"/>
        <v>1760</v>
      </c>
      <c r="AI33" s="47"/>
      <c r="AJ33" s="47"/>
      <c r="AK33" s="47"/>
      <c r="AL33" s="47"/>
      <c r="AM33" s="47"/>
      <c r="AN33" s="47"/>
      <c r="AO33" s="100"/>
      <c r="AP33" s="101"/>
      <c r="AQ33" s="101"/>
      <c r="AR33" s="101"/>
      <c r="AS33" s="101"/>
      <c r="AT33" s="101"/>
      <c r="AU33" s="101"/>
      <c r="AV33" s="102"/>
      <c r="AW33" s="102"/>
    </row>
    <row r="34" spans="1:49" ht="15.75" customHeight="1">
      <c r="A34" s="33">
        <v>33</v>
      </c>
      <c r="B34" s="49" t="s">
        <v>84</v>
      </c>
      <c r="C34" s="49" t="s">
        <v>72</v>
      </c>
      <c r="D34" s="50">
        <v>30000</v>
      </c>
      <c r="E34" s="50">
        <v>10000</v>
      </c>
      <c r="F34" s="51" t="s">
        <v>21</v>
      </c>
      <c r="G34" s="51">
        <v>10000</v>
      </c>
      <c r="H34" s="51">
        <v>8000</v>
      </c>
      <c r="I34" s="51">
        <v>10000</v>
      </c>
      <c r="J34" s="51">
        <v>10000</v>
      </c>
      <c r="K34" s="51">
        <v>10000</v>
      </c>
      <c r="L34" s="51">
        <v>10000</v>
      </c>
      <c r="M34" s="51">
        <v>10000</v>
      </c>
      <c r="N34" s="51">
        <v>10000</v>
      </c>
      <c r="O34" s="51"/>
      <c r="P34" s="51"/>
      <c r="Q34" s="51"/>
      <c r="R34" s="51"/>
      <c r="S34" s="50">
        <f>SUM(G34:R34)</f>
        <v>78000</v>
      </c>
      <c r="T34" s="50" t="e">
        <f>'[5]2020'!U26</f>
        <v>#REF!</v>
      </c>
      <c r="U34" s="50" t="e">
        <f>S34+T34</f>
        <v>#REF!</v>
      </c>
      <c r="V34" s="50">
        <f>D34*2</f>
        <v>60000</v>
      </c>
      <c r="W34" s="51" t="e">
        <f>T34+V34</f>
        <v>#REF!</v>
      </c>
      <c r="X34" s="51"/>
      <c r="Y34" s="51">
        <v>0</v>
      </c>
      <c r="Z34" s="51">
        <f t="shared" ref="Z34:AB34" si="42">H34</f>
        <v>8000</v>
      </c>
      <c r="AA34" s="51">
        <f t="shared" si="42"/>
        <v>10000</v>
      </c>
      <c r="AB34" s="51">
        <f t="shared" si="42"/>
        <v>10000</v>
      </c>
      <c r="AC34" s="51">
        <v>0</v>
      </c>
      <c r="AD34" s="51">
        <v>0</v>
      </c>
      <c r="AE34" s="51">
        <f t="shared" ref="AE34:AF34" si="43">M34</f>
        <v>10000</v>
      </c>
      <c r="AF34" s="51">
        <f t="shared" si="43"/>
        <v>10000</v>
      </c>
      <c r="AG34" s="51"/>
      <c r="AH34" s="51"/>
      <c r="AI34" s="51"/>
      <c r="AJ34" s="51"/>
      <c r="AK34" s="51">
        <f>SUM(Y34:AJ34)</f>
        <v>48000</v>
      </c>
      <c r="AL34" s="51" t="e">
        <f>U34-AK34</f>
        <v>#REF!</v>
      </c>
      <c r="AM34" s="51"/>
      <c r="AN34" s="51"/>
      <c r="AO34" s="105"/>
      <c r="AP34" s="51"/>
      <c r="AQ34" s="51"/>
      <c r="AR34" s="51"/>
      <c r="AS34" s="51"/>
      <c r="AT34" s="36"/>
      <c r="AU34" s="36"/>
      <c r="AV34" s="97"/>
      <c r="AW34" s="36"/>
    </row>
    <row r="35" spans="1:49" ht="15.75" customHeight="1">
      <c r="A35" s="33">
        <v>34</v>
      </c>
      <c r="B35" s="5" t="s">
        <v>78</v>
      </c>
      <c r="C35" s="5" t="s">
        <v>79</v>
      </c>
      <c r="D35" s="6">
        <v>10000</v>
      </c>
      <c r="E35" s="6">
        <v>20000</v>
      </c>
      <c r="F35" s="47" t="s">
        <v>21</v>
      </c>
      <c r="G35" s="46">
        <v>10000</v>
      </c>
      <c r="H35" s="46">
        <v>2000</v>
      </c>
      <c r="I35" s="46">
        <v>8000</v>
      </c>
      <c r="J35" s="46">
        <v>10000</v>
      </c>
      <c r="K35" s="46">
        <v>10000</v>
      </c>
      <c r="L35" s="46">
        <v>20000</v>
      </c>
      <c r="M35" s="46">
        <v>10000</v>
      </c>
      <c r="N35" s="46">
        <v>11000</v>
      </c>
      <c r="O35" s="46">
        <v>10000</v>
      </c>
      <c r="P35" s="46">
        <v>5000</v>
      </c>
      <c r="Q35" s="46">
        <v>5000</v>
      </c>
      <c r="R35" s="46"/>
      <c r="S35" s="46">
        <v>86000</v>
      </c>
      <c r="T35" s="46">
        <v>0</v>
      </c>
      <c r="U35" s="46">
        <v>86000</v>
      </c>
      <c r="V35" s="46">
        <v>20000</v>
      </c>
      <c r="W35" s="46">
        <v>20000</v>
      </c>
      <c r="X35" s="47"/>
      <c r="Y35" s="46">
        <v>0</v>
      </c>
      <c r="Z35" s="46">
        <v>2000</v>
      </c>
      <c r="AA35" s="46">
        <v>8000</v>
      </c>
      <c r="AB35" s="46">
        <v>10000</v>
      </c>
      <c r="AC35" s="46">
        <v>10000</v>
      </c>
      <c r="AD35" s="46">
        <v>20000</v>
      </c>
      <c r="AE35" s="47"/>
      <c r="AF35" s="46">
        <v>11000</v>
      </c>
      <c r="AG35" s="47">
        <f t="shared" ref="AG35:AI35" si="44">O35</f>
        <v>10000</v>
      </c>
      <c r="AH35" s="47">
        <f t="shared" si="44"/>
        <v>5000</v>
      </c>
      <c r="AI35" s="47">
        <f t="shared" si="44"/>
        <v>5000</v>
      </c>
      <c r="AJ35" s="47"/>
      <c r="AK35" s="47"/>
      <c r="AL35" s="47"/>
      <c r="AM35" s="47"/>
      <c r="AN35" s="47"/>
      <c r="AO35" s="100"/>
      <c r="AP35" s="100"/>
      <c r="AQ35" s="100"/>
      <c r="AR35" s="100"/>
      <c r="AS35" s="100"/>
      <c r="AT35" s="101"/>
      <c r="AU35" s="101"/>
      <c r="AV35" s="101"/>
      <c r="AW35" s="101"/>
    </row>
    <row r="36" spans="1:49" ht="15.75" customHeight="1">
      <c r="A36" s="33">
        <v>35</v>
      </c>
      <c r="B36" s="5" t="s">
        <v>839</v>
      </c>
      <c r="C36" s="5" t="s">
        <v>79</v>
      </c>
      <c r="D36" s="6">
        <v>6000</v>
      </c>
      <c r="E36" s="6">
        <v>6000</v>
      </c>
      <c r="F36" s="47" t="s">
        <v>21</v>
      </c>
      <c r="G36" s="46" t="s">
        <v>30</v>
      </c>
      <c r="H36" s="46">
        <v>6000</v>
      </c>
      <c r="I36" s="46">
        <v>4000</v>
      </c>
      <c r="J36" s="46">
        <v>5000</v>
      </c>
      <c r="K36" s="46">
        <v>5000</v>
      </c>
      <c r="L36" s="46">
        <v>6000</v>
      </c>
      <c r="M36" s="46">
        <v>6000</v>
      </c>
      <c r="N36" s="46">
        <v>6000</v>
      </c>
      <c r="O36" s="46">
        <v>6000</v>
      </c>
      <c r="P36" s="46">
        <v>6000</v>
      </c>
      <c r="Q36" s="46">
        <v>6000</v>
      </c>
      <c r="R36" s="46"/>
      <c r="S36" s="46">
        <v>44000</v>
      </c>
      <c r="T36" s="46"/>
      <c r="U36" s="46">
        <v>44000</v>
      </c>
      <c r="V36" s="46">
        <v>12000</v>
      </c>
      <c r="W36" s="47"/>
      <c r="X36" s="47"/>
      <c r="Y36" s="47"/>
      <c r="Z36" s="46">
        <v>0</v>
      </c>
      <c r="AA36" s="46">
        <v>0</v>
      </c>
      <c r="AB36" s="46">
        <v>0</v>
      </c>
      <c r="AC36" s="46">
        <v>5000</v>
      </c>
      <c r="AD36" s="46">
        <v>6000</v>
      </c>
      <c r="AE36" s="46">
        <v>6000</v>
      </c>
      <c r="AF36" s="46">
        <v>6000</v>
      </c>
      <c r="AG36" s="47">
        <f t="shared" ref="AG36:AI36" si="45">O36</f>
        <v>6000</v>
      </c>
      <c r="AH36" s="47">
        <f t="shared" si="45"/>
        <v>6000</v>
      </c>
      <c r="AI36" s="47">
        <f t="shared" si="45"/>
        <v>6000</v>
      </c>
      <c r="AJ36" s="47"/>
      <c r="AK36" s="47"/>
      <c r="AL36" s="47"/>
      <c r="AM36" s="47"/>
      <c r="AN36" s="47"/>
      <c r="AO36" s="100"/>
      <c r="AP36" s="100"/>
      <c r="AQ36" s="100"/>
      <c r="AR36" s="100"/>
      <c r="AS36" s="100"/>
      <c r="AT36" s="101"/>
      <c r="AU36" s="101"/>
      <c r="AV36" s="101"/>
      <c r="AW36" s="101"/>
    </row>
    <row r="37" spans="1:49" ht="15.75" customHeight="1">
      <c r="A37" s="33">
        <v>36</v>
      </c>
      <c r="B37" s="5" t="s">
        <v>840</v>
      </c>
      <c r="C37" s="5" t="s">
        <v>72</v>
      </c>
      <c r="D37" s="6">
        <v>12000</v>
      </c>
      <c r="E37" s="6">
        <v>4000</v>
      </c>
      <c r="F37" s="47" t="s">
        <v>167</v>
      </c>
      <c r="G37" s="46" t="s">
        <v>30</v>
      </c>
      <c r="H37" s="46" t="s">
        <v>30</v>
      </c>
      <c r="I37" s="46" t="s">
        <v>30</v>
      </c>
      <c r="J37" s="46" t="s">
        <v>30</v>
      </c>
      <c r="K37" s="46" t="s">
        <v>30</v>
      </c>
      <c r="L37" s="46" t="s">
        <v>30</v>
      </c>
      <c r="M37" s="46" t="s">
        <v>30</v>
      </c>
      <c r="N37" s="46" t="s">
        <v>30</v>
      </c>
      <c r="O37" s="46">
        <v>4000</v>
      </c>
      <c r="P37" s="46">
        <v>4000</v>
      </c>
      <c r="Q37" s="46">
        <v>4000</v>
      </c>
      <c r="R37" s="46"/>
      <c r="S37" s="46"/>
      <c r="T37" s="46"/>
      <c r="U37" s="46"/>
      <c r="V37" s="46"/>
      <c r="W37" s="47"/>
      <c r="X37" s="47"/>
      <c r="Y37" s="47"/>
      <c r="Z37" s="46"/>
      <c r="AA37" s="47"/>
      <c r="AB37" s="46"/>
      <c r="AC37" s="47"/>
      <c r="AD37" s="47"/>
      <c r="AE37" s="47"/>
      <c r="AF37" s="47"/>
      <c r="AG37" s="47">
        <v>0</v>
      </c>
      <c r="AH37" s="47">
        <v>0</v>
      </c>
      <c r="AI37" s="47"/>
      <c r="AJ37" s="47"/>
      <c r="AK37" s="47"/>
      <c r="AL37" s="47"/>
      <c r="AM37" s="47"/>
      <c r="AN37" s="47"/>
      <c r="AO37" s="106"/>
      <c r="AP37" s="106"/>
      <c r="AQ37" s="106"/>
      <c r="AR37" s="106"/>
      <c r="AS37" s="106"/>
      <c r="AT37" s="102"/>
      <c r="AU37" s="102"/>
      <c r="AV37" s="102"/>
      <c r="AW37" s="102"/>
    </row>
    <row r="38" spans="1:49" ht="15.75" customHeight="1">
      <c r="A38" s="33">
        <v>37</v>
      </c>
      <c r="B38" s="5" t="s">
        <v>154</v>
      </c>
      <c r="C38" s="5" t="s">
        <v>841</v>
      </c>
      <c r="D38" s="52">
        <v>12000</v>
      </c>
      <c r="E38" s="52">
        <v>4000</v>
      </c>
      <c r="F38" s="47" t="s">
        <v>21</v>
      </c>
      <c r="G38" s="25"/>
      <c r="H38" s="25"/>
      <c r="I38" s="25"/>
      <c r="J38" s="25"/>
      <c r="K38" s="25"/>
      <c r="L38" s="25"/>
      <c r="M38" s="25"/>
      <c r="N38" s="25"/>
      <c r="O38" s="25"/>
      <c r="P38" s="25"/>
      <c r="Q38" s="25"/>
      <c r="R38" s="25"/>
      <c r="S38" s="25">
        <f t="shared" ref="S38:S47" si="46">SUM(G38:R38)</f>
        <v>0</v>
      </c>
      <c r="T38" s="25">
        <f t="shared" ref="T38:T47" si="47">D38*2</f>
        <v>24000</v>
      </c>
      <c r="U38" s="25"/>
      <c r="V38" s="25"/>
      <c r="W38" s="36">
        <v>0</v>
      </c>
      <c r="X38" s="25"/>
      <c r="Y38" s="25"/>
      <c r="Z38" s="25"/>
      <c r="AA38" s="25"/>
      <c r="AB38" s="25"/>
      <c r="AC38" s="25"/>
      <c r="AD38" s="25"/>
      <c r="AE38" s="25"/>
      <c r="AF38" s="25"/>
      <c r="AG38" s="25"/>
      <c r="AH38" s="25"/>
      <c r="AI38" s="25"/>
      <c r="AJ38" s="25"/>
      <c r="AK38" s="25"/>
      <c r="AL38" s="25"/>
      <c r="AM38" s="25"/>
      <c r="AN38" s="25"/>
      <c r="AO38" s="98"/>
    </row>
    <row r="39" spans="1:49" ht="15.75" customHeight="1">
      <c r="A39" s="33">
        <v>38</v>
      </c>
      <c r="B39" s="5" t="s">
        <v>509</v>
      </c>
      <c r="C39" s="5" t="s">
        <v>224</v>
      </c>
      <c r="D39" s="52">
        <v>25000</v>
      </c>
      <c r="E39" s="52">
        <v>10000</v>
      </c>
      <c r="F39" s="47" t="s">
        <v>21</v>
      </c>
      <c r="G39" s="25">
        <v>10000</v>
      </c>
      <c r="H39" s="25"/>
      <c r="I39" s="25"/>
      <c r="J39" s="25"/>
      <c r="K39" s="25"/>
      <c r="L39" s="25"/>
      <c r="M39" s="25"/>
      <c r="N39" s="25"/>
      <c r="O39" s="25"/>
      <c r="P39" s="25"/>
      <c r="Q39" s="25"/>
      <c r="R39" s="25"/>
      <c r="S39" s="25">
        <f t="shared" si="46"/>
        <v>10000</v>
      </c>
      <c r="T39" s="25">
        <f t="shared" si="47"/>
        <v>50000</v>
      </c>
      <c r="U39" s="25"/>
      <c r="V39" s="25"/>
      <c r="W39" s="36">
        <v>0</v>
      </c>
      <c r="X39" s="25"/>
      <c r="Y39" s="25"/>
      <c r="Z39" s="25"/>
      <c r="AA39" s="25"/>
      <c r="AB39" s="25"/>
      <c r="AC39" s="25"/>
      <c r="AD39" s="25"/>
      <c r="AE39" s="25"/>
      <c r="AF39" s="25"/>
      <c r="AG39" s="25"/>
      <c r="AH39" s="25"/>
      <c r="AI39" s="25"/>
      <c r="AJ39" s="25"/>
      <c r="AK39" s="25"/>
      <c r="AL39" s="25"/>
      <c r="AM39" s="25"/>
      <c r="AN39" s="25"/>
      <c r="AO39" s="98"/>
    </row>
    <row r="40" spans="1:49" ht="13.5" customHeight="1">
      <c r="A40" s="33">
        <v>39</v>
      </c>
      <c r="B40" s="5" t="s">
        <v>170</v>
      </c>
      <c r="C40" s="52" t="s">
        <v>224</v>
      </c>
      <c r="D40" s="52">
        <v>12000</v>
      </c>
      <c r="E40" s="52">
        <v>4000</v>
      </c>
      <c r="F40" s="47" t="s">
        <v>167</v>
      </c>
      <c r="G40" s="25">
        <v>0</v>
      </c>
      <c r="H40" s="25"/>
      <c r="I40" s="25"/>
      <c r="J40" s="25"/>
      <c r="K40" s="25"/>
      <c r="L40" s="25"/>
      <c r="M40" s="25"/>
      <c r="N40" s="25"/>
      <c r="O40" s="25"/>
      <c r="P40" s="25"/>
      <c r="Q40" s="25"/>
      <c r="R40" s="25"/>
      <c r="S40" s="25">
        <f t="shared" si="46"/>
        <v>0</v>
      </c>
      <c r="T40" s="25">
        <f t="shared" si="47"/>
        <v>24000</v>
      </c>
      <c r="U40" s="25"/>
      <c r="V40" s="25"/>
      <c r="W40" s="36">
        <v>0</v>
      </c>
      <c r="X40" s="25"/>
      <c r="Y40" s="25"/>
      <c r="Z40" s="25"/>
      <c r="AA40" s="25"/>
      <c r="AB40" s="25"/>
      <c r="AC40" s="25"/>
      <c r="AD40" s="25"/>
      <c r="AE40" s="25"/>
      <c r="AF40" s="25"/>
      <c r="AG40" s="25"/>
      <c r="AH40" s="25"/>
      <c r="AI40" s="25"/>
      <c r="AJ40" s="25"/>
      <c r="AK40" s="25"/>
      <c r="AL40" s="25"/>
      <c r="AM40" s="25"/>
      <c r="AN40" s="25"/>
      <c r="AO40" s="98"/>
    </row>
    <row r="41" spans="1:49" ht="18.75" customHeight="1">
      <c r="A41" s="33">
        <v>40</v>
      </c>
      <c r="B41" s="5" t="s">
        <v>842</v>
      </c>
      <c r="C41" s="52" t="s">
        <v>247</v>
      </c>
      <c r="D41" s="52">
        <v>12000</v>
      </c>
      <c r="E41" s="52">
        <v>4000</v>
      </c>
      <c r="F41" s="47" t="s">
        <v>21</v>
      </c>
      <c r="G41" s="53">
        <f>E41/22*16</f>
        <v>2909.090909090909</v>
      </c>
      <c r="H41" s="54">
        <v>0</v>
      </c>
      <c r="I41" s="25"/>
      <c r="J41" s="25"/>
      <c r="K41" s="25"/>
      <c r="L41" s="25"/>
      <c r="M41" s="25"/>
      <c r="N41" s="25"/>
      <c r="O41" s="25"/>
      <c r="P41" s="25"/>
      <c r="Q41" s="25"/>
      <c r="R41" s="25"/>
      <c r="S41" s="53">
        <f t="shared" si="46"/>
        <v>2909.090909090909</v>
      </c>
      <c r="T41" s="25">
        <f t="shared" si="47"/>
        <v>24000</v>
      </c>
      <c r="U41" s="25"/>
      <c r="V41" s="25"/>
      <c r="W41" s="36">
        <v>0</v>
      </c>
      <c r="X41" s="25">
        <v>0</v>
      </c>
      <c r="Y41" s="25"/>
      <c r="Z41" s="25"/>
      <c r="AA41" s="25"/>
      <c r="AB41" s="25"/>
      <c r="AC41" s="25"/>
      <c r="AD41" s="25"/>
      <c r="AE41" s="25"/>
      <c r="AF41" s="25"/>
      <c r="AG41" s="25"/>
      <c r="AH41" s="25"/>
      <c r="AI41" s="25"/>
      <c r="AJ41" s="25"/>
      <c r="AK41" s="25"/>
      <c r="AL41" s="25"/>
      <c r="AM41" s="25"/>
      <c r="AN41" s="25"/>
      <c r="AO41" s="98"/>
    </row>
    <row r="42" spans="1:49" ht="18.75" customHeight="1">
      <c r="A42" s="33">
        <v>41</v>
      </c>
      <c r="B42" s="48" t="s">
        <v>85</v>
      </c>
      <c r="C42" s="5" t="s">
        <v>86</v>
      </c>
      <c r="D42" s="52">
        <v>40000</v>
      </c>
      <c r="E42" s="52">
        <v>10000</v>
      </c>
      <c r="F42" s="47" t="s">
        <v>21</v>
      </c>
      <c r="G42" s="36">
        <v>10000</v>
      </c>
      <c r="H42" s="54">
        <v>10000</v>
      </c>
      <c r="I42" s="25">
        <v>10000</v>
      </c>
      <c r="J42" s="25"/>
      <c r="K42" s="25"/>
      <c r="L42" s="25"/>
      <c r="M42" s="25"/>
      <c r="N42" s="25"/>
      <c r="O42" s="25"/>
      <c r="P42" s="25"/>
      <c r="Q42" s="25"/>
      <c r="R42" s="25"/>
      <c r="S42" s="25">
        <f t="shared" si="46"/>
        <v>30000</v>
      </c>
      <c r="T42" s="25">
        <f t="shared" si="47"/>
        <v>80000</v>
      </c>
      <c r="U42" s="25"/>
      <c r="V42" s="25"/>
      <c r="W42" s="36">
        <f t="shared" ref="W42:Y42" si="48">G42</f>
        <v>10000</v>
      </c>
      <c r="X42" s="25">
        <f t="shared" si="48"/>
        <v>10000</v>
      </c>
      <c r="Y42" s="25">
        <f t="shared" si="48"/>
        <v>10000</v>
      </c>
      <c r="Z42" s="25"/>
      <c r="AA42" s="25"/>
      <c r="AB42" s="25"/>
      <c r="AC42" s="25"/>
      <c r="AD42" s="25"/>
      <c r="AE42" s="25"/>
      <c r="AF42" s="25"/>
      <c r="AG42" s="25"/>
      <c r="AH42" s="25"/>
      <c r="AI42" s="25"/>
      <c r="AJ42" s="25"/>
      <c r="AK42" s="25"/>
      <c r="AL42" s="25"/>
      <c r="AM42" s="25"/>
      <c r="AN42" s="25"/>
      <c r="AO42" s="98"/>
    </row>
    <row r="43" spans="1:49" ht="18.75" customHeight="1">
      <c r="A43" s="33">
        <v>42</v>
      </c>
      <c r="B43" s="48" t="s">
        <v>145</v>
      </c>
      <c r="C43" s="5" t="s">
        <v>212</v>
      </c>
      <c r="D43" s="52">
        <v>22000</v>
      </c>
      <c r="E43" s="52">
        <v>8000</v>
      </c>
      <c r="F43" s="47" t="s">
        <v>21</v>
      </c>
      <c r="G43" s="36">
        <v>8000</v>
      </c>
      <c r="H43" s="54">
        <v>8000</v>
      </c>
      <c r="I43" s="25">
        <f>E43/20*11</f>
        <v>4400</v>
      </c>
      <c r="J43" s="25" t="s">
        <v>843</v>
      </c>
      <c r="K43" s="25"/>
      <c r="L43" s="25"/>
      <c r="M43" s="25"/>
      <c r="N43" s="25"/>
      <c r="O43" s="25"/>
      <c r="P43" s="25"/>
      <c r="Q43" s="25"/>
      <c r="R43" s="25"/>
      <c r="S43" s="25">
        <f t="shared" si="46"/>
        <v>20400</v>
      </c>
      <c r="T43" s="25">
        <f t="shared" si="47"/>
        <v>44000</v>
      </c>
      <c r="U43" s="25"/>
      <c r="V43" s="25"/>
      <c r="W43" s="36">
        <f t="shared" ref="W43:X43" si="49">G43</f>
        <v>8000</v>
      </c>
      <c r="X43" s="25">
        <f t="shared" si="49"/>
        <v>8000</v>
      </c>
      <c r="Y43" s="25">
        <v>0</v>
      </c>
      <c r="Z43" s="25"/>
      <c r="AA43" s="25"/>
      <c r="AB43" s="25"/>
      <c r="AC43" s="25"/>
      <c r="AD43" s="25"/>
      <c r="AE43" s="25"/>
      <c r="AF43" s="25"/>
      <c r="AG43" s="25"/>
      <c r="AH43" s="25"/>
      <c r="AI43" s="25"/>
      <c r="AJ43" s="25"/>
      <c r="AK43" s="25"/>
      <c r="AL43" s="25"/>
      <c r="AM43" s="25"/>
      <c r="AN43" s="25"/>
      <c r="AO43" s="98"/>
    </row>
    <row r="44" spans="1:49" ht="18.75" customHeight="1">
      <c r="A44" s="33">
        <v>43</v>
      </c>
      <c r="B44" s="48" t="s">
        <v>844</v>
      </c>
      <c r="C44" s="5" t="s">
        <v>230</v>
      </c>
      <c r="D44" s="52">
        <v>12000</v>
      </c>
      <c r="E44" s="52">
        <v>4000</v>
      </c>
      <c r="F44" s="47" t="s">
        <v>21</v>
      </c>
      <c r="G44" s="25">
        <v>4000</v>
      </c>
      <c r="H44" s="54">
        <v>4000</v>
      </c>
      <c r="I44" s="25">
        <v>2000</v>
      </c>
      <c r="J44" s="25"/>
      <c r="K44" s="25"/>
      <c r="L44" s="25"/>
      <c r="M44" s="25"/>
      <c r="N44" s="25"/>
      <c r="O44" s="25"/>
      <c r="P44" s="25"/>
      <c r="Q44" s="25"/>
      <c r="R44" s="25"/>
      <c r="S44" s="25">
        <f t="shared" si="46"/>
        <v>10000</v>
      </c>
      <c r="T44" s="25">
        <f t="shared" si="47"/>
        <v>24000</v>
      </c>
      <c r="U44" s="25"/>
      <c r="V44" s="25"/>
      <c r="W44" s="36">
        <f t="shared" ref="W44:X44" si="50">G44</f>
        <v>4000</v>
      </c>
      <c r="X44" s="25">
        <f t="shared" si="50"/>
        <v>4000</v>
      </c>
      <c r="Y44" s="25">
        <v>0</v>
      </c>
      <c r="Z44" s="25"/>
      <c r="AA44" s="25"/>
      <c r="AB44" s="25"/>
      <c r="AC44" s="25"/>
      <c r="AD44" s="25"/>
      <c r="AE44" s="25"/>
      <c r="AF44" s="25"/>
      <c r="AG44" s="25"/>
      <c r="AH44" s="25"/>
      <c r="AI44" s="25"/>
      <c r="AJ44" s="25"/>
      <c r="AK44" s="25"/>
      <c r="AL44" s="25"/>
      <c r="AM44" s="25"/>
      <c r="AN44" s="25"/>
      <c r="AO44" s="98"/>
    </row>
    <row r="45" spans="1:49" ht="18.75" customHeight="1">
      <c r="A45" s="33">
        <v>44</v>
      </c>
      <c r="B45" s="52" t="s">
        <v>845</v>
      </c>
      <c r="C45" s="5" t="s">
        <v>846</v>
      </c>
      <c r="D45" s="52">
        <v>12000</v>
      </c>
      <c r="E45" s="52">
        <v>6000</v>
      </c>
      <c r="F45" s="47" t="s">
        <v>21</v>
      </c>
      <c r="G45" s="25">
        <v>6000</v>
      </c>
      <c r="H45" s="54">
        <v>6000</v>
      </c>
      <c r="I45" s="25">
        <v>6000</v>
      </c>
      <c r="J45" s="25"/>
      <c r="K45" s="25"/>
      <c r="L45" s="25"/>
      <c r="M45" s="25"/>
      <c r="N45" s="25"/>
      <c r="O45" s="25"/>
      <c r="P45" s="25"/>
      <c r="Q45" s="25"/>
      <c r="R45" s="25"/>
      <c r="S45" s="25">
        <f t="shared" si="46"/>
        <v>18000</v>
      </c>
      <c r="T45" s="25">
        <f t="shared" si="47"/>
        <v>24000</v>
      </c>
      <c r="U45" s="25"/>
      <c r="V45" s="25"/>
      <c r="W45" s="36">
        <f t="shared" ref="W45:Y45" si="51">G45</f>
        <v>6000</v>
      </c>
      <c r="X45" s="25">
        <f t="shared" si="51"/>
        <v>6000</v>
      </c>
      <c r="Y45" s="25">
        <f t="shared" si="51"/>
        <v>6000</v>
      </c>
      <c r="Z45" s="25"/>
      <c r="AA45" s="25"/>
      <c r="AB45" s="25"/>
      <c r="AC45" s="25"/>
      <c r="AD45" s="25"/>
      <c r="AE45" s="25"/>
      <c r="AF45" s="25"/>
      <c r="AG45" s="25"/>
      <c r="AH45" s="25"/>
      <c r="AI45" s="25"/>
      <c r="AJ45" s="25"/>
      <c r="AK45" s="25"/>
      <c r="AL45" s="25"/>
      <c r="AM45" s="25"/>
      <c r="AN45" s="25"/>
      <c r="AO45" s="98"/>
    </row>
    <row r="46" spans="1:49" ht="18.75" customHeight="1">
      <c r="A46" s="33">
        <v>45</v>
      </c>
      <c r="B46" s="5" t="s">
        <v>168</v>
      </c>
      <c r="C46" s="52" t="s">
        <v>230</v>
      </c>
      <c r="D46" s="52">
        <v>12000</v>
      </c>
      <c r="E46" s="52">
        <v>4000</v>
      </c>
      <c r="F46" s="47" t="s">
        <v>167</v>
      </c>
      <c r="G46" s="25">
        <v>4000</v>
      </c>
      <c r="H46" s="55">
        <v>2500</v>
      </c>
      <c r="I46" s="25">
        <v>2000</v>
      </c>
      <c r="J46" s="25"/>
      <c r="K46" s="25"/>
      <c r="L46" s="25"/>
      <c r="M46" s="25"/>
      <c r="N46" s="25"/>
      <c r="O46" s="25"/>
      <c r="P46" s="25"/>
      <c r="Q46" s="25"/>
      <c r="R46" s="25"/>
      <c r="S46" s="25">
        <f t="shared" si="46"/>
        <v>8500</v>
      </c>
      <c r="T46" s="25">
        <f t="shared" si="47"/>
        <v>24000</v>
      </c>
      <c r="U46" s="25"/>
      <c r="V46" s="25"/>
      <c r="W46" s="36">
        <v>0</v>
      </c>
      <c r="X46" s="25">
        <v>0</v>
      </c>
      <c r="Y46" s="25">
        <v>0</v>
      </c>
      <c r="Z46" s="25"/>
      <c r="AA46" s="25"/>
      <c r="AB46" s="25"/>
      <c r="AC46" s="25"/>
      <c r="AD46" s="25"/>
      <c r="AE46" s="25"/>
      <c r="AF46" s="25"/>
      <c r="AG46" s="25"/>
      <c r="AH46" s="25"/>
      <c r="AI46" s="25"/>
      <c r="AJ46" s="25"/>
      <c r="AK46" s="25"/>
      <c r="AL46" s="25"/>
      <c r="AM46" s="25"/>
      <c r="AN46" s="25"/>
      <c r="AO46" s="98"/>
    </row>
    <row r="47" spans="1:49" ht="18.75" customHeight="1">
      <c r="A47" s="33">
        <v>46</v>
      </c>
      <c r="B47" s="5" t="s">
        <v>847</v>
      </c>
      <c r="C47" s="5" t="s">
        <v>131</v>
      </c>
      <c r="D47" s="52">
        <v>10000</v>
      </c>
      <c r="E47" s="52">
        <v>6000</v>
      </c>
      <c r="F47" s="47" t="s">
        <v>21</v>
      </c>
      <c r="G47" s="53">
        <v>0</v>
      </c>
      <c r="H47" s="55">
        <v>2000</v>
      </c>
      <c r="I47" s="25">
        <v>2000</v>
      </c>
      <c r="J47" s="25"/>
      <c r="K47" s="25"/>
      <c r="L47" s="25"/>
      <c r="M47" s="25"/>
      <c r="N47" s="25"/>
      <c r="O47" s="25"/>
      <c r="P47" s="25"/>
      <c r="Q47" s="25"/>
      <c r="R47" s="25"/>
      <c r="S47" s="53">
        <f t="shared" si="46"/>
        <v>4000</v>
      </c>
      <c r="T47" s="25">
        <f t="shared" si="47"/>
        <v>20000</v>
      </c>
      <c r="U47" s="25"/>
      <c r="V47" s="25"/>
      <c r="W47" s="36">
        <v>0</v>
      </c>
      <c r="X47" s="25">
        <v>0</v>
      </c>
      <c r="Y47" s="25">
        <v>0</v>
      </c>
      <c r="Z47" s="25"/>
      <c r="AA47" s="25"/>
      <c r="AB47" s="25"/>
      <c r="AC47" s="25"/>
      <c r="AD47" s="25"/>
      <c r="AE47" s="25"/>
      <c r="AF47" s="25"/>
      <c r="AG47" s="25"/>
      <c r="AH47" s="25"/>
      <c r="AI47" s="25"/>
      <c r="AJ47" s="25"/>
      <c r="AK47" s="25"/>
      <c r="AL47" s="25"/>
      <c r="AM47" s="25"/>
      <c r="AN47" s="25"/>
      <c r="AO47" s="98"/>
    </row>
    <row r="48" spans="1:49" ht="18.75" customHeight="1">
      <c r="A48" s="33">
        <v>47</v>
      </c>
      <c r="B48" s="56" t="s">
        <v>848</v>
      </c>
      <c r="C48" s="56" t="s">
        <v>224</v>
      </c>
      <c r="D48" s="57">
        <v>6000</v>
      </c>
      <c r="E48" s="57">
        <v>10000</v>
      </c>
      <c r="F48" s="47" t="s">
        <v>21</v>
      </c>
      <c r="G48" s="58" t="s">
        <v>30</v>
      </c>
      <c r="H48" s="58" t="s">
        <v>30</v>
      </c>
      <c r="I48" s="58" t="s">
        <v>30</v>
      </c>
      <c r="J48" s="53">
        <f>E48/21*6</f>
        <v>2857.1428571428573</v>
      </c>
      <c r="K48" s="25">
        <v>10000</v>
      </c>
      <c r="L48" s="25"/>
      <c r="M48" s="25"/>
      <c r="N48" s="25"/>
      <c r="O48" s="25"/>
      <c r="P48" s="25"/>
      <c r="Q48" s="25"/>
      <c r="R48" s="25"/>
      <c r="S48" s="25"/>
      <c r="T48" s="25"/>
      <c r="U48" s="25"/>
      <c r="V48" s="25"/>
      <c r="W48" s="25">
        <v>0</v>
      </c>
      <c r="X48" s="25">
        <v>0</v>
      </c>
      <c r="Y48" s="25">
        <v>0</v>
      </c>
      <c r="Z48" s="25">
        <v>0</v>
      </c>
      <c r="AA48" s="25">
        <v>0</v>
      </c>
      <c r="AB48" s="25"/>
      <c r="AC48" s="25"/>
      <c r="AD48" s="25"/>
      <c r="AE48" s="25"/>
      <c r="AF48" s="25"/>
      <c r="AG48" s="25"/>
      <c r="AH48" s="25"/>
      <c r="AI48" s="25"/>
      <c r="AJ48" s="25"/>
      <c r="AK48" s="25"/>
      <c r="AL48" s="25"/>
      <c r="AM48" s="25"/>
      <c r="AN48" s="25"/>
      <c r="AO48" s="98"/>
    </row>
    <row r="49" spans="1:53" ht="21" customHeight="1">
      <c r="A49" s="33">
        <v>48</v>
      </c>
      <c r="B49" s="59" t="s">
        <v>849</v>
      </c>
      <c r="C49" s="60" t="s">
        <v>247</v>
      </c>
      <c r="D49" s="60">
        <v>12000</v>
      </c>
      <c r="E49" s="60">
        <v>4000</v>
      </c>
      <c r="F49" s="47" t="s">
        <v>21</v>
      </c>
      <c r="G49" s="47">
        <v>4000</v>
      </c>
      <c r="H49" s="47">
        <v>2000</v>
      </c>
      <c r="I49" s="47">
        <v>0</v>
      </c>
      <c r="J49" s="47">
        <v>2000</v>
      </c>
      <c r="K49" s="47">
        <v>4000</v>
      </c>
      <c r="L49" s="47">
        <v>2000</v>
      </c>
      <c r="M49" s="47">
        <v>0</v>
      </c>
      <c r="N49" s="47" t="s">
        <v>850</v>
      </c>
      <c r="O49" s="47"/>
      <c r="P49" s="25"/>
      <c r="Q49" s="25"/>
      <c r="R49" s="25"/>
      <c r="S49" s="25">
        <f>SUM(G49:R49)</f>
        <v>14000</v>
      </c>
      <c r="T49" s="25">
        <f>D49*2</f>
        <v>24000</v>
      </c>
      <c r="U49" s="25"/>
      <c r="V49" s="25"/>
      <c r="W49" s="36">
        <v>0</v>
      </c>
      <c r="X49" s="25">
        <v>0</v>
      </c>
      <c r="Y49" s="25">
        <v>0</v>
      </c>
      <c r="Z49" s="25">
        <v>0</v>
      </c>
      <c r="AA49" s="25">
        <v>0</v>
      </c>
      <c r="AB49" s="25">
        <v>0</v>
      </c>
      <c r="AC49" s="25"/>
      <c r="AD49" s="25"/>
      <c r="AE49" s="25"/>
      <c r="AF49" s="25"/>
      <c r="AG49" s="25"/>
      <c r="AH49" s="25"/>
      <c r="AI49" s="25"/>
      <c r="AJ49" s="25"/>
      <c r="AK49" s="25"/>
      <c r="AL49" s="25"/>
      <c r="AM49" s="25"/>
      <c r="AN49" s="25"/>
      <c r="AO49" s="98"/>
      <c r="AP49" s="107"/>
      <c r="AQ49" s="107"/>
      <c r="AR49" s="107"/>
      <c r="AS49" s="107"/>
      <c r="AT49" s="107"/>
      <c r="AU49" s="107"/>
      <c r="AV49" s="107"/>
      <c r="AW49" s="107"/>
      <c r="AX49" s="107"/>
      <c r="AY49" s="107"/>
      <c r="AZ49" s="107"/>
      <c r="BA49" s="107"/>
    </row>
    <row r="50" spans="1:53" ht="21" customHeight="1">
      <c r="A50" s="33">
        <v>49</v>
      </c>
      <c r="B50" s="61" t="s">
        <v>851</v>
      </c>
      <c r="C50" s="61" t="s">
        <v>79</v>
      </c>
      <c r="D50" s="62">
        <v>10000</v>
      </c>
      <c r="E50" s="62">
        <v>6000</v>
      </c>
      <c r="F50" s="63" t="s">
        <v>852</v>
      </c>
      <c r="G50" s="63" t="s">
        <v>30</v>
      </c>
      <c r="H50" s="63" t="s">
        <v>30</v>
      </c>
      <c r="I50" s="63" t="s">
        <v>30</v>
      </c>
      <c r="J50" s="63" t="s">
        <v>30</v>
      </c>
      <c r="K50" s="63" t="s">
        <v>30</v>
      </c>
      <c r="L50" s="63">
        <v>6000</v>
      </c>
      <c r="M50" s="63"/>
      <c r="N50" s="63"/>
      <c r="O50" s="63"/>
      <c r="P50" s="74"/>
      <c r="Q50" s="74"/>
      <c r="R50" s="74"/>
      <c r="S50" s="74"/>
      <c r="T50" s="74"/>
      <c r="U50" s="74"/>
      <c r="V50" s="74"/>
      <c r="W50" s="40"/>
      <c r="X50" s="74"/>
      <c r="Y50" s="74"/>
      <c r="Z50" s="74"/>
      <c r="AA50" s="74"/>
      <c r="AB50" s="74"/>
      <c r="AC50" s="74">
        <v>0</v>
      </c>
      <c r="AD50" s="74"/>
      <c r="AE50" s="74"/>
      <c r="AF50" s="74"/>
      <c r="AG50" s="74"/>
      <c r="AH50" s="74"/>
      <c r="AI50" s="74"/>
      <c r="AJ50" s="74"/>
      <c r="AK50" s="74"/>
      <c r="AL50" s="27"/>
      <c r="AM50" s="27"/>
      <c r="AN50" s="27"/>
      <c r="AO50" s="108"/>
      <c r="AP50" s="107"/>
      <c r="AQ50" s="107"/>
      <c r="AR50" s="107"/>
      <c r="AS50" s="107"/>
      <c r="AT50" s="107"/>
      <c r="AU50" s="107"/>
      <c r="AV50" s="107"/>
      <c r="AW50" s="107"/>
      <c r="AX50" s="107"/>
      <c r="AY50" s="107"/>
      <c r="AZ50" s="107"/>
      <c r="BA50" s="107"/>
    </row>
    <row r="51" spans="1:53" ht="21" customHeight="1">
      <c r="A51" s="33">
        <v>50</v>
      </c>
      <c r="B51" s="59" t="s">
        <v>853</v>
      </c>
      <c r="C51" s="60" t="s">
        <v>247</v>
      </c>
      <c r="D51" s="60">
        <v>20000</v>
      </c>
      <c r="E51" s="60">
        <v>5000</v>
      </c>
      <c r="F51" s="47" t="s">
        <v>21</v>
      </c>
      <c r="G51" s="47">
        <v>5000</v>
      </c>
      <c r="H51" s="47">
        <v>5000</v>
      </c>
      <c r="I51" s="47">
        <v>0</v>
      </c>
      <c r="J51" s="47">
        <v>2500</v>
      </c>
      <c r="K51" s="47">
        <v>2500</v>
      </c>
      <c r="L51" s="47">
        <v>2500</v>
      </c>
      <c r="M51" s="47">
        <v>5000</v>
      </c>
      <c r="N51" s="47"/>
      <c r="O51" s="47"/>
      <c r="P51" s="25"/>
      <c r="Q51" s="25"/>
      <c r="R51" s="25"/>
      <c r="S51" s="25">
        <f>SUM(G51:R51)</f>
        <v>22500</v>
      </c>
      <c r="T51" s="25">
        <f>D51*2</f>
        <v>40000</v>
      </c>
      <c r="U51" s="25"/>
      <c r="V51" s="25"/>
      <c r="W51" s="36">
        <v>0</v>
      </c>
      <c r="X51" s="25">
        <v>0</v>
      </c>
      <c r="Y51" s="25">
        <v>0</v>
      </c>
      <c r="Z51" s="25">
        <f t="shared" ref="Z51:AB51" si="52">J51</f>
        <v>2500</v>
      </c>
      <c r="AA51" s="25">
        <f t="shared" si="52"/>
        <v>2500</v>
      </c>
      <c r="AB51" s="53">
        <f t="shared" si="52"/>
        <v>2500</v>
      </c>
      <c r="AC51" s="25">
        <v>5000</v>
      </c>
      <c r="AD51" s="25" t="s">
        <v>200</v>
      </c>
      <c r="AE51" s="25"/>
      <c r="AF51" s="25"/>
      <c r="AG51" s="25"/>
      <c r="AH51" s="25"/>
      <c r="AI51" s="25"/>
      <c r="AJ51" s="25"/>
      <c r="AK51" s="25"/>
      <c r="AL51" s="25"/>
      <c r="AM51" s="25"/>
      <c r="AN51" s="25"/>
      <c r="AO51" s="98"/>
    </row>
    <row r="52" spans="1:53" ht="21" customHeight="1">
      <c r="A52" s="33">
        <v>51</v>
      </c>
      <c r="B52" s="61" t="s">
        <v>854</v>
      </c>
      <c r="C52" s="62" t="s">
        <v>224</v>
      </c>
      <c r="D52" s="62">
        <v>6000</v>
      </c>
      <c r="E52" s="62">
        <v>10000</v>
      </c>
      <c r="F52" s="63" t="s">
        <v>167</v>
      </c>
      <c r="G52" s="63" t="s">
        <v>30</v>
      </c>
      <c r="H52" s="63" t="s">
        <v>30</v>
      </c>
      <c r="I52" s="63">
        <v>8000</v>
      </c>
      <c r="J52" s="63">
        <v>10000</v>
      </c>
      <c r="K52" s="63">
        <v>10000</v>
      </c>
      <c r="L52" s="63">
        <v>10000</v>
      </c>
      <c r="M52" s="75">
        <f>E52/20*5</f>
        <v>2500</v>
      </c>
      <c r="N52" s="63"/>
      <c r="O52" s="63"/>
      <c r="P52" s="74"/>
      <c r="Q52" s="74"/>
      <c r="R52" s="74"/>
      <c r="S52" s="74"/>
      <c r="T52" s="74"/>
      <c r="U52" s="74"/>
      <c r="V52" s="74"/>
      <c r="W52" s="74">
        <v>0</v>
      </c>
      <c r="X52" s="74">
        <v>0</v>
      </c>
      <c r="Y52" s="74">
        <v>0</v>
      </c>
      <c r="Z52" s="74">
        <v>0</v>
      </c>
      <c r="AA52" s="74">
        <v>0</v>
      </c>
      <c r="AB52" s="74">
        <v>0</v>
      </c>
      <c r="AC52" s="74">
        <v>0</v>
      </c>
      <c r="AD52" s="74"/>
      <c r="AE52" s="74"/>
      <c r="AF52" s="74"/>
      <c r="AG52" s="74"/>
      <c r="AH52" s="74"/>
      <c r="AI52" s="74"/>
      <c r="AJ52" s="74"/>
      <c r="AK52" s="74"/>
      <c r="AL52" s="25"/>
      <c r="AM52" s="25"/>
      <c r="AN52" s="25"/>
      <c r="AO52" s="98"/>
      <c r="AP52" s="107"/>
      <c r="AQ52" s="107"/>
      <c r="AR52" s="107"/>
      <c r="AS52" s="107"/>
      <c r="AT52" s="107"/>
      <c r="AU52" s="107"/>
      <c r="AV52" s="107"/>
      <c r="AW52" s="107"/>
      <c r="AX52" s="107"/>
      <c r="AY52" s="107"/>
      <c r="AZ52" s="107"/>
      <c r="BA52" s="107"/>
    </row>
    <row r="53" spans="1:53" ht="21" customHeight="1">
      <c r="A53" s="33">
        <v>52</v>
      </c>
      <c r="B53" s="59" t="s">
        <v>855</v>
      </c>
      <c r="C53" s="59" t="s">
        <v>79</v>
      </c>
      <c r="D53" s="60">
        <v>12000</v>
      </c>
      <c r="E53" s="60">
        <v>6000</v>
      </c>
      <c r="F53" s="60"/>
      <c r="G53" s="47" t="s">
        <v>21</v>
      </c>
      <c r="H53" s="47">
        <v>6000</v>
      </c>
      <c r="I53" s="47">
        <v>6000</v>
      </c>
      <c r="J53" s="47">
        <v>6000</v>
      </c>
      <c r="K53" s="47">
        <f t="shared" ref="K53:L53" si="53">J53</f>
        <v>6000</v>
      </c>
      <c r="L53" s="47">
        <f t="shared" si="53"/>
        <v>6000</v>
      </c>
      <c r="M53" s="47">
        <v>6000</v>
      </c>
      <c r="N53" s="47">
        <v>6000</v>
      </c>
      <c r="O53" s="47">
        <v>6000</v>
      </c>
      <c r="P53" s="47">
        <v>6000</v>
      </c>
      <c r="Q53" s="25"/>
      <c r="R53" s="25"/>
      <c r="S53" s="25"/>
      <c r="T53" s="25">
        <f t="shared" ref="T53:T54" si="54">SUM(H53:S53)</f>
        <v>54000</v>
      </c>
      <c r="U53" s="25">
        <f t="shared" ref="U53:U54" si="55">D53*2</f>
        <v>24000</v>
      </c>
      <c r="V53" s="25"/>
      <c r="W53" s="25"/>
      <c r="X53" s="36">
        <f t="shared" ref="X53:AC53" si="56">H53</f>
        <v>6000</v>
      </c>
      <c r="Y53" s="53">
        <f t="shared" si="56"/>
        <v>6000</v>
      </c>
      <c r="Z53" s="53">
        <f t="shared" si="56"/>
        <v>6000</v>
      </c>
      <c r="AA53" s="53">
        <f t="shared" si="56"/>
        <v>6000</v>
      </c>
      <c r="AB53" s="53">
        <f t="shared" si="56"/>
        <v>6000</v>
      </c>
      <c r="AC53" s="25">
        <f t="shared" si="56"/>
        <v>6000</v>
      </c>
      <c r="AD53" s="25">
        <f>N53-3500</f>
        <v>2500</v>
      </c>
      <c r="AE53" s="27">
        <f t="shared" ref="AE53:AF53" si="57">O53</f>
        <v>6000</v>
      </c>
      <c r="AF53" s="25">
        <f t="shared" si="57"/>
        <v>6000</v>
      </c>
      <c r="AG53" s="25" t="s">
        <v>200</v>
      </c>
      <c r="AH53" s="25"/>
      <c r="AI53" s="25"/>
      <c r="AJ53" s="25"/>
      <c r="AK53" s="25"/>
      <c r="AL53" s="25"/>
      <c r="AM53" s="25"/>
      <c r="AN53" s="25"/>
      <c r="AO53" s="98"/>
    </row>
    <row r="54" spans="1:53" ht="21" customHeight="1">
      <c r="A54" s="33">
        <v>53</v>
      </c>
      <c r="B54" s="59" t="s">
        <v>367</v>
      </c>
      <c r="C54" s="60" t="s">
        <v>247</v>
      </c>
      <c r="D54" s="60">
        <v>55000</v>
      </c>
      <c r="E54" s="60">
        <v>0</v>
      </c>
      <c r="F54" s="64">
        <v>55000</v>
      </c>
      <c r="G54" s="47" t="s">
        <v>21</v>
      </c>
      <c r="H54" s="47">
        <v>4000</v>
      </c>
      <c r="I54" s="47">
        <v>4000</v>
      </c>
      <c r="J54" s="47">
        <v>4000</v>
      </c>
      <c r="K54" s="47">
        <f t="shared" ref="K54:L54" si="58">J54</f>
        <v>4000</v>
      </c>
      <c r="L54" s="47">
        <f t="shared" si="58"/>
        <v>4000</v>
      </c>
      <c r="M54" s="47">
        <v>4000</v>
      </c>
      <c r="N54" s="47">
        <v>4000</v>
      </c>
      <c r="O54" s="47">
        <v>4000</v>
      </c>
      <c r="P54" s="76">
        <v>1818</v>
      </c>
      <c r="Q54" s="25"/>
      <c r="R54" s="25"/>
      <c r="S54" s="25"/>
      <c r="T54" s="53">
        <f t="shared" si="54"/>
        <v>33818</v>
      </c>
      <c r="U54" s="25">
        <f t="shared" si="55"/>
        <v>110000</v>
      </c>
      <c r="V54" s="25"/>
      <c r="W54" s="25"/>
      <c r="X54" s="36">
        <v>0</v>
      </c>
      <c r="Y54" s="25">
        <v>0</v>
      </c>
      <c r="Z54" s="25">
        <v>0</v>
      </c>
      <c r="AA54" s="25">
        <v>0</v>
      </c>
      <c r="AB54" s="25">
        <v>0</v>
      </c>
      <c r="AC54" s="25">
        <v>0</v>
      </c>
      <c r="AD54" s="25">
        <v>0</v>
      </c>
      <c r="AE54" s="25">
        <v>0</v>
      </c>
      <c r="AF54" s="53">
        <f>P54</f>
        <v>1818</v>
      </c>
      <c r="AG54" s="25" t="s">
        <v>200</v>
      </c>
      <c r="AH54" s="25"/>
      <c r="AI54" s="25"/>
      <c r="AJ54" s="25"/>
      <c r="AK54" s="25"/>
      <c r="AL54" s="25"/>
      <c r="AM54" s="74"/>
      <c r="AN54" s="74"/>
      <c r="AO54" s="107"/>
      <c r="AP54" s="107"/>
      <c r="AY54" s="107"/>
      <c r="AZ54" s="107"/>
      <c r="BA54" s="107"/>
    </row>
    <row r="55" spans="1:53" ht="21" customHeight="1">
      <c r="A55" s="33">
        <v>54</v>
      </c>
      <c r="B55" s="61" t="s">
        <v>201</v>
      </c>
      <c r="C55" s="61" t="s">
        <v>856</v>
      </c>
      <c r="D55" s="62">
        <v>25000</v>
      </c>
      <c r="E55" s="62">
        <v>5000</v>
      </c>
      <c r="F55" s="62">
        <v>6000</v>
      </c>
      <c r="G55" s="63" t="s">
        <v>21</v>
      </c>
      <c r="H55" s="63" t="s">
        <v>30</v>
      </c>
      <c r="I55" s="63">
        <v>6000</v>
      </c>
      <c r="J55" s="63">
        <v>6000</v>
      </c>
      <c r="K55" s="63">
        <f t="shared" ref="K55:L55" si="59">J55</f>
        <v>6000</v>
      </c>
      <c r="L55" s="63">
        <f t="shared" si="59"/>
        <v>6000</v>
      </c>
      <c r="M55" s="63">
        <v>6000</v>
      </c>
      <c r="N55" s="63">
        <v>6000</v>
      </c>
      <c r="O55" s="63">
        <v>0</v>
      </c>
      <c r="P55" s="63">
        <v>6000</v>
      </c>
      <c r="Q55" s="74"/>
      <c r="R55" s="74"/>
      <c r="S55" s="74"/>
      <c r="T55" s="83" t="s">
        <v>857</v>
      </c>
      <c r="U55" s="74"/>
      <c r="V55" s="74"/>
      <c r="W55" s="74"/>
      <c r="X55" s="74"/>
      <c r="Y55" s="74"/>
      <c r="Z55" s="74"/>
      <c r="AA55" s="74"/>
      <c r="AB55" s="74"/>
      <c r="AC55" s="74"/>
      <c r="AD55" s="74">
        <v>0</v>
      </c>
      <c r="AE55" s="74">
        <v>0</v>
      </c>
      <c r="AF55" s="25">
        <v>0</v>
      </c>
      <c r="AG55" s="74"/>
      <c r="AH55" s="74"/>
      <c r="AI55" s="74"/>
      <c r="AJ55" s="74"/>
      <c r="AK55" s="74"/>
      <c r="AL55" s="74"/>
      <c r="AM55" s="74"/>
      <c r="AN55" s="74"/>
      <c r="AO55" s="107"/>
      <c r="AP55" s="107"/>
      <c r="AY55" s="107"/>
      <c r="AZ55" s="107"/>
      <c r="BA55" s="107"/>
    </row>
    <row r="56" spans="1:53" ht="21" customHeight="1">
      <c r="A56" s="33">
        <v>55</v>
      </c>
      <c r="B56" s="59" t="s">
        <v>858</v>
      </c>
      <c r="C56" s="59" t="s">
        <v>86</v>
      </c>
      <c r="D56" s="60">
        <v>40000</v>
      </c>
      <c r="E56" s="60">
        <v>0</v>
      </c>
      <c r="F56" s="64">
        <v>0</v>
      </c>
      <c r="G56" s="47" t="s">
        <v>21</v>
      </c>
      <c r="H56" s="47">
        <v>5000</v>
      </c>
      <c r="I56" s="47">
        <v>5000</v>
      </c>
      <c r="J56" s="47">
        <v>5000</v>
      </c>
      <c r="K56" s="47">
        <f t="shared" ref="K56:L56" si="60">J56</f>
        <v>5000</v>
      </c>
      <c r="L56" s="47">
        <f t="shared" si="60"/>
        <v>5000</v>
      </c>
      <c r="M56" s="47">
        <v>5000</v>
      </c>
      <c r="N56" s="77">
        <v>5000</v>
      </c>
      <c r="O56" s="47">
        <v>5000</v>
      </c>
      <c r="P56" s="47">
        <v>5000</v>
      </c>
      <c r="Q56" s="84">
        <f>5000/21*10</f>
        <v>2380.9523809523812</v>
      </c>
      <c r="R56" s="25"/>
      <c r="S56" s="25"/>
      <c r="T56" s="53">
        <f t="shared" ref="T56:T57" si="61">SUM(H56:S56)</f>
        <v>47380.952380952382</v>
      </c>
      <c r="U56" s="25">
        <f t="shared" ref="U56:U57" si="62">D56*2</f>
        <v>80000</v>
      </c>
      <c r="V56" s="25"/>
      <c r="W56" s="25"/>
      <c r="X56" s="36">
        <v>0</v>
      </c>
      <c r="Y56" s="25">
        <v>0</v>
      </c>
      <c r="Z56" s="25">
        <f t="shared" ref="Z56:AB56" si="63">J56</f>
        <v>5000</v>
      </c>
      <c r="AA56" s="25">
        <f t="shared" si="63"/>
        <v>5000</v>
      </c>
      <c r="AB56" s="25">
        <f t="shared" si="63"/>
        <v>5000</v>
      </c>
      <c r="AC56" s="25">
        <v>0</v>
      </c>
      <c r="AD56" s="25">
        <v>5000</v>
      </c>
      <c r="AE56" s="84">
        <f t="shared" ref="AE56:AE57" si="64">O56</f>
        <v>5000</v>
      </c>
      <c r="AF56" s="25">
        <v>1045</v>
      </c>
      <c r="AG56" s="53">
        <f>Q56</f>
        <v>2380.9523809523812</v>
      </c>
      <c r="AH56" s="25" t="s">
        <v>200</v>
      </c>
      <c r="AI56" s="25"/>
      <c r="AJ56" s="25"/>
      <c r="AK56" s="25"/>
      <c r="AL56" s="25"/>
      <c r="AM56" s="25"/>
      <c r="AN56" s="25"/>
      <c r="AO56" s="98"/>
      <c r="AY56" s="107"/>
      <c r="AZ56" s="107"/>
      <c r="BA56" s="107"/>
    </row>
    <row r="57" spans="1:53" ht="21" customHeight="1">
      <c r="A57" s="33">
        <v>56</v>
      </c>
      <c r="B57" s="59" t="s">
        <v>859</v>
      </c>
      <c r="C57" s="60" t="s">
        <v>860</v>
      </c>
      <c r="D57" s="60">
        <v>6000</v>
      </c>
      <c r="E57" s="60">
        <v>6000</v>
      </c>
      <c r="F57" s="64">
        <f>'2021'!R53+'To beDeleted'!H57</f>
        <v>12000</v>
      </c>
      <c r="G57" s="47" t="s">
        <v>21</v>
      </c>
      <c r="H57" s="47">
        <v>6000</v>
      </c>
      <c r="I57" s="47">
        <v>6000</v>
      </c>
      <c r="J57" s="47">
        <f>E57/20*11</f>
        <v>3300</v>
      </c>
      <c r="K57" s="47">
        <v>6000</v>
      </c>
      <c r="L57" s="47">
        <v>6000</v>
      </c>
      <c r="M57" s="47">
        <v>3000</v>
      </c>
      <c r="N57" s="47">
        <v>4000</v>
      </c>
      <c r="O57" s="77">
        <f>E57/23*18</f>
        <v>4695.652173913044</v>
      </c>
      <c r="P57" s="47">
        <v>6000</v>
      </c>
      <c r="Q57" s="84">
        <f>6000/21*8</f>
        <v>2285.7142857142858</v>
      </c>
      <c r="R57" s="25" t="s">
        <v>861</v>
      </c>
      <c r="S57" s="25"/>
      <c r="T57" s="53">
        <f t="shared" si="61"/>
        <v>47281.366459627323</v>
      </c>
      <c r="U57" s="25">
        <f t="shared" si="62"/>
        <v>12000</v>
      </c>
      <c r="V57" s="25"/>
      <c r="W57" s="25"/>
      <c r="X57" s="36">
        <v>0</v>
      </c>
      <c r="Y57" s="25">
        <f t="shared" ref="Y57:AC57" si="65">I57</f>
        <v>6000</v>
      </c>
      <c r="Z57" s="25">
        <f t="shared" si="65"/>
        <v>3300</v>
      </c>
      <c r="AA57" s="25">
        <f t="shared" si="65"/>
        <v>6000</v>
      </c>
      <c r="AB57" s="25">
        <f t="shared" si="65"/>
        <v>6000</v>
      </c>
      <c r="AC57" s="25">
        <f t="shared" si="65"/>
        <v>3000</v>
      </c>
      <c r="AD57" s="25">
        <v>4000</v>
      </c>
      <c r="AE57" s="84">
        <f t="shared" si="64"/>
        <v>4695.652173913044</v>
      </c>
      <c r="AF57" s="25">
        <f t="shared" ref="AF57:AG57" si="66">P57</f>
        <v>6000</v>
      </c>
      <c r="AG57" s="53">
        <f t="shared" si="66"/>
        <v>2285.7142857142858</v>
      </c>
      <c r="AH57" s="25" t="s">
        <v>200</v>
      </c>
      <c r="AI57" s="25"/>
      <c r="AJ57" s="25"/>
      <c r="AK57" s="25"/>
      <c r="AL57" s="25"/>
      <c r="AM57" s="25"/>
      <c r="AN57" s="25"/>
      <c r="AO57" s="98"/>
      <c r="AQ57" s="107"/>
      <c r="AR57" s="107"/>
      <c r="AS57" s="107"/>
      <c r="AT57" s="107"/>
      <c r="AU57" s="107"/>
      <c r="AV57" s="107"/>
      <c r="AW57" s="107"/>
      <c r="AX57" s="107"/>
      <c r="AY57" s="107"/>
      <c r="AZ57" s="107"/>
      <c r="BA57" s="107"/>
    </row>
    <row r="58" spans="1:53" ht="27" customHeight="1">
      <c r="A58" s="33">
        <v>57</v>
      </c>
      <c r="B58" s="25" t="s">
        <v>230</v>
      </c>
      <c r="C58" s="6">
        <v>12000</v>
      </c>
      <c r="D58" s="6">
        <v>4000</v>
      </c>
      <c r="E58" s="6">
        <v>9000</v>
      </c>
      <c r="F58" s="4">
        <v>0</v>
      </c>
      <c r="G58" s="4">
        <v>0</v>
      </c>
      <c r="H58" s="4">
        <v>9000</v>
      </c>
      <c r="I58" s="4">
        <v>0</v>
      </c>
      <c r="J58" s="4"/>
      <c r="K58" s="4"/>
      <c r="L58" s="4"/>
      <c r="M58" s="4"/>
      <c r="N58" s="4"/>
      <c r="O58" s="4"/>
      <c r="P58" s="4"/>
      <c r="Q58" s="4"/>
      <c r="R58" s="4"/>
      <c r="S58" s="4">
        <f>SUM(F58:R58)</f>
        <v>9000</v>
      </c>
      <c r="T58" s="25"/>
      <c r="U58" s="25"/>
      <c r="V58" s="25"/>
      <c r="W58" s="25"/>
      <c r="X58" s="25"/>
      <c r="Y58" s="25"/>
      <c r="Z58" s="25"/>
      <c r="AA58" s="25"/>
      <c r="AB58" s="25"/>
      <c r="AC58" s="25"/>
      <c r="AD58" s="25"/>
      <c r="AE58" s="25"/>
      <c r="AF58" s="25"/>
      <c r="AG58" s="25"/>
      <c r="AH58" s="25"/>
      <c r="AI58" s="25"/>
      <c r="AJ58" s="25"/>
      <c r="AK58" s="25"/>
      <c r="AL58" s="25"/>
      <c r="AM58" s="25"/>
      <c r="AN58" s="25"/>
      <c r="AO58" s="98"/>
    </row>
    <row r="59" spans="1:53" ht="21" customHeight="1">
      <c r="A59" s="33">
        <v>58</v>
      </c>
      <c r="B59" s="65" t="s">
        <v>862</v>
      </c>
      <c r="C59" s="66" t="s">
        <v>86</v>
      </c>
      <c r="D59" s="66">
        <v>12000</v>
      </c>
      <c r="E59" s="66">
        <v>4000</v>
      </c>
      <c r="F59" s="67"/>
      <c r="G59" s="65" t="s">
        <v>21</v>
      </c>
      <c r="H59" s="65">
        <v>4000</v>
      </c>
      <c r="I59" s="65">
        <v>4000</v>
      </c>
      <c r="J59" s="65">
        <v>4000</v>
      </c>
      <c r="K59" s="65">
        <f>J59</f>
        <v>4000</v>
      </c>
      <c r="L59" s="65">
        <v>4000</v>
      </c>
      <c r="M59" s="65">
        <v>4000</v>
      </c>
      <c r="N59" s="78">
        <f>E59/20*5</f>
        <v>1000</v>
      </c>
      <c r="O59" s="65">
        <v>4000</v>
      </c>
      <c r="P59" s="67">
        <v>4000</v>
      </c>
      <c r="Q59" s="85">
        <v>4000</v>
      </c>
      <c r="R59" s="67"/>
      <c r="S59" s="67"/>
      <c r="T59" s="85">
        <f>SUM(H59:S59)</f>
        <v>37000</v>
      </c>
      <c r="U59" s="67">
        <f>D59*2</f>
        <v>24000</v>
      </c>
      <c r="V59" s="66">
        <f>'2021'!S50+'To beDeleted'!H59+'To beDeleted'!I59+'To beDeleted'!J59+'To beDeleted'!K59</f>
        <v>24000</v>
      </c>
      <c r="W59" s="86">
        <v>0</v>
      </c>
      <c r="X59" s="67"/>
      <c r="Y59" s="93">
        <v>0</v>
      </c>
      <c r="Z59" s="67">
        <v>0</v>
      </c>
      <c r="AA59" s="67">
        <v>0</v>
      </c>
      <c r="AB59" s="67">
        <v>0</v>
      </c>
      <c r="AC59" s="67">
        <f t="shared" ref="AC59:AD59" si="67">L59</f>
        <v>4000</v>
      </c>
      <c r="AD59" s="67">
        <f t="shared" si="67"/>
        <v>4000</v>
      </c>
      <c r="AE59" s="67">
        <v>1000</v>
      </c>
      <c r="AF59" s="67">
        <f t="shared" ref="AF59:AH59" si="68">O59</f>
        <v>4000</v>
      </c>
      <c r="AG59" s="67">
        <f t="shared" si="68"/>
        <v>4000</v>
      </c>
      <c r="AH59" s="85">
        <f t="shared" si="68"/>
        <v>4000</v>
      </c>
      <c r="AI59" s="67" t="s">
        <v>200</v>
      </c>
      <c r="AJ59" s="67"/>
      <c r="AK59" s="67"/>
      <c r="AL59" s="67"/>
      <c r="AM59" s="67"/>
      <c r="AN59" s="67"/>
      <c r="AO59" s="109"/>
      <c r="AP59" s="109"/>
      <c r="AQ59" s="109"/>
      <c r="AR59" s="109"/>
      <c r="AS59" s="109"/>
      <c r="AT59" s="109"/>
      <c r="AU59" s="109"/>
      <c r="AV59" s="109"/>
      <c r="AW59" s="109"/>
      <c r="AX59" s="109"/>
      <c r="AY59" s="109"/>
      <c r="AZ59" s="109"/>
      <c r="BA59" s="109"/>
    </row>
    <row r="60" spans="1:53" ht="21" customHeight="1">
      <c r="A60" s="33">
        <v>59</v>
      </c>
      <c r="B60" s="68" t="s">
        <v>863</v>
      </c>
      <c r="C60" s="68" t="s">
        <v>150</v>
      </c>
      <c r="D60" s="69">
        <v>18000</v>
      </c>
      <c r="E60" s="69">
        <v>7000</v>
      </c>
      <c r="F60" s="70" t="s">
        <v>21</v>
      </c>
      <c r="G60" s="70">
        <v>7000</v>
      </c>
      <c r="H60" s="70">
        <v>7000</v>
      </c>
      <c r="I60" s="70">
        <v>7000</v>
      </c>
      <c r="J60" s="70">
        <f>I60</f>
        <v>7000</v>
      </c>
      <c r="K60" s="70">
        <v>7000</v>
      </c>
      <c r="L60" s="79">
        <f t="shared" ref="L60:L61" si="69">E60/23*15</f>
        <v>4565.217391304348</v>
      </c>
      <c r="M60" s="70">
        <v>7000</v>
      </c>
      <c r="N60" s="70">
        <v>7000</v>
      </c>
      <c r="O60" s="70">
        <v>7000</v>
      </c>
      <c r="P60" s="80">
        <v>7000</v>
      </c>
      <c r="Q60" s="80"/>
      <c r="R60" s="80"/>
      <c r="S60" s="87">
        <f t="shared" ref="S60:S70" si="70">SUM(G60:R60)</f>
        <v>67565.217391304352</v>
      </c>
      <c r="T60" s="80">
        <f t="shared" ref="T60:T67" si="71">D60*2</f>
        <v>36000</v>
      </c>
      <c r="U60" s="88">
        <v>0</v>
      </c>
      <c r="V60" s="87">
        <f>S60</f>
        <v>67565.217391304352</v>
      </c>
      <c r="W60" s="89">
        <f t="shared" ref="W60:AB60" si="72">G60</f>
        <v>7000</v>
      </c>
      <c r="X60" s="80">
        <f t="shared" si="72"/>
        <v>7000</v>
      </c>
      <c r="Y60" s="80">
        <f t="shared" si="72"/>
        <v>7000</v>
      </c>
      <c r="Z60" s="80">
        <f t="shared" si="72"/>
        <v>7000</v>
      </c>
      <c r="AA60" s="80">
        <f t="shared" si="72"/>
        <v>7000</v>
      </c>
      <c r="AB60" s="87">
        <f t="shared" si="72"/>
        <v>4565.217391304348</v>
      </c>
      <c r="AC60" s="80">
        <v>7000</v>
      </c>
      <c r="AD60" s="80">
        <f t="shared" ref="AD60:AF60" si="73">N60</f>
        <v>7000</v>
      </c>
      <c r="AE60" s="80">
        <f t="shared" si="73"/>
        <v>7000</v>
      </c>
      <c r="AF60" s="80">
        <f t="shared" si="73"/>
        <v>7000</v>
      </c>
      <c r="AG60" s="80"/>
      <c r="AH60" s="80"/>
      <c r="AI60" s="87">
        <f t="shared" ref="AI60:AI65" si="74">SUM(W60:AH60)</f>
        <v>67565.217391304352</v>
      </c>
      <c r="AJ60" s="80"/>
      <c r="AK60" s="80"/>
      <c r="AL60" s="80"/>
      <c r="AM60" s="80"/>
      <c r="AN60" s="80"/>
      <c r="AO60" s="110"/>
      <c r="AP60" s="110"/>
      <c r="AQ60" s="110"/>
      <c r="AR60" s="110"/>
      <c r="AS60" s="110"/>
      <c r="AT60" s="110"/>
      <c r="AU60" s="110"/>
      <c r="AV60" s="110"/>
      <c r="AW60" s="110"/>
      <c r="AX60" s="110"/>
      <c r="AY60" s="110"/>
      <c r="AZ60" s="110"/>
      <c r="BA60" s="110"/>
    </row>
    <row r="61" spans="1:53" ht="21.75" customHeight="1">
      <c r="A61" s="33">
        <v>60</v>
      </c>
      <c r="B61" s="59" t="s">
        <v>144</v>
      </c>
      <c r="C61" s="59" t="s">
        <v>86</v>
      </c>
      <c r="D61" s="60">
        <v>12000</v>
      </c>
      <c r="E61" s="60">
        <v>4000</v>
      </c>
      <c r="F61" s="47" t="s">
        <v>21</v>
      </c>
      <c r="G61" s="47">
        <v>4000</v>
      </c>
      <c r="H61" s="47">
        <v>4000</v>
      </c>
      <c r="I61" s="47">
        <v>4000</v>
      </c>
      <c r="J61" s="77">
        <f>E61/21*16</f>
        <v>3047.6190476190477</v>
      </c>
      <c r="K61" s="47">
        <v>4000</v>
      </c>
      <c r="L61" s="77">
        <f t="shared" si="69"/>
        <v>2608.695652173913</v>
      </c>
      <c r="M61" s="47">
        <v>4000</v>
      </c>
      <c r="N61" s="47">
        <v>4000</v>
      </c>
      <c r="O61" s="77">
        <f>E61/22*14</f>
        <v>2545.4545454545455</v>
      </c>
      <c r="P61" s="27">
        <v>2000</v>
      </c>
      <c r="Q61" s="25">
        <v>4000</v>
      </c>
      <c r="R61" s="25"/>
      <c r="S61" s="53">
        <f t="shared" si="70"/>
        <v>38201.769245247502</v>
      </c>
      <c r="T61" s="25">
        <f t="shared" si="71"/>
        <v>24000</v>
      </c>
      <c r="U61" s="64">
        <f>'2021'!AL21+'To beDeleted'!G61+'To beDeleted'!H61+'To beDeleted'!I61</f>
        <v>27478.260869565216</v>
      </c>
      <c r="V61" s="25">
        <v>0</v>
      </c>
      <c r="W61" s="36">
        <v>0</v>
      </c>
      <c r="X61" s="25">
        <v>0</v>
      </c>
      <c r="Y61" s="25">
        <v>0</v>
      </c>
      <c r="Z61" s="53">
        <f t="shared" ref="Z61:AB61" si="75">J61</f>
        <v>3047.6190476190477</v>
      </c>
      <c r="AA61" s="53">
        <f t="shared" si="75"/>
        <v>4000</v>
      </c>
      <c r="AB61" s="53">
        <f t="shared" si="75"/>
        <v>2608.695652173913</v>
      </c>
      <c r="AC61" s="25">
        <v>4000</v>
      </c>
      <c r="AD61" s="27">
        <f t="shared" ref="AD61:AG61" si="76">N61</f>
        <v>4000</v>
      </c>
      <c r="AE61" s="53">
        <f t="shared" si="76"/>
        <v>2545.4545454545455</v>
      </c>
      <c r="AF61" s="25">
        <f t="shared" si="76"/>
        <v>2000</v>
      </c>
      <c r="AG61" s="27">
        <f t="shared" si="76"/>
        <v>4000</v>
      </c>
      <c r="AH61" s="25" t="s">
        <v>200</v>
      </c>
      <c r="AI61" s="53">
        <f t="shared" si="74"/>
        <v>26201.769245247506</v>
      </c>
      <c r="AJ61" s="25"/>
      <c r="AK61" s="25"/>
      <c r="AL61" s="25"/>
      <c r="AM61" s="74"/>
      <c r="AN61" s="74"/>
      <c r="AO61" s="107"/>
      <c r="AP61" s="107"/>
      <c r="AQ61" s="107"/>
      <c r="AR61" s="107"/>
      <c r="AS61" s="107"/>
      <c r="AT61" s="107"/>
      <c r="AU61" s="107"/>
      <c r="AV61" s="107"/>
      <c r="AW61" s="107"/>
    </row>
    <row r="62" spans="1:53" ht="21" customHeight="1">
      <c r="A62" s="33">
        <v>61</v>
      </c>
      <c r="B62" s="61" t="s">
        <v>864</v>
      </c>
      <c r="C62" s="61" t="s">
        <v>86</v>
      </c>
      <c r="D62" s="62">
        <v>10000</v>
      </c>
      <c r="E62" s="62">
        <v>6000</v>
      </c>
      <c r="F62" s="63" t="s">
        <v>21</v>
      </c>
      <c r="G62" s="63" t="s">
        <v>30</v>
      </c>
      <c r="H62" s="63" t="s">
        <v>30</v>
      </c>
      <c r="I62" s="63" t="s">
        <v>30</v>
      </c>
      <c r="J62" s="63" t="s">
        <v>30</v>
      </c>
      <c r="K62" s="63" t="s">
        <v>30</v>
      </c>
      <c r="L62" s="63" t="s">
        <v>30</v>
      </c>
      <c r="M62" s="63" t="s">
        <v>30</v>
      </c>
      <c r="N62" s="63" t="s">
        <v>30</v>
      </c>
      <c r="O62" s="63" t="s">
        <v>30</v>
      </c>
      <c r="P62" s="63" t="s">
        <v>30</v>
      </c>
      <c r="Q62" s="63">
        <v>0</v>
      </c>
      <c r="R62" s="74"/>
      <c r="S62" s="83">
        <f t="shared" si="70"/>
        <v>0</v>
      </c>
      <c r="T62" s="90">
        <f t="shared" si="71"/>
        <v>20000</v>
      </c>
      <c r="U62" s="91">
        <f>SUM(R62)</f>
        <v>0</v>
      </c>
      <c r="V62" s="74">
        <v>0</v>
      </c>
      <c r="W62" s="74"/>
      <c r="X62" s="74"/>
      <c r="Y62" s="74"/>
      <c r="Z62" s="74"/>
      <c r="AA62" s="74"/>
      <c r="AB62" s="74"/>
      <c r="AC62" s="74"/>
      <c r="AD62" s="74"/>
      <c r="AE62" s="74">
        <v>0</v>
      </c>
      <c r="AF62" s="74">
        <v>0</v>
      </c>
      <c r="AG62" s="74">
        <v>0</v>
      </c>
      <c r="AH62" s="74"/>
      <c r="AI62" s="53">
        <f t="shared" si="74"/>
        <v>0</v>
      </c>
      <c r="AJ62" s="74"/>
      <c r="AK62" s="74"/>
      <c r="AL62" s="74"/>
      <c r="AM62" s="74"/>
      <c r="AN62" s="74"/>
      <c r="AO62" s="111"/>
      <c r="AP62" s="74"/>
      <c r="AQ62" s="74"/>
      <c r="AR62" s="74"/>
      <c r="AS62" s="74"/>
      <c r="AT62" s="74"/>
      <c r="AU62" s="74"/>
      <c r="AV62" s="74"/>
      <c r="AW62" s="74"/>
      <c r="AX62" s="74"/>
      <c r="AY62" s="74"/>
      <c r="AZ62" s="74"/>
      <c r="BA62" s="74"/>
    </row>
    <row r="63" spans="1:53" ht="21" customHeight="1">
      <c r="A63" s="33">
        <v>62</v>
      </c>
      <c r="B63" s="59" t="s">
        <v>865</v>
      </c>
      <c r="C63" s="59" t="s">
        <v>74</v>
      </c>
      <c r="D63" s="60">
        <v>6000</v>
      </c>
      <c r="E63" s="60">
        <v>6000</v>
      </c>
      <c r="F63" s="47" t="s">
        <v>21</v>
      </c>
      <c r="G63" s="47">
        <v>6000</v>
      </c>
      <c r="H63" s="47">
        <v>6000</v>
      </c>
      <c r="I63" s="47">
        <v>6000</v>
      </c>
      <c r="J63" s="47">
        <f t="shared" ref="J63:J64" si="77">I63</f>
        <v>6000</v>
      </c>
      <c r="K63" s="47">
        <v>6000</v>
      </c>
      <c r="L63" s="47">
        <v>6000</v>
      </c>
      <c r="M63" s="47">
        <v>3000</v>
      </c>
      <c r="N63" s="47">
        <v>5000</v>
      </c>
      <c r="O63" s="47">
        <f>E63-200</f>
        <v>5800</v>
      </c>
      <c r="P63" s="25">
        <v>0</v>
      </c>
      <c r="Q63" s="53">
        <f>6000/23*14</f>
        <v>3652.1739130434785</v>
      </c>
      <c r="R63" s="25" t="s">
        <v>866</v>
      </c>
      <c r="S63" s="53">
        <f t="shared" si="70"/>
        <v>53452.17391304348</v>
      </c>
      <c r="T63" s="25">
        <f t="shared" si="71"/>
        <v>12000</v>
      </c>
      <c r="U63" s="60">
        <f>'2021'!AL37</f>
        <v>12062</v>
      </c>
      <c r="V63" s="25">
        <v>0</v>
      </c>
      <c r="W63" s="36">
        <f t="shared" ref="W63:AE63" si="78">G63</f>
        <v>6000</v>
      </c>
      <c r="X63" s="25">
        <f t="shared" si="78"/>
        <v>6000</v>
      </c>
      <c r="Y63" s="25">
        <f t="shared" si="78"/>
        <v>6000</v>
      </c>
      <c r="Z63" s="25">
        <f t="shared" si="78"/>
        <v>6000</v>
      </c>
      <c r="AA63" s="25">
        <f t="shared" si="78"/>
        <v>6000</v>
      </c>
      <c r="AB63" s="25">
        <f t="shared" si="78"/>
        <v>6000</v>
      </c>
      <c r="AC63" s="25">
        <f t="shared" si="78"/>
        <v>3000</v>
      </c>
      <c r="AD63" s="27">
        <f t="shared" si="78"/>
        <v>5000</v>
      </c>
      <c r="AE63" s="25">
        <f t="shared" si="78"/>
        <v>5800</v>
      </c>
      <c r="AF63" s="25">
        <v>0</v>
      </c>
      <c r="AG63" s="84">
        <f>Q63</f>
        <v>3652.1739130434785</v>
      </c>
      <c r="AH63" s="25" t="s">
        <v>200</v>
      </c>
      <c r="AI63" s="53">
        <f t="shared" si="74"/>
        <v>53452.17391304348</v>
      </c>
      <c r="AJ63" s="25"/>
      <c r="AK63" s="25"/>
      <c r="AL63" s="25"/>
      <c r="AM63" s="74"/>
      <c r="AN63" s="74"/>
      <c r="AO63" s="107"/>
      <c r="AP63" s="107"/>
      <c r="AQ63" s="107"/>
      <c r="AR63" s="107"/>
      <c r="AS63" s="107"/>
      <c r="AT63" s="107"/>
      <c r="AU63" s="107"/>
      <c r="AV63" s="107"/>
      <c r="AW63" s="107"/>
      <c r="AX63" s="107"/>
      <c r="AY63" s="107"/>
      <c r="AZ63" s="107"/>
      <c r="BA63" s="107"/>
    </row>
    <row r="64" spans="1:53" ht="21" customHeight="1">
      <c r="A64" s="33">
        <v>63</v>
      </c>
      <c r="B64" s="59" t="s">
        <v>161</v>
      </c>
      <c r="C64" s="59" t="s">
        <v>846</v>
      </c>
      <c r="D64" s="60">
        <v>6000</v>
      </c>
      <c r="E64" s="60">
        <v>6000</v>
      </c>
      <c r="F64" s="47" t="s">
        <v>21</v>
      </c>
      <c r="G64" s="71">
        <v>6000</v>
      </c>
      <c r="H64" s="71">
        <v>6000</v>
      </c>
      <c r="I64" s="71">
        <v>6000</v>
      </c>
      <c r="J64" s="71">
        <f t="shared" si="77"/>
        <v>6000</v>
      </c>
      <c r="K64" s="71">
        <v>6000</v>
      </c>
      <c r="L64" s="71">
        <v>3000</v>
      </c>
      <c r="M64" s="71">
        <v>6000</v>
      </c>
      <c r="N64" s="81">
        <f>E64/23*12</f>
        <v>3130.434782608696</v>
      </c>
      <c r="O64" s="71">
        <v>6000</v>
      </c>
      <c r="P64" s="27">
        <v>6000</v>
      </c>
      <c r="Q64" s="53">
        <f>6000/23*5</f>
        <v>1304.3478260869565</v>
      </c>
      <c r="R64" s="25" t="s">
        <v>867</v>
      </c>
      <c r="S64" s="53">
        <f t="shared" si="70"/>
        <v>55434.782608695656</v>
      </c>
      <c r="T64" s="25">
        <f t="shared" si="71"/>
        <v>12000</v>
      </c>
      <c r="U64" s="60">
        <f>'2021'!AL40</f>
        <v>12000</v>
      </c>
      <c r="V64" s="25">
        <v>0</v>
      </c>
      <c r="W64" s="36">
        <f t="shared" ref="W64:AG64" si="79">G64</f>
        <v>6000</v>
      </c>
      <c r="X64" s="25">
        <f t="shared" si="79"/>
        <v>6000</v>
      </c>
      <c r="Y64" s="25">
        <f t="shared" si="79"/>
        <v>6000</v>
      </c>
      <c r="Z64" s="25">
        <f t="shared" si="79"/>
        <v>6000</v>
      </c>
      <c r="AA64" s="25">
        <f t="shared" si="79"/>
        <v>6000</v>
      </c>
      <c r="AB64" s="25">
        <f t="shared" si="79"/>
        <v>3000</v>
      </c>
      <c r="AC64" s="25">
        <f t="shared" si="79"/>
        <v>6000</v>
      </c>
      <c r="AD64" s="84">
        <f t="shared" si="79"/>
        <v>3130.434782608696</v>
      </c>
      <c r="AE64" s="25">
        <f t="shared" si="79"/>
        <v>6000</v>
      </c>
      <c r="AF64" s="25">
        <f t="shared" si="79"/>
        <v>6000</v>
      </c>
      <c r="AG64" s="53">
        <f t="shared" si="79"/>
        <v>1304.3478260869565</v>
      </c>
      <c r="AH64" s="25" t="s">
        <v>200</v>
      </c>
      <c r="AI64" s="53">
        <f t="shared" si="74"/>
        <v>55434.782608695656</v>
      </c>
      <c r="AJ64" s="25"/>
      <c r="AK64" s="25"/>
      <c r="AL64" s="25"/>
      <c r="AM64" s="25"/>
      <c r="AN64" s="74"/>
      <c r="AO64" s="107"/>
      <c r="AP64" s="107"/>
      <c r="AQ64" s="107"/>
      <c r="AR64" s="107"/>
      <c r="AS64" s="107"/>
      <c r="AT64" s="107"/>
      <c r="AU64" s="107"/>
      <c r="AV64" s="107"/>
      <c r="AW64" s="107"/>
      <c r="AY64" s="107"/>
      <c r="AZ64" s="107"/>
      <c r="BA64" s="107"/>
    </row>
    <row r="65" spans="1:53" ht="21" customHeight="1">
      <c r="A65" s="33">
        <v>64</v>
      </c>
      <c r="B65" s="59" t="s">
        <v>75</v>
      </c>
      <c r="C65" s="59" t="s">
        <v>230</v>
      </c>
      <c r="D65" s="60">
        <v>15000</v>
      </c>
      <c r="E65" s="60">
        <v>10000</v>
      </c>
      <c r="F65" s="47" t="s">
        <v>167</v>
      </c>
      <c r="G65" s="47">
        <v>10000</v>
      </c>
      <c r="H65" s="77">
        <f>E65/23*20</f>
        <v>8695.652173913044</v>
      </c>
      <c r="I65" s="47">
        <v>8000</v>
      </c>
      <c r="J65" s="47">
        <v>0</v>
      </c>
      <c r="K65" s="47">
        <v>0</v>
      </c>
      <c r="L65" s="77">
        <f>E65/23*7</f>
        <v>3043.4782608695655</v>
      </c>
      <c r="M65" s="77">
        <f>E65/20*16</f>
        <v>8000</v>
      </c>
      <c r="N65" s="77">
        <v>7000</v>
      </c>
      <c r="O65" s="47">
        <v>10000</v>
      </c>
      <c r="P65" s="27">
        <v>10000</v>
      </c>
      <c r="Q65" s="87">
        <f>10000/23*5</f>
        <v>2173.913043478261</v>
      </c>
      <c r="R65" s="25" t="s">
        <v>868</v>
      </c>
      <c r="S65" s="53">
        <f t="shared" si="70"/>
        <v>66913.043478260865</v>
      </c>
      <c r="T65" s="25">
        <f t="shared" si="71"/>
        <v>30000</v>
      </c>
      <c r="U65" s="60">
        <f>'2020'!AH5+'2021'!AL44-15000</f>
        <v>19000</v>
      </c>
      <c r="V65" s="25">
        <v>0</v>
      </c>
      <c r="W65" s="36">
        <f t="shared" ref="W65:Y65" si="80">G65</f>
        <v>10000</v>
      </c>
      <c r="X65" s="53">
        <f t="shared" si="80"/>
        <v>8695.652173913044</v>
      </c>
      <c r="Y65" s="25">
        <f t="shared" si="80"/>
        <v>8000</v>
      </c>
      <c r="Z65" s="25">
        <v>0</v>
      </c>
      <c r="AA65" s="25">
        <f t="shared" ref="AA65:AG65" si="81">K65</f>
        <v>0</v>
      </c>
      <c r="AB65" s="53">
        <f t="shared" si="81"/>
        <v>3043.4782608695655</v>
      </c>
      <c r="AC65" s="53">
        <f t="shared" si="81"/>
        <v>8000</v>
      </c>
      <c r="AD65" s="84">
        <f t="shared" si="81"/>
        <v>7000</v>
      </c>
      <c r="AE65" s="25">
        <f t="shared" si="81"/>
        <v>10000</v>
      </c>
      <c r="AF65" s="25">
        <f t="shared" si="81"/>
        <v>10000</v>
      </c>
      <c r="AG65" s="84">
        <f t="shared" si="81"/>
        <v>2173.913043478261</v>
      </c>
      <c r="AH65" s="25" t="s">
        <v>200</v>
      </c>
      <c r="AI65" s="53">
        <f t="shared" si="74"/>
        <v>66913.043478260865</v>
      </c>
      <c r="AJ65" s="25"/>
      <c r="AK65" s="25"/>
      <c r="AL65" s="25"/>
      <c r="AM65" s="74"/>
      <c r="AN65" s="25"/>
      <c r="AO65" s="281"/>
      <c r="AP65" s="25"/>
      <c r="AQ65" s="25"/>
      <c r="AX65" s="107"/>
      <c r="AY65" s="107"/>
      <c r="AZ65" s="107"/>
      <c r="BA65" s="107"/>
    </row>
    <row r="66" spans="1:53" ht="21" customHeight="1">
      <c r="A66" s="33">
        <v>65</v>
      </c>
      <c r="B66" s="59" t="s">
        <v>220</v>
      </c>
      <c r="C66" s="59" t="s">
        <v>150</v>
      </c>
      <c r="D66" s="60">
        <v>6000</v>
      </c>
      <c r="E66" s="60">
        <v>6000</v>
      </c>
      <c r="F66" s="47" t="s">
        <v>282</v>
      </c>
      <c r="G66" s="6">
        <v>3000</v>
      </c>
      <c r="H66" s="6">
        <v>3000</v>
      </c>
      <c r="I66" s="6"/>
      <c r="J66" s="6"/>
      <c r="K66" s="6"/>
      <c r="L66" s="6"/>
      <c r="M66" s="6"/>
      <c r="N66" s="6"/>
      <c r="O66" s="158"/>
      <c r="P66" s="4"/>
      <c r="Q66" s="4"/>
      <c r="R66" s="4"/>
      <c r="S66" s="53">
        <f t="shared" si="70"/>
        <v>6000</v>
      </c>
      <c r="T66" s="229">
        <f t="shared" si="71"/>
        <v>12000</v>
      </c>
      <c r="U66" s="229">
        <f>'2022'!U23</f>
        <v>16500</v>
      </c>
      <c r="V66" s="229">
        <f t="shared" ref="V66:W66" si="82">G66</f>
        <v>3000</v>
      </c>
      <c r="W66" s="229">
        <f t="shared" si="82"/>
        <v>3000</v>
      </c>
      <c r="X66" s="229"/>
      <c r="Y66" s="229">
        <f t="shared" ref="Y66:AG66" si="83">J66</f>
        <v>0</v>
      </c>
      <c r="Z66" s="229">
        <f t="shared" si="83"/>
        <v>0</v>
      </c>
      <c r="AA66" s="229">
        <f t="shared" si="83"/>
        <v>0</v>
      </c>
      <c r="AB66" s="229">
        <f t="shared" si="83"/>
        <v>0</v>
      </c>
      <c r="AC66" s="229">
        <f t="shared" si="83"/>
        <v>0</v>
      </c>
      <c r="AD66" s="229">
        <f t="shared" si="83"/>
        <v>0</v>
      </c>
      <c r="AE66" s="229">
        <f t="shared" si="83"/>
        <v>0</v>
      </c>
      <c r="AF66" s="229">
        <f t="shared" si="83"/>
        <v>0</v>
      </c>
      <c r="AG66" s="229">
        <f t="shared" si="83"/>
        <v>0</v>
      </c>
      <c r="AH66" s="229"/>
      <c r="AI66" s="229">
        <f t="shared" ref="AI66:AI70" si="84">SUM(V66:AG66)</f>
        <v>6000</v>
      </c>
      <c r="AJ66" s="229">
        <f t="shared" ref="AJ66:AJ67" si="85">S66-V66-W66-X66-Y66-Z66-AA66-AB66-AC66-AD66-AE66-AF66-AG66</f>
        <v>0</v>
      </c>
      <c r="AK66" s="229"/>
      <c r="AL66" s="229"/>
      <c r="AM66" s="229"/>
      <c r="AN66" s="276">
        <f t="shared" ref="AN66:AN70" si="86">AK66+AL66+AM66</f>
        <v>0</v>
      </c>
      <c r="AO66" s="282"/>
      <c r="AP66" s="25"/>
      <c r="AQ66" s="25"/>
      <c r="AR66" s="25"/>
      <c r="AS66" s="25"/>
      <c r="AT66" s="25"/>
      <c r="AU66" s="25"/>
      <c r="AV66" s="25"/>
      <c r="AW66" s="25"/>
      <c r="AX66" s="25"/>
      <c r="AY66" s="25"/>
      <c r="AZ66" s="25"/>
      <c r="BA66" s="25"/>
    </row>
    <row r="67" spans="1:53" ht="21" customHeight="1">
      <c r="A67" s="33">
        <v>66</v>
      </c>
      <c r="B67" s="59" t="s">
        <v>249</v>
      </c>
      <c r="C67" s="59" t="s">
        <v>247</v>
      </c>
      <c r="D67" s="60">
        <v>12000</v>
      </c>
      <c r="E67" s="60">
        <v>4000</v>
      </c>
      <c r="F67" s="47" t="s">
        <v>282</v>
      </c>
      <c r="G67" s="6">
        <v>0</v>
      </c>
      <c r="H67" s="6">
        <v>0</v>
      </c>
      <c r="I67" s="6">
        <v>0</v>
      </c>
      <c r="J67" s="6"/>
      <c r="K67" s="6"/>
      <c r="L67" s="6"/>
      <c r="M67" s="6"/>
      <c r="N67" s="6"/>
      <c r="O67" s="158"/>
      <c r="P67" s="4"/>
      <c r="Q67" s="4"/>
      <c r="R67" s="4"/>
      <c r="S67" s="53">
        <f t="shared" si="70"/>
        <v>0</v>
      </c>
      <c r="T67" s="229">
        <f t="shared" si="71"/>
        <v>24000</v>
      </c>
      <c r="U67" s="230">
        <f>'2022'!U50</f>
        <v>26500</v>
      </c>
      <c r="V67" s="229">
        <f>G67</f>
        <v>0</v>
      </c>
      <c r="W67" s="229"/>
      <c r="X67" s="229">
        <f t="shared" ref="X67:AG67" si="87">I67</f>
        <v>0</v>
      </c>
      <c r="Y67" s="229">
        <f t="shared" si="87"/>
        <v>0</v>
      </c>
      <c r="Z67" s="229">
        <f t="shared" si="87"/>
        <v>0</v>
      </c>
      <c r="AA67" s="229">
        <f t="shared" si="87"/>
        <v>0</v>
      </c>
      <c r="AB67" s="229">
        <f t="shared" si="87"/>
        <v>0</v>
      </c>
      <c r="AC67" s="229">
        <f t="shared" si="87"/>
        <v>0</v>
      </c>
      <c r="AD67" s="229">
        <f t="shared" si="87"/>
        <v>0</v>
      </c>
      <c r="AE67" s="229">
        <f t="shared" si="87"/>
        <v>0</v>
      </c>
      <c r="AF67" s="229">
        <f t="shared" si="87"/>
        <v>0</v>
      </c>
      <c r="AG67" s="229">
        <f t="shared" si="87"/>
        <v>0</v>
      </c>
      <c r="AH67" s="232"/>
      <c r="AI67" s="232">
        <f t="shared" si="84"/>
        <v>0</v>
      </c>
      <c r="AJ67" s="232">
        <f t="shared" si="85"/>
        <v>0</v>
      </c>
      <c r="AK67" s="232"/>
      <c r="AL67" s="232"/>
      <c r="AM67" s="232"/>
      <c r="AN67" s="277">
        <f t="shared" si="86"/>
        <v>0</v>
      </c>
      <c r="AO67" s="283"/>
      <c r="AP67" s="107"/>
      <c r="AQ67" s="107"/>
      <c r="AR67" s="107"/>
      <c r="AS67" s="107"/>
      <c r="AT67" s="107"/>
      <c r="AU67" s="107"/>
      <c r="AV67" s="107"/>
      <c r="AW67" s="107"/>
      <c r="AX67" s="107"/>
      <c r="AY67" s="107"/>
      <c r="AZ67" s="107"/>
      <c r="BA67" s="107"/>
    </row>
    <row r="68" spans="1:53" ht="21" customHeight="1">
      <c r="A68" s="33">
        <v>67</v>
      </c>
      <c r="B68" s="59" t="s">
        <v>97</v>
      </c>
      <c r="C68" s="59" t="s">
        <v>224</v>
      </c>
      <c r="D68" s="60">
        <v>30000</v>
      </c>
      <c r="E68" s="60">
        <v>5000</v>
      </c>
      <c r="F68" s="47" t="s">
        <v>84</v>
      </c>
      <c r="G68" s="6">
        <v>5000</v>
      </c>
      <c r="H68" s="6">
        <v>5000</v>
      </c>
      <c r="I68" s="6">
        <v>5000</v>
      </c>
      <c r="J68" s="6"/>
      <c r="K68" s="6"/>
      <c r="L68" s="6"/>
      <c r="M68" s="6"/>
      <c r="N68" s="6"/>
      <c r="O68" s="158"/>
      <c r="P68" s="4"/>
      <c r="Q68" s="4"/>
      <c r="R68" s="4"/>
      <c r="S68" s="53">
        <f t="shared" si="70"/>
        <v>15000</v>
      </c>
      <c r="T68" s="229"/>
      <c r="U68" s="229">
        <f>'2022'!U60</f>
        <v>28630.434782608696</v>
      </c>
      <c r="V68" s="229"/>
      <c r="W68" s="229"/>
      <c r="X68" s="229">
        <f t="shared" ref="X68:AG68" si="88">I68</f>
        <v>5000</v>
      </c>
      <c r="Y68" s="229">
        <f t="shared" si="88"/>
        <v>0</v>
      </c>
      <c r="Z68" s="229">
        <f t="shared" si="88"/>
        <v>0</v>
      </c>
      <c r="AA68" s="229">
        <f t="shared" si="88"/>
        <v>0</v>
      </c>
      <c r="AB68" s="229">
        <f t="shared" si="88"/>
        <v>0</v>
      </c>
      <c r="AC68" s="229">
        <f t="shared" si="88"/>
        <v>0</v>
      </c>
      <c r="AD68" s="229">
        <f t="shared" si="88"/>
        <v>0</v>
      </c>
      <c r="AE68" s="229">
        <f t="shared" si="88"/>
        <v>0</v>
      </c>
      <c r="AF68" s="229">
        <f t="shared" si="88"/>
        <v>0</v>
      </c>
      <c r="AG68" s="229">
        <f t="shared" si="88"/>
        <v>0</v>
      </c>
      <c r="AH68" s="232"/>
      <c r="AI68" s="232">
        <f t="shared" si="84"/>
        <v>5000</v>
      </c>
      <c r="AJ68" s="232">
        <f>S68-X68-Y68-Z68-AA68</f>
        <v>10000</v>
      </c>
      <c r="AK68" s="232">
        <f>'2022'!AK41</f>
        <v>38000</v>
      </c>
      <c r="AL68" s="232">
        <f>'2022'!AL41</f>
        <v>24000</v>
      </c>
      <c r="AM68" s="232"/>
      <c r="AN68" s="277">
        <f t="shared" si="86"/>
        <v>62000</v>
      </c>
      <c r="AO68" s="283"/>
      <c r="AP68" s="107"/>
      <c r="AQ68" s="107"/>
      <c r="AR68" s="107"/>
      <c r="AS68" s="107"/>
      <c r="AT68" s="107"/>
      <c r="AU68" s="107"/>
      <c r="AV68" s="107"/>
      <c r="AW68" s="107"/>
      <c r="AX68" s="107"/>
      <c r="AY68" s="107"/>
      <c r="AZ68" s="107"/>
      <c r="BA68" s="107"/>
    </row>
    <row r="69" spans="1:53" ht="21" customHeight="1">
      <c r="A69" s="33">
        <v>68</v>
      </c>
      <c r="B69" s="59" t="s">
        <v>243</v>
      </c>
      <c r="C69" s="59" t="s">
        <v>74</v>
      </c>
      <c r="D69" s="60">
        <v>20000</v>
      </c>
      <c r="E69" s="60">
        <v>5000</v>
      </c>
      <c r="F69" s="47" t="s">
        <v>282</v>
      </c>
      <c r="G69" s="6">
        <v>2000</v>
      </c>
      <c r="H69" s="113">
        <f>E69/23*13</f>
        <v>2826.086956521739</v>
      </c>
      <c r="I69" s="6">
        <v>5000</v>
      </c>
      <c r="J69" s="6"/>
      <c r="K69" s="6"/>
      <c r="L69" s="6"/>
      <c r="M69" s="6"/>
      <c r="N69" s="6"/>
      <c r="O69" s="158"/>
      <c r="P69" s="4"/>
      <c r="Q69" s="4"/>
      <c r="R69" s="4"/>
      <c r="S69" s="53">
        <f t="shared" si="70"/>
        <v>9826.0869565217399</v>
      </c>
      <c r="T69" s="229"/>
      <c r="U69" s="231" t="s">
        <v>581</v>
      </c>
      <c r="V69" s="229">
        <f t="shared" ref="V69:AG69" si="89">G69</f>
        <v>2000</v>
      </c>
      <c r="W69" s="229">
        <f t="shared" si="89"/>
        <v>2826.086956521739</v>
      </c>
      <c r="X69" s="229">
        <f t="shared" si="89"/>
        <v>5000</v>
      </c>
      <c r="Y69" s="229">
        <f t="shared" si="89"/>
        <v>0</v>
      </c>
      <c r="Z69" s="229">
        <f t="shared" si="89"/>
        <v>0</v>
      </c>
      <c r="AA69" s="229">
        <f t="shared" si="89"/>
        <v>0</v>
      </c>
      <c r="AB69" s="229">
        <f t="shared" si="89"/>
        <v>0</v>
      </c>
      <c r="AC69" s="229">
        <f t="shared" si="89"/>
        <v>0</v>
      </c>
      <c r="AD69" s="229">
        <f t="shared" si="89"/>
        <v>0</v>
      </c>
      <c r="AE69" s="229">
        <f t="shared" si="89"/>
        <v>0</v>
      </c>
      <c r="AF69" s="229">
        <f t="shared" si="89"/>
        <v>0</v>
      </c>
      <c r="AG69" s="229">
        <f t="shared" si="89"/>
        <v>0</v>
      </c>
      <c r="AH69" s="232"/>
      <c r="AI69" s="232">
        <f t="shared" si="84"/>
        <v>9826.0869565217399</v>
      </c>
      <c r="AJ69" s="232">
        <f t="shared" ref="AJ69:AJ70" si="90">S69-V69-W69-X69-Y69-Z69-AA69-AB69-AC69-AD69-AE69-AF69-AG69</f>
        <v>9.0949470177292824E-13</v>
      </c>
      <c r="AK69" s="232"/>
      <c r="AL69" s="232"/>
      <c r="AM69" s="232"/>
      <c r="AN69" s="277">
        <f t="shared" si="86"/>
        <v>0</v>
      </c>
      <c r="AO69" s="283"/>
      <c r="AP69" s="107"/>
      <c r="AQ69" s="107"/>
      <c r="AR69" s="107"/>
      <c r="AS69" s="107"/>
      <c r="AT69" s="107"/>
      <c r="AU69" s="107"/>
      <c r="AV69" s="107"/>
      <c r="AW69" s="107"/>
      <c r="AX69" s="107"/>
      <c r="AY69" s="107"/>
      <c r="AZ69" s="107"/>
      <c r="BA69" s="107"/>
    </row>
    <row r="70" spans="1:53" ht="21" customHeight="1">
      <c r="A70" s="33">
        <v>69</v>
      </c>
      <c r="B70" s="61" t="s">
        <v>255</v>
      </c>
      <c r="C70" s="61" t="s">
        <v>224</v>
      </c>
      <c r="D70" s="62">
        <v>6000</v>
      </c>
      <c r="E70" s="62">
        <v>10000</v>
      </c>
      <c r="F70" s="63" t="s">
        <v>84</v>
      </c>
      <c r="G70" s="114">
        <v>9000</v>
      </c>
      <c r="H70" s="114">
        <v>9000</v>
      </c>
      <c r="I70" s="114">
        <v>0</v>
      </c>
      <c r="J70" s="114" t="s">
        <v>869</v>
      </c>
      <c r="K70" s="114"/>
      <c r="L70" s="114"/>
      <c r="M70" s="159"/>
      <c r="N70" s="159"/>
      <c r="O70" s="114"/>
      <c r="P70" s="160"/>
      <c r="Q70" s="160"/>
      <c r="R70" s="160"/>
      <c r="S70" s="83">
        <f t="shared" si="70"/>
        <v>18000</v>
      </c>
      <c r="T70" s="232"/>
      <c r="U70" s="232">
        <f>'2022'!U55</f>
        <v>60857.142857142855</v>
      </c>
      <c r="V70" s="232"/>
      <c r="W70" s="232"/>
      <c r="X70" s="232"/>
      <c r="Y70" s="232" t="str">
        <f t="shared" ref="Y70:AG70" si="91">J70</f>
        <v>Employment End date 20 March 2023 (16 present days)</v>
      </c>
      <c r="Z70" s="232">
        <f t="shared" si="91"/>
        <v>0</v>
      </c>
      <c r="AA70" s="232">
        <f t="shared" si="91"/>
        <v>0</v>
      </c>
      <c r="AB70" s="232">
        <f t="shared" si="91"/>
        <v>0</v>
      </c>
      <c r="AC70" s="232">
        <f t="shared" si="91"/>
        <v>0</v>
      </c>
      <c r="AD70" s="232">
        <f t="shared" si="91"/>
        <v>0</v>
      </c>
      <c r="AE70" s="232">
        <f t="shared" si="91"/>
        <v>0</v>
      </c>
      <c r="AF70" s="232">
        <f t="shared" si="91"/>
        <v>0</v>
      </c>
      <c r="AG70" s="232">
        <f t="shared" si="91"/>
        <v>0</v>
      </c>
      <c r="AH70" s="229"/>
      <c r="AI70" s="229">
        <f t="shared" si="84"/>
        <v>0</v>
      </c>
      <c r="AJ70" s="229" t="e">
        <f t="shared" si="90"/>
        <v>#VALUE!</v>
      </c>
      <c r="AK70" s="229"/>
      <c r="AL70" s="229"/>
      <c r="AM70" s="229"/>
      <c r="AN70" s="276">
        <f t="shared" si="86"/>
        <v>0</v>
      </c>
      <c r="AO70" s="282"/>
      <c r="AP70" s="25"/>
      <c r="AQ70" s="25"/>
      <c r="AR70" s="25"/>
      <c r="AS70" s="25"/>
      <c r="AT70" s="25"/>
      <c r="AU70" s="25"/>
      <c r="AV70" s="25"/>
      <c r="AW70" s="25"/>
      <c r="AX70" s="25"/>
      <c r="AY70" s="25"/>
      <c r="AZ70" s="25"/>
      <c r="BA70" s="25"/>
    </row>
    <row r="71" spans="1:53" ht="15" customHeight="1">
      <c r="A71" s="33">
        <v>70</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98"/>
    </row>
    <row r="72" spans="1:53" ht="21" customHeight="1">
      <c r="A72" s="33">
        <v>71</v>
      </c>
      <c r="B72" s="61" t="s">
        <v>870</v>
      </c>
      <c r="C72" s="61" t="s">
        <v>224</v>
      </c>
      <c r="D72" s="62">
        <v>6000</v>
      </c>
      <c r="E72" s="62">
        <v>10000</v>
      </c>
      <c r="F72" s="63" t="s">
        <v>84</v>
      </c>
      <c r="G72" s="115">
        <v>9000</v>
      </c>
      <c r="H72" s="116">
        <v>10000</v>
      </c>
      <c r="I72" s="114">
        <v>0</v>
      </c>
      <c r="J72" s="114">
        <v>0</v>
      </c>
      <c r="K72" s="114">
        <v>0</v>
      </c>
      <c r="L72" s="114">
        <v>0</v>
      </c>
      <c r="M72" s="114">
        <v>0</v>
      </c>
      <c r="N72" s="114">
        <v>0</v>
      </c>
      <c r="O72" s="114">
        <v>0</v>
      </c>
      <c r="P72" s="114">
        <v>0</v>
      </c>
      <c r="Q72" s="114">
        <v>0</v>
      </c>
      <c r="R72" s="114">
        <v>0</v>
      </c>
      <c r="S72" s="83">
        <f>SUM(G72:R72)</f>
        <v>19000</v>
      </c>
      <c r="T72" s="232"/>
      <c r="U72" s="232">
        <f>SUM(H72:R72)</f>
        <v>10000</v>
      </c>
      <c r="V72" s="232"/>
      <c r="W72" s="232">
        <v>10000</v>
      </c>
      <c r="X72" s="232">
        <f t="shared" ref="X72:AG72" si="92">I72</f>
        <v>0</v>
      </c>
      <c r="Y72" s="232">
        <f t="shared" si="92"/>
        <v>0</v>
      </c>
      <c r="Z72" s="232">
        <f t="shared" si="92"/>
        <v>0</v>
      </c>
      <c r="AA72" s="232">
        <f t="shared" si="92"/>
        <v>0</v>
      </c>
      <c r="AB72" s="232">
        <f t="shared" si="92"/>
        <v>0</v>
      </c>
      <c r="AC72" s="232">
        <f t="shared" si="92"/>
        <v>0</v>
      </c>
      <c r="AD72" s="232">
        <f t="shared" si="92"/>
        <v>0</v>
      </c>
      <c r="AE72" s="232">
        <f t="shared" si="92"/>
        <v>0</v>
      </c>
      <c r="AF72" s="232">
        <f t="shared" si="92"/>
        <v>0</v>
      </c>
      <c r="AG72" s="232">
        <f t="shared" si="92"/>
        <v>0</v>
      </c>
      <c r="AH72" s="232"/>
      <c r="AI72" s="232">
        <f>SUM(V72:AG72)</f>
        <v>10000</v>
      </c>
      <c r="AJ72" s="232">
        <f>S72-V72-W72-X72-Y72-Z72-AA72-AB72-AC72-AD72-AE72-AF72-AG72</f>
        <v>9000</v>
      </c>
      <c r="AK72" s="232"/>
      <c r="AL72" s="232"/>
      <c r="AM72" s="232"/>
      <c r="AN72" s="277">
        <f>AK72+AL72+AM72</f>
        <v>0</v>
      </c>
      <c r="AO72" s="283"/>
      <c r="AP72" s="107"/>
      <c r="AQ72" s="107"/>
      <c r="AR72" s="107"/>
      <c r="AS72" s="107"/>
      <c r="AT72" s="107"/>
      <c r="AU72" s="107"/>
      <c r="AV72" s="107"/>
      <c r="AW72" s="107"/>
      <c r="AX72" s="107"/>
      <c r="AY72" s="107"/>
      <c r="AZ72" s="107"/>
      <c r="BA72" s="107"/>
    </row>
    <row r="73" spans="1:53" ht="21" customHeight="1">
      <c r="A73" s="33">
        <v>73</v>
      </c>
      <c r="B73" s="59" t="s">
        <v>871</v>
      </c>
      <c r="C73" s="59" t="s">
        <v>79</v>
      </c>
      <c r="D73" s="60">
        <v>6000</v>
      </c>
      <c r="E73" s="59">
        <v>6000</v>
      </c>
      <c r="F73" s="59" t="s">
        <v>282</v>
      </c>
      <c r="G73" s="5" t="s">
        <v>30</v>
      </c>
      <c r="H73" s="117" t="s">
        <v>30</v>
      </c>
      <c r="I73" s="56">
        <v>3000</v>
      </c>
      <c r="J73" s="56">
        <v>3000</v>
      </c>
      <c r="K73" s="56"/>
      <c r="L73" s="5"/>
      <c r="M73" s="5"/>
      <c r="N73" s="5"/>
      <c r="O73" s="161"/>
      <c r="P73" s="162"/>
      <c r="Q73" s="162"/>
      <c r="R73" s="162"/>
      <c r="S73" s="233"/>
      <c r="T73" s="234">
        <f>D73*2</f>
        <v>12000</v>
      </c>
      <c r="U73" s="235"/>
      <c r="V73" s="234"/>
      <c r="W73" s="234"/>
      <c r="X73" s="234">
        <v>0</v>
      </c>
      <c r="Y73" s="234"/>
      <c r="Z73" s="234"/>
      <c r="AA73" s="234"/>
      <c r="AB73" s="234"/>
      <c r="AC73" s="234"/>
      <c r="AD73" s="234"/>
      <c r="AE73" s="234"/>
      <c r="AF73" s="234"/>
      <c r="AG73" s="234"/>
      <c r="AH73" s="237"/>
      <c r="AI73" s="237"/>
      <c r="AJ73" s="237"/>
      <c r="AK73" s="237"/>
      <c r="AL73" s="237"/>
      <c r="AM73" s="237"/>
      <c r="AN73" s="277"/>
      <c r="AO73" s="284"/>
      <c r="AP73" s="285"/>
      <c r="AQ73" s="285"/>
      <c r="AR73" s="285"/>
      <c r="AS73" s="285"/>
      <c r="AT73" s="285"/>
      <c r="AU73" s="285"/>
      <c r="AV73" s="285"/>
      <c r="AW73" s="285"/>
      <c r="AX73" s="285"/>
      <c r="AY73" s="285"/>
      <c r="AZ73" s="285"/>
      <c r="BA73" s="285"/>
    </row>
    <row r="74" spans="1:53" ht="21" customHeight="1">
      <c r="A74" s="33">
        <v>74</v>
      </c>
      <c r="B74" s="61" t="s">
        <v>213</v>
      </c>
      <c r="C74" s="61" t="s">
        <v>212</v>
      </c>
      <c r="D74" s="62">
        <v>30000</v>
      </c>
      <c r="E74" s="62">
        <v>10000</v>
      </c>
      <c r="F74" s="118">
        <v>44706</v>
      </c>
      <c r="G74" s="118">
        <v>45071</v>
      </c>
      <c r="H74" s="61" t="s">
        <v>282</v>
      </c>
      <c r="I74" s="56">
        <v>0</v>
      </c>
      <c r="J74" s="163">
        <v>0</v>
      </c>
      <c r="K74" s="163">
        <v>0</v>
      </c>
      <c r="L74" s="163">
        <v>0</v>
      </c>
      <c r="M74" s="56">
        <v>0</v>
      </c>
      <c r="N74" s="56"/>
      <c r="O74" s="163"/>
      <c r="P74" s="163"/>
      <c r="Q74" s="56"/>
      <c r="R74" s="171"/>
      <c r="S74" s="171"/>
      <c r="T74" s="171"/>
      <c r="U74" s="236">
        <f t="shared" ref="U74:U76" si="93">SUM(I74:T74)</f>
        <v>0</v>
      </c>
      <c r="V74" s="237"/>
      <c r="W74" s="237">
        <f>'On hold bonus'!B42</f>
        <v>12000</v>
      </c>
      <c r="X74" s="237"/>
      <c r="Y74" s="237"/>
      <c r="Z74" s="237"/>
      <c r="AA74" s="237">
        <f>L74</f>
        <v>0</v>
      </c>
      <c r="AB74" s="237"/>
      <c r="AC74" s="237">
        <f t="shared" ref="AC74:AI74" si="94">N74</f>
        <v>0</v>
      </c>
      <c r="AD74" s="237">
        <f t="shared" si="94"/>
        <v>0</v>
      </c>
      <c r="AE74" s="237">
        <f t="shared" si="94"/>
        <v>0</v>
      </c>
      <c r="AF74" s="237">
        <f t="shared" si="94"/>
        <v>0</v>
      </c>
      <c r="AG74" s="237">
        <f t="shared" si="94"/>
        <v>0</v>
      </c>
      <c r="AH74" s="237">
        <f t="shared" si="94"/>
        <v>0</v>
      </c>
      <c r="AI74" s="237">
        <f t="shared" si="94"/>
        <v>0</v>
      </c>
      <c r="AJ74" s="237"/>
      <c r="AK74" s="237">
        <f t="shared" ref="AK74:AK76" si="95">SUM(X74:AI74)</f>
        <v>0</v>
      </c>
      <c r="AL74" s="237">
        <f t="shared" ref="AL74:AL76" si="96">U74-X74-Y74-Z74-AA74-AB74-AC74-AD74-AE74-AF74-AG74-AH74-AI74</f>
        <v>0</v>
      </c>
      <c r="AM74" s="237"/>
      <c r="AN74" s="237"/>
      <c r="AO74" s="284"/>
      <c r="AP74" s="286">
        <f t="shared" ref="AP74:AP76" si="97">AM74+AN74+AO74</f>
        <v>0</v>
      </c>
      <c r="AQ74" s="237"/>
      <c r="AR74" s="285"/>
      <c r="AS74" s="285"/>
      <c r="AT74" s="285"/>
      <c r="AU74" s="285"/>
      <c r="AV74" s="285"/>
      <c r="AW74" s="285"/>
      <c r="AX74" s="285"/>
      <c r="AY74" s="285"/>
      <c r="AZ74" s="285"/>
      <c r="BA74" s="285"/>
    </row>
    <row r="75" spans="1:53" ht="21" customHeight="1">
      <c r="A75" s="33">
        <v>75</v>
      </c>
      <c r="B75" s="61" t="s">
        <v>209</v>
      </c>
      <c r="C75" s="61" t="s">
        <v>212</v>
      </c>
      <c r="D75" s="62">
        <v>30000</v>
      </c>
      <c r="E75" s="62">
        <v>10000</v>
      </c>
      <c r="F75" s="118">
        <v>44652</v>
      </c>
      <c r="G75" s="118">
        <v>45017</v>
      </c>
      <c r="H75" s="61" t="s">
        <v>282</v>
      </c>
      <c r="I75" s="56">
        <v>0</v>
      </c>
      <c r="J75" s="56">
        <v>0</v>
      </c>
      <c r="K75" s="56">
        <v>0</v>
      </c>
      <c r="L75" s="56">
        <v>0</v>
      </c>
      <c r="M75" s="56">
        <v>0</v>
      </c>
      <c r="N75" s="56"/>
      <c r="O75" s="163"/>
      <c r="P75" s="163"/>
      <c r="Q75" s="56"/>
      <c r="R75" s="171"/>
      <c r="S75" s="171"/>
      <c r="T75" s="171"/>
      <c r="U75" s="236">
        <f t="shared" si="93"/>
        <v>0</v>
      </c>
      <c r="V75" s="237"/>
      <c r="W75" s="237">
        <f>'2022'!U14</f>
        <v>78652.173913043487</v>
      </c>
      <c r="X75" s="237"/>
      <c r="Y75" s="237"/>
      <c r="Z75" s="237"/>
      <c r="AA75" s="237"/>
      <c r="AB75" s="237"/>
      <c r="AC75" s="237">
        <f t="shared" ref="AC75:AI75" si="98">N75</f>
        <v>0</v>
      </c>
      <c r="AD75" s="237">
        <f t="shared" si="98"/>
        <v>0</v>
      </c>
      <c r="AE75" s="237">
        <f t="shared" si="98"/>
        <v>0</v>
      </c>
      <c r="AF75" s="237">
        <f t="shared" si="98"/>
        <v>0</v>
      </c>
      <c r="AG75" s="237">
        <f t="shared" si="98"/>
        <v>0</v>
      </c>
      <c r="AH75" s="237">
        <f t="shared" si="98"/>
        <v>0</v>
      </c>
      <c r="AI75" s="237">
        <f t="shared" si="98"/>
        <v>0</v>
      </c>
      <c r="AJ75" s="237"/>
      <c r="AK75" s="237">
        <f t="shared" si="95"/>
        <v>0</v>
      </c>
      <c r="AL75" s="237">
        <f t="shared" si="96"/>
        <v>0</v>
      </c>
      <c r="AM75" s="237"/>
      <c r="AN75" s="237"/>
      <c r="AO75" s="284"/>
      <c r="AP75" s="286">
        <f t="shared" si="97"/>
        <v>0</v>
      </c>
      <c r="AQ75" s="237"/>
      <c r="AR75" s="285"/>
      <c r="AS75" s="285"/>
      <c r="AT75" s="285"/>
      <c r="AU75" s="285"/>
      <c r="AV75" s="285"/>
      <c r="AW75" s="285"/>
      <c r="AX75" s="285"/>
      <c r="AY75" s="285"/>
      <c r="AZ75" s="285"/>
      <c r="BA75" s="285"/>
    </row>
    <row r="76" spans="1:53" ht="21" customHeight="1">
      <c r="A76" s="33">
        <v>76</v>
      </c>
      <c r="B76" s="61" t="s">
        <v>872</v>
      </c>
      <c r="C76" s="61" t="s">
        <v>79</v>
      </c>
      <c r="D76" s="62">
        <v>10000</v>
      </c>
      <c r="E76" s="62">
        <v>6000</v>
      </c>
      <c r="F76" s="118">
        <v>44805</v>
      </c>
      <c r="G76" s="118">
        <v>45169</v>
      </c>
      <c r="H76" s="61" t="s">
        <v>282</v>
      </c>
      <c r="I76" s="164">
        <v>5000</v>
      </c>
      <c r="J76" s="164">
        <v>5000</v>
      </c>
      <c r="K76" s="164">
        <f>E76/20*16</f>
        <v>4800</v>
      </c>
      <c r="L76" s="114">
        <v>0</v>
      </c>
      <c r="M76" s="114">
        <v>0</v>
      </c>
      <c r="N76" s="114"/>
      <c r="O76" s="114"/>
      <c r="P76" s="114"/>
      <c r="Q76" s="114"/>
      <c r="R76" s="114"/>
      <c r="S76" s="114"/>
      <c r="T76" s="114">
        <v>0</v>
      </c>
      <c r="U76" s="83">
        <f t="shared" si="93"/>
        <v>14800</v>
      </c>
      <c r="V76" s="232"/>
      <c r="W76" s="232">
        <f>'2022'!U27</f>
        <v>20636.363636363636</v>
      </c>
      <c r="X76" s="74" t="s">
        <v>873</v>
      </c>
      <c r="Y76" s="74" t="s">
        <v>873</v>
      </c>
      <c r="Z76" s="74" t="s">
        <v>873</v>
      </c>
      <c r="AA76" s="232">
        <f>L76</f>
        <v>0</v>
      </c>
      <c r="AB76" s="232"/>
      <c r="AC76" s="232">
        <f t="shared" ref="AC76:AI76" si="99">N76</f>
        <v>0</v>
      </c>
      <c r="AD76" s="232">
        <f t="shared" si="99"/>
        <v>0</v>
      </c>
      <c r="AE76" s="232">
        <f t="shared" si="99"/>
        <v>0</v>
      </c>
      <c r="AF76" s="232">
        <f t="shared" si="99"/>
        <v>0</v>
      </c>
      <c r="AG76" s="232">
        <f t="shared" si="99"/>
        <v>0</v>
      </c>
      <c r="AH76" s="232">
        <f t="shared" si="99"/>
        <v>0</v>
      </c>
      <c r="AI76" s="232">
        <f t="shared" si="99"/>
        <v>0</v>
      </c>
      <c r="AJ76" s="232"/>
      <c r="AK76" s="232">
        <f t="shared" si="95"/>
        <v>0</v>
      </c>
      <c r="AL76" s="232" t="e">
        <f t="shared" si="96"/>
        <v>#VALUE!</v>
      </c>
      <c r="AM76" s="232"/>
      <c r="AN76" s="232"/>
      <c r="AO76" s="283"/>
      <c r="AP76" s="286">
        <f t="shared" si="97"/>
        <v>0</v>
      </c>
      <c r="AQ76" s="232"/>
      <c r="AR76" s="107"/>
      <c r="AS76" s="107"/>
      <c r="AT76" s="107"/>
      <c r="AU76" s="285"/>
      <c r="AV76" s="285"/>
      <c r="AW76" s="285"/>
      <c r="AX76" s="285"/>
      <c r="AY76" s="285"/>
      <c r="AZ76" s="285"/>
      <c r="BA76" s="285"/>
    </row>
    <row r="77" spans="1:53" ht="21" customHeight="1">
      <c r="A77" s="33">
        <v>77</v>
      </c>
      <c r="B77" s="59" t="s">
        <v>874</v>
      </c>
      <c r="C77" s="59" t="s">
        <v>150</v>
      </c>
      <c r="D77" s="60">
        <v>6000</v>
      </c>
      <c r="E77" s="60">
        <v>6000</v>
      </c>
      <c r="F77" s="60"/>
      <c r="G77" s="60"/>
      <c r="H77" s="59" t="s">
        <v>282</v>
      </c>
      <c r="I77" s="5" t="s">
        <v>30</v>
      </c>
      <c r="J77" s="5" t="s">
        <v>30</v>
      </c>
      <c r="K77" s="5" t="s">
        <v>30</v>
      </c>
      <c r="L77" s="5" t="s">
        <v>30</v>
      </c>
      <c r="M77" s="117">
        <v>0</v>
      </c>
      <c r="N77" s="5"/>
      <c r="O77" s="56"/>
      <c r="P77" s="56"/>
      <c r="Q77" s="238"/>
      <c r="R77" s="171"/>
      <c r="S77" s="171"/>
      <c r="T77" s="171"/>
      <c r="U77" s="236"/>
      <c r="V77" s="237"/>
      <c r="W77" s="237"/>
      <c r="X77" s="237"/>
      <c r="Y77" s="237"/>
      <c r="Z77" s="237"/>
      <c r="AA77" s="237"/>
      <c r="AB77" s="234">
        <f>M77</f>
        <v>0</v>
      </c>
      <c r="AC77" s="237"/>
      <c r="AD77" s="237"/>
      <c r="AE77" s="237"/>
      <c r="AF77" s="237"/>
      <c r="AG77" s="237"/>
      <c r="AH77" s="237"/>
      <c r="AI77" s="237"/>
      <c r="AJ77" s="237"/>
      <c r="AK77" s="237"/>
      <c r="AL77" s="237"/>
      <c r="AM77" s="237"/>
      <c r="AN77" s="237"/>
      <c r="AO77" s="284"/>
      <c r="AP77" s="286"/>
      <c r="AQ77" s="237"/>
      <c r="AR77" s="287"/>
      <c r="AS77" s="287"/>
      <c r="AT77" s="287"/>
      <c r="AU77" s="288"/>
      <c r="AV77" s="288"/>
      <c r="AW77" s="288"/>
      <c r="AX77" s="288"/>
      <c r="AY77" s="288"/>
      <c r="AZ77" s="288"/>
      <c r="BA77" s="288"/>
    </row>
    <row r="78" spans="1:53" ht="30" customHeight="1">
      <c r="A78" s="33">
        <v>78</v>
      </c>
      <c r="B78" s="57" t="s">
        <v>522</v>
      </c>
      <c r="C78" s="61" t="s">
        <v>224</v>
      </c>
      <c r="D78" s="57">
        <v>6000</v>
      </c>
      <c r="E78" s="57">
        <v>10000</v>
      </c>
      <c r="F78" s="119">
        <v>45085</v>
      </c>
      <c r="G78" s="119">
        <v>45604</v>
      </c>
      <c r="H78" s="61" t="s">
        <v>282</v>
      </c>
      <c r="I78" s="119" t="s">
        <v>30</v>
      </c>
      <c r="J78" s="57" t="s">
        <v>30</v>
      </c>
      <c r="K78" s="165" t="s">
        <v>30</v>
      </c>
      <c r="L78" s="165" t="s">
        <v>30</v>
      </c>
      <c r="M78" s="166" t="s">
        <v>30</v>
      </c>
      <c r="N78" s="167">
        <v>0</v>
      </c>
      <c r="O78" s="57"/>
      <c r="P78" s="165"/>
      <c r="Q78" s="239"/>
      <c r="R78" s="240"/>
      <c r="S78" s="57"/>
      <c r="T78" s="52"/>
      <c r="U78" s="241"/>
      <c r="V78" s="241"/>
      <c r="W78" s="241"/>
      <c r="X78" s="242"/>
      <c r="Y78" s="242"/>
      <c r="Z78" s="242"/>
      <c r="AA78" s="263"/>
      <c r="AB78" s="263"/>
      <c r="AC78" s="264"/>
      <c r="AD78" s="265"/>
      <c r="AE78" s="241"/>
      <c r="AF78" s="241"/>
      <c r="AG78" s="86"/>
      <c r="AH78" s="241"/>
      <c r="AI78" s="241"/>
      <c r="AJ78" s="241"/>
      <c r="AK78" s="241"/>
      <c r="AL78" s="241"/>
      <c r="AM78" s="241"/>
      <c r="AN78" s="241"/>
      <c r="AO78" s="289"/>
      <c r="AP78" s="241"/>
      <c r="AQ78" s="241"/>
      <c r="AR78" s="166"/>
      <c r="AS78" s="86"/>
      <c r="AT78" s="86"/>
      <c r="AU78" s="86"/>
      <c r="AV78" s="86"/>
      <c r="AW78" s="86"/>
      <c r="AX78" s="86"/>
      <c r="AY78" s="86"/>
      <c r="AZ78" s="86"/>
      <c r="BA78" s="86"/>
    </row>
    <row r="79" spans="1:53" ht="21" customHeight="1">
      <c r="A79" s="120">
        <v>24</v>
      </c>
      <c r="B79" s="121" t="s">
        <v>222</v>
      </c>
      <c r="C79" s="121" t="s">
        <v>150</v>
      </c>
      <c r="D79" s="122" t="s">
        <v>223</v>
      </c>
      <c r="E79" s="122" t="s">
        <v>223</v>
      </c>
      <c r="F79" s="122"/>
      <c r="G79" s="122"/>
      <c r="H79" s="121" t="s">
        <v>21</v>
      </c>
      <c r="I79" s="168">
        <v>2500</v>
      </c>
      <c r="J79" s="168">
        <v>1500</v>
      </c>
      <c r="K79" s="168">
        <v>0</v>
      </c>
      <c r="L79" s="168">
        <v>0</v>
      </c>
      <c r="M79" s="168">
        <v>0</v>
      </c>
      <c r="N79" s="168">
        <v>0</v>
      </c>
      <c r="O79" s="169">
        <v>0</v>
      </c>
      <c r="P79" s="168"/>
      <c r="Q79" s="243"/>
      <c r="R79" s="243"/>
      <c r="S79" s="243"/>
      <c r="T79" s="243"/>
      <c r="U79" s="122">
        <f t="shared" ref="U79:U80" si="100">SUM(I79:T79)</f>
        <v>4000</v>
      </c>
      <c r="V79" s="244"/>
      <c r="W79" s="244"/>
      <c r="X79" s="244"/>
      <c r="Y79" s="244"/>
      <c r="Z79" s="244"/>
      <c r="AA79" s="244"/>
      <c r="AB79" s="244"/>
      <c r="AC79" s="244"/>
      <c r="AD79" s="244"/>
      <c r="AE79" s="244"/>
      <c r="AF79" s="244"/>
      <c r="AG79" s="244"/>
      <c r="AH79" s="244"/>
      <c r="AI79" s="244"/>
      <c r="AJ79" s="278"/>
      <c r="AK79" s="279">
        <f t="shared" ref="AK79:AK80" si="101">SUM(X79:AI79)</f>
        <v>0</v>
      </c>
      <c r="AL79" s="233">
        <f t="shared" ref="AL79:AL80" si="102">U79-X79-Y79-Z79-AA79-AB79-AC79-AD79-AE79-AF79-AG79-AH79-AI79</f>
        <v>4000</v>
      </c>
      <c r="AM79" s="278"/>
      <c r="AN79" s="278"/>
      <c r="AO79" s="278"/>
      <c r="AP79" s="278">
        <f t="shared" ref="AP79:AP80" si="103">AM79+AN79+AO79</f>
        <v>0</v>
      </c>
      <c r="AQ79" s="237"/>
      <c r="AR79" s="287"/>
      <c r="AS79" s="287"/>
      <c r="AT79" s="287"/>
      <c r="AU79" s="287"/>
      <c r="AV79" s="287"/>
      <c r="AW79" s="287"/>
      <c r="AX79" s="287"/>
      <c r="AY79" s="287"/>
      <c r="AZ79" s="287"/>
      <c r="BA79" s="287"/>
    </row>
    <row r="80" spans="1:53" ht="21" customHeight="1">
      <c r="A80" s="120">
        <v>37</v>
      </c>
      <c r="B80" s="61" t="s">
        <v>227</v>
      </c>
      <c r="C80" s="61" t="s">
        <v>224</v>
      </c>
      <c r="D80" s="62">
        <v>10000</v>
      </c>
      <c r="E80" s="62">
        <v>6000</v>
      </c>
      <c r="F80" s="118">
        <v>44809</v>
      </c>
      <c r="G80" s="118">
        <v>45173</v>
      </c>
      <c r="H80" s="61" t="s">
        <v>84</v>
      </c>
      <c r="I80" s="56">
        <v>6000</v>
      </c>
      <c r="J80" s="56">
        <v>5000</v>
      </c>
      <c r="K80" s="56">
        <f>E80/20*16</f>
        <v>4800</v>
      </c>
      <c r="L80" s="56">
        <v>6000</v>
      </c>
      <c r="M80" s="170">
        <v>4000</v>
      </c>
      <c r="N80" s="171">
        <v>4000</v>
      </c>
      <c r="O80" s="172">
        <f>E80/21*15</f>
        <v>4285.7142857142862</v>
      </c>
      <c r="P80" s="163"/>
      <c r="Q80" s="56"/>
      <c r="R80" s="171"/>
      <c r="S80" s="171"/>
      <c r="T80" s="171"/>
      <c r="U80" s="236">
        <f t="shared" si="100"/>
        <v>34085.71428571429</v>
      </c>
      <c r="V80" s="237"/>
      <c r="W80" s="237" t="e">
        <f>'[1]2022'!U29</f>
        <v>#REF!</v>
      </c>
      <c r="X80" s="237"/>
      <c r="Y80" s="237"/>
      <c r="Z80" s="237"/>
      <c r="AA80" s="237"/>
      <c r="AB80" s="237"/>
      <c r="AC80" s="237"/>
      <c r="AD80" s="237"/>
      <c r="AE80" s="237">
        <f t="shared" ref="AE80:AI80" si="104">P80</f>
        <v>0</v>
      </c>
      <c r="AF80" s="237">
        <f t="shared" si="104"/>
        <v>0</v>
      </c>
      <c r="AG80" s="237">
        <f t="shared" si="104"/>
        <v>0</v>
      </c>
      <c r="AH80" s="237">
        <f t="shared" si="104"/>
        <v>0</v>
      </c>
      <c r="AI80" s="237">
        <f t="shared" si="104"/>
        <v>0</v>
      </c>
      <c r="AJ80" s="237"/>
      <c r="AK80" s="237">
        <f t="shared" si="101"/>
        <v>0</v>
      </c>
      <c r="AL80" s="237">
        <f t="shared" si="102"/>
        <v>34085.71428571429</v>
      </c>
      <c r="AM80" s="237"/>
      <c r="AN80" s="237"/>
      <c r="AO80" s="237"/>
      <c r="AP80" s="277">
        <f t="shared" si="103"/>
        <v>0</v>
      </c>
      <c r="AQ80" s="234"/>
      <c r="AR80" s="288"/>
      <c r="AS80" s="288"/>
      <c r="AT80" s="288"/>
      <c r="AU80" s="287"/>
      <c r="AV80" s="287"/>
      <c r="AW80" s="287"/>
      <c r="AX80" s="287"/>
      <c r="AY80" s="287"/>
      <c r="AZ80" s="287"/>
      <c r="BA80" s="287"/>
    </row>
    <row r="81" spans="1:53" ht="21" customHeight="1">
      <c r="A81" s="120">
        <v>49</v>
      </c>
      <c r="B81" s="123" t="s">
        <v>875</v>
      </c>
      <c r="C81" s="61" t="s">
        <v>238</v>
      </c>
      <c r="D81" s="124">
        <v>6000</v>
      </c>
      <c r="E81" s="125">
        <v>10000</v>
      </c>
      <c r="F81" s="118">
        <v>45085</v>
      </c>
      <c r="G81" s="118">
        <v>45238</v>
      </c>
      <c r="H81" s="61" t="s">
        <v>282</v>
      </c>
      <c r="I81" s="118" t="s">
        <v>30</v>
      </c>
      <c r="J81" s="173" t="s">
        <v>30</v>
      </c>
      <c r="K81" s="174" t="s">
        <v>30</v>
      </c>
      <c r="L81" s="174" t="s">
        <v>30</v>
      </c>
      <c r="M81" s="123" t="s">
        <v>30</v>
      </c>
      <c r="N81" s="175">
        <v>3000</v>
      </c>
      <c r="O81" s="125">
        <v>5000</v>
      </c>
      <c r="P81" s="174"/>
      <c r="Q81" s="245"/>
      <c r="R81" s="246"/>
      <c r="S81" s="173"/>
      <c r="T81" s="128"/>
      <c r="U81" s="247"/>
      <c r="V81" s="247"/>
      <c r="W81" s="247"/>
      <c r="X81" s="248"/>
      <c r="Y81" s="248"/>
      <c r="Z81" s="248"/>
      <c r="AA81" s="266"/>
      <c r="AB81" s="266"/>
      <c r="AC81" s="267"/>
      <c r="AD81" s="268"/>
      <c r="AE81" s="247"/>
      <c r="AF81" s="247"/>
      <c r="AG81" s="90"/>
      <c r="AH81" s="247"/>
      <c r="AI81" s="247"/>
      <c r="AJ81" s="247"/>
      <c r="AK81" s="247"/>
      <c r="AL81" s="247"/>
      <c r="AM81" s="247"/>
      <c r="AN81" s="247"/>
      <c r="AO81" s="247"/>
      <c r="AP81" s="247"/>
      <c r="AQ81" s="237"/>
      <c r="AR81" s="287"/>
      <c r="AS81" s="287"/>
      <c r="AT81" s="287"/>
      <c r="AU81" s="287"/>
      <c r="AV81" s="287"/>
      <c r="AW81" s="287"/>
      <c r="AX81" s="287"/>
      <c r="AY81" s="287"/>
      <c r="AZ81" s="287"/>
      <c r="BA81" s="287"/>
    </row>
    <row r="82" spans="1:53" ht="32.25" customHeight="1">
      <c r="A82" s="120">
        <v>51</v>
      </c>
      <c r="B82" s="123" t="s">
        <v>876</v>
      </c>
      <c r="C82" s="61" t="s">
        <v>238</v>
      </c>
      <c r="D82" s="125">
        <v>6000</v>
      </c>
      <c r="E82" s="126">
        <v>10000</v>
      </c>
      <c r="F82" s="118">
        <v>45085</v>
      </c>
      <c r="G82" s="118">
        <v>45604</v>
      </c>
      <c r="H82" s="61" t="s">
        <v>282</v>
      </c>
      <c r="I82" s="118" t="s">
        <v>30</v>
      </c>
      <c r="J82" s="118" t="s">
        <v>30</v>
      </c>
      <c r="K82" s="118" t="s">
        <v>30</v>
      </c>
      <c r="L82" s="118" t="s">
        <v>30</v>
      </c>
      <c r="M82" s="118" t="s">
        <v>30</v>
      </c>
      <c r="N82" s="175">
        <v>3000</v>
      </c>
      <c r="O82" s="172">
        <f>E82/25*6</f>
        <v>2400</v>
      </c>
      <c r="P82" s="163"/>
      <c r="Q82" s="56"/>
      <c r="R82" s="171"/>
      <c r="S82" s="171"/>
      <c r="T82" s="171"/>
      <c r="U82" s="236"/>
      <c r="V82" s="237"/>
      <c r="W82" s="237"/>
      <c r="X82" s="237"/>
      <c r="Y82" s="237"/>
      <c r="Z82" s="237"/>
      <c r="AA82" s="237"/>
      <c r="AB82" s="237"/>
      <c r="AC82" s="237"/>
      <c r="AD82" s="237"/>
      <c r="AE82" s="237"/>
      <c r="AF82" s="237"/>
      <c r="AG82" s="237"/>
      <c r="AH82" s="237"/>
      <c r="AI82" s="237"/>
      <c r="AJ82" s="237"/>
      <c r="AK82" s="237"/>
      <c r="AL82" s="237"/>
      <c r="AM82" s="237"/>
      <c r="AN82" s="237"/>
      <c r="AO82" s="237"/>
      <c r="AP82" s="277"/>
      <c r="AQ82" s="237"/>
      <c r="AR82" s="287"/>
      <c r="AS82" s="287"/>
      <c r="AT82" s="287"/>
      <c r="AU82" s="287"/>
      <c r="AV82" s="287"/>
      <c r="AW82" s="287"/>
      <c r="AX82" s="287"/>
      <c r="AY82" s="287"/>
      <c r="AZ82" s="287"/>
      <c r="BA82" s="287"/>
    </row>
    <row r="83" spans="1:53" ht="37.5" customHeight="1">
      <c r="A83" s="120">
        <v>52</v>
      </c>
      <c r="B83" s="61" t="s">
        <v>237</v>
      </c>
      <c r="C83" s="61" t="s">
        <v>79</v>
      </c>
      <c r="D83" s="62">
        <v>6000</v>
      </c>
      <c r="E83" s="62">
        <v>10000</v>
      </c>
      <c r="F83" s="118">
        <v>44706</v>
      </c>
      <c r="G83" s="118">
        <v>45071</v>
      </c>
      <c r="H83" s="61" t="s">
        <v>282</v>
      </c>
      <c r="I83" s="56">
        <v>5000</v>
      </c>
      <c r="J83" s="163">
        <f>E83/23*17</f>
        <v>7391.304347826087</v>
      </c>
      <c r="K83" s="56">
        <f>E83/20*9.5</f>
        <v>4750</v>
      </c>
      <c r="L83" s="56">
        <v>8000</v>
      </c>
      <c r="M83" s="56">
        <v>5000</v>
      </c>
      <c r="N83" s="56">
        <v>5000</v>
      </c>
      <c r="O83" s="172">
        <v>10000</v>
      </c>
      <c r="P83" s="163"/>
      <c r="Q83" s="56"/>
      <c r="R83" s="171"/>
      <c r="S83" s="171"/>
      <c r="T83" s="171"/>
      <c r="U83" s="236">
        <f>SUM(I83:T83)</f>
        <v>45141.304347826088</v>
      </c>
      <c r="V83" s="237"/>
      <c r="W83" s="237" t="e">
        <f>'[1]2022'!U37</f>
        <v>#REF!</v>
      </c>
      <c r="X83" s="237"/>
      <c r="Y83" s="237"/>
      <c r="Z83" s="237"/>
      <c r="AA83" s="237"/>
      <c r="AB83" s="237"/>
      <c r="AC83" s="237"/>
      <c r="AD83" s="237"/>
      <c r="AE83" s="237">
        <f t="shared" ref="AE83:AI83" si="105">P83</f>
        <v>0</v>
      </c>
      <c r="AF83" s="237">
        <f t="shared" si="105"/>
        <v>0</v>
      </c>
      <c r="AG83" s="237">
        <f t="shared" si="105"/>
        <v>0</v>
      </c>
      <c r="AH83" s="237">
        <f t="shared" si="105"/>
        <v>0</v>
      </c>
      <c r="AI83" s="237">
        <f t="shared" si="105"/>
        <v>0</v>
      </c>
      <c r="AJ83" s="237"/>
      <c r="AK83" s="237">
        <f>SUM(X83:AI83)</f>
        <v>0</v>
      </c>
      <c r="AL83" s="237">
        <f>U83-X83-Y83-Z83-AA83-AB83-AC83-AD83-AE83-AF83-AG83-AH83-AI83</f>
        <v>45141.304347826088</v>
      </c>
      <c r="AM83" s="237"/>
      <c r="AN83" s="237"/>
      <c r="AO83" s="237"/>
      <c r="AP83" s="277">
        <f>AM83+AN83+AO83</f>
        <v>0</v>
      </c>
      <c r="AQ83" s="237"/>
      <c r="AR83" s="287"/>
      <c r="AS83" s="287"/>
      <c r="AT83" s="287"/>
      <c r="AU83" s="288"/>
      <c r="AV83" s="288"/>
      <c r="AW83" s="288"/>
      <c r="AX83" s="288"/>
      <c r="AY83" s="288"/>
      <c r="AZ83" s="288"/>
      <c r="BA83" s="288"/>
    </row>
    <row r="85" spans="1:53" ht="21" customHeight="1">
      <c r="A85" s="127">
        <v>37</v>
      </c>
      <c r="B85" s="56" t="s">
        <v>233</v>
      </c>
      <c r="C85" s="56" t="s">
        <v>224</v>
      </c>
      <c r="D85" s="128">
        <v>10000</v>
      </c>
      <c r="E85" s="128">
        <v>6000</v>
      </c>
      <c r="F85" s="118">
        <v>44770</v>
      </c>
      <c r="G85" s="118">
        <v>45136</v>
      </c>
      <c r="H85" s="56" t="s">
        <v>282</v>
      </c>
      <c r="I85" s="56">
        <v>6000</v>
      </c>
      <c r="J85" s="163">
        <v>1000</v>
      </c>
      <c r="K85" s="56">
        <v>3000</v>
      </c>
      <c r="L85" s="56">
        <v>3000</v>
      </c>
      <c r="M85" s="56">
        <v>4000</v>
      </c>
      <c r="N85" s="56">
        <v>4000</v>
      </c>
      <c r="O85" s="163">
        <v>4000</v>
      </c>
      <c r="P85" s="163">
        <v>5000</v>
      </c>
      <c r="Q85" s="56"/>
      <c r="R85" s="171"/>
      <c r="S85" s="171"/>
      <c r="T85" s="171"/>
      <c r="U85" s="175">
        <f t="shared" ref="U85:U91" si="106">SUM(I85:T85)</f>
        <v>30000</v>
      </c>
      <c r="V85" s="249"/>
      <c r="W85" s="249" t="s">
        <v>283</v>
      </c>
      <c r="X85" s="249"/>
      <c r="Y85" s="249"/>
      <c r="Z85" s="249"/>
      <c r="AA85" s="249"/>
      <c r="AB85" s="249"/>
      <c r="AC85" s="249"/>
      <c r="AD85" s="249"/>
      <c r="AE85" s="249"/>
      <c r="AF85" s="249"/>
      <c r="AG85" s="249">
        <f t="shared" ref="AG85:AI85" si="107">R85</f>
        <v>0</v>
      </c>
      <c r="AH85" s="249">
        <f t="shared" si="107"/>
        <v>0</v>
      </c>
      <c r="AI85" s="249">
        <f t="shared" si="107"/>
        <v>0</v>
      </c>
      <c r="AJ85" s="249"/>
      <c r="AK85" s="249">
        <f t="shared" ref="AK85:AK86" si="108">SUM(X85:AI85)</f>
        <v>0</v>
      </c>
      <c r="AL85" s="249">
        <f t="shared" ref="AL85:AL91" si="109">U85-X85-Y85-Z85-AA85-AB85-AC85-AD85-AE85-AF85-AG85-AH85-AI85</f>
        <v>30000</v>
      </c>
      <c r="AM85" s="249"/>
      <c r="AN85" s="249"/>
      <c r="AO85" s="249"/>
      <c r="AP85" s="290">
        <f t="shared" ref="AP85:AP86" si="110">AM85+AN85+AO85</f>
        <v>0</v>
      </c>
      <c r="AQ85" s="249"/>
      <c r="AR85" s="171"/>
      <c r="AS85" s="171"/>
      <c r="AT85" s="171"/>
      <c r="AU85" s="160"/>
      <c r="AV85" s="160"/>
      <c r="AW85" s="160"/>
      <c r="AX85" s="160"/>
      <c r="AY85" s="160"/>
      <c r="AZ85" s="160"/>
    </row>
    <row r="86" spans="1:53" ht="21" customHeight="1">
      <c r="A86" s="127">
        <v>42</v>
      </c>
      <c r="B86" s="56" t="s">
        <v>259</v>
      </c>
      <c r="C86" s="56" t="s">
        <v>235</v>
      </c>
      <c r="D86" s="128">
        <v>6000</v>
      </c>
      <c r="E86" s="128">
        <v>10000</v>
      </c>
      <c r="F86" s="118">
        <v>44609</v>
      </c>
      <c r="G86" s="118">
        <v>44974</v>
      </c>
      <c r="H86" s="56" t="s">
        <v>877</v>
      </c>
      <c r="I86" s="163">
        <f>E86/22*7</f>
        <v>3181.818181818182</v>
      </c>
      <c r="J86" s="163">
        <v>3000</v>
      </c>
      <c r="K86" s="56">
        <v>4000</v>
      </c>
      <c r="L86" s="56">
        <v>5000</v>
      </c>
      <c r="M86" s="163">
        <v>4000</v>
      </c>
      <c r="N86" s="56">
        <v>8000</v>
      </c>
      <c r="O86" s="163">
        <v>0</v>
      </c>
      <c r="P86" s="163">
        <v>0</v>
      </c>
      <c r="Q86" s="56"/>
      <c r="R86" s="171"/>
      <c r="S86" s="171"/>
      <c r="T86" s="171"/>
      <c r="U86" s="175">
        <f t="shared" si="106"/>
        <v>27181.818181818184</v>
      </c>
      <c r="V86" s="249"/>
      <c r="W86" s="249">
        <f>SUM(J86:T86)</f>
        <v>24000</v>
      </c>
      <c r="X86" s="249"/>
      <c r="Y86" s="249"/>
      <c r="Z86" s="249"/>
      <c r="AA86" s="249"/>
      <c r="AB86" s="249"/>
      <c r="AC86" s="249"/>
      <c r="AD86" s="249"/>
      <c r="AE86" s="249"/>
      <c r="AF86" s="249"/>
      <c r="AG86" s="249">
        <f t="shared" ref="AG86:AI86" si="111">R86</f>
        <v>0</v>
      </c>
      <c r="AH86" s="249">
        <f t="shared" si="111"/>
        <v>0</v>
      </c>
      <c r="AI86" s="249">
        <f t="shared" si="111"/>
        <v>0</v>
      </c>
      <c r="AJ86" s="249"/>
      <c r="AK86" s="249">
        <f t="shared" si="108"/>
        <v>0</v>
      </c>
      <c r="AL86" s="249">
        <f t="shared" si="109"/>
        <v>27181.818181818184</v>
      </c>
      <c r="AM86" s="249"/>
      <c r="AN86" s="249"/>
      <c r="AO86" s="249"/>
      <c r="AP86" s="290">
        <f t="shared" si="110"/>
        <v>0</v>
      </c>
      <c r="AQ86" s="249"/>
      <c r="AR86" s="171"/>
      <c r="AS86" s="171"/>
      <c r="AT86" s="171"/>
      <c r="AU86" s="171"/>
      <c r="AV86" s="171"/>
      <c r="AW86" s="171"/>
      <c r="AX86" s="171"/>
      <c r="AY86" s="171"/>
      <c r="AZ86" s="171"/>
    </row>
    <row r="87" spans="1:53" ht="21" customHeight="1">
      <c r="A87" s="127">
        <v>41</v>
      </c>
      <c r="B87" s="56" t="s">
        <v>505</v>
      </c>
      <c r="C87" s="56" t="s">
        <v>235</v>
      </c>
      <c r="D87" s="128">
        <v>6000</v>
      </c>
      <c r="E87" s="128">
        <v>10000</v>
      </c>
      <c r="F87" s="118">
        <v>44656</v>
      </c>
      <c r="G87" s="118">
        <v>45204</v>
      </c>
      <c r="H87" s="56" t="s">
        <v>877</v>
      </c>
      <c r="I87" s="163">
        <f>E87/22*13</f>
        <v>5909.090909090909</v>
      </c>
      <c r="J87" s="56">
        <v>10000</v>
      </c>
      <c r="K87" s="56">
        <v>10000</v>
      </c>
      <c r="L87" s="56">
        <v>5000</v>
      </c>
      <c r="M87" s="56">
        <v>5000</v>
      </c>
      <c r="N87" s="56">
        <v>7000</v>
      </c>
      <c r="O87" s="163">
        <v>6000</v>
      </c>
      <c r="P87" s="163">
        <v>6000</v>
      </c>
      <c r="Q87" s="163">
        <v>5000</v>
      </c>
      <c r="R87" s="207" t="s">
        <v>878</v>
      </c>
      <c r="S87" s="207"/>
      <c r="T87" s="207"/>
      <c r="U87" s="175">
        <f t="shared" si="106"/>
        <v>59909.090909090912</v>
      </c>
      <c r="V87" s="249"/>
      <c r="W87" s="249" t="e">
        <f>'[1]2022'!U61</f>
        <v>#REF!</v>
      </c>
      <c r="X87" s="249"/>
      <c r="Y87" s="249"/>
      <c r="Z87" s="249"/>
      <c r="AA87" s="249"/>
      <c r="AB87" s="249"/>
      <c r="AC87" s="249"/>
      <c r="AD87" s="249"/>
      <c r="AE87" s="249"/>
      <c r="AF87" s="249"/>
      <c r="AG87" s="249"/>
      <c r="AH87" s="249">
        <f t="shared" ref="AH87:AI87" si="112">S87</f>
        <v>0</v>
      </c>
      <c r="AI87" s="249">
        <f t="shared" si="112"/>
        <v>0</v>
      </c>
      <c r="AJ87" s="280"/>
      <c r="AK87" s="280"/>
      <c r="AL87" s="249">
        <f t="shared" si="109"/>
        <v>59909.090909090912</v>
      </c>
      <c r="AM87" s="280" t="e">
        <f>W87</f>
        <v>#REF!</v>
      </c>
      <c r="AN87" s="280"/>
      <c r="AO87" s="280"/>
      <c r="AP87" s="290" t="e">
        <f>AL87+AM87+AN87+AO87</f>
        <v>#REF!</v>
      </c>
      <c r="AQ87" s="249"/>
      <c r="AR87" s="171"/>
      <c r="AS87" s="171"/>
      <c r="AT87" s="171"/>
      <c r="AU87" s="171"/>
      <c r="AV87" s="171"/>
      <c r="AW87" s="171"/>
      <c r="AX87" s="171"/>
      <c r="AY87" s="171"/>
      <c r="AZ87" s="171"/>
    </row>
    <row r="88" spans="1:53" ht="21" customHeight="1">
      <c r="A88" s="127">
        <v>48</v>
      </c>
      <c r="B88" s="56" t="s">
        <v>252</v>
      </c>
      <c r="C88" s="56" t="s">
        <v>79</v>
      </c>
      <c r="D88" s="128">
        <v>6000</v>
      </c>
      <c r="E88" s="128">
        <v>10000</v>
      </c>
      <c r="F88" s="118">
        <v>44820</v>
      </c>
      <c r="G88" s="118">
        <v>45185</v>
      </c>
      <c r="H88" s="56" t="s">
        <v>282</v>
      </c>
      <c r="I88" s="56">
        <v>5000</v>
      </c>
      <c r="J88" s="163">
        <v>2000</v>
      </c>
      <c r="K88" s="56">
        <v>6000</v>
      </c>
      <c r="L88" s="56">
        <v>5000</v>
      </c>
      <c r="M88" s="163">
        <v>0</v>
      </c>
      <c r="N88" s="56">
        <v>5000</v>
      </c>
      <c r="O88" s="163">
        <v>4000</v>
      </c>
      <c r="P88" s="163">
        <v>0</v>
      </c>
      <c r="Q88" s="163">
        <v>10000</v>
      </c>
      <c r="R88" s="171"/>
      <c r="S88" s="171"/>
      <c r="T88" s="171"/>
      <c r="U88" s="175">
        <f t="shared" si="106"/>
        <v>37000</v>
      </c>
      <c r="V88" s="249"/>
      <c r="W88" s="249" t="e">
        <f>'[1]2022'!U53</f>
        <v>#REF!</v>
      </c>
      <c r="X88" s="249"/>
      <c r="Y88" s="249"/>
      <c r="Z88" s="249"/>
      <c r="AA88" s="249"/>
      <c r="AB88" s="249"/>
      <c r="AC88" s="249"/>
      <c r="AD88" s="249"/>
      <c r="AE88" s="249"/>
      <c r="AF88" s="249"/>
      <c r="AG88" s="249"/>
      <c r="AH88" s="249">
        <f t="shared" ref="AH88:AI88" si="113">S88</f>
        <v>0</v>
      </c>
      <c r="AI88" s="249">
        <f t="shared" si="113"/>
        <v>0</v>
      </c>
      <c r="AJ88" s="249"/>
      <c r="AK88" s="249">
        <f t="shared" ref="AK88:AK91" si="114">SUM(X88:AI88)</f>
        <v>0</v>
      </c>
      <c r="AL88" s="249">
        <f t="shared" si="109"/>
        <v>37000</v>
      </c>
      <c r="AM88" s="249"/>
      <c r="AN88" s="249"/>
      <c r="AO88" s="249"/>
      <c r="AP88" s="290">
        <f t="shared" ref="AP88:AP91" si="115">AM88+AN88+AO88</f>
        <v>0</v>
      </c>
      <c r="AQ88" s="249"/>
      <c r="AR88" s="171"/>
      <c r="AS88" s="171"/>
      <c r="AT88" s="171"/>
      <c r="AU88" s="171"/>
      <c r="AV88" s="171"/>
      <c r="AW88" s="171"/>
      <c r="AX88" s="171"/>
      <c r="AY88" s="171"/>
      <c r="AZ88" s="171"/>
    </row>
    <row r="89" spans="1:53" ht="21" customHeight="1">
      <c r="A89" s="127">
        <v>29</v>
      </c>
      <c r="B89" s="56" t="s">
        <v>176</v>
      </c>
      <c r="C89" s="56" t="s">
        <v>224</v>
      </c>
      <c r="D89" s="128">
        <v>20000</v>
      </c>
      <c r="E89" s="128">
        <v>5000</v>
      </c>
      <c r="F89" s="118">
        <v>44744</v>
      </c>
      <c r="G89" s="118">
        <v>45109</v>
      </c>
      <c r="H89" s="56" t="s">
        <v>282</v>
      </c>
      <c r="I89" s="163">
        <f>E89/22*18</f>
        <v>4090.909090909091</v>
      </c>
      <c r="J89" s="163">
        <f>E89/23*17</f>
        <v>3695.6521739130435</v>
      </c>
      <c r="K89" s="56">
        <v>5000</v>
      </c>
      <c r="L89" s="56">
        <v>5000</v>
      </c>
      <c r="M89" s="56">
        <v>5000</v>
      </c>
      <c r="N89" s="163">
        <v>5000</v>
      </c>
      <c r="O89" s="163">
        <v>0</v>
      </c>
      <c r="P89" s="163">
        <v>2000</v>
      </c>
      <c r="Q89" s="163">
        <v>0</v>
      </c>
      <c r="R89" s="171"/>
      <c r="S89" s="171"/>
      <c r="T89" s="171"/>
      <c r="U89" s="175">
        <f t="shared" si="106"/>
        <v>29786.561264822136</v>
      </c>
      <c r="V89" s="249"/>
      <c r="W89" s="249" t="e">
        <f>'[1]2022'!U47</f>
        <v>#REF!</v>
      </c>
      <c r="X89" s="249"/>
      <c r="Y89" s="249"/>
      <c r="Z89" s="249"/>
      <c r="AA89" s="249"/>
      <c r="AB89" s="249"/>
      <c r="AC89" s="249"/>
      <c r="AD89" s="249">
        <f>O89</f>
        <v>0</v>
      </c>
      <c r="AE89" s="249"/>
      <c r="AF89" s="249"/>
      <c r="AG89" s="249"/>
      <c r="AH89" s="249">
        <f t="shared" ref="AH89:AI89" si="116">S89</f>
        <v>0</v>
      </c>
      <c r="AI89" s="249">
        <f t="shared" si="116"/>
        <v>0</v>
      </c>
      <c r="AJ89" s="249"/>
      <c r="AK89" s="249">
        <f t="shared" si="114"/>
        <v>0</v>
      </c>
      <c r="AL89" s="249">
        <f t="shared" si="109"/>
        <v>29786.561264822136</v>
      </c>
      <c r="AM89" s="249"/>
      <c r="AN89" s="249"/>
      <c r="AO89" s="249"/>
      <c r="AP89" s="290">
        <f t="shared" si="115"/>
        <v>0</v>
      </c>
      <c r="AQ89" s="251"/>
      <c r="AR89" s="162"/>
      <c r="AS89" s="162"/>
      <c r="AT89" s="162"/>
      <c r="AU89" s="162"/>
      <c r="AV89" s="162"/>
      <c r="AW89" s="162"/>
      <c r="AX89" s="162"/>
      <c r="AY89" s="162"/>
      <c r="AZ89" s="162"/>
    </row>
    <row r="90" spans="1:53" ht="21" customHeight="1">
      <c r="A90" s="127">
        <v>8</v>
      </c>
      <c r="B90" s="5" t="s">
        <v>246</v>
      </c>
      <c r="C90" s="5" t="s">
        <v>247</v>
      </c>
      <c r="D90" s="52">
        <v>25000</v>
      </c>
      <c r="E90" s="52">
        <v>8000</v>
      </c>
      <c r="F90" s="119">
        <v>44723</v>
      </c>
      <c r="G90" s="119">
        <v>45454</v>
      </c>
      <c r="H90" s="5" t="s">
        <v>282</v>
      </c>
      <c r="I90" s="117">
        <v>0</v>
      </c>
      <c r="J90" s="5">
        <v>8000</v>
      </c>
      <c r="K90" s="5">
        <v>8000</v>
      </c>
      <c r="L90" s="5">
        <v>8000</v>
      </c>
      <c r="M90" s="5">
        <v>8000</v>
      </c>
      <c r="N90" s="5">
        <v>4000</v>
      </c>
      <c r="O90" s="5">
        <v>4000</v>
      </c>
      <c r="P90" s="5">
        <v>3000</v>
      </c>
      <c r="Q90" s="5">
        <v>0</v>
      </c>
      <c r="R90" s="162"/>
      <c r="S90" s="162"/>
      <c r="T90" s="162"/>
      <c r="U90" s="250">
        <f t="shared" si="106"/>
        <v>43000</v>
      </c>
      <c r="V90" s="251">
        <f>D90*2</f>
        <v>50000</v>
      </c>
      <c r="W90" s="251" t="e">
        <f>'[1]On hold bonus'!B31</f>
        <v>#REF!</v>
      </c>
      <c r="X90" s="251">
        <f>I90</f>
        <v>0</v>
      </c>
      <c r="Y90" s="251">
        <v>8000</v>
      </c>
      <c r="Z90" s="251">
        <f t="shared" ref="Z90:AF90" si="117">K90</f>
        <v>8000</v>
      </c>
      <c r="AA90" s="251">
        <f t="shared" si="117"/>
        <v>8000</v>
      </c>
      <c r="AB90" s="251">
        <f t="shared" si="117"/>
        <v>8000</v>
      </c>
      <c r="AC90" s="251">
        <f t="shared" si="117"/>
        <v>4000</v>
      </c>
      <c r="AD90" s="251">
        <f t="shared" si="117"/>
        <v>4000</v>
      </c>
      <c r="AE90" s="251">
        <f t="shared" si="117"/>
        <v>3000</v>
      </c>
      <c r="AF90" s="251">
        <f t="shared" si="117"/>
        <v>0</v>
      </c>
      <c r="AG90" s="251"/>
      <c r="AH90" s="251">
        <f t="shared" ref="AH90:AI90" si="118">S90</f>
        <v>0</v>
      </c>
      <c r="AI90" s="251">
        <f t="shared" si="118"/>
        <v>0</v>
      </c>
      <c r="AJ90" s="249"/>
      <c r="AK90" s="249">
        <f t="shared" si="114"/>
        <v>43000</v>
      </c>
      <c r="AL90" s="249">
        <f t="shared" si="109"/>
        <v>0</v>
      </c>
      <c r="AM90" s="249" t="s">
        <v>283</v>
      </c>
      <c r="AN90" s="249" t="s">
        <v>283</v>
      </c>
      <c r="AO90" s="249"/>
      <c r="AP90" s="290" t="e">
        <f t="shared" si="115"/>
        <v>#VALUE!</v>
      </c>
      <c r="AQ90" s="249"/>
      <c r="AR90" s="171"/>
      <c r="AS90" s="171"/>
      <c r="AT90" s="171"/>
      <c r="AU90" s="171"/>
      <c r="AV90" s="171"/>
      <c r="AW90" s="171"/>
      <c r="AX90" s="171"/>
      <c r="AY90" s="171"/>
      <c r="AZ90" s="171"/>
    </row>
    <row r="91" spans="1:53" ht="21" customHeight="1">
      <c r="A91" s="127">
        <v>42</v>
      </c>
      <c r="B91" s="56" t="s">
        <v>80</v>
      </c>
      <c r="C91" s="56" t="s">
        <v>79</v>
      </c>
      <c r="D91" s="128">
        <v>50000</v>
      </c>
      <c r="E91" s="128">
        <v>5000</v>
      </c>
      <c r="F91" s="118">
        <v>44824</v>
      </c>
      <c r="G91" s="118">
        <v>45189</v>
      </c>
      <c r="H91" s="56" t="s">
        <v>282</v>
      </c>
      <c r="I91" s="163">
        <f>E91/22*19</f>
        <v>4318.181818181818</v>
      </c>
      <c r="J91" s="56">
        <v>5000</v>
      </c>
      <c r="K91" s="163">
        <f>E91/20*14</f>
        <v>3500</v>
      </c>
      <c r="L91" s="163">
        <v>4000</v>
      </c>
      <c r="M91" s="56">
        <v>5000</v>
      </c>
      <c r="N91" s="163">
        <f>E91/22*15</f>
        <v>3409.090909090909</v>
      </c>
      <c r="O91" s="163">
        <v>3000</v>
      </c>
      <c r="P91" s="163">
        <v>4000</v>
      </c>
      <c r="Q91" s="163">
        <v>5000</v>
      </c>
      <c r="R91" s="171"/>
      <c r="S91" s="171"/>
      <c r="T91" s="171"/>
      <c r="U91" s="175">
        <f t="shared" si="106"/>
        <v>37227.272727272721</v>
      </c>
      <c r="V91" s="249"/>
      <c r="W91" s="249" t="e">
        <f>'[1]2022'!U40</f>
        <v>#REF!</v>
      </c>
      <c r="X91" s="249"/>
      <c r="Y91" s="249"/>
      <c r="Z91" s="249"/>
      <c r="AA91" s="249"/>
      <c r="AB91" s="249"/>
      <c r="AC91" s="249"/>
      <c r="AD91" s="249"/>
      <c r="AE91" s="249"/>
      <c r="AF91" s="249"/>
      <c r="AG91" s="249"/>
      <c r="AH91" s="249">
        <f t="shared" ref="AH91:AI91" si="119">S91</f>
        <v>0</v>
      </c>
      <c r="AI91" s="249">
        <f t="shared" si="119"/>
        <v>0</v>
      </c>
      <c r="AJ91" s="249"/>
      <c r="AK91" s="249">
        <f t="shared" si="114"/>
        <v>0</v>
      </c>
      <c r="AL91" s="249">
        <f t="shared" si="109"/>
        <v>37227.272727272721</v>
      </c>
      <c r="AM91" s="249"/>
      <c r="AN91" s="249"/>
      <c r="AO91" s="249"/>
      <c r="AP91" s="290">
        <f t="shared" si="115"/>
        <v>0</v>
      </c>
      <c r="AQ91" s="280"/>
      <c r="AR91" s="171"/>
      <c r="AS91" s="171"/>
      <c r="AT91" s="243"/>
      <c r="AU91" s="171"/>
      <c r="AV91" s="171"/>
      <c r="AW91" s="171"/>
      <c r="AX91" s="171"/>
      <c r="AY91" s="171"/>
      <c r="AZ91" s="171"/>
    </row>
    <row r="92" spans="1:53" ht="21" customHeight="1">
      <c r="A92" s="127">
        <v>27</v>
      </c>
      <c r="B92" s="5" t="s">
        <v>496</v>
      </c>
      <c r="C92" s="5" t="s">
        <v>150</v>
      </c>
      <c r="D92" s="5">
        <v>6000</v>
      </c>
      <c r="E92" s="5">
        <v>6000</v>
      </c>
      <c r="F92" s="119">
        <v>45097</v>
      </c>
      <c r="G92" s="52"/>
      <c r="H92" s="5" t="s">
        <v>282</v>
      </c>
      <c r="I92" s="5" t="s">
        <v>30</v>
      </c>
      <c r="J92" s="117" t="s">
        <v>30</v>
      </c>
      <c r="K92" s="5" t="s">
        <v>30</v>
      </c>
      <c r="L92" s="5">
        <v>6000</v>
      </c>
      <c r="M92" s="5" t="s">
        <v>30</v>
      </c>
      <c r="N92" s="5" t="s">
        <v>30</v>
      </c>
      <c r="O92" s="56">
        <v>6000</v>
      </c>
      <c r="P92" s="56">
        <v>6000</v>
      </c>
      <c r="Q92" s="117">
        <f>E92/21*17</f>
        <v>4857.1428571428569</v>
      </c>
      <c r="R92" s="162">
        <v>6000</v>
      </c>
      <c r="S92" s="162"/>
      <c r="T92" s="162"/>
      <c r="U92" s="250"/>
      <c r="V92" s="251"/>
      <c r="W92" s="251"/>
      <c r="X92" s="251"/>
      <c r="Y92" s="251"/>
      <c r="Z92" s="251"/>
      <c r="AA92" s="251"/>
      <c r="AB92" s="251"/>
      <c r="AC92" s="251"/>
      <c r="AD92" s="249"/>
      <c r="AE92" s="249"/>
      <c r="AF92" s="251">
        <f t="shared" ref="AF92:AG92" si="120">Q92</f>
        <v>4857.1428571428569</v>
      </c>
      <c r="AG92" s="251">
        <f t="shared" si="120"/>
        <v>6000</v>
      </c>
      <c r="AH92" s="251" t="s">
        <v>200</v>
      </c>
      <c r="AI92" s="251"/>
      <c r="AJ92" s="251"/>
      <c r="AK92" s="251"/>
      <c r="AL92" s="251"/>
      <c r="AM92" s="251"/>
      <c r="AN92" s="251"/>
      <c r="AO92" s="251"/>
      <c r="AP92" s="270"/>
      <c r="AQ92" s="162"/>
      <c r="AR92" s="162"/>
      <c r="AS92" s="162"/>
      <c r="AT92" s="162"/>
      <c r="AU92" s="162"/>
      <c r="AV92" s="162"/>
      <c r="AW92" s="162"/>
      <c r="AX92" s="162"/>
      <c r="AY92" s="162"/>
      <c r="AZ92" s="162"/>
    </row>
    <row r="93" spans="1:53" ht="21" customHeight="1">
      <c r="A93" s="127">
        <v>38</v>
      </c>
      <c r="B93" s="56" t="s">
        <v>500</v>
      </c>
      <c r="C93" s="56" t="s">
        <v>224</v>
      </c>
      <c r="D93" s="128">
        <v>6000</v>
      </c>
      <c r="E93" s="128">
        <v>10000</v>
      </c>
      <c r="F93" s="118">
        <v>44758</v>
      </c>
      <c r="G93" s="118">
        <v>45123</v>
      </c>
      <c r="H93" s="56" t="s">
        <v>282</v>
      </c>
      <c r="I93" s="163">
        <v>2000</v>
      </c>
      <c r="J93" s="163">
        <v>3000</v>
      </c>
      <c r="K93" s="56">
        <v>5000</v>
      </c>
      <c r="L93" s="56">
        <v>5000</v>
      </c>
      <c r="M93" s="56">
        <v>8000</v>
      </c>
      <c r="N93" s="176">
        <v>0</v>
      </c>
      <c r="O93" s="163">
        <v>4000</v>
      </c>
      <c r="P93" s="163">
        <v>5000</v>
      </c>
      <c r="Q93" s="163">
        <v>4000</v>
      </c>
      <c r="R93" s="171">
        <v>0</v>
      </c>
      <c r="S93" s="171"/>
      <c r="T93" s="171"/>
      <c r="U93" s="175">
        <f>SUM(I93:T93)</f>
        <v>36000</v>
      </c>
      <c r="V93" s="249"/>
      <c r="W93" s="249" t="e">
        <f>'[1]On hold bonus'!B9</f>
        <v>#REF!</v>
      </c>
      <c r="X93" s="249"/>
      <c r="Y93" s="249"/>
      <c r="Z93" s="249"/>
      <c r="AA93" s="249"/>
      <c r="AB93" s="249">
        <v>39500</v>
      </c>
      <c r="AC93" s="249" t="s">
        <v>879</v>
      </c>
      <c r="AD93" s="249"/>
      <c r="AE93" s="249"/>
      <c r="AF93" s="249"/>
      <c r="AG93" s="249"/>
      <c r="AH93" s="249">
        <f t="shared" ref="AH93:AI93" si="121">S93</f>
        <v>0</v>
      </c>
      <c r="AI93" s="249">
        <f t="shared" si="121"/>
        <v>0</v>
      </c>
      <c r="AJ93" s="251"/>
      <c r="AK93" s="251">
        <f>SUM(X93:AI93)</f>
        <v>39500</v>
      </c>
      <c r="AL93" s="251" t="e">
        <f>U93-X93-Y93-Z93-AA93-AB93-AC93-AD93-AE93-AF93-AG93-AH93-AI93</f>
        <v>#VALUE!</v>
      </c>
      <c r="AM93" s="251"/>
      <c r="AN93" s="251"/>
      <c r="AO93" s="251"/>
      <c r="AP93" s="270">
        <f>AM93+AN93+AO93</f>
        <v>0</v>
      </c>
      <c r="AQ93" s="249"/>
      <c r="AR93" s="171"/>
      <c r="AS93" s="171"/>
      <c r="AT93" s="171"/>
      <c r="AU93" s="171"/>
      <c r="AV93" s="171"/>
      <c r="AW93" s="171"/>
      <c r="AX93" s="171"/>
      <c r="AY93" s="171"/>
      <c r="AZ93" s="171"/>
    </row>
    <row r="94" spans="1:53" ht="15.75" customHeight="1">
      <c r="A94" s="127">
        <v>39</v>
      </c>
      <c r="B94" s="56" t="s">
        <v>305</v>
      </c>
      <c r="C94" s="56" t="s">
        <v>224</v>
      </c>
      <c r="D94" s="128">
        <v>10000</v>
      </c>
      <c r="E94" s="128">
        <v>6000</v>
      </c>
      <c r="F94" s="118">
        <v>44841</v>
      </c>
      <c r="G94" s="118">
        <v>45206</v>
      </c>
      <c r="H94" s="56" t="s">
        <v>282</v>
      </c>
      <c r="I94" s="56"/>
      <c r="J94" s="56"/>
      <c r="K94" s="56"/>
      <c r="L94" s="56"/>
      <c r="M94" s="163"/>
      <c r="N94" s="56"/>
      <c r="O94" s="163"/>
      <c r="P94" s="163"/>
      <c r="Q94" s="163"/>
      <c r="R94" s="171"/>
      <c r="S94" s="171"/>
      <c r="T94" s="170"/>
      <c r="U94" s="170"/>
      <c r="V94" s="252">
        <f>SUM(I94:T94)</f>
        <v>0</v>
      </c>
      <c r="W94" s="249" t="e">
        <f>'[1]2022'!U51</f>
        <v>#REF!</v>
      </c>
      <c r="X94" s="249"/>
      <c r="Y94" s="249"/>
      <c r="Z94" s="249"/>
      <c r="AA94" s="249"/>
      <c r="AB94" s="249"/>
      <c r="AC94" s="249"/>
      <c r="AD94" s="249"/>
      <c r="AE94" s="249"/>
      <c r="AF94" s="249"/>
      <c r="AG94" s="249"/>
      <c r="AH94" s="249"/>
      <c r="AI94" s="249"/>
      <c r="AJ94" s="249"/>
      <c r="AK94" s="249"/>
      <c r="AL94" s="249"/>
      <c r="AM94" s="249"/>
      <c r="AN94" s="249"/>
      <c r="AO94" s="290"/>
      <c r="AP94" s="249"/>
      <c r="AQ94" s="171"/>
      <c r="AR94" s="171"/>
      <c r="AS94" s="171"/>
      <c r="AT94" s="171"/>
      <c r="AU94" s="171"/>
      <c r="AV94" s="171"/>
      <c r="AW94" s="171"/>
      <c r="AX94" s="171"/>
      <c r="AY94" s="171"/>
    </row>
    <row r="95" spans="1:53" ht="21" customHeight="1">
      <c r="A95" s="127">
        <v>42</v>
      </c>
      <c r="B95" s="5" t="s">
        <v>234</v>
      </c>
      <c r="C95" s="5" t="s">
        <v>235</v>
      </c>
      <c r="D95" s="52">
        <v>40000</v>
      </c>
      <c r="E95" s="52">
        <v>10000</v>
      </c>
      <c r="F95" s="119">
        <v>44817</v>
      </c>
      <c r="G95" s="119">
        <v>45182</v>
      </c>
      <c r="H95" s="5" t="s">
        <v>282</v>
      </c>
      <c r="I95" s="177">
        <f>E95/23*17</f>
        <v>7391.304347826087</v>
      </c>
      <c r="J95" s="178" t="s">
        <v>880</v>
      </c>
      <c r="K95" s="179" t="s">
        <v>881</v>
      </c>
      <c r="M95" s="5"/>
      <c r="N95" s="5"/>
      <c r="O95" s="5"/>
      <c r="P95" s="5"/>
      <c r="Q95" s="5"/>
      <c r="R95" s="5"/>
      <c r="S95" s="162"/>
      <c r="T95" s="162"/>
      <c r="U95" s="162"/>
      <c r="V95" s="162"/>
      <c r="W95" s="251">
        <f t="shared" ref="W95:W96" si="122">SUM(I95:U95)</f>
        <v>7391.304347826087</v>
      </c>
      <c r="X95" s="251" t="e">
        <f>'[1]On hold bonus'!B47</f>
        <v>#REF!</v>
      </c>
      <c r="Y95" s="251">
        <f>I95</f>
        <v>7391.304347826087</v>
      </c>
      <c r="Z95" s="251" t="s">
        <v>200</v>
      </c>
      <c r="AA95" s="251" t="str">
        <f>K95</f>
        <v>Blog Not Submitted</v>
      </c>
      <c r="AB95" s="251">
        <f t="shared" ref="AB95:AC95" si="123">M95</f>
        <v>0</v>
      </c>
      <c r="AC95" s="251">
        <f t="shared" si="123"/>
        <v>0</v>
      </c>
      <c r="AD95" s="251"/>
      <c r="AE95" s="251">
        <f t="shared" ref="AE95:AJ95" si="124">P95</f>
        <v>0</v>
      </c>
      <c r="AF95" s="251">
        <f t="shared" si="124"/>
        <v>0</v>
      </c>
      <c r="AG95" s="251">
        <f t="shared" si="124"/>
        <v>0</v>
      </c>
      <c r="AH95" s="251">
        <f t="shared" si="124"/>
        <v>0</v>
      </c>
      <c r="AI95" s="251">
        <f t="shared" si="124"/>
        <v>0</v>
      </c>
      <c r="AJ95" s="251">
        <f t="shared" si="124"/>
        <v>0</v>
      </c>
      <c r="AK95" s="249"/>
      <c r="AL95" s="249"/>
      <c r="AM95" s="249"/>
      <c r="AN95" s="249"/>
      <c r="AO95" s="249"/>
      <c r="AP95" s="290"/>
      <c r="AQ95" s="249"/>
      <c r="AR95" s="171"/>
      <c r="AS95" s="171"/>
      <c r="AT95" s="171"/>
      <c r="AU95" s="160"/>
      <c r="AV95" s="160"/>
      <c r="AW95" s="160"/>
      <c r="AX95" s="160"/>
      <c r="AY95" s="160"/>
      <c r="AZ95" s="160"/>
    </row>
    <row r="96" spans="1:53" ht="37.5" customHeight="1">
      <c r="A96" s="127">
        <v>50</v>
      </c>
      <c r="B96" s="61" t="s">
        <v>237</v>
      </c>
      <c r="C96" s="61" t="s">
        <v>79</v>
      </c>
      <c r="D96" s="128">
        <v>20000</v>
      </c>
      <c r="E96" s="128">
        <v>6000</v>
      </c>
      <c r="F96" s="118">
        <v>45302</v>
      </c>
      <c r="G96" s="118">
        <v>45668</v>
      </c>
      <c r="H96" s="61" t="s">
        <v>282</v>
      </c>
      <c r="I96" s="180">
        <f t="shared" ref="I96:I97" si="125">E96/23*13</f>
        <v>3391.304347826087</v>
      </c>
      <c r="J96" s="181" t="s">
        <v>882</v>
      </c>
      <c r="K96" s="182" t="s">
        <v>43</v>
      </c>
      <c r="L96" s="56"/>
      <c r="M96" s="56"/>
      <c r="N96" s="56"/>
      <c r="O96" s="56"/>
      <c r="P96" s="163"/>
      <c r="Q96" s="163"/>
      <c r="R96" s="56"/>
      <c r="S96" s="171"/>
      <c r="T96" s="175"/>
      <c r="U96" s="171"/>
      <c r="V96" s="171"/>
      <c r="W96" s="237">
        <f t="shared" si="122"/>
        <v>3391.304347826087</v>
      </c>
      <c r="X96" s="237" t="e">
        <f>'[1]2022'!#REF!</f>
        <v>#REF!</v>
      </c>
      <c r="Y96" s="237"/>
      <c r="Z96" s="237"/>
      <c r="AA96" s="237"/>
      <c r="AB96" s="237"/>
      <c r="AC96" s="237"/>
      <c r="AD96" s="237"/>
      <c r="AE96" s="237"/>
      <c r="AF96" s="237">
        <f t="shared" ref="AF96:AH96" si="126">Q96</f>
        <v>0</v>
      </c>
      <c r="AG96" s="237">
        <f t="shared" si="126"/>
        <v>0</v>
      </c>
      <c r="AH96" s="237">
        <f t="shared" si="126"/>
        <v>0</v>
      </c>
      <c r="AI96" s="237"/>
      <c r="AJ96" s="237"/>
      <c r="AK96" s="237"/>
      <c r="AL96" s="237"/>
      <c r="AM96" s="237"/>
      <c r="AN96" s="237"/>
      <c r="AO96" s="237"/>
      <c r="AP96" s="277"/>
      <c r="AQ96" s="237"/>
      <c r="AR96" s="287"/>
      <c r="AS96" s="287"/>
      <c r="AT96" s="287"/>
      <c r="AU96" s="288"/>
      <c r="AV96" s="288"/>
      <c r="AW96" s="288"/>
      <c r="AX96" s="288"/>
      <c r="AY96" s="288"/>
      <c r="AZ96" s="288"/>
      <c r="BA96" s="288"/>
    </row>
    <row r="97" spans="1:63" ht="21" customHeight="1">
      <c r="A97" s="129">
        <v>31</v>
      </c>
      <c r="B97" s="5" t="s">
        <v>298</v>
      </c>
      <c r="C97" s="5" t="s">
        <v>150</v>
      </c>
      <c r="D97" s="52">
        <v>6000</v>
      </c>
      <c r="E97" s="52">
        <v>6000</v>
      </c>
      <c r="F97" s="52"/>
      <c r="G97" s="52"/>
      <c r="H97" s="5" t="s">
        <v>282</v>
      </c>
      <c r="I97" s="177">
        <f t="shared" si="125"/>
        <v>3391.304347826087</v>
      </c>
      <c r="J97" s="183"/>
      <c r="K97" s="183"/>
      <c r="L97" s="5"/>
      <c r="M97" s="48"/>
      <c r="O97" s="5"/>
      <c r="P97" s="117"/>
      <c r="Q97" s="5"/>
      <c r="R97" s="5"/>
      <c r="S97" s="5"/>
      <c r="T97" s="162"/>
      <c r="U97" s="162"/>
      <c r="V97" s="162"/>
      <c r="W97" s="162"/>
      <c r="X97" s="251">
        <f t="shared" ref="X97:X100" si="127">SUM(I97:V97)</f>
        <v>3391.304347826087</v>
      </c>
      <c r="Y97" s="251"/>
      <c r="Z97" s="251">
        <f t="shared" ref="Z97:Z98" si="128">I97</f>
        <v>3391.304347826087</v>
      </c>
      <c r="AA97" s="251" t="s">
        <v>200</v>
      </c>
      <c r="AB97" s="251"/>
      <c r="AC97" s="251"/>
      <c r="AD97" s="251"/>
      <c r="AE97" s="251"/>
      <c r="AF97" s="251">
        <f t="shared" ref="AF97:AK97" si="129">Q97</f>
        <v>0</v>
      </c>
      <c r="AG97" s="251">
        <f t="shared" si="129"/>
        <v>0</v>
      </c>
      <c r="AH97" s="251">
        <f t="shared" si="129"/>
        <v>0</v>
      </c>
      <c r="AI97" s="251">
        <f t="shared" si="129"/>
        <v>0</v>
      </c>
      <c r="AJ97" s="251">
        <f t="shared" si="129"/>
        <v>0</v>
      </c>
      <c r="AK97" s="251">
        <f t="shared" si="129"/>
        <v>0</v>
      </c>
      <c r="AL97" s="249"/>
      <c r="AM97" s="249"/>
      <c r="AN97" s="249"/>
      <c r="AO97" s="249"/>
      <c r="AP97" s="249"/>
      <c r="AQ97" s="290"/>
      <c r="AR97" s="251"/>
      <c r="AS97" s="162"/>
      <c r="AT97" s="162"/>
      <c r="AU97" s="162"/>
      <c r="AV97" s="171"/>
      <c r="AW97" s="171"/>
      <c r="AX97" s="171"/>
      <c r="AY97" s="171"/>
      <c r="AZ97" s="171"/>
      <c r="BA97" s="171"/>
    </row>
    <row r="98" spans="1:63" ht="21" customHeight="1">
      <c r="A98" s="129">
        <v>31</v>
      </c>
      <c r="B98" s="5" t="s">
        <v>218</v>
      </c>
      <c r="C98" s="5" t="s">
        <v>150</v>
      </c>
      <c r="D98" s="52">
        <v>6000</v>
      </c>
      <c r="E98" s="52">
        <v>6000</v>
      </c>
      <c r="F98" s="52"/>
      <c r="G98" s="52"/>
      <c r="H98" s="5" t="s">
        <v>282</v>
      </c>
      <c r="I98" s="177">
        <f>E98/22*14</f>
        <v>3818.1818181818185</v>
      </c>
      <c r="J98" s="184">
        <f>E98/22*11</f>
        <v>3000</v>
      </c>
      <c r="K98" s="117" t="s">
        <v>883</v>
      </c>
      <c r="L98" s="185"/>
      <c r="M98" s="5"/>
      <c r="N98" s="5"/>
      <c r="O98" s="5"/>
      <c r="P98" s="117"/>
      <c r="Q98" s="5"/>
      <c r="R98" s="5"/>
      <c r="S98" s="5"/>
      <c r="T98" s="162"/>
      <c r="U98" s="162"/>
      <c r="V98" s="162"/>
      <c r="W98" s="162"/>
      <c r="X98" s="251">
        <f t="shared" si="127"/>
        <v>6818.181818181818</v>
      </c>
      <c r="Y98" s="251" t="e">
        <f>'[1]2022'!U21</f>
        <v>#REF!</v>
      </c>
      <c r="Z98" s="251">
        <f t="shared" si="128"/>
        <v>3818.1818181818185</v>
      </c>
      <c r="AA98" s="251">
        <v>3000</v>
      </c>
      <c r="AB98" s="251" t="s">
        <v>884</v>
      </c>
      <c r="AC98" s="251">
        <f t="shared" ref="AC98:AK98" si="130">N98</f>
        <v>0</v>
      </c>
      <c r="AD98" s="251">
        <f t="shared" si="130"/>
        <v>0</v>
      </c>
      <c r="AE98" s="251">
        <f t="shared" si="130"/>
        <v>0</v>
      </c>
      <c r="AF98" s="251">
        <f t="shared" si="130"/>
        <v>0</v>
      </c>
      <c r="AG98" s="251">
        <f t="shared" si="130"/>
        <v>0</v>
      </c>
      <c r="AH98" s="251">
        <f t="shared" si="130"/>
        <v>0</v>
      </c>
      <c r="AI98" s="251">
        <f t="shared" si="130"/>
        <v>0</v>
      </c>
      <c r="AJ98" s="251">
        <f t="shared" si="130"/>
        <v>0</v>
      </c>
      <c r="AK98" s="251">
        <f t="shared" si="130"/>
        <v>0</v>
      </c>
      <c r="AL98" s="249"/>
      <c r="AM98" s="249"/>
      <c r="AN98" s="249"/>
      <c r="AO98" s="249"/>
      <c r="AP98" s="249"/>
      <c r="AQ98" s="290"/>
      <c r="AR98" s="251"/>
      <c r="AS98" s="162"/>
      <c r="AT98" s="162"/>
      <c r="AU98" s="162"/>
      <c r="AV98" s="171"/>
      <c r="AW98" s="171"/>
      <c r="AX98" s="171"/>
      <c r="AY98" s="171"/>
      <c r="AZ98" s="171"/>
      <c r="BA98" s="171"/>
    </row>
    <row r="99" spans="1:63" ht="18.75" customHeight="1">
      <c r="A99" s="129">
        <v>42</v>
      </c>
      <c r="B99" s="130" t="s">
        <v>254</v>
      </c>
      <c r="C99" s="56" t="s">
        <v>79</v>
      </c>
      <c r="D99" s="128">
        <v>35000</v>
      </c>
      <c r="E99" s="128">
        <v>0</v>
      </c>
      <c r="F99" s="118">
        <v>45329</v>
      </c>
      <c r="G99" s="118">
        <v>45511</v>
      </c>
      <c r="H99" s="56" t="s">
        <v>282</v>
      </c>
      <c r="I99" s="180">
        <v>10000</v>
      </c>
      <c r="J99" s="186">
        <f>10000/22*8.5</f>
        <v>3863.636363636364</v>
      </c>
      <c r="K99" s="107"/>
      <c r="L99" s="107"/>
      <c r="M99" s="187" t="s">
        <v>885</v>
      </c>
      <c r="N99" s="163"/>
      <c r="O99" s="163"/>
      <c r="P99" s="163"/>
      <c r="Q99" s="163"/>
      <c r="R99" s="163"/>
      <c r="S99" s="163"/>
      <c r="T99" s="171"/>
      <c r="U99" s="175"/>
      <c r="V99" s="171"/>
      <c r="W99" s="171"/>
      <c r="X99" s="249">
        <f t="shared" si="127"/>
        <v>13863.636363636364</v>
      </c>
      <c r="Y99" s="249" t="e">
        <f>'[1]2022'!U54</f>
        <v>#REF!</v>
      </c>
      <c r="Z99" s="249"/>
      <c r="AA99" s="249"/>
      <c r="AB99" s="249"/>
      <c r="AC99" s="249"/>
      <c r="AD99" s="249"/>
      <c r="AE99" s="249"/>
      <c r="AF99" s="249"/>
      <c r="AG99" s="249"/>
      <c r="AH99" s="249"/>
      <c r="AI99" s="249"/>
      <c r="AJ99" s="249"/>
      <c r="AK99" s="249"/>
      <c r="AL99" s="249"/>
      <c r="AM99" s="249"/>
      <c r="AN99" s="249"/>
      <c r="AO99" s="249"/>
      <c r="AP99" s="249"/>
      <c r="AQ99" s="290"/>
      <c r="AR99" s="280"/>
      <c r="AS99" s="171"/>
      <c r="AT99" s="171"/>
      <c r="AU99" s="243"/>
      <c r="AV99" s="171"/>
      <c r="AW99" s="171"/>
      <c r="AX99" s="171"/>
      <c r="AY99" s="171"/>
      <c r="AZ99" s="171"/>
      <c r="BA99" s="171"/>
    </row>
    <row r="100" spans="1:63" ht="39" customHeight="1">
      <c r="A100" s="129">
        <v>51</v>
      </c>
      <c r="B100" s="130" t="s">
        <v>313</v>
      </c>
      <c r="C100" s="56" t="s">
        <v>74</v>
      </c>
      <c r="D100" s="128">
        <v>6000</v>
      </c>
      <c r="E100" s="128">
        <v>10000</v>
      </c>
      <c r="F100" s="118">
        <v>44881</v>
      </c>
      <c r="G100" s="118">
        <v>45246</v>
      </c>
      <c r="H100" s="56" t="s">
        <v>282</v>
      </c>
      <c r="I100" s="180">
        <f>E100/23*17</f>
        <v>7391.304347826087</v>
      </c>
      <c r="J100" s="188">
        <f>E100/22*15</f>
        <v>6818.181818181818</v>
      </c>
      <c r="K100" s="56"/>
      <c r="L100" s="189"/>
      <c r="M100" s="190"/>
      <c r="N100" s="56"/>
      <c r="O100" s="56"/>
      <c r="P100" s="56"/>
      <c r="Q100" s="163"/>
      <c r="R100" s="163"/>
      <c r="S100" s="163"/>
      <c r="T100" s="175"/>
      <c r="U100" s="175"/>
      <c r="V100" s="170"/>
      <c r="W100" s="170"/>
      <c r="X100" s="249">
        <f t="shared" si="127"/>
        <v>14209.486166007904</v>
      </c>
      <c r="Y100" s="249" t="s">
        <v>283</v>
      </c>
      <c r="Z100" s="249"/>
      <c r="AA100" s="249"/>
      <c r="AB100" s="249"/>
      <c r="AC100" s="249"/>
      <c r="AD100" s="249"/>
      <c r="AE100" s="249"/>
      <c r="AF100" s="249"/>
      <c r="AG100" s="249"/>
      <c r="AH100" s="249"/>
      <c r="AI100" s="249"/>
      <c r="AJ100" s="249"/>
      <c r="AK100" s="249"/>
      <c r="AL100" s="249"/>
      <c r="AM100" s="249"/>
      <c r="AN100" s="249"/>
      <c r="AO100" s="249"/>
      <c r="AP100" s="249"/>
      <c r="AQ100" s="290"/>
      <c r="AR100" s="249"/>
      <c r="AS100" s="171"/>
      <c r="AT100" s="171"/>
      <c r="AU100" s="171"/>
      <c r="AV100" s="243"/>
      <c r="AW100" s="243"/>
      <c r="AX100" s="243"/>
      <c r="AY100" s="243"/>
      <c r="AZ100" s="243"/>
      <c r="BA100" s="243"/>
    </row>
    <row r="101" spans="1:63" ht="15.75" customHeight="1"/>
    <row r="102" spans="1:63" ht="27" customHeight="1">
      <c r="A102" s="131" t="s">
        <v>429</v>
      </c>
      <c r="B102" s="132" t="s">
        <v>247</v>
      </c>
      <c r="C102" s="132">
        <v>20000</v>
      </c>
      <c r="D102" s="132">
        <v>5000</v>
      </c>
      <c r="E102" s="132">
        <v>9000</v>
      </c>
      <c r="F102" s="133">
        <v>45109</v>
      </c>
      <c r="G102" s="131">
        <v>4500</v>
      </c>
      <c r="H102" s="134">
        <v>7000</v>
      </c>
      <c r="I102" s="134">
        <v>0</v>
      </c>
      <c r="J102" s="131">
        <v>0</v>
      </c>
      <c r="K102" s="131">
        <v>0</v>
      </c>
      <c r="L102" s="131">
        <v>0</v>
      </c>
      <c r="M102" s="131">
        <v>0</v>
      </c>
      <c r="N102" s="191" t="s">
        <v>30</v>
      </c>
      <c r="O102" s="191" t="s">
        <v>30</v>
      </c>
      <c r="P102" s="191" t="s">
        <v>30</v>
      </c>
      <c r="Q102" s="191" t="s">
        <v>30</v>
      </c>
      <c r="R102" s="191" t="s">
        <v>30</v>
      </c>
      <c r="S102" s="134">
        <f>SUM(G102:R102)</f>
        <v>11500</v>
      </c>
      <c r="T102" s="253"/>
      <c r="U102" s="253"/>
      <c r="V102" s="253"/>
      <c r="W102" s="253"/>
      <c r="X102" s="253"/>
      <c r="Y102" s="253"/>
      <c r="Z102" s="253"/>
    </row>
    <row r="103" spans="1:63" ht="15.75" customHeight="1"/>
    <row r="104" spans="1:63" ht="45.75" customHeight="1">
      <c r="A104" s="135" t="s">
        <v>858</v>
      </c>
      <c r="B104" s="135" t="s">
        <v>86</v>
      </c>
      <c r="C104" s="135">
        <v>40000</v>
      </c>
      <c r="D104" s="135">
        <v>0</v>
      </c>
      <c r="E104" s="135">
        <v>15000</v>
      </c>
      <c r="F104" s="133">
        <v>45202</v>
      </c>
      <c r="G104" s="131" t="s">
        <v>30</v>
      </c>
      <c r="H104" s="131" t="s">
        <v>30</v>
      </c>
      <c r="I104" s="131" t="s">
        <v>30</v>
      </c>
      <c r="J104" s="131" t="s">
        <v>30</v>
      </c>
      <c r="K104" s="134">
        <v>15000</v>
      </c>
      <c r="L104" s="134">
        <f>15000</f>
        <v>15000</v>
      </c>
      <c r="M104" s="191" t="s">
        <v>30</v>
      </c>
      <c r="N104" s="191" t="s">
        <v>30</v>
      </c>
      <c r="O104" s="191" t="s">
        <v>30</v>
      </c>
      <c r="P104" s="191" t="s">
        <v>30</v>
      </c>
      <c r="Q104" s="191" t="s">
        <v>30</v>
      </c>
      <c r="R104" s="191" t="s">
        <v>30</v>
      </c>
      <c r="S104" s="131">
        <f>SUM(G104:R104)+15000</f>
        <v>45000</v>
      </c>
      <c r="T104" s="253"/>
      <c r="U104" s="253"/>
      <c r="V104" s="253"/>
      <c r="W104" s="253"/>
      <c r="X104" s="253"/>
      <c r="Y104" s="253"/>
      <c r="Z104" s="253"/>
    </row>
    <row r="105" spans="1:63" ht="21" customHeight="1">
      <c r="A105" s="129">
        <v>2</v>
      </c>
      <c r="B105" s="5" t="s">
        <v>284</v>
      </c>
      <c r="C105" s="5" t="s">
        <v>199</v>
      </c>
      <c r="D105" s="52">
        <v>6000</v>
      </c>
      <c r="E105" s="5">
        <v>6000</v>
      </c>
      <c r="F105" s="119">
        <v>44988</v>
      </c>
      <c r="G105" s="5"/>
      <c r="H105" s="5" t="s">
        <v>282</v>
      </c>
      <c r="I105" s="177">
        <f>E105/22*14</f>
        <v>3818.1818181818185</v>
      </c>
      <c r="J105" s="192">
        <v>6000</v>
      </c>
      <c r="K105" s="192">
        <f>E105/20*5</f>
        <v>1500</v>
      </c>
      <c r="L105" s="193"/>
      <c r="M105" s="194" t="s">
        <v>886</v>
      </c>
      <c r="N105" s="161"/>
      <c r="O105" s="5"/>
      <c r="P105" s="5"/>
      <c r="Q105" s="5"/>
      <c r="R105" s="5"/>
      <c r="S105" s="5"/>
      <c r="T105" s="162"/>
      <c r="U105" s="250"/>
      <c r="V105" s="162"/>
      <c r="W105" s="162"/>
      <c r="X105" s="251">
        <f t="shared" ref="X105:X106" si="131">SUM(I105:V105)</f>
        <v>11318.181818181818</v>
      </c>
      <c r="Y105" s="251"/>
      <c r="Z105" s="251">
        <f>I105</f>
        <v>3818.1818181818185</v>
      </c>
      <c r="AA105" s="251">
        <v>6000</v>
      </c>
      <c r="AB105" s="269">
        <v>1500</v>
      </c>
      <c r="AC105" s="251" t="s">
        <v>200</v>
      </c>
      <c r="AD105" s="251">
        <f t="shared" ref="AD105:AK105" si="132">O105</f>
        <v>0</v>
      </c>
      <c r="AE105" s="270">
        <f t="shared" si="132"/>
        <v>0</v>
      </c>
      <c r="AF105" s="270">
        <f t="shared" si="132"/>
        <v>0</v>
      </c>
      <c r="AG105" s="270">
        <f t="shared" si="132"/>
        <v>0</v>
      </c>
      <c r="AH105" s="270">
        <f t="shared" si="132"/>
        <v>0</v>
      </c>
      <c r="AI105" s="270">
        <f t="shared" si="132"/>
        <v>0</v>
      </c>
      <c r="AJ105" s="270">
        <f t="shared" si="132"/>
        <v>0</v>
      </c>
      <c r="AK105" s="270">
        <f t="shared" si="132"/>
        <v>0</v>
      </c>
      <c r="AL105" s="251"/>
      <c r="AM105" s="251"/>
      <c r="AN105" s="251"/>
      <c r="AO105" s="251"/>
      <c r="AP105" s="251"/>
      <c r="AQ105" s="270"/>
      <c r="AR105" s="251"/>
      <c r="AS105" s="162"/>
      <c r="AT105" s="162"/>
      <c r="AU105" s="162"/>
      <c r="AV105" s="162"/>
      <c r="AW105" s="162"/>
      <c r="AX105" s="162"/>
      <c r="AY105" s="162"/>
      <c r="AZ105" s="162"/>
      <c r="BA105" s="162"/>
    </row>
    <row r="106" spans="1:63" ht="59.25" customHeight="1">
      <c r="A106" s="136">
        <v>26</v>
      </c>
      <c r="B106" s="130" t="s">
        <v>290</v>
      </c>
      <c r="C106" s="130" t="s">
        <v>76</v>
      </c>
      <c r="D106" s="137">
        <v>20000</v>
      </c>
      <c r="E106" s="137">
        <v>10000</v>
      </c>
      <c r="F106" s="138">
        <v>44945</v>
      </c>
      <c r="G106" s="138">
        <v>45309</v>
      </c>
      <c r="H106" s="130" t="s">
        <v>282</v>
      </c>
      <c r="I106" s="195">
        <f>E106/23*16</f>
        <v>6956.521739130435</v>
      </c>
      <c r="J106" s="196">
        <v>0</v>
      </c>
      <c r="K106" s="196">
        <v>10000</v>
      </c>
      <c r="L106" s="197">
        <f>E106/23*18</f>
        <v>7826.086956521739</v>
      </c>
      <c r="M106" s="130"/>
      <c r="N106" s="130"/>
      <c r="O106" s="198"/>
      <c r="P106" s="130"/>
      <c r="Q106" s="203"/>
      <c r="R106" s="203"/>
      <c r="S106" s="203"/>
      <c r="T106" s="207"/>
      <c r="U106" s="207"/>
      <c r="V106" s="207"/>
      <c r="W106" s="254"/>
      <c r="X106" s="255">
        <f t="shared" si="131"/>
        <v>24782.608695652176</v>
      </c>
      <c r="Y106" s="255">
        <f>SUM(I106:V106)</f>
        <v>24782.608695652176</v>
      </c>
      <c r="Z106" s="255"/>
      <c r="AA106" s="255"/>
      <c r="AB106" s="255"/>
      <c r="AC106" s="255"/>
      <c r="AD106" s="255"/>
      <c r="AE106" s="255"/>
      <c r="AF106" s="255"/>
      <c r="AG106" s="255"/>
      <c r="AH106" s="255"/>
      <c r="AI106" s="255"/>
      <c r="AJ106" s="255"/>
      <c r="AK106" s="255"/>
      <c r="AL106" s="255"/>
      <c r="AM106" s="255"/>
      <c r="AN106" s="255"/>
      <c r="AO106" s="255"/>
      <c r="AP106" s="255"/>
      <c r="AQ106" s="271"/>
      <c r="AR106" s="255"/>
      <c r="AS106" s="207"/>
      <c r="AT106" s="207"/>
      <c r="AU106" s="207"/>
      <c r="AV106" s="207"/>
      <c r="AW106" s="207"/>
      <c r="AX106" s="207"/>
      <c r="AY106" s="207"/>
      <c r="AZ106" s="207"/>
      <c r="BA106" s="207"/>
    </row>
    <row r="107" spans="1:63" ht="21" customHeight="1">
      <c r="A107" s="136">
        <v>33</v>
      </c>
      <c r="B107" s="130" t="s">
        <v>502</v>
      </c>
      <c r="C107" s="130" t="s">
        <v>150</v>
      </c>
      <c r="D107" s="137">
        <v>6000</v>
      </c>
      <c r="E107" s="137">
        <v>4000</v>
      </c>
      <c r="F107" s="138">
        <v>45292</v>
      </c>
      <c r="G107" s="137"/>
      <c r="H107" s="137"/>
      <c r="I107" s="199">
        <f>E107/23*16.5</f>
        <v>2869.5652173913045</v>
      </c>
      <c r="J107" s="200">
        <v>4000</v>
      </c>
      <c r="K107" s="200">
        <v>4000</v>
      </c>
      <c r="L107" s="201">
        <f>E107/23*8</f>
        <v>1391.304347826087</v>
      </c>
      <c r="M107" s="137"/>
      <c r="N107" s="137"/>
      <c r="O107" s="137"/>
      <c r="P107" s="137"/>
      <c r="Q107" s="137"/>
      <c r="R107" s="137"/>
      <c r="S107" s="137"/>
      <c r="T107" s="137"/>
      <c r="U107" s="137"/>
      <c r="V107" s="137"/>
      <c r="W107" s="137"/>
      <c r="X107" s="137"/>
      <c r="Y107" s="137"/>
      <c r="Z107" s="137"/>
      <c r="AA107" s="137"/>
      <c r="AB107" s="200"/>
      <c r="AC107" s="199">
        <f>L107</f>
        <v>1391.304347826087</v>
      </c>
      <c r="AD107" s="255"/>
      <c r="AE107" s="271">
        <f>P107</f>
        <v>0</v>
      </c>
      <c r="AF107" s="255"/>
      <c r="AG107" s="255"/>
      <c r="AH107" s="255"/>
      <c r="AI107" s="255"/>
      <c r="AJ107" s="255"/>
      <c r="AK107" s="255"/>
      <c r="AL107" s="255"/>
      <c r="AM107" s="255"/>
      <c r="AN107" s="255"/>
      <c r="AO107" s="255"/>
      <c r="AP107" s="255"/>
      <c r="AQ107" s="271"/>
      <c r="AR107" s="255"/>
      <c r="AS107" s="207"/>
      <c r="AT107" s="207"/>
      <c r="AU107" s="207"/>
      <c r="AV107" s="207"/>
      <c r="AW107" s="207"/>
      <c r="AX107" s="207"/>
      <c r="AY107" s="207"/>
      <c r="AZ107" s="207"/>
      <c r="BA107" s="207"/>
    </row>
    <row r="108" spans="1:63" ht="21" customHeight="1">
      <c r="A108" s="136">
        <v>38</v>
      </c>
      <c r="B108" s="130" t="s">
        <v>248</v>
      </c>
      <c r="C108" s="130" t="s">
        <v>224</v>
      </c>
      <c r="D108" s="137">
        <v>10000</v>
      </c>
      <c r="E108" s="137">
        <v>6000</v>
      </c>
      <c r="F108" s="138">
        <v>44665</v>
      </c>
      <c r="G108" s="138">
        <v>45030</v>
      </c>
      <c r="H108" s="130" t="s">
        <v>282</v>
      </c>
      <c r="I108" s="195">
        <v>4000</v>
      </c>
      <c r="J108" s="202">
        <v>3000</v>
      </c>
      <c r="K108" s="196">
        <v>0</v>
      </c>
      <c r="L108" s="197">
        <v>0</v>
      </c>
      <c r="M108" s="203"/>
      <c r="N108" s="130"/>
      <c r="O108" s="204"/>
      <c r="P108" s="130"/>
      <c r="Q108" s="203"/>
      <c r="R108" s="203"/>
      <c r="S108" s="203"/>
      <c r="T108" s="207"/>
      <c r="U108" s="207"/>
      <c r="V108" s="207"/>
      <c r="W108" s="207"/>
      <c r="X108" s="255">
        <f t="shared" ref="X108:X110" si="133">SUM(I108:V108)</f>
        <v>7000</v>
      </c>
      <c r="Y108" s="255">
        <f>'[3]2022'!U49</f>
        <v>44919.2546583851</v>
      </c>
      <c r="Z108" s="255"/>
      <c r="AA108" s="255"/>
      <c r="AB108" s="255"/>
      <c r="AC108" s="255"/>
      <c r="AD108" s="255"/>
      <c r="AE108" s="255"/>
      <c r="AF108" s="255"/>
      <c r="AG108" s="255"/>
      <c r="AH108" s="255"/>
      <c r="AI108" s="255"/>
      <c r="AJ108" s="255"/>
      <c r="AK108" s="255"/>
      <c r="AL108" s="255"/>
      <c r="AM108" s="255"/>
      <c r="AN108" s="255"/>
      <c r="AO108" s="255"/>
      <c r="AP108" s="255"/>
      <c r="AQ108" s="271"/>
      <c r="AR108" s="255"/>
      <c r="AS108" s="207"/>
      <c r="AT108" s="207"/>
      <c r="AU108" s="207"/>
      <c r="AV108" s="207"/>
      <c r="AW108" s="207"/>
      <c r="AX108" s="207"/>
      <c r="AY108" s="207"/>
      <c r="AZ108" s="207"/>
      <c r="BA108" s="207"/>
    </row>
    <row r="109" spans="1:63" ht="21" customHeight="1">
      <c r="A109" s="136">
        <v>41</v>
      </c>
      <c r="B109" s="130" t="s">
        <v>228</v>
      </c>
      <c r="C109" s="130" t="s">
        <v>224</v>
      </c>
      <c r="D109" s="137">
        <v>6000</v>
      </c>
      <c r="E109" s="137">
        <v>10000</v>
      </c>
      <c r="F109" s="138">
        <v>44823</v>
      </c>
      <c r="G109" s="138">
        <v>45370</v>
      </c>
      <c r="H109" s="130" t="s">
        <v>282</v>
      </c>
      <c r="I109" s="195">
        <v>10000</v>
      </c>
      <c r="J109" s="205">
        <v>10000</v>
      </c>
      <c r="K109" s="196">
        <v>10000</v>
      </c>
      <c r="L109" s="197">
        <f>E109/23*1</f>
        <v>434.78260869565219</v>
      </c>
      <c r="M109" s="206"/>
      <c r="N109" s="130"/>
      <c r="O109" s="204"/>
      <c r="P109" s="207"/>
      <c r="Q109" s="203"/>
      <c r="R109" s="203"/>
      <c r="S109" s="203"/>
      <c r="T109" s="207"/>
      <c r="U109" s="207"/>
      <c r="V109" s="207"/>
      <c r="W109" s="207"/>
      <c r="X109" s="255">
        <f t="shared" si="133"/>
        <v>30434.782608695652</v>
      </c>
      <c r="Y109" s="255">
        <f>'[3]2022'!U30</f>
        <v>9000</v>
      </c>
      <c r="Z109" s="255"/>
      <c r="AA109" s="255"/>
      <c r="AB109" s="255"/>
      <c r="AC109" s="255"/>
      <c r="AD109" s="255"/>
      <c r="AE109" s="255"/>
      <c r="AF109" s="255"/>
      <c r="AG109" s="255"/>
      <c r="AH109" s="255"/>
      <c r="AI109" s="255"/>
      <c r="AJ109" s="255"/>
      <c r="AK109" s="255"/>
      <c r="AL109" s="255"/>
      <c r="AM109" s="255"/>
      <c r="AN109" s="255"/>
      <c r="AO109" s="255"/>
      <c r="AP109" s="255"/>
      <c r="AQ109" s="271"/>
      <c r="AR109" s="255"/>
      <c r="AS109" s="207"/>
      <c r="AT109" s="207"/>
      <c r="AU109" s="207"/>
      <c r="AV109" s="207"/>
      <c r="AW109" s="207"/>
      <c r="AX109" s="207"/>
      <c r="AY109" s="207"/>
      <c r="AZ109" s="207"/>
      <c r="BA109" s="207"/>
    </row>
    <row r="110" spans="1:63" ht="21" customHeight="1">
      <c r="A110" s="139">
        <v>29</v>
      </c>
      <c r="B110" s="5" t="s">
        <v>291</v>
      </c>
      <c r="C110" s="5" t="s">
        <v>212</v>
      </c>
      <c r="D110" s="52">
        <v>15000</v>
      </c>
      <c r="E110" s="52">
        <v>6000</v>
      </c>
      <c r="F110" s="119">
        <v>44841</v>
      </c>
      <c r="G110" s="119">
        <v>45206</v>
      </c>
      <c r="H110" s="5" t="s">
        <v>282</v>
      </c>
      <c r="I110" s="177">
        <f>E110/23*18</f>
        <v>4695.652173913044</v>
      </c>
      <c r="J110" s="54">
        <v>0</v>
      </c>
      <c r="K110" s="58">
        <v>0</v>
      </c>
      <c r="L110" s="208">
        <f>E110/23*11</f>
        <v>2869.5652173913045</v>
      </c>
      <c r="M110" s="172"/>
      <c r="N110" s="25" t="s">
        <v>887</v>
      </c>
      <c r="O110" s="209"/>
      <c r="P110" s="5"/>
      <c r="Q110" s="5"/>
      <c r="R110" s="5"/>
      <c r="S110" s="117"/>
      <c r="T110" s="162"/>
      <c r="U110" s="162"/>
      <c r="V110" s="162"/>
      <c r="W110" s="162"/>
      <c r="X110" s="251">
        <f t="shared" si="133"/>
        <v>7565.217391304348</v>
      </c>
      <c r="Y110" s="251">
        <f>'[3]2022'!U19</f>
        <v>15428.5714285714</v>
      </c>
      <c r="Z110" s="251">
        <f>I110</f>
        <v>4695.652173913044</v>
      </c>
      <c r="AA110" s="251">
        <v>0</v>
      </c>
      <c r="AB110" s="269" t="s">
        <v>581</v>
      </c>
      <c r="AC110" s="251"/>
      <c r="AD110" s="251"/>
      <c r="AE110" s="251"/>
      <c r="AF110" s="251"/>
      <c r="AG110" s="251"/>
      <c r="AH110" s="251"/>
      <c r="AI110" s="251">
        <f t="shared" ref="AI110:AK110" si="134">T110</f>
        <v>0</v>
      </c>
      <c r="AJ110" s="251">
        <f t="shared" si="134"/>
        <v>0</v>
      </c>
      <c r="AK110" s="251">
        <f t="shared" si="134"/>
        <v>0</v>
      </c>
      <c r="AL110" s="251"/>
      <c r="AM110" s="251"/>
      <c r="AN110" s="251"/>
      <c r="AO110" s="251"/>
      <c r="AP110" s="251"/>
      <c r="AQ110" s="270"/>
      <c r="AR110" s="251"/>
      <c r="AS110" s="162"/>
      <c r="AT110" s="162"/>
      <c r="AU110" s="162"/>
      <c r="AV110" s="162"/>
      <c r="AW110" s="162"/>
      <c r="AX110" s="162"/>
      <c r="AY110" s="162"/>
      <c r="AZ110" s="162"/>
      <c r="BA110" s="162"/>
    </row>
    <row r="111" spans="1:63" ht="30.75" customHeight="1">
      <c r="A111" s="140">
        <v>4</v>
      </c>
      <c r="B111" s="141" t="s">
        <v>888</v>
      </c>
      <c r="C111" s="141" t="s">
        <v>150</v>
      </c>
      <c r="D111" s="142">
        <v>6000</v>
      </c>
      <c r="E111" s="142">
        <v>6000</v>
      </c>
      <c r="F111" s="143">
        <v>45399</v>
      </c>
      <c r="G111" s="143"/>
      <c r="H111" s="141" t="s">
        <v>282</v>
      </c>
      <c r="I111" s="210" t="s">
        <v>30</v>
      </c>
      <c r="J111" s="211" t="s">
        <v>30</v>
      </c>
      <c r="K111" s="211" t="s">
        <v>30</v>
      </c>
      <c r="L111" s="212">
        <f>E111/23*6</f>
        <v>1565.217391304348</v>
      </c>
      <c r="M111" s="212">
        <v>3000</v>
      </c>
      <c r="N111" s="212"/>
      <c r="O111" s="213"/>
      <c r="P111" s="141"/>
      <c r="Q111" s="141"/>
      <c r="R111" s="141"/>
      <c r="S111" s="141"/>
      <c r="T111" s="171"/>
      <c r="U111" s="171"/>
      <c r="V111" s="170"/>
      <c r="W111" s="170"/>
      <c r="X111" s="249"/>
      <c r="Y111" s="249"/>
      <c r="Z111" s="249"/>
      <c r="AA111" s="249"/>
      <c r="AB111" s="237"/>
      <c r="AC111" s="237"/>
      <c r="AD111" s="237"/>
      <c r="AE111" s="249"/>
      <c r="AF111" s="249"/>
      <c r="AG111" s="249"/>
      <c r="AH111" s="249"/>
      <c r="AI111" s="249"/>
      <c r="AJ111" s="249"/>
      <c r="AK111" s="249"/>
      <c r="AL111" s="249"/>
      <c r="AM111" s="249"/>
      <c r="AN111" s="249"/>
      <c r="AO111" s="249"/>
      <c r="AP111" s="249"/>
      <c r="AQ111" s="291"/>
      <c r="AR111" s="249"/>
      <c r="AS111" s="171"/>
      <c r="AT111" s="171"/>
      <c r="AU111" s="171"/>
      <c r="AV111" s="171"/>
      <c r="AW111" s="171"/>
      <c r="AX111" s="171"/>
      <c r="AY111" s="171"/>
      <c r="AZ111" s="171"/>
      <c r="BA111" s="171"/>
      <c r="BB111" s="25"/>
      <c r="BC111" s="25"/>
      <c r="BD111" s="25"/>
      <c r="BE111" s="25"/>
      <c r="BF111" s="25"/>
      <c r="BG111" s="25"/>
      <c r="BH111" s="25"/>
      <c r="BI111" s="25"/>
      <c r="BJ111" s="25"/>
      <c r="BK111" s="25"/>
    </row>
    <row r="112" spans="1:63" ht="54" customHeight="1">
      <c r="A112" s="144">
        <v>3</v>
      </c>
      <c r="B112" s="145" t="s">
        <v>302</v>
      </c>
      <c r="C112" s="145" t="s">
        <v>224</v>
      </c>
      <c r="D112" s="146">
        <v>15000</v>
      </c>
      <c r="E112" s="146">
        <v>6000</v>
      </c>
      <c r="F112" s="146">
        <v>15000</v>
      </c>
      <c r="G112" s="147" t="s">
        <v>889</v>
      </c>
      <c r="H112" s="148">
        <f>F112/184*44</f>
        <v>3586.9565217391305</v>
      </c>
      <c r="I112" s="214">
        <f>F112/176*44</f>
        <v>3750.0000000000005</v>
      </c>
      <c r="J112" s="214">
        <f>F112/160*44</f>
        <v>4125</v>
      </c>
      <c r="K112" s="214">
        <f>F112/184*44</f>
        <v>3586.9565217391305</v>
      </c>
      <c r="L112" s="214">
        <f>F112/176*26</f>
        <v>2215.909090909091</v>
      </c>
      <c r="M112" s="74" t="s">
        <v>890</v>
      </c>
      <c r="N112" s="74"/>
      <c r="O112" s="74"/>
      <c r="P112" s="74"/>
      <c r="Q112" s="74"/>
      <c r="R112" s="74"/>
      <c r="S112" s="74"/>
      <c r="T112" s="256">
        <f>SUM(H112:S112)</f>
        <v>17264.822134387352</v>
      </c>
    </row>
    <row r="113" spans="1:64" ht="39" customHeight="1">
      <c r="A113" s="139">
        <v>19</v>
      </c>
      <c r="B113" s="56" t="s">
        <v>891</v>
      </c>
      <c r="C113" s="56" t="s">
        <v>337</v>
      </c>
      <c r="D113" s="128">
        <v>6000</v>
      </c>
      <c r="E113" s="128">
        <v>6000</v>
      </c>
      <c r="F113" s="118"/>
      <c r="G113" s="118"/>
      <c r="H113" s="56" t="s">
        <v>282</v>
      </c>
      <c r="I113" s="210" t="s">
        <v>30</v>
      </c>
      <c r="J113" s="211" t="s">
        <v>30</v>
      </c>
      <c r="K113" s="211" t="s">
        <v>30</v>
      </c>
      <c r="L113" s="211" t="s">
        <v>30</v>
      </c>
      <c r="M113" s="172">
        <v>2000</v>
      </c>
      <c r="N113" s="172" t="s">
        <v>892</v>
      </c>
      <c r="O113" s="172"/>
      <c r="P113" s="56"/>
      <c r="Q113" s="56"/>
      <c r="R113" s="163"/>
      <c r="S113" s="163"/>
      <c r="T113" s="163"/>
      <c r="U113" s="171"/>
      <c r="V113" s="171"/>
      <c r="W113" s="171"/>
      <c r="X113" s="171"/>
      <c r="Y113" s="249"/>
      <c r="Z113" s="249"/>
      <c r="AA113" s="249"/>
      <c r="AB113" s="249"/>
      <c r="AC113" s="237"/>
      <c r="AD113" s="237"/>
      <c r="AE113" s="237" t="s">
        <v>348</v>
      </c>
      <c r="AF113" s="249"/>
      <c r="AG113" s="249"/>
      <c r="AH113" s="249"/>
      <c r="AI113" s="249"/>
      <c r="AJ113" s="249"/>
      <c r="AK113" s="249"/>
      <c r="AL113" s="249"/>
      <c r="AM113" s="249"/>
      <c r="AN113" s="249"/>
      <c r="AO113" s="249"/>
      <c r="AP113" s="249"/>
      <c r="AQ113" s="249"/>
      <c r="AR113" s="290"/>
      <c r="AS113" s="249"/>
      <c r="AT113" s="171"/>
      <c r="AU113" s="171"/>
      <c r="AV113" s="171"/>
      <c r="AW113" s="171"/>
      <c r="AX113" s="171"/>
      <c r="AY113" s="171"/>
      <c r="AZ113" s="171"/>
      <c r="BA113" s="171"/>
      <c r="BB113" s="171"/>
      <c r="BC113" s="25"/>
      <c r="BD113" s="25"/>
      <c r="BE113" s="25"/>
      <c r="BF113" s="25"/>
      <c r="BG113" s="25"/>
      <c r="BH113" s="25"/>
      <c r="BI113" s="25"/>
      <c r="BJ113" s="25"/>
      <c r="BK113" s="25"/>
      <c r="BL113" s="25"/>
    </row>
    <row r="114" spans="1:64" s="28" customFormat="1" ht="48" customHeight="1">
      <c r="A114" s="139">
        <v>8</v>
      </c>
      <c r="B114" s="149" t="s">
        <v>893</v>
      </c>
      <c r="C114" s="149" t="s">
        <v>332</v>
      </c>
      <c r="D114" s="150">
        <v>6000</v>
      </c>
      <c r="E114" s="150">
        <v>4000</v>
      </c>
      <c r="F114" s="151">
        <v>45290</v>
      </c>
      <c r="G114" s="151"/>
      <c r="H114" s="149" t="s">
        <v>282</v>
      </c>
      <c r="I114" s="215">
        <f>E114/22*11</f>
        <v>2000</v>
      </c>
      <c r="J114" s="216">
        <v>2000</v>
      </c>
      <c r="K114" s="217">
        <v>4000</v>
      </c>
      <c r="L114" s="218">
        <f>E114/23*20</f>
        <v>3478.2608695652175</v>
      </c>
      <c r="M114" s="218">
        <v>2000</v>
      </c>
      <c r="N114" s="218">
        <v>0</v>
      </c>
      <c r="O114" s="219">
        <f>E114/22*22</f>
        <v>4000</v>
      </c>
      <c r="P114" s="150" t="s">
        <v>489</v>
      </c>
      <c r="Q114" s="149"/>
      <c r="R114" s="257"/>
      <c r="S114" s="257"/>
      <c r="T114" s="257"/>
      <c r="U114" s="258"/>
      <c r="V114" s="258"/>
      <c r="W114" s="258"/>
      <c r="X114" s="258"/>
      <c r="Y114" s="272">
        <f>SUM(I114:W114)</f>
        <v>17478.260869565216</v>
      </c>
      <c r="Z114" s="272"/>
      <c r="AA114" s="272"/>
      <c r="AB114" s="272"/>
      <c r="AC114" s="273"/>
      <c r="AD114" s="273"/>
      <c r="AE114" s="273"/>
      <c r="AF114" s="272"/>
      <c r="AG114" s="272"/>
      <c r="AH114" s="272"/>
      <c r="AI114" s="272"/>
      <c r="AJ114" s="272"/>
      <c r="AK114" s="272"/>
      <c r="AL114" s="272"/>
      <c r="AM114" s="272"/>
      <c r="AN114" s="272"/>
      <c r="AO114" s="272"/>
      <c r="AP114" s="272"/>
      <c r="AQ114" s="272"/>
      <c r="AR114" s="292"/>
      <c r="AS114" s="272"/>
      <c r="AT114" s="258"/>
      <c r="AU114" s="258"/>
      <c r="AV114" s="258"/>
      <c r="AW114" s="258"/>
      <c r="AX114" s="258"/>
      <c r="AY114" s="258"/>
      <c r="AZ114" s="258"/>
      <c r="BA114" s="258"/>
      <c r="BB114" s="258"/>
      <c r="BC114" s="296"/>
      <c r="BD114" s="296"/>
      <c r="BE114" s="296"/>
      <c r="BF114" s="296"/>
      <c r="BG114" s="296"/>
      <c r="BH114" s="296"/>
      <c r="BI114" s="296"/>
      <c r="BJ114" s="296"/>
      <c r="BK114" s="296"/>
      <c r="BL114" s="296"/>
    </row>
    <row r="115" spans="1:64" ht="58.5" customHeight="1">
      <c r="A115" s="144">
        <v>7</v>
      </c>
      <c r="B115" s="131" t="s">
        <v>311</v>
      </c>
      <c r="C115" s="131" t="s">
        <v>79</v>
      </c>
      <c r="D115" s="152">
        <v>38000</v>
      </c>
      <c r="E115" s="152">
        <v>5000</v>
      </c>
      <c r="F115" s="152">
        <v>45000</v>
      </c>
      <c r="G115" s="133" t="s">
        <v>894</v>
      </c>
      <c r="H115" s="153"/>
      <c r="J115" s="220"/>
      <c r="K115" s="221" t="s">
        <v>895</v>
      </c>
      <c r="L115" s="222">
        <v>15000</v>
      </c>
      <c r="M115" s="222">
        <v>45000</v>
      </c>
      <c r="N115" s="222"/>
      <c r="O115" s="223" t="s">
        <v>890</v>
      </c>
      <c r="P115" s="25"/>
      <c r="Q115" s="25"/>
      <c r="R115" s="25"/>
      <c r="S115" s="25"/>
      <c r="T115" s="25"/>
      <c r="U115" s="25"/>
      <c r="V115" s="256">
        <f>SUM(H115:U115)</f>
        <v>60000</v>
      </c>
    </row>
    <row r="116" spans="1:64" ht="37.5" customHeight="1">
      <c r="A116" s="139">
        <v>48</v>
      </c>
      <c r="B116" s="5" t="s">
        <v>308</v>
      </c>
      <c r="C116" s="5" t="s">
        <v>235</v>
      </c>
      <c r="D116" s="52">
        <v>25000</v>
      </c>
      <c r="E116" s="52">
        <v>10000</v>
      </c>
      <c r="F116" s="119">
        <v>44747</v>
      </c>
      <c r="G116" s="119">
        <v>45112</v>
      </c>
      <c r="H116" s="5" t="s">
        <v>282</v>
      </c>
      <c r="I116" s="606">
        <f>E116</f>
        <v>10000</v>
      </c>
      <c r="J116" s="1007">
        <v>5000</v>
      </c>
      <c r="K116" s="1008">
        <v>5000</v>
      </c>
      <c r="L116" s="1009">
        <f>E116/23*21</f>
        <v>9130.434782608696</v>
      </c>
      <c r="M116" s="208">
        <f>E116/22*21</f>
        <v>9545.454545454546</v>
      </c>
      <c r="N116" s="208">
        <f>E116/21*17</f>
        <v>8095.2380952380954</v>
      </c>
      <c r="O116" s="208">
        <f>E116/22*22</f>
        <v>10000</v>
      </c>
      <c r="P116" s="5"/>
      <c r="Q116" s="167"/>
      <c r="R116" s="5"/>
      <c r="S116" s="5"/>
      <c r="T116" s="5"/>
      <c r="U116" s="162"/>
      <c r="V116" s="162"/>
      <c r="W116" s="162"/>
      <c r="X116" s="162"/>
      <c r="Y116" s="251">
        <f>SUM(I116:W116)</f>
        <v>56771.127423301339</v>
      </c>
      <c r="Z116" s="251">
        <f>'[3]2022'!U36</f>
        <v>24782.608695652201</v>
      </c>
      <c r="AA116" s="251">
        <f>I116</f>
        <v>10000</v>
      </c>
      <c r="AB116" s="251">
        <v>5000</v>
      </c>
      <c r="AC116" s="274">
        <v>5000</v>
      </c>
      <c r="AD116" s="234" t="s">
        <v>200</v>
      </c>
      <c r="AE116" s="234">
        <v>15000</v>
      </c>
      <c r="AF116" s="270">
        <f>N116</f>
        <v>8095.2380952380954</v>
      </c>
      <c r="AG116" s="251">
        <f>S116</f>
        <v>0</v>
      </c>
      <c r="AH116" s="251">
        <f>T116</f>
        <v>0</v>
      </c>
      <c r="AI116" s="251">
        <f>U116</f>
        <v>0</v>
      </c>
      <c r="AJ116" s="251">
        <f>V116</f>
        <v>0</v>
      </c>
      <c r="AK116" s="251">
        <f>W116</f>
        <v>0</v>
      </c>
      <c r="AL116" s="251">
        <f>W116</f>
        <v>0</v>
      </c>
      <c r="AM116" s="251"/>
      <c r="AN116" s="251"/>
      <c r="AO116" s="251"/>
      <c r="AP116" s="251"/>
      <c r="AQ116" s="251"/>
      <c r="AR116" s="270"/>
      <c r="AS116" s="251"/>
      <c r="AT116" s="162"/>
      <c r="AU116" s="162"/>
      <c r="AV116" s="162"/>
      <c r="AW116" s="162"/>
      <c r="AX116" s="162"/>
      <c r="AY116" s="162"/>
      <c r="AZ116" s="162"/>
      <c r="BA116" s="162"/>
      <c r="BB116" s="162"/>
      <c r="BC116" s="25"/>
      <c r="BD116" s="25"/>
      <c r="BE116" s="25"/>
      <c r="BF116" s="25"/>
      <c r="BG116" s="25"/>
      <c r="BH116" s="25"/>
      <c r="BI116" s="25"/>
      <c r="BJ116" s="25"/>
      <c r="BK116" s="25"/>
      <c r="BL116" s="25"/>
    </row>
    <row r="117" spans="1:64" ht="28.95" customHeight="1">
      <c r="A117" s="139">
        <v>28</v>
      </c>
      <c r="B117" s="141" t="s">
        <v>896</v>
      </c>
      <c r="C117" s="141" t="s">
        <v>897</v>
      </c>
      <c r="D117" s="142">
        <v>6000</v>
      </c>
      <c r="E117" s="142">
        <v>4000</v>
      </c>
      <c r="F117" s="143">
        <v>45419</v>
      </c>
      <c r="G117" s="143">
        <v>46149</v>
      </c>
      <c r="H117" s="141" t="s">
        <v>282</v>
      </c>
      <c r="I117" s="210" t="s">
        <v>30</v>
      </c>
      <c r="J117" s="211" t="s">
        <v>30</v>
      </c>
      <c r="K117" s="211" t="s">
        <v>30</v>
      </c>
      <c r="L117" s="211" t="s">
        <v>30</v>
      </c>
      <c r="M117" s="224">
        <f>E117/23*14</f>
        <v>2434.782608695652</v>
      </c>
      <c r="N117" s="224">
        <v>0</v>
      </c>
      <c r="O117" s="224">
        <v>0</v>
      </c>
      <c r="P117" s="141" t="s">
        <v>898</v>
      </c>
      <c r="Q117" s="141"/>
      <c r="R117" s="141"/>
      <c r="S117" s="141"/>
      <c r="T117" s="141"/>
      <c r="U117" s="175"/>
      <c r="V117" s="170"/>
      <c r="W117" s="170"/>
      <c r="X117" s="249"/>
      <c r="Y117" s="249"/>
      <c r="Z117" s="249"/>
      <c r="AA117" s="249"/>
      <c r="AB117" s="237"/>
      <c r="AC117" s="237"/>
      <c r="AD117" s="237"/>
      <c r="AE117" s="249"/>
      <c r="AF117" s="249"/>
      <c r="AG117" s="249"/>
      <c r="AH117" s="249"/>
      <c r="AI117" s="249"/>
      <c r="AJ117" s="249"/>
      <c r="AK117" s="249"/>
      <c r="AL117" s="249"/>
      <c r="AM117" s="249"/>
      <c r="AN117" s="249"/>
      <c r="AO117" s="249"/>
      <c r="AP117" s="249"/>
      <c r="AQ117" s="291"/>
      <c r="AR117" s="249"/>
      <c r="AS117" s="171"/>
      <c r="AT117" s="171"/>
      <c r="AU117" s="171"/>
      <c r="AV117" s="171"/>
      <c r="AW117" s="171"/>
      <c r="AX117" s="171"/>
      <c r="AY117" s="171"/>
      <c r="AZ117" s="171"/>
      <c r="BA117" s="171"/>
      <c r="BB117" s="25"/>
      <c r="BC117" s="25"/>
      <c r="BD117" s="25"/>
      <c r="BE117" s="25"/>
      <c r="BF117" s="25"/>
      <c r="BG117" s="25"/>
      <c r="BH117" s="25"/>
      <c r="BI117" s="25"/>
      <c r="BJ117" s="25"/>
      <c r="BK117" s="25"/>
    </row>
    <row r="118" spans="1:64" s="29" customFormat="1" ht="58.2" customHeight="1">
      <c r="A118" s="154">
        <v>51</v>
      </c>
      <c r="B118" s="155" t="s">
        <v>310</v>
      </c>
      <c r="C118" s="155" t="s">
        <v>79</v>
      </c>
      <c r="D118" s="156">
        <v>25000</v>
      </c>
      <c r="E118" s="156">
        <v>10000</v>
      </c>
      <c r="F118" s="157">
        <v>45478</v>
      </c>
      <c r="G118" s="157">
        <v>45843</v>
      </c>
      <c r="H118" s="155" t="s">
        <v>282</v>
      </c>
      <c r="I118" s="225">
        <v>10000</v>
      </c>
      <c r="J118" s="226">
        <v>10000</v>
      </c>
      <c r="K118" s="227">
        <v>8000</v>
      </c>
      <c r="L118" s="228">
        <f>E118/23*18</f>
        <v>7826.086956521739</v>
      </c>
      <c r="M118" s="228">
        <f>E118/22*20</f>
        <v>9090.9090909090919</v>
      </c>
      <c r="N118" s="228">
        <f>E118/21*20</f>
        <v>9523.8095238095248</v>
      </c>
      <c r="O118" s="228">
        <v>0</v>
      </c>
      <c r="P118" s="156" t="s">
        <v>899</v>
      </c>
      <c r="Q118" s="259"/>
      <c r="R118" s="259"/>
      <c r="S118" s="259"/>
      <c r="T118" s="260"/>
      <c r="U118" s="261"/>
      <c r="V118" s="260"/>
      <c r="W118" s="260" t="s">
        <v>900</v>
      </c>
      <c r="X118" s="262">
        <f>SUM(I118:V118)</f>
        <v>54440.805571240358</v>
      </c>
      <c r="Y118" s="262">
        <f>'[3]2022'!U43</f>
        <v>70761.904761904807</v>
      </c>
      <c r="Z118" s="262"/>
      <c r="AA118" s="262"/>
      <c r="AB118" s="275"/>
      <c r="AC118" s="275"/>
      <c r="AD118" s="275"/>
      <c r="AE118" s="262"/>
      <c r="AF118" s="262"/>
      <c r="AG118" s="262"/>
      <c r="AH118" s="262"/>
      <c r="AI118" s="262"/>
      <c r="AJ118" s="262"/>
      <c r="AK118" s="262"/>
      <c r="AL118" s="262"/>
      <c r="AM118" s="262"/>
      <c r="AN118" s="262"/>
      <c r="AO118" s="262"/>
      <c r="AP118" s="262"/>
      <c r="AQ118" s="293"/>
      <c r="AR118" s="294"/>
      <c r="AS118" s="295"/>
      <c r="AT118" s="295"/>
      <c r="AU118" s="295"/>
      <c r="AV118" s="295"/>
      <c r="AW118" s="295"/>
      <c r="AX118" s="295"/>
      <c r="AY118" s="295"/>
      <c r="AZ118" s="295"/>
      <c r="BA118" s="295"/>
      <c r="BB118" s="297"/>
      <c r="BC118" s="297"/>
      <c r="BD118" s="297"/>
      <c r="BE118" s="297"/>
      <c r="BF118" s="297"/>
      <c r="BG118" s="297"/>
      <c r="BH118" s="297"/>
      <c r="BI118" s="297"/>
      <c r="BJ118" s="297"/>
      <c r="BK118" s="297"/>
    </row>
    <row r="119" spans="1:64" s="666" customFormat="1" ht="32.25" customHeight="1">
      <c r="A119" s="980">
        <v>14</v>
      </c>
      <c r="B119" s="680" t="s">
        <v>376</v>
      </c>
      <c r="C119" s="680" t="s">
        <v>224</v>
      </c>
      <c r="D119" s="678">
        <v>57000</v>
      </c>
      <c r="E119" s="678">
        <v>5000</v>
      </c>
      <c r="F119" s="678">
        <v>20000</v>
      </c>
      <c r="G119" s="680" t="s">
        <v>377</v>
      </c>
      <c r="H119" s="683"/>
      <c r="I119" s="693"/>
      <c r="J119" s="693">
        <f>F119/20*12</f>
        <v>12000</v>
      </c>
      <c r="K119" s="690">
        <f t="shared" ref="K119" si="135">F119/23*23</f>
        <v>20000</v>
      </c>
      <c r="L119" s="691">
        <f>F119/22*7</f>
        <v>6363.636363636364</v>
      </c>
      <c r="M119" s="690">
        <f>F119/21*21</f>
        <v>20000</v>
      </c>
      <c r="N119" s="690">
        <f>F119/22*22</f>
        <v>20000</v>
      </c>
      <c r="O119" s="690">
        <f t="shared" ref="O119:O120" si="136">F119/22*22</f>
        <v>20000</v>
      </c>
      <c r="P119" s="690">
        <f>F119/22*22</f>
        <v>20000</v>
      </c>
      <c r="Q119" s="690" t="s">
        <v>917</v>
      </c>
      <c r="R119" s="690" t="s">
        <v>917</v>
      </c>
      <c r="S119" s="697" t="s">
        <v>924</v>
      </c>
      <c r="T119" s="697"/>
      <c r="U119" s="697"/>
    </row>
    <row r="120" spans="1:64" s="988" customFormat="1" ht="32.25" customHeight="1">
      <c r="A120" s="980">
        <v>11</v>
      </c>
      <c r="B120" s="981" t="s">
        <v>373</v>
      </c>
      <c r="C120" s="981" t="s">
        <v>224</v>
      </c>
      <c r="D120" s="982">
        <v>10000</v>
      </c>
      <c r="E120" s="982">
        <v>6000</v>
      </c>
      <c r="F120" s="982">
        <v>1875</v>
      </c>
      <c r="G120" s="981" t="s">
        <v>374</v>
      </c>
      <c r="H120" s="983"/>
      <c r="I120" s="984"/>
      <c r="J120" s="984"/>
      <c r="K120" s="984"/>
      <c r="L120" s="985"/>
      <c r="M120" s="984"/>
      <c r="N120" s="984"/>
      <c r="O120" s="984">
        <f t="shared" si="136"/>
        <v>1875.0000000000002</v>
      </c>
      <c r="P120" s="989">
        <f>F120/22*19</f>
        <v>1619.318181818182</v>
      </c>
      <c r="Q120" s="986" t="s">
        <v>917</v>
      </c>
      <c r="R120" s="986" t="s">
        <v>917</v>
      </c>
      <c r="S120" s="986" t="s">
        <v>925</v>
      </c>
      <c r="T120" s="986"/>
      <c r="U120" s="987"/>
    </row>
    <row r="121" spans="1:64" ht="21" customHeight="1">
      <c r="A121" s="139">
        <v>11</v>
      </c>
      <c r="B121" s="56" t="s">
        <v>335</v>
      </c>
      <c r="C121" s="56" t="s">
        <v>333</v>
      </c>
      <c r="D121" s="128">
        <v>6000</v>
      </c>
      <c r="E121" s="128">
        <v>4000</v>
      </c>
      <c r="F121" s="118">
        <v>45420</v>
      </c>
      <c r="G121" s="118">
        <v>46150</v>
      </c>
      <c r="H121" s="56" t="s">
        <v>282</v>
      </c>
      <c r="I121" s="180" t="s">
        <v>30</v>
      </c>
      <c r="J121" s="180" t="s">
        <v>30</v>
      </c>
      <c r="K121" s="180" t="s">
        <v>30</v>
      </c>
      <c r="L121" s="180" t="s">
        <v>30</v>
      </c>
      <c r="M121" s="172">
        <f>E121/23*14</f>
        <v>2434.782608695652</v>
      </c>
      <c r="N121" s="172">
        <f>E121/26*26</f>
        <v>4000</v>
      </c>
      <c r="O121" s="172">
        <v>1000</v>
      </c>
      <c r="P121" s="172">
        <v>0</v>
      </c>
      <c r="Q121" s="711">
        <v>0</v>
      </c>
      <c r="R121" s="172">
        <v>0</v>
      </c>
      <c r="S121" s="172">
        <v>0</v>
      </c>
      <c r="T121" s="172"/>
      <c r="U121" s="991"/>
      <c r="V121" s="171"/>
      <c r="W121" s="171"/>
      <c r="X121" s="249"/>
      <c r="Y121" s="249"/>
      <c r="Z121" s="249"/>
      <c r="AA121" s="249"/>
      <c r="AB121" s="237"/>
      <c r="AC121" s="237"/>
      <c r="AD121" s="237"/>
      <c r="AE121" s="249"/>
      <c r="AF121" s="249"/>
      <c r="AG121" s="249"/>
      <c r="AH121" s="249"/>
      <c r="AI121" s="249"/>
      <c r="AJ121" s="249"/>
      <c r="AK121" s="249"/>
      <c r="AL121" s="249"/>
      <c r="AM121" s="249"/>
      <c r="AN121" s="249"/>
      <c r="AO121" s="249"/>
      <c r="AP121" s="249"/>
      <c r="AQ121" s="290"/>
      <c r="AR121" s="171"/>
      <c r="AS121" s="171"/>
      <c r="AT121" s="171"/>
      <c r="AU121" s="171"/>
      <c r="AV121" s="171"/>
      <c r="AW121" s="171"/>
      <c r="AX121" s="171"/>
      <c r="AY121" s="171"/>
      <c r="AZ121" s="25"/>
      <c r="BA121" s="25"/>
      <c r="BB121" s="25"/>
      <c r="BC121" s="25"/>
      <c r="BD121" s="25"/>
      <c r="BE121" s="25"/>
      <c r="BF121" s="25"/>
      <c r="BG121" s="25"/>
      <c r="BH121" s="25"/>
      <c r="BI121" s="25"/>
      <c r="BJ121" s="25"/>
    </row>
    <row r="122" spans="1:64" ht="21" customHeight="1">
      <c r="A122" s="139">
        <v>16</v>
      </c>
      <c r="B122" s="56" t="s">
        <v>90</v>
      </c>
      <c r="C122" s="56" t="s">
        <v>86</v>
      </c>
      <c r="D122" s="128">
        <v>40000</v>
      </c>
      <c r="E122" s="128">
        <v>5000</v>
      </c>
      <c r="F122" s="702">
        <v>44838</v>
      </c>
      <c r="G122" s="702">
        <v>45202</v>
      </c>
      <c r="H122" s="56" t="s">
        <v>282</v>
      </c>
      <c r="I122" s="180">
        <v>5000</v>
      </c>
      <c r="J122" s="172">
        <v>5000</v>
      </c>
      <c r="K122" s="172">
        <v>4000</v>
      </c>
      <c r="L122" s="709">
        <v>5000</v>
      </c>
      <c r="M122" s="172">
        <v>4000</v>
      </c>
      <c r="N122" s="172">
        <f>E122/21*21</f>
        <v>5000</v>
      </c>
      <c r="O122" s="172">
        <f>L122/22*16.5</f>
        <v>3750</v>
      </c>
      <c r="P122" s="172">
        <f>E122/22*19</f>
        <v>4318.181818181818</v>
      </c>
      <c r="Q122" s="966">
        <f>E122/22*16</f>
        <v>3636.3636363636365</v>
      </c>
      <c r="R122" s="172">
        <v>0</v>
      </c>
      <c r="S122" s="172">
        <v>0</v>
      </c>
      <c r="T122" s="172"/>
      <c r="U122" s="991"/>
      <c r="V122" s="171"/>
      <c r="W122" s="171"/>
      <c r="X122" s="249">
        <f t="shared" ref="X122:X123" si="137">SUM(I122:V122)</f>
        <v>39704.545454545456</v>
      </c>
      <c r="Y122" s="249"/>
      <c r="Z122" s="249"/>
      <c r="AA122" s="249"/>
      <c r="AB122" s="237">
        <v>4000</v>
      </c>
      <c r="AC122" s="237"/>
      <c r="AD122" s="237"/>
      <c r="AE122" s="249"/>
      <c r="AF122" s="249"/>
      <c r="AG122" s="249"/>
      <c r="AH122" s="249"/>
      <c r="AI122" s="249"/>
      <c r="AJ122" s="249"/>
      <c r="AK122" s="249"/>
      <c r="AL122" s="251"/>
      <c r="AM122" s="251"/>
      <c r="AN122" s="251"/>
      <c r="AO122" s="251"/>
      <c r="AP122" s="251"/>
      <c r="AQ122" s="270"/>
      <c r="AR122" s="171"/>
      <c r="AS122" s="171"/>
      <c r="AT122" s="171"/>
      <c r="AU122" s="171"/>
      <c r="AV122" s="171"/>
      <c r="AW122" s="171"/>
      <c r="AX122" s="171"/>
      <c r="AY122" s="171"/>
      <c r="AZ122" s="171"/>
      <c r="BA122" s="25"/>
      <c r="BB122" s="25"/>
      <c r="BC122" s="25"/>
      <c r="BD122" s="25"/>
      <c r="BE122" s="25"/>
      <c r="BF122" s="25"/>
      <c r="BG122" s="25"/>
      <c r="BH122" s="25"/>
      <c r="BI122" s="25"/>
      <c r="BJ122" s="25"/>
    </row>
    <row r="123" spans="1:64" ht="21" customHeight="1">
      <c r="A123" s="139">
        <v>18</v>
      </c>
      <c r="B123" s="56" t="s">
        <v>205</v>
      </c>
      <c r="C123" s="56" t="s">
        <v>86</v>
      </c>
      <c r="D123" s="128">
        <v>35000</v>
      </c>
      <c r="E123" s="128">
        <v>5000</v>
      </c>
      <c r="F123" s="702">
        <v>44812</v>
      </c>
      <c r="G123" s="702">
        <v>45177</v>
      </c>
      <c r="H123" s="56" t="s">
        <v>282</v>
      </c>
      <c r="I123" s="180">
        <v>1600</v>
      </c>
      <c r="J123" s="172">
        <v>4000</v>
      </c>
      <c r="K123" s="172">
        <v>4000</v>
      </c>
      <c r="L123" s="172">
        <f>E123/23*20</f>
        <v>4347.826086956522</v>
      </c>
      <c r="M123" s="172">
        <v>1000</v>
      </c>
      <c r="N123" s="172">
        <f>E123/21*19.5</f>
        <v>4642.8571428571431</v>
      </c>
      <c r="O123" s="172">
        <v>0</v>
      </c>
      <c r="P123" s="172">
        <f>3000-500</f>
        <v>2500</v>
      </c>
      <c r="Q123" s="711">
        <v>2000</v>
      </c>
      <c r="R123" s="172">
        <v>0</v>
      </c>
      <c r="S123" s="172">
        <v>0</v>
      </c>
      <c r="T123" s="172"/>
      <c r="U123" s="991"/>
      <c r="V123" s="171"/>
      <c r="W123" s="171"/>
      <c r="X123" s="249">
        <f t="shared" si="137"/>
        <v>24090.683229813665</v>
      </c>
      <c r="Y123" s="249"/>
      <c r="Z123" s="249"/>
      <c r="AA123" s="249"/>
      <c r="AB123" s="237"/>
      <c r="AC123" s="237"/>
      <c r="AD123" s="237">
        <f>M123</f>
        <v>1000</v>
      </c>
      <c r="AE123" s="249"/>
      <c r="AF123" s="249"/>
      <c r="AG123" s="249"/>
      <c r="AH123" s="249">
        <f>R123</f>
        <v>0</v>
      </c>
      <c r="AI123" s="249"/>
      <c r="AJ123" s="249"/>
      <c r="AK123" s="249"/>
      <c r="AL123" s="251"/>
      <c r="AM123" s="251"/>
      <c r="AN123" s="251"/>
      <c r="AO123" s="251"/>
      <c r="AP123" s="251"/>
      <c r="AQ123" s="270"/>
      <c r="AR123" s="171"/>
      <c r="AS123" s="171"/>
      <c r="AT123" s="171"/>
      <c r="AU123" s="171"/>
      <c r="AV123" s="171"/>
      <c r="AW123" s="171"/>
      <c r="AX123" s="171"/>
      <c r="AY123" s="171"/>
      <c r="AZ123" s="171"/>
      <c r="BA123" s="25"/>
      <c r="BB123" s="25"/>
      <c r="BC123" s="25"/>
      <c r="BD123" s="25"/>
      <c r="BE123" s="25"/>
      <c r="BF123" s="25"/>
      <c r="BG123" s="25"/>
      <c r="BH123" s="25"/>
      <c r="BI123" s="25"/>
      <c r="BJ123" s="25"/>
    </row>
    <row r="124" spans="1:64" ht="25.5" customHeight="1">
      <c r="A124" s="139">
        <v>22</v>
      </c>
      <c r="B124" s="56" t="s">
        <v>104</v>
      </c>
      <c r="C124" s="56" t="s">
        <v>76</v>
      </c>
      <c r="D124" s="128">
        <v>70000</v>
      </c>
      <c r="E124" s="128">
        <v>10000</v>
      </c>
      <c r="F124" s="118">
        <v>44710</v>
      </c>
      <c r="G124" s="118">
        <v>45074</v>
      </c>
      <c r="H124" s="56" t="s">
        <v>282</v>
      </c>
      <c r="I124" s="180">
        <v>10000</v>
      </c>
      <c r="J124" s="709">
        <v>10000</v>
      </c>
      <c r="K124" s="709">
        <v>10000</v>
      </c>
      <c r="L124" s="709">
        <v>10000</v>
      </c>
      <c r="M124" s="709">
        <v>10000</v>
      </c>
      <c r="N124" s="172">
        <f>E124/21*19.5</f>
        <v>9285.7142857142862</v>
      </c>
      <c r="O124" s="172">
        <f>E124/22*21</f>
        <v>9545.454545454546</v>
      </c>
      <c r="P124" s="172">
        <f>E124/22*19</f>
        <v>8636.363636363636</v>
      </c>
      <c r="Q124" s="711">
        <f>E124/22*20</f>
        <v>9090.9090909090919</v>
      </c>
      <c r="R124" s="172">
        <f>E124/22*22</f>
        <v>10000</v>
      </c>
      <c r="S124" s="172">
        <f>E124/22*20</f>
        <v>9090.9090909090919</v>
      </c>
      <c r="T124" s="172"/>
      <c r="U124" s="991"/>
      <c r="V124" s="171"/>
      <c r="W124" s="175"/>
      <c r="X124" s="249">
        <f>SUM(I124:V124)</f>
        <v>105649.35064935064</v>
      </c>
      <c r="Y124" s="249" t="e">
        <f>'[3]2022'!U116</f>
        <v>#REF!</v>
      </c>
      <c r="Z124" s="249"/>
      <c r="AA124" s="249"/>
      <c r="AB124" s="237"/>
      <c r="AC124" s="237"/>
      <c r="AD124" s="237"/>
      <c r="AE124" s="249"/>
      <c r="AF124" s="249"/>
      <c r="AG124" s="249"/>
      <c r="AH124" s="249"/>
      <c r="AI124" s="249"/>
      <c r="AJ124" s="249"/>
      <c r="AK124" s="249"/>
      <c r="AL124" s="249"/>
      <c r="AM124" s="249"/>
      <c r="AN124" s="249"/>
      <c r="AO124" s="249"/>
      <c r="AP124" s="249"/>
      <c r="AQ124" s="290"/>
      <c r="AR124" s="713"/>
      <c r="AS124" s="713"/>
      <c r="AT124" s="713"/>
      <c r="AU124" s="713"/>
      <c r="AV124" s="713"/>
      <c r="AW124" s="713"/>
      <c r="AX124" s="713"/>
      <c r="AY124" s="713"/>
      <c r="AZ124" s="713"/>
      <c r="BA124" s="25"/>
      <c r="BB124" s="25"/>
      <c r="BC124" s="25"/>
      <c r="BD124" s="25"/>
      <c r="BE124" s="25"/>
      <c r="BF124" s="25"/>
      <c r="BG124" s="25"/>
      <c r="BH124" s="25"/>
      <c r="BI124" s="25"/>
      <c r="BJ124" s="25"/>
    </row>
    <row r="125" spans="1:64" ht="30" customHeight="1">
      <c r="A125" s="139">
        <v>27</v>
      </c>
      <c r="B125" s="56" t="s">
        <v>211</v>
      </c>
      <c r="C125" s="56" t="s">
        <v>341</v>
      </c>
      <c r="D125" s="128">
        <v>25000</v>
      </c>
      <c r="E125" s="128">
        <v>10000</v>
      </c>
      <c r="F125" s="118">
        <v>45049</v>
      </c>
      <c r="G125" s="118">
        <v>45599</v>
      </c>
      <c r="H125" s="56" t="s">
        <v>282</v>
      </c>
      <c r="I125" s="180">
        <v>10000</v>
      </c>
      <c r="J125" s="709">
        <v>10000</v>
      </c>
      <c r="K125" s="709">
        <v>10000</v>
      </c>
      <c r="L125" s="709">
        <v>10000</v>
      </c>
      <c r="M125" s="709">
        <v>10000</v>
      </c>
      <c r="N125" s="709">
        <f>E125/21*21</f>
        <v>10000</v>
      </c>
      <c r="O125" s="709">
        <f>E125/22*22</f>
        <v>10000</v>
      </c>
      <c r="P125" s="709">
        <f>E125/22*22</f>
        <v>10000</v>
      </c>
      <c r="Q125" s="708">
        <f>E125/22*22</f>
        <v>10000</v>
      </c>
      <c r="R125" s="172">
        <f>E125/22*22</f>
        <v>10000</v>
      </c>
      <c r="S125" s="711">
        <f>E125/22*12</f>
        <v>5454.545454545455</v>
      </c>
      <c r="T125" s="711">
        <f>E125/22*7</f>
        <v>3181.818181818182</v>
      </c>
      <c r="U125" s="991" t="s">
        <v>918</v>
      </c>
      <c r="V125" s="171"/>
      <c r="W125" s="171"/>
      <c r="X125" s="249">
        <f>SUM(I125:V125)</f>
        <v>108636.36363636363</v>
      </c>
      <c r="Y125" s="249" t="e">
        <f>'[3]2022'!U118</f>
        <v>#REF!</v>
      </c>
      <c r="Z125" s="249"/>
      <c r="AA125" s="249"/>
      <c r="AB125" s="237"/>
      <c r="AC125" s="237"/>
      <c r="AD125" s="237"/>
      <c r="AE125" s="249"/>
      <c r="AF125" s="249"/>
      <c r="AG125" s="249"/>
      <c r="AH125" s="249"/>
      <c r="AI125" s="249"/>
      <c r="AJ125" s="249"/>
      <c r="AK125" s="249"/>
      <c r="AL125" s="249"/>
      <c r="AM125" s="249"/>
      <c r="AN125" s="249"/>
      <c r="AO125" s="249"/>
      <c r="AP125" s="249"/>
      <c r="AQ125" s="290"/>
      <c r="AR125" s="171"/>
      <c r="AS125" s="171"/>
      <c r="AT125" s="171"/>
      <c r="AU125" s="171"/>
      <c r="AV125" s="171"/>
      <c r="AW125" s="171"/>
      <c r="AX125" s="171"/>
      <c r="AY125" s="171"/>
      <c r="AZ125" s="171"/>
      <c r="BA125" s="25"/>
      <c r="BB125" s="25"/>
      <c r="BC125" s="25"/>
      <c r="BD125" s="25"/>
      <c r="BE125" s="25"/>
      <c r="BF125" s="25"/>
      <c r="BG125" s="25"/>
      <c r="BH125" s="25"/>
      <c r="BI125" s="25"/>
      <c r="BJ125" s="25"/>
    </row>
    <row r="126" spans="1:64" ht="21" customHeight="1">
      <c r="A126" s="993">
        <v>51</v>
      </c>
      <c r="B126" s="56" t="s">
        <v>302</v>
      </c>
      <c r="C126" s="56" t="s">
        <v>352</v>
      </c>
      <c r="D126" s="128">
        <v>15000</v>
      </c>
      <c r="E126" s="128">
        <v>6000</v>
      </c>
      <c r="F126" s="118">
        <v>45153</v>
      </c>
      <c r="G126" s="118">
        <v>45519</v>
      </c>
      <c r="H126" s="56" t="s">
        <v>282</v>
      </c>
      <c r="I126" s="180">
        <v>6000</v>
      </c>
      <c r="J126" s="710">
        <v>0</v>
      </c>
      <c r="K126" s="709">
        <v>0</v>
      </c>
      <c r="L126" s="172">
        <v>2000</v>
      </c>
      <c r="M126" s="709">
        <v>4000</v>
      </c>
      <c r="N126" s="172">
        <f>E126/21*20</f>
        <v>5714.2857142857147</v>
      </c>
      <c r="O126" s="172">
        <f>E126/22*21.5</f>
        <v>5863.636363636364</v>
      </c>
      <c r="P126" s="172">
        <v>3000</v>
      </c>
      <c r="Q126" s="711">
        <v>0</v>
      </c>
      <c r="R126" s="172">
        <f>E126/22*20</f>
        <v>5454.545454545455</v>
      </c>
      <c r="S126" s="172">
        <v>0</v>
      </c>
      <c r="T126" s="172"/>
      <c r="U126" s="142"/>
      <c r="V126" s="171"/>
      <c r="W126" s="171"/>
      <c r="X126" s="249">
        <f>SUM(I126:V126)</f>
        <v>32032.467532467534</v>
      </c>
      <c r="Y126" s="249" t="s">
        <v>283</v>
      </c>
      <c r="Z126" s="249"/>
      <c r="AA126" s="249"/>
      <c r="AB126" s="237"/>
      <c r="AC126" s="237"/>
      <c r="AD126" s="237"/>
      <c r="AE126" s="249"/>
      <c r="AF126" s="249"/>
      <c r="AG126" s="249"/>
      <c r="AH126" s="249"/>
      <c r="AI126" s="249"/>
      <c r="AJ126" s="249"/>
      <c r="AK126" s="249"/>
      <c r="AL126" s="249"/>
      <c r="AM126" s="249"/>
      <c r="AN126" s="249"/>
      <c r="AO126" s="249"/>
      <c r="AP126" s="249"/>
      <c r="AQ126" s="290"/>
      <c r="AR126" s="171"/>
      <c r="AS126" s="171"/>
      <c r="AT126" s="171"/>
      <c r="AU126" s="171"/>
      <c r="AV126" s="171"/>
      <c r="AW126" s="171"/>
      <c r="AX126" s="171"/>
      <c r="AY126" s="171"/>
      <c r="AZ126" s="25"/>
      <c r="BA126" s="25"/>
      <c r="BB126" s="25"/>
      <c r="BC126" s="25"/>
      <c r="BD126" s="25"/>
      <c r="BE126" s="25"/>
      <c r="BF126" s="25"/>
      <c r="BG126" s="25"/>
      <c r="BH126" s="25"/>
      <c r="BI126" s="25"/>
      <c r="BJ126" s="25"/>
    </row>
    <row r="127" spans="1:64" ht="45" customHeight="1">
      <c r="A127" s="993">
        <v>54</v>
      </c>
      <c r="B127" s="56" t="s">
        <v>244</v>
      </c>
      <c r="C127" s="56" t="s">
        <v>74</v>
      </c>
      <c r="D127" s="128">
        <v>40000</v>
      </c>
      <c r="E127" s="128">
        <v>7000</v>
      </c>
      <c r="F127" s="118">
        <v>45462</v>
      </c>
      <c r="G127" s="118">
        <v>45827</v>
      </c>
      <c r="H127" s="56" t="s">
        <v>282</v>
      </c>
      <c r="I127" s="180">
        <v>7000</v>
      </c>
      <c r="J127" s="709">
        <v>7000</v>
      </c>
      <c r="K127" s="709">
        <v>7000</v>
      </c>
      <c r="L127" s="172">
        <f>E127/23*22.5</f>
        <v>6847.8260869565211</v>
      </c>
      <c r="M127" s="172">
        <v>7000</v>
      </c>
      <c r="N127" s="172">
        <f>E127/21*21</f>
        <v>7000</v>
      </c>
      <c r="O127" s="172">
        <v>0</v>
      </c>
      <c r="P127" s="172">
        <v>0</v>
      </c>
      <c r="Q127" s="172">
        <f>E127/22*22</f>
        <v>7000</v>
      </c>
      <c r="R127" s="172">
        <v>0</v>
      </c>
      <c r="S127" s="172">
        <v>0</v>
      </c>
      <c r="T127" s="172"/>
      <c r="U127" s="991"/>
      <c r="V127" s="171"/>
      <c r="W127" s="171" t="s">
        <v>354</v>
      </c>
      <c r="X127" s="249">
        <f>SUM(I127:V127)</f>
        <v>48847.82608695652</v>
      </c>
      <c r="Y127" s="249" t="s">
        <v>283</v>
      </c>
      <c r="Z127" s="249"/>
      <c r="AA127" s="249"/>
      <c r="AB127" s="237"/>
      <c r="AC127" s="237"/>
      <c r="AD127" s="237"/>
      <c r="AE127" s="249"/>
      <c r="AF127" s="249"/>
      <c r="AG127" s="249"/>
      <c r="AH127" s="249"/>
      <c r="AI127" s="249"/>
      <c r="AJ127" s="249"/>
      <c r="AK127" s="249"/>
      <c r="AL127" s="249"/>
      <c r="AM127" s="249"/>
      <c r="AN127" s="249"/>
      <c r="AO127" s="249"/>
      <c r="AP127" s="249"/>
      <c r="AQ127" s="290"/>
      <c r="AR127" s="171"/>
      <c r="AS127" s="171"/>
      <c r="AT127" s="171"/>
      <c r="AU127" s="171"/>
      <c r="AV127" s="171"/>
      <c r="AW127" s="171"/>
      <c r="AX127" s="171"/>
      <c r="AY127" s="171"/>
      <c r="AZ127" s="171"/>
      <c r="BA127" s="25"/>
      <c r="BB127" s="25"/>
      <c r="BC127" s="25"/>
      <c r="BD127" s="25"/>
      <c r="BE127" s="25"/>
      <c r="BF127" s="25"/>
      <c r="BG127" s="25"/>
      <c r="BH127" s="25"/>
      <c r="BI127" s="25"/>
      <c r="BJ127" s="25"/>
    </row>
    <row r="128" spans="1:64" s="988" customFormat="1" ht="32.25" customHeight="1">
      <c r="A128" s="980"/>
      <c r="B128" s="981" t="s">
        <v>928</v>
      </c>
      <c r="C128" s="981" t="s">
        <v>72</v>
      </c>
      <c r="D128" s="982">
        <v>6000</v>
      </c>
      <c r="E128" s="982">
        <v>4000</v>
      </c>
      <c r="F128" s="982">
        <v>1875</v>
      </c>
      <c r="G128" s="981"/>
      <c r="H128" s="984">
        <v>0</v>
      </c>
      <c r="I128" s="986" t="s">
        <v>969</v>
      </c>
      <c r="J128" s="698">
        <f t="shared" ref="J128" si="138">SUM(H128:H128)</f>
        <v>0</v>
      </c>
    </row>
    <row r="129" spans="1:35" ht="15.75" customHeight="1">
      <c r="A129" s="1060">
        <v>12</v>
      </c>
      <c r="B129" s="1062" t="s">
        <v>936</v>
      </c>
      <c r="C129" s="1062" t="s">
        <v>247</v>
      </c>
      <c r="D129" s="1063">
        <v>6000</v>
      </c>
      <c r="E129" s="1063">
        <v>4000</v>
      </c>
      <c r="F129" s="1063">
        <v>15000</v>
      </c>
      <c r="G129" s="1064"/>
      <c r="H129" s="1065">
        <v>15000</v>
      </c>
      <c r="I129" s="1065"/>
      <c r="J129" s="1066" t="s">
        <v>976</v>
      </c>
      <c r="K129" s="1067"/>
      <c r="L129" s="1068"/>
      <c r="M129" s="1068"/>
      <c r="N129" s="1068"/>
      <c r="O129" s="1068"/>
      <c r="P129" s="1068"/>
      <c r="Q129" s="1068"/>
      <c r="R129" s="1068"/>
      <c r="S129" s="1068"/>
      <c r="T129" s="1069"/>
      <c r="U129" s="1070"/>
    </row>
    <row r="130" spans="1:35" s="666" customFormat="1" ht="32.25" customHeight="1">
      <c r="A130" s="144">
        <v>13</v>
      </c>
      <c r="B130" s="680" t="s">
        <v>367</v>
      </c>
      <c r="C130" s="680" t="s">
        <v>247</v>
      </c>
      <c r="D130" s="678">
        <v>57750</v>
      </c>
      <c r="E130" s="678">
        <v>0</v>
      </c>
      <c r="F130" s="678">
        <v>2887</v>
      </c>
      <c r="G130" s="680" t="s">
        <v>368</v>
      </c>
      <c r="H130" s="1102">
        <f>F130/23*22</f>
        <v>2761.478260869565</v>
      </c>
      <c r="I130" s="1102">
        <f t="shared" ref="I130" si="139">F130/21*21</f>
        <v>2887</v>
      </c>
      <c r="J130" s="1102" t="s">
        <v>30</v>
      </c>
      <c r="K130" s="697" t="s">
        <v>1000</v>
      </c>
      <c r="L130" s="1086">
        <f t="shared" ref="L130" si="140">SUM(H130:I130)</f>
        <v>5648.478260869565</v>
      </c>
      <c r="N130"/>
      <c r="O130"/>
      <c r="P130"/>
      <c r="Q130"/>
      <c r="R130"/>
      <c r="S130"/>
      <c r="T130"/>
      <c r="U130"/>
      <c r="V130"/>
      <c r="W130"/>
      <c r="X130"/>
      <c r="Y130"/>
      <c r="Z130"/>
      <c r="AA130"/>
      <c r="AB130"/>
      <c r="AC130"/>
    </row>
    <row r="131" spans="1:35" s="1000" customFormat="1" ht="21" customHeight="1">
      <c r="A131" s="139">
        <v>31</v>
      </c>
      <c r="B131" s="128" t="s">
        <v>292</v>
      </c>
      <c r="C131" s="128" t="s">
        <v>341</v>
      </c>
      <c r="D131" s="128">
        <v>30000</v>
      </c>
      <c r="E131" s="128">
        <v>10000</v>
      </c>
      <c r="F131" s="118">
        <v>45362</v>
      </c>
      <c r="G131" s="118">
        <v>45727</v>
      </c>
      <c r="H131" s="128" t="s">
        <v>282</v>
      </c>
      <c r="I131" s="128">
        <v>0</v>
      </c>
      <c r="J131" s="991">
        <f>E131/21*19</f>
        <v>9047.6190476190477</v>
      </c>
      <c r="K131" s="991">
        <f>E131/20*8</f>
        <v>4000</v>
      </c>
      <c r="L131" s="991"/>
      <c r="M131" s="991"/>
      <c r="N131" s="170"/>
      <c r="O131" s="170"/>
      <c r="P131" s="1018">
        <f>SUM(M131:N131)</f>
        <v>0</v>
      </c>
      <c r="Q131" s="1019"/>
      <c r="R131" s="1018"/>
      <c r="S131" s="1018"/>
      <c r="T131" s="1019"/>
      <c r="U131" s="1019"/>
      <c r="V131" s="1019"/>
      <c r="W131" s="1018"/>
      <c r="X131" s="1018"/>
      <c r="Y131" s="1018"/>
      <c r="Z131" s="1018"/>
      <c r="AA131" s="1018"/>
      <c r="AB131" s="1018"/>
      <c r="AC131" s="1018"/>
      <c r="AD131" s="1018"/>
      <c r="AE131" s="1018"/>
      <c r="AF131" s="1018"/>
      <c r="AG131" s="1018"/>
      <c r="AH131" s="1018"/>
      <c r="AI131" s="1018"/>
    </row>
    <row r="132" spans="1:35" s="1000" customFormat="1" ht="36" customHeight="1">
      <c r="A132" s="139">
        <v>39</v>
      </c>
      <c r="B132" s="52" t="s">
        <v>306</v>
      </c>
      <c r="C132" s="52" t="s">
        <v>224</v>
      </c>
      <c r="D132" s="52">
        <v>25000</v>
      </c>
      <c r="E132" s="52">
        <v>10000</v>
      </c>
      <c r="F132" s="119">
        <v>44837</v>
      </c>
      <c r="G132" s="119">
        <v>45202</v>
      </c>
      <c r="H132" s="52" t="s">
        <v>282</v>
      </c>
      <c r="I132" s="52">
        <f>E132/23*23</f>
        <v>10000</v>
      </c>
      <c r="J132" s="52">
        <f t="shared" ref="J132" si="141">E132/21*21</f>
        <v>10000</v>
      </c>
      <c r="K132" s="52">
        <v>0</v>
      </c>
      <c r="L132" s="52"/>
      <c r="M132" s="52"/>
      <c r="N132" s="716"/>
      <c r="O132" s="716"/>
      <c r="P132" s="1014">
        <f>SUM(M132:N132)</f>
        <v>0</v>
      </c>
      <c r="Q132" s="1014">
        <f>I132</f>
        <v>10000</v>
      </c>
      <c r="R132" s="1014">
        <f>J132</f>
        <v>10000</v>
      </c>
      <c r="S132" s="1014">
        <f>K132</f>
        <v>0</v>
      </c>
      <c r="T132" s="1015"/>
      <c r="U132" s="1016"/>
      <c r="V132" s="1016"/>
      <c r="W132" s="880"/>
      <c r="X132" s="880"/>
      <c r="Y132" s="1014"/>
      <c r="Z132" s="1014"/>
      <c r="AA132" s="1014"/>
      <c r="AB132" s="1014"/>
      <c r="AC132" s="1014">
        <f t="shared" ref="AC132" si="142">N132</f>
        <v>0</v>
      </c>
      <c r="AD132" s="1014"/>
      <c r="AE132" s="1014"/>
      <c r="AF132" s="1014"/>
      <c r="AG132" s="1014"/>
      <c r="AH132" s="1014"/>
      <c r="AI132" s="1014"/>
    </row>
    <row r="133" spans="1:35" ht="15.75" customHeight="1"/>
    <row r="134" spans="1:35" ht="15.75" customHeight="1"/>
    <row r="135" spans="1:35" ht="15.75" customHeight="1"/>
    <row r="136" spans="1:35" ht="15.75" customHeight="1"/>
    <row r="137" spans="1:35" ht="15.75" customHeight="1"/>
    <row r="138" spans="1:35" ht="15.75" customHeight="1"/>
    <row r="139" spans="1:35" ht="15.75" customHeight="1"/>
    <row r="140" spans="1:35" ht="15.75" customHeight="1"/>
    <row r="141" spans="1:35" ht="15.75" customHeight="1"/>
    <row r="142" spans="1:35" ht="15.75" customHeight="1"/>
    <row r="143" spans="1:35" ht="15.75" customHeight="1"/>
    <row r="144" spans="1:35"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T100" xr:uid="{00000000-0009-0000-0000-00001E000000}"/>
  <mergeCells count="1">
    <mergeCell ref="K18:R18"/>
  </mergeCells>
  <conditionalFormatting sqref="A104">
    <cfRule type="cellIs" dxfId="39" priority="13" operator="equal">
      <formula>"YL"</formula>
    </cfRule>
    <cfRule type="cellIs" dxfId="38" priority="14" operator="equal">
      <formula>"YL"</formula>
    </cfRule>
  </conditionalFormatting>
  <conditionalFormatting sqref="B102">
    <cfRule type="cellIs" dxfId="37" priority="15" operator="equal">
      <formula>"YL"</formula>
    </cfRule>
    <cfRule type="cellIs" dxfId="36" priority="16" operator="equal">
      <formula>"YL"</formula>
    </cfRule>
  </conditionalFormatting>
  <conditionalFormatting sqref="B112">
    <cfRule type="cellIs" dxfId="35" priority="11" operator="equal">
      <formula>"YL"</formula>
    </cfRule>
    <cfRule type="cellIs" dxfId="34" priority="12" operator="equal">
      <formula>"YL"</formula>
    </cfRule>
  </conditionalFormatting>
  <conditionalFormatting sqref="C3">
    <cfRule type="cellIs" dxfId="33" priority="17" operator="equal">
      <formula>"YL"</formula>
    </cfRule>
    <cfRule type="cellIs" dxfId="32" priority="18" operator="equal">
      <formula>"YL"</formula>
    </cfRule>
  </conditionalFormatting>
  <conditionalFormatting sqref="C5">
    <cfRule type="cellIs" dxfId="31" priority="19" operator="equal">
      <formula>"YL"</formula>
    </cfRule>
    <cfRule type="cellIs" dxfId="30" priority="20" operator="equal">
      <formula>"YL"</formula>
    </cfRule>
  </conditionalFormatting>
  <conditionalFormatting sqref="C9">
    <cfRule type="cellIs" dxfId="29" priority="21" operator="equal">
      <formula>"YL"</formula>
    </cfRule>
    <cfRule type="cellIs" dxfId="28" priority="22" operator="equal">
      <formula>"YL"</formula>
    </cfRule>
  </conditionalFormatting>
  <conditionalFormatting sqref="C14:C15">
    <cfRule type="cellIs" dxfId="27" priority="23" operator="equal">
      <formula>"YL"</formula>
    </cfRule>
    <cfRule type="cellIs" dxfId="26" priority="24" operator="equal">
      <formula>"YL"</formula>
    </cfRule>
  </conditionalFormatting>
  <conditionalFormatting sqref="C115">
    <cfRule type="cellIs" dxfId="25" priority="9" operator="equal">
      <formula>"YL"</formula>
    </cfRule>
    <cfRule type="cellIs" dxfId="24" priority="10" operator="equal">
      <formula>"YL"</formula>
    </cfRule>
  </conditionalFormatting>
  <conditionalFormatting sqref="C119:C120">
    <cfRule type="cellIs" dxfId="23" priority="5" operator="equal">
      <formula>"YL"</formula>
    </cfRule>
    <cfRule type="cellIs" dxfId="22" priority="6" operator="equal">
      <formula>"YL"</formula>
    </cfRule>
  </conditionalFormatting>
  <conditionalFormatting sqref="C128">
    <cfRule type="cellIs" dxfId="21" priority="3" operator="equal">
      <formula>"YL"</formula>
    </cfRule>
    <cfRule type="cellIs" dxfId="20" priority="4" operator="equal">
      <formula>"YL"</formula>
    </cfRule>
  </conditionalFormatting>
  <conditionalFormatting sqref="C130">
    <cfRule type="cellIs" dxfId="19" priority="1" operator="equal">
      <formula>"YL"</formula>
    </cfRule>
    <cfRule type="cellIs" dxfId="18" priority="2" operator="equal">
      <formula>"YL"</formula>
    </cfRule>
  </conditionalFormatting>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
  <sheetViews>
    <sheetView workbookViewId="0">
      <selection sqref="A1:D1"/>
    </sheetView>
  </sheetViews>
  <sheetFormatPr defaultColWidth="9" defaultRowHeight="13.8"/>
  <cols>
    <col min="4" max="4" width="38.19921875" customWidth="1"/>
    <col min="5" max="5" width="10.19921875" customWidth="1"/>
    <col min="6" max="12" width="8.69921875" customWidth="1"/>
  </cols>
  <sheetData>
    <row r="1" spans="1:13" ht="21">
      <c r="A1" s="1180" t="s">
        <v>381</v>
      </c>
      <c r="B1" s="1180"/>
      <c r="C1" s="1180"/>
      <c r="D1" s="1180"/>
      <c r="E1" s="655"/>
      <c r="F1" s="655"/>
      <c r="G1" s="655"/>
      <c r="H1" s="655"/>
      <c r="I1" s="655"/>
      <c r="J1" s="655"/>
      <c r="K1" s="655"/>
      <c r="L1" s="655"/>
      <c r="M1" s="655"/>
    </row>
    <row r="2" spans="1:13" ht="55.2">
      <c r="A2" s="656" t="s">
        <v>382</v>
      </c>
      <c r="B2" s="656" t="s">
        <v>383</v>
      </c>
      <c r="C2" s="656" t="s">
        <v>384</v>
      </c>
      <c r="D2" s="656" t="s">
        <v>385</v>
      </c>
      <c r="E2" s="656" t="s">
        <v>386</v>
      </c>
      <c r="F2" s="656" t="s">
        <v>387</v>
      </c>
      <c r="G2" s="656" t="s">
        <v>388</v>
      </c>
      <c r="H2" s="656" t="s">
        <v>389</v>
      </c>
      <c r="I2" s="656" t="s">
        <v>390</v>
      </c>
      <c r="J2" s="656" t="s">
        <v>391</v>
      </c>
      <c r="K2" s="656" t="s">
        <v>392</v>
      </c>
      <c r="L2" s="656" t="s">
        <v>393</v>
      </c>
      <c r="M2" s="656" t="s">
        <v>394</v>
      </c>
    </row>
    <row r="3" spans="1:13">
      <c r="A3" s="657" t="s">
        <v>395</v>
      </c>
      <c r="B3" s="658" t="s">
        <v>396</v>
      </c>
      <c r="C3" s="659">
        <v>29</v>
      </c>
      <c r="D3" s="659">
        <v>3</v>
      </c>
      <c r="E3" s="659">
        <v>137</v>
      </c>
      <c r="F3" s="659">
        <v>6.0185199999999996</v>
      </c>
      <c r="G3" s="659">
        <v>1096</v>
      </c>
      <c r="H3" s="659">
        <v>678</v>
      </c>
      <c r="I3" s="659">
        <v>418</v>
      </c>
      <c r="J3" s="659">
        <v>11</v>
      </c>
      <c r="K3" s="659">
        <v>4598</v>
      </c>
      <c r="L3" s="659">
        <v>6000</v>
      </c>
      <c r="M3" s="659">
        <v>10598</v>
      </c>
    </row>
    <row r="4" spans="1:13">
      <c r="A4" s="657" t="s">
        <v>395</v>
      </c>
      <c r="B4" s="658" t="s">
        <v>397</v>
      </c>
      <c r="C4" s="659">
        <v>19</v>
      </c>
      <c r="D4" s="659">
        <v>6</v>
      </c>
      <c r="E4" s="659">
        <v>367</v>
      </c>
      <c r="F4" s="659">
        <v>6.0931899999999999</v>
      </c>
      <c r="G4" s="659">
        <v>1128</v>
      </c>
      <c r="H4" s="659">
        <v>678</v>
      </c>
      <c r="I4" s="659">
        <v>450</v>
      </c>
      <c r="J4" s="659">
        <v>11</v>
      </c>
      <c r="K4" s="659">
        <v>4950</v>
      </c>
      <c r="L4" s="659">
        <v>6000</v>
      </c>
      <c r="M4" s="659">
        <v>10950</v>
      </c>
    </row>
    <row r="5" spans="1:13">
      <c r="A5" s="658" t="s">
        <v>395</v>
      </c>
      <c r="B5" s="658" t="s">
        <v>398</v>
      </c>
      <c r="C5" s="659">
        <v>33</v>
      </c>
      <c r="D5" s="659">
        <v>12</v>
      </c>
      <c r="E5" s="659">
        <v>374</v>
      </c>
      <c r="F5" s="659">
        <v>5.5555599999999998</v>
      </c>
      <c r="G5" s="659">
        <v>1000</v>
      </c>
      <c r="H5" s="659">
        <v>678</v>
      </c>
      <c r="I5" s="659">
        <v>322</v>
      </c>
      <c r="J5" s="659">
        <v>11</v>
      </c>
      <c r="K5" s="659">
        <v>3542</v>
      </c>
      <c r="L5" s="659">
        <v>6000</v>
      </c>
      <c r="M5" s="659">
        <v>9542</v>
      </c>
    </row>
    <row r="6" spans="1:13">
      <c r="A6" s="655"/>
      <c r="B6" s="655"/>
      <c r="C6" s="655"/>
      <c r="D6" s="655"/>
      <c r="E6" s="655"/>
      <c r="F6" s="655"/>
      <c r="G6" s="655"/>
      <c r="H6" s="655"/>
      <c r="I6" s="655"/>
      <c r="J6" s="655"/>
      <c r="K6" s="655"/>
      <c r="L6" s="660" t="s">
        <v>126</v>
      </c>
      <c r="M6" s="661">
        <v>31090</v>
      </c>
    </row>
    <row r="7" spans="1:13">
      <c r="A7" s="655"/>
      <c r="B7" s="655"/>
      <c r="C7" s="655"/>
      <c r="D7" s="655"/>
      <c r="E7" s="655"/>
      <c r="F7" s="655"/>
      <c r="G7" s="655"/>
      <c r="H7" s="655"/>
      <c r="I7" s="655"/>
      <c r="J7" s="655"/>
      <c r="K7" s="655"/>
      <c r="L7" s="655"/>
      <c r="M7" s="655"/>
    </row>
    <row r="8" spans="1:13">
      <c r="A8" s="655"/>
      <c r="B8" s="655"/>
      <c r="C8" s="655"/>
      <c r="D8" s="655"/>
      <c r="E8" s="655"/>
      <c r="F8" s="655"/>
      <c r="G8" s="655"/>
      <c r="H8" s="655"/>
      <c r="I8" s="655"/>
      <c r="J8" s="655"/>
      <c r="K8" s="655"/>
      <c r="L8" s="662"/>
      <c r="M8" s="663" t="s">
        <v>399</v>
      </c>
    </row>
    <row r="9" spans="1:13">
      <c r="A9" s="655"/>
      <c r="B9" s="655"/>
      <c r="C9" s="655"/>
      <c r="D9" s="655"/>
      <c r="E9" s="655"/>
      <c r="F9" s="655"/>
      <c r="G9" s="655"/>
      <c r="H9" s="655"/>
      <c r="I9" s="655"/>
      <c r="J9" s="655"/>
      <c r="K9" s="655"/>
      <c r="L9" s="664" t="s">
        <v>400</v>
      </c>
      <c r="M9" s="665">
        <v>3109</v>
      </c>
    </row>
  </sheetData>
  <mergeCells count="1">
    <mergeCell ref="A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6"/>
  <sheetViews>
    <sheetView workbookViewId="0">
      <selection activeCell="E12" sqref="E12"/>
    </sheetView>
  </sheetViews>
  <sheetFormatPr defaultColWidth="12.59765625" defaultRowHeight="15" customHeight="1"/>
  <cols>
    <col min="1" max="1" width="8.59765625" customWidth="1"/>
    <col min="2" max="2" width="36.09765625" customWidth="1"/>
    <col min="3" max="3" width="21.19921875" customWidth="1"/>
    <col min="4" max="4" width="22.5" customWidth="1"/>
    <col min="5" max="5" width="32.09765625" customWidth="1"/>
    <col min="6" max="6" width="13.3984375" customWidth="1"/>
    <col min="7" max="26" width="8.59765625" customWidth="1"/>
  </cols>
  <sheetData>
    <row r="1" spans="1:26" ht="18" customHeight="1">
      <c r="A1" s="644" t="s">
        <v>401</v>
      </c>
      <c r="B1" s="98"/>
      <c r="C1" s="645"/>
      <c r="D1" s="645"/>
      <c r="E1" s="98"/>
      <c r="F1" s="98"/>
      <c r="G1" s="98"/>
      <c r="H1" s="98"/>
      <c r="I1" s="98"/>
      <c r="J1" s="98"/>
      <c r="K1" s="98"/>
      <c r="L1" s="98"/>
      <c r="M1" s="98"/>
      <c r="N1" s="98"/>
      <c r="O1" s="98"/>
      <c r="P1" s="98"/>
      <c r="Q1" s="98"/>
      <c r="R1" s="98"/>
      <c r="S1" s="98"/>
      <c r="T1" s="98"/>
      <c r="U1" s="98"/>
      <c r="V1" s="98"/>
      <c r="W1" s="98"/>
      <c r="X1" s="98"/>
      <c r="Y1" s="98"/>
      <c r="Z1" s="98"/>
    </row>
    <row r="2" spans="1:26" ht="26.25" customHeight="1">
      <c r="A2" s="646" t="s">
        <v>402</v>
      </c>
    </row>
    <row r="3" spans="1:26" ht="66" customHeight="1">
      <c r="A3" s="647" t="s">
        <v>356</v>
      </c>
      <c r="B3" s="647" t="s">
        <v>403</v>
      </c>
      <c r="C3" s="647" t="s">
        <v>404</v>
      </c>
      <c r="D3" s="647" t="s">
        <v>126</v>
      </c>
      <c r="E3" s="380"/>
      <c r="F3" s="380"/>
      <c r="G3" s="380"/>
      <c r="H3" s="380"/>
      <c r="I3" s="380"/>
      <c r="J3" s="380"/>
      <c r="K3" s="380"/>
      <c r="L3" s="380"/>
      <c r="M3" s="380"/>
      <c r="N3" s="380"/>
      <c r="O3" s="380"/>
      <c r="P3" s="380"/>
      <c r="Q3" s="380"/>
      <c r="R3" s="380"/>
      <c r="S3" s="380"/>
      <c r="T3" s="380"/>
      <c r="U3" s="380"/>
      <c r="V3" s="380"/>
      <c r="W3" s="380"/>
      <c r="X3" s="380"/>
      <c r="Y3" s="380"/>
      <c r="Z3" s="380"/>
    </row>
    <row r="4" spans="1:26" ht="13.5" customHeight="1">
      <c r="A4" s="648" t="s">
        <v>127</v>
      </c>
      <c r="B4" s="649"/>
      <c r="C4" s="649"/>
      <c r="D4" s="648"/>
    </row>
    <row r="5" spans="1:26" ht="13.5" customHeight="1">
      <c r="A5" s="648" t="s">
        <v>912</v>
      </c>
      <c r="B5" s="649"/>
      <c r="C5" s="649"/>
      <c r="D5" s="648"/>
    </row>
    <row r="6" spans="1:26" ht="13.5" customHeight="1">
      <c r="A6" s="648" t="s">
        <v>126</v>
      </c>
      <c r="B6" s="649"/>
      <c r="C6" s="649"/>
      <c r="D6" s="648"/>
    </row>
    <row r="7" spans="1:26" ht="13.5" customHeight="1">
      <c r="A7" s="646"/>
      <c r="B7" s="646"/>
      <c r="C7" s="646"/>
      <c r="D7" s="646"/>
    </row>
    <row r="8" spans="1:26" ht="13.5" customHeight="1">
      <c r="A8" s="646"/>
      <c r="B8" s="646"/>
      <c r="C8" s="646"/>
      <c r="D8" s="646"/>
    </row>
    <row r="9" spans="1:26" ht="13.5" customHeight="1">
      <c r="A9" s="650" t="s">
        <v>405</v>
      </c>
      <c r="B9" s="651"/>
      <c r="C9" s="651"/>
      <c r="D9" s="652"/>
    </row>
    <row r="10" spans="1:26" ht="13.5" customHeight="1">
      <c r="A10" s="653">
        <v>1</v>
      </c>
      <c r="B10" s="654" t="s">
        <v>975</v>
      </c>
    </row>
    <row r="11" spans="1:26" ht="13.5" customHeight="1">
      <c r="A11" s="653">
        <v>2</v>
      </c>
      <c r="B11" s="646" t="s">
        <v>406</v>
      </c>
      <c r="D11" s="646"/>
    </row>
    <row r="12" spans="1:26" ht="136.94999999999999" customHeight="1">
      <c r="B12" s="1000" t="s">
        <v>965</v>
      </c>
    </row>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Z999"/>
  <sheetViews>
    <sheetView zoomScale="85" zoomScaleNormal="85" workbookViewId="0">
      <pane ySplit="1" topLeftCell="A3" activePane="bottomLeft" state="frozen"/>
      <selection pane="bottomLeft" activeCell="G7" sqref="G7"/>
    </sheetView>
  </sheetViews>
  <sheetFormatPr defaultColWidth="12.59765625" defaultRowHeight="15" customHeight="1"/>
  <cols>
    <col min="1" max="1" width="5.8984375" customWidth="1"/>
    <col min="2" max="2" width="23.59765625" customWidth="1"/>
    <col min="3" max="3" width="11.59765625" customWidth="1"/>
    <col min="4" max="4" width="11" customWidth="1"/>
    <col min="5" max="5" width="16.3984375" customWidth="1"/>
    <col min="6" max="6" width="18.8984375" customWidth="1"/>
    <col min="7" max="7" width="14.19921875" customWidth="1"/>
    <col min="8" max="8" width="17" customWidth="1"/>
    <col min="9" max="9" width="16.19921875" customWidth="1"/>
    <col min="10" max="10" width="35.19921875" customWidth="1"/>
    <col min="11" max="26" width="27.69921875" customWidth="1"/>
  </cols>
  <sheetData>
    <row r="1" spans="1:26" ht="60" customHeight="1">
      <c r="A1" s="602" t="s">
        <v>487</v>
      </c>
      <c r="B1" s="603" t="s">
        <v>488</v>
      </c>
      <c r="C1" s="603" t="s">
        <v>2</v>
      </c>
      <c r="D1" s="603" t="s">
        <v>489</v>
      </c>
      <c r="E1" s="602" t="s">
        <v>490</v>
      </c>
      <c r="F1" s="602" t="s">
        <v>491</v>
      </c>
      <c r="G1" s="602" t="s">
        <v>492</v>
      </c>
      <c r="H1" s="604" t="s">
        <v>493</v>
      </c>
      <c r="I1" s="604" t="s">
        <v>494</v>
      </c>
      <c r="J1" s="604" t="s">
        <v>495</v>
      </c>
      <c r="K1" s="626"/>
      <c r="L1" s="626"/>
      <c r="M1" s="626"/>
      <c r="N1" s="626"/>
      <c r="O1" s="626"/>
      <c r="P1" s="626"/>
      <c r="Q1" s="626"/>
      <c r="R1" s="626"/>
      <c r="S1" s="626"/>
      <c r="T1" s="626"/>
      <c r="U1" s="626"/>
      <c r="V1" s="626"/>
      <c r="W1" s="626"/>
      <c r="X1" s="626"/>
      <c r="Y1" s="626"/>
      <c r="Z1" s="626"/>
    </row>
    <row r="2" spans="1:26" ht="18.75" hidden="1" customHeight="1">
      <c r="A2" s="605">
        <v>49</v>
      </c>
      <c r="B2" s="48" t="s">
        <v>496</v>
      </c>
      <c r="C2" s="606">
        <v>6000</v>
      </c>
      <c r="D2" s="606">
        <v>6000</v>
      </c>
      <c r="E2" s="119">
        <v>45097</v>
      </c>
      <c r="F2" s="119"/>
      <c r="G2" s="607">
        <v>12000</v>
      </c>
      <c r="H2" s="608" t="s">
        <v>425</v>
      </c>
      <c r="I2" s="608"/>
      <c r="J2" s="627" t="s">
        <v>497</v>
      </c>
      <c r="K2" s="16"/>
      <c r="L2" s="16"/>
      <c r="M2" s="16"/>
      <c r="N2" s="16"/>
      <c r="O2" s="16"/>
      <c r="P2" s="16"/>
      <c r="Q2" s="16"/>
      <c r="R2" s="16"/>
      <c r="S2" s="16"/>
      <c r="T2" s="16"/>
      <c r="U2" s="16"/>
      <c r="V2" s="16"/>
      <c r="W2" s="16"/>
      <c r="X2" s="16"/>
      <c r="Y2" s="16"/>
      <c r="Z2" s="16"/>
    </row>
    <row r="3" spans="1:26" ht="18.75" customHeight="1">
      <c r="A3" s="499">
        <v>4</v>
      </c>
      <c r="B3" s="135" t="s">
        <v>367</v>
      </c>
      <c r="C3" s="579">
        <v>55000</v>
      </c>
      <c r="D3" s="579">
        <v>0</v>
      </c>
      <c r="E3" s="119">
        <v>44817</v>
      </c>
      <c r="F3" s="119">
        <v>45182</v>
      </c>
      <c r="G3" s="609">
        <v>55000</v>
      </c>
      <c r="H3" s="501" t="s">
        <v>423</v>
      </c>
      <c r="I3" s="501"/>
      <c r="J3" s="4" t="s">
        <v>498</v>
      </c>
      <c r="K3" s="16"/>
      <c r="L3" s="16"/>
      <c r="M3" s="16"/>
      <c r="N3" s="16"/>
      <c r="O3" s="16"/>
      <c r="P3" s="16"/>
      <c r="Q3" s="16"/>
      <c r="R3" s="16"/>
      <c r="S3" s="16"/>
      <c r="T3" s="16"/>
      <c r="U3" s="16"/>
      <c r="V3" s="16"/>
      <c r="W3" s="16"/>
      <c r="X3" s="16"/>
      <c r="Y3" s="16"/>
      <c r="Z3" s="16"/>
    </row>
    <row r="4" spans="1:26" ht="18.75" hidden="1" customHeight="1">
      <c r="A4" s="499">
        <v>56</v>
      </c>
      <c r="B4" s="5" t="s">
        <v>294</v>
      </c>
      <c r="C4" s="610">
        <v>6000</v>
      </c>
      <c r="D4" s="610">
        <v>4000</v>
      </c>
      <c r="E4" s="119">
        <v>45227</v>
      </c>
      <c r="F4" s="119">
        <v>45775</v>
      </c>
      <c r="G4" s="609">
        <f>'2023'!S24+'2023'!T24+'To beDeleted'!I106</f>
        <v>14512.077294685991</v>
      </c>
      <c r="H4" s="611" t="s">
        <v>423</v>
      </c>
      <c r="I4" s="611">
        <v>45231</v>
      </c>
      <c r="J4" s="19" t="s">
        <v>499</v>
      </c>
      <c r="K4" s="16"/>
      <c r="L4" s="16"/>
      <c r="M4" s="16"/>
      <c r="N4" s="16"/>
      <c r="O4" s="16"/>
      <c r="P4" s="16"/>
      <c r="Q4" s="16"/>
      <c r="R4" s="16"/>
      <c r="S4" s="16"/>
      <c r="T4" s="16"/>
      <c r="U4" s="16"/>
      <c r="V4" s="16"/>
      <c r="W4" s="16"/>
      <c r="X4" s="16"/>
      <c r="Y4" s="16"/>
      <c r="Z4" s="16"/>
    </row>
    <row r="5" spans="1:26" ht="18.75" hidden="1" customHeight="1">
      <c r="A5" s="605">
        <v>27</v>
      </c>
      <c r="B5" s="612" t="s">
        <v>500</v>
      </c>
      <c r="C5" s="613">
        <v>6000</v>
      </c>
      <c r="D5" s="613">
        <v>10000</v>
      </c>
      <c r="E5" s="119">
        <v>44758</v>
      </c>
      <c r="F5" s="119">
        <v>45123</v>
      </c>
      <c r="G5" s="607">
        <f>4000+5000+4000</f>
        <v>13000</v>
      </c>
      <c r="H5" s="608">
        <v>45108</v>
      </c>
      <c r="I5" s="608">
        <v>45139</v>
      </c>
      <c r="J5" s="627" t="s">
        <v>499</v>
      </c>
      <c r="K5" s="16"/>
      <c r="L5" s="16"/>
      <c r="M5" s="16"/>
      <c r="N5" s="16"/>
      <c r="O5" s="16"/>
      <c r="P5" s="16"/>
      <c r="Q5" s="16"/>
      <c r="R5" s="16"/>
      <c r="S5" s="16"/>
      <c r="T5" s="16"/>
      <c r="U5" s="16"/>
      <c r="V5" s="16"/>
      <c r="W5" s="16"/>
      <c r="X5" s="16"/>
      <c r="Y5" s="16"/>
      <c r="Z5" s="16"/>
    </row>
    <row r="6" spans="1:26" ht="18.75" hidden="1" customHeight="1">
      <c r="A6" s="499">
        <v>54</v>
      </c>
      <c r="B6" s="5" t="s">
        <v>286</v>
      </c>
      <c r="C6" s="610">
        <v>6000</v>
      </c>
      <c r="D6" s="610">
        <v>4000</v>
      </c>
      <c r="E6" s="119">
        <v>45271</v>
      </c>
      <c r="F6" s="119">
        <v>45454</v>
      </c>
      <c r="G6" s="609">
        <f>'2023'!T9+'2024'!I8</f>
        <v>9123.636363636364</v>
      </c>
      <c r="H6" s="611" t="s">
        <v>423</v>
      </c>
      <c r="I6" s="611">
        <v>45261</v>
      </c>
      <c r="J6" s="19" t="s">
        <v>499</v>
      </c>
      <c r="K6" s="16"/>
      <c r="L6" s="16"/>
      <c r="M6" s="16"/>
      <c r="N6" s="16"/>
      <c r="O6" s="16"/>
      <c r="P6" s="16"/>
      <c r="Q6" s="16"/>
      <c r="R6" s="16"/>
      <c r="S6" s="16"/>
      <c r="T6" s="16"/>
      <c r="U6" s="16"/>
      <c r="V6" s="16"/>
      <c r="W6" s="16"/>
      <c r="X6" s="16"/>
      <c r="Y6" s="16"/>
      <c r="Z6" s="16"/>
    </row>
    <row r="7" spans="1:26" ht="18.75" customHeight="1">
      <c r="A7" s="499">
        <v>8</v>
      </c>
      <c r="B7" s="135" t="s">
        <v>206</v>
      </c>
      <c r="C7" s="579">
        <v>10000</v>
      </c>
      <c r="D7" s="579">
        <v>10000</v>
      </c>
      <c r="E7" s="119">
        <v>44817</v>
      </c>
      <c r="F7" s="119">
        <v>45182</v>
      </c>
      <c r="G7" s="609">
        <v>102045.454545455</v>
      </c>
      <c r="H7" s="614" t="s">
        <v>423</v>
      </c>
      <c r="I7" s="611">
        <v>44805</v>
      </c>
      <c r="J7" s="19" t="s">
        <v>497</v>
      </c>
      <c r="K7" s="16"/>
      <c r="L7" s="16"/>
      <c r="M7" s="16"/>
      <c r="N7" s="16"/>
      <c r="O7" s="16"/>
      <c r="P7" s="16"/>
      <c r="Q7" s="16"/>
      <c r="R7" s="16"/>
      <c r="S7" s="16"/>
      <c r="T7" s="16"/>
      <c r="U7" s="16"/>
      <c r="V7" s="16"/>
      <c r="W7" s="16"/>
      <c r="X7" s="16"/>
      <c r="Y7" s="16"/>
      <c r="Z7" s="16"/>
    </row>
    <row r="8" spans="1:26" ht="18.75" customHeight="1">
      <c r="A8" s="499">
        <v>53</v>
      </c>
      <c r="B8" s="5" t="s">
        <v>161</v>
      </c>
      <c r="C8" s="610">
        <v>12000</v>
      </c>
      <c r="D8" s="610">
        <v>6000</v>
      </c>
      <c r="E8" s="119">
        <v>45061</v>
      </c>
      <c r="F8" s="119"/>
      <c r="G8" s="609">
        <v>24000</v>
      </c>
      <c r="H8" s="611" t="s">
        <v>423</v>
      </c>
      <c r="I8" s="611">
        <v>45047</v>
      </c>
      <c r="J8" s="19" t="s">
        <v>497</v>
      </c>
      <c r="K8" s="16"/>
      <c r="L8" s="16"/>
      <c r="M8" s="16"/>
      <c r="N8" s="16"/>
      <c r="O8" s="16"/>
      <c r="P8" s="16"/>
      <c r="Q8" s="16"/>
      <c r="R8" s="16"/>
      <c r="S8" s="16"/>
      <c r="T8" s="16"/>
      <c r="U8" s="16"/>
      <c r="V8" s="16"/>
      <c r="W8" s="16"/>
      <c r="X8" s="16"/>
      <c r="Y8" s="16"/>
      <c r="Z8" s="16"/>
    </row>
    <row r="9" spans="1:26" ht="18.75" hidden="1" customHeight="1">
      <c r="A9" s="605">
        <v>42</v>
      </c>
      <c r="B9" s="612" t="s">
        <v>252</v>
      </c>
      <c r="C9" s="613">
        <v>6000</v>
      </c>
      <c r="D9" s="613">
        <v>10000</v>
      </c>
      <c r="E9" s="119">
        <v>44820</v>
      </c>
      <c r="F9" s="119">
        <v>45185</v>
      </c>
      <c r="G9" s="607">
        <v>0</v>
      </c>
      <c r="H9" s="615" t="s">
        <v>425</v>
      </c>
      <c r="I9" s="617"/>
      <c r="J9" s="627" t="s">
        <v>501</v>
      </c>
      <c r="K9" s="16"/>
      <c r="L9" s="16"/>
      <c r="M9" s="16"/>
      <c r="N9" s="16"/>
      <c r="O9" s="16"/>
      <c r="P9" s="16"/>
      <c r="Q9" s="16"/>
      <c r="R9" s="16"/>
      <c r="S9" s="16"/>
      <c r="T9" s="16"/>
      <c r="U9" s="16"/>
      <c r="V9" s="16"/>
      <c r="W9" s="16"/>
      <c r="X9" s="16"/>
      <c r="Y9" s="16"/>
      <c r="Z9" s="16"/>
    </row>
    <row r="10" spans="1:26" ht="18.75" hidden="1" customHeight="1">
      <c r="A10" s="499">
        <v>38</v>
      </c>
      <c r="B10" s="135" t="s">
        <v>312</v>
      </c>
      <c r="C10" s="579">
        <v>30000</v>
      </c>
      <c r="D10" s="579">
        <v>5000</v>
      </c>
      <c r="E10" s="119">
        <v>44806</v>
      </c>
      <c r="F10" s="119">
        <v>45171</v>
      </c>
      <c r="G10" s="609">
        <f>'2023'!S49+'2023'!T49+'2024'!I30</f>
        <v>10108.695652173912</v>
      </c>
      <c r="H10" s="611">
        <v>45200</v>
      </c>
      <c r="I10" s="611">
        <v>45231</v>
      </c>
      <c r="J10" s="19" t="s">
        <v>499</v>
      </c>
      <c r="K10" s="16"/>
      <c r="L10" s="16"/>
      <c r="M10" s="16"/>
      <c r="N10" s="16"/>
      <c r="O10" s="16"/>
      <c r="P10" s="16"/>
      <c r="Q10" s="16"/>
      <c r="R10" s="16"/>
      <c r="S10" s="16"/>
      <c r="T10" s="16"/>
      <c r="U10" s="16"/>
      <c r="V10" s="16"/>
      <c r="W10" s="16"/>
      <c r="X10" s="16"/>
      <c r="Y10" s="16"/>
      <c r="Z10" s="16"/>
    </row>
    <row r="11" spans="1:26" ht="18.75" hidden="1" customHeight="1">
      <c r="A11" s="499">
        <v>10</v>
      </c>
      <c r="B11" s="135" t="s">
        <v>290</v>
      </c>
      <c r="C11" s="579">
        <v>20000</v>
      </c>
      <c r="D11" s="579">
        <v>10000</v>
      </c>
      <c r="E11" s="119">
        <v>44945</v>
      </c>
      <c r="F11" s="119">
        <v>45309</v>
      </c>
      <c r="G11" s="609">
        <v>0</v>
      </c>
      <c r="H11" s="611">
        <v>45292</v>
      </c>
      <c r="I11" s="611">
        <v>45323</v>
      </c>
      <c r="J11" s="19" t="s">
        <v>499</v>
      </c>
      <c r="K11" s="16"/>
      <c r="L11" s="16"/>
      <c r="M11" s="16"/>
      <c r="N11" s="16"/>
      <c r="O11" s="16"/>
      <c r="P11" s="16"/>
      <c r="Q11" s="16"/>
      <c r="R11" s="16"/>
      <c r="S11" s="16"/>
      <c r="T11" s="16"/>
      <c r="U11" s="16"/>
      <c r="V11" s="16"/>
      <c r="W11" s="16"/>
      <c r="X11" s="16"/>
      <c r="Y11" s="16"/>
      <c r="Z11" s="16"/>
    </row>
    <row r="12" spans="1:26" ht="18.75" hidden="1" customHeight="1">
      <c r="A12" s="499">
        <v>5</v>
      </c>
      <c r="B12" s="135" t="s">
        <v>248</v>
      </c>
      <c r="C12" s="579">
        <v>10000</v>
      </c>
      <c r="D12" s="579">
        <v>6000</v>
      </c>
      <c r="E12" s="119">
        <v>44665</v>
      </c>
      <c r="F12" s="119">
        <v>45030</v>
      </c>
      <c r="G12" s="609">
        <f>24390+'2023'!T10+'To beDeleted'!I114</f>
        <v>28490</v>
      </c>
      <c r="H12" s="611">
        <v>44986</v>
      </c>
      <c r="I12" s="611">
        <v>45017</v>
      </c>
      <c r="J12" s="19" t="s">
        <v>499</v>
      </c>
      <c r="K12" s="16"/>
      <c r="L12" s="16"/>
      <c r="M12" s="16"/>
      <c r="N12" s="16"/>
      <c r="O12" s="16"/>
      <c r="P12" s="16"/>
      <c r="Q12" s="16"/>
      <c r="R12" s="16"/>
      <c r="S12" s="16"/>
      <c r="T12" s="16"/>
      <c r="U12" s="16"/>
      <c r="V12" s="16"/>
      <c r="W12" s="16"/>
      <c r="X12" s="16"/>
      <c r="Y12" s="16"/>
      <c r="Z12" s="16"/>
    </row>
    <row r="13" spans="1:26" ht="18.75" hidden="1" customHeight="1">
      <c r="A13" s="499">
        <v>44</v>
      </c>
      <c r="B13" s="135" t="s">
        <v>313</v>
      </c>
      <c r="C13" s="579">
        <v>6000</v>
      </c>
      <c r="D13" s="579">
        <v>10000</v>
      </c>
      <c r="E13" s="119">
        <v>44881</v>
      </c>
      <c r="F13" s="119">
        <v>45246</v>
      </c>
      <c r="G13" s="609">
        <f>62346+'2023'!S52+'2023'!T52+'To beDeleted'!I100+'To beDeleted'!J100</f>
        <v>79555.486166007904</v>
      </c>
      <c r="H13" s="611">
        <v>45231</v>
      </c>
      <c r="I13" s="611">
        <v>45200</v>
      </c>
      <c r="J13" s="19" t="s">
        <v>499</v>
      </c>
      <c r="K13" s="16"/>
      <c r="L13" s="16"/>
      <c r="M13" s="16"/>
      <c r="N13" s="16"/>
      <c r="O13" s="16"/>
      <c r="P13" s="16"/>
      <c r="Q13" s="16"/>
      <c r="R13" s="16"/>
      <c r="S13" s="16"/>
      <c r="T13" s="16"/>
      <c r="U13" s="16"/>
      <c r="V13" s="16"/>
      <c r="W13" s="16"/>
      <c r="X13" s="16"/>
      <c r="Y13" s="16"/>
      <c r="Z13" s="16"/>
    </row>
    <row r="14" spans="1:26" ht="18.75" hidden="1" customHeight="1">
      <c r="A14" s="499">
        <v>44</v>
      </c>
      <c r="B14" s="135" t="s">
        <v>502</v>
      </c>
      <c r="C14" s="579">
        <v>6000</v>
      </c>
      <c r="D14" s="579">
        <v>4000</v>
      </c>
      <c r="E14" s="119">
        <v>45292</v>
      </c>
      <c r="F14" s="119"/>
      <c r="G14" s="609">
        <f>'To beDeleted'!I107+'To beDeleted'!J107+'To beDeleted'!K107+'To beDeleted'!L107</f>
        <v>12260.869565217392</v>
      </c>
      <c r="H14" s="611">
        <v>45433</v>
      </c>
      <c r="I14" s="611"/>
      <c r="J14" s="627" t="s">
        <v>501</v>
      </c>
      <c r="K14" s="16"/>
      <c r="L14" s="16"/>
      <c r="M14" s="16"/>
      <c r="N14" s="16"/>
      <c r="O14" s="16"/>
      <c r="P14" s="16"/>
      <c r="Q14" s="16"/>
      <c r="R14" s="16"/>
      <c r="S14" s="16"/>
      <c r="T14" s="16"/>
      <c r="U14" s="16"/>
      <c r="V14" s="16"/>
      <c r="W14" s="16"/>
      <c r="X14" s="16"/>
      <c r="Y14" s="16"/>
      <c r="Z14" s="16"/>
    </row>
    <row r="15" spans="1:26" ht="18.75" hidden="1" customHeight="1">
      <c r="A15" s="499">
        <v>47</v>
      </c>
      <c r="B15" s="135" t="s">
        <v>293</v>
      </c>
      <c r="C15" s="579">
        <v>6000</v>
      </c>
      <c r="D15" s="579">
        <v>10000</v>
      </c>
      <c r="E15" s="119">
        <v>45164</v>
      </c>
      <c r="F15" s="119">
        <v>45714</v>
      </c>
      <c r="G15" s="609" t="e">
        <f>16000+'2023'!S23+'2023'!T23+'2024'!#REF!</f>
        <v>#REF!</v>
      </c>
      <c r="H15" s="611" t="s">
        <v>423</v>
      </c>
      <c r="I15" s="611">
        <v>45170</v>
      </c>
      <c r="J15" s="19" t="s">
        <v>499</v>
      </c>
      <c r="K15" s="16"/>
      <c r="L15" s="16"/>
      <c r="M15" s="16"/>
      <c r="N15" s="16"/>
      <c r="O15" s="16"/>
      <c r="P15" s="16"/>
      <c r="Q15" s="16"/>
      <c r="R15" s="16"/>
      <c r="S15" s="16"/>
      <c r="T15" s="16"/>
      <c r="U15" s="16"/>
      <c r="V15" s="16"/>
      <c r="W15" s="16"/>
      <c r="X15" s="16"/>
      <c r="Y15" s="16"/>
      <c r="Z15" s="16"/>
    </row>
    <row r="16" spans="1:26" ht="18.75" hidden="1" customHeight="1">
      <c r="A16" s="499">
        <v>50</v>
      </c>
      <c r="B16" s="5" t="s">
        <v>218</v>
      </c>
      <c r="C16" s="610">
        <v>6000</v>
      </c>
      <c r="D16" s="610">
        <v>6000</v>
      </c>
      <c r="E16" s="119"/>
      <c r="F16" s="119"/>
      <c r="G16" s="609">
        <v>15457</v>
      </c>
      <c r="H16" s="611" t="s">
        <v>423</v>
      </c>
      <c r="I16" s="611"/>
      <c r="J16" s="19" t="s">
        <v>497</v>
      </c>
      <c r="K16" s="16"/>
      <c r="L16" s="16"/>
      <c r="M16" s="16"/>
      <c r="N16" s="16"/>
      <c r="O16" s="16"/>
      <c r="P16" s="16"/>
      <c r="Q16" s="16"/>
      <c r="R16" s="16"/>
      <c r="S16" s="16"/>
      <c r="T16" s="16"/>
      <c r="U16" s="16"/>
      <c r="V16" s="16"/>
      <c r="W16" s="16"/>
      <c r="X16" s="16"/>
      <c r="Y16" s="16"/>
      <c r="Z16" s="16"/>
    </row>
    <row r="17" spans="1:26" ht="18.75" hidden="1" customHeight="1">
      <c r="A17" s="499">
        <v>6</v>
      </c>
      <c r="B17" s="135" t="s">
        <v>503</v>
      </c>
      <c r="C17" s="579">
        <v>6000</v>
      </c>
      <c r="D17" s="579">
        <v>10000</v>
      </c>
      <c r="E17" s="119">
        <v>45056</v>
      </c>
      <c r="F17" s="119">
        <v>45606</v>
      </c>
      <c r="G17" s="609">
        <f>'2023'!U13+SUM('2024'!I11:M11)</f>
        <v>104345.84980237155</v>
      </c>
      <c r="H17" s="611" t="s">
        <v>423</v>
      </c>
      <c r="I17" s="611">
        <v>45047</v>
      </c>
      <c r="J17" s="19" t="s">
        <v>499</v>
      </c>
      <c r="K17" s="16"/>
      <c r="L17" s="16"/>
      <c r="M17" s="16"/>
      <c r="N17" s="16"/>
      <c r="O17" s="16"/>
      <c r="P17" s="16"/>
      <c r="Q17" s="16"/>
      <c r="R17" s="16"/>
      <c r="S17" s="16"/>
      <c r="T17" s="16"/>
      <c r="U17" s="16"/>
      <c r="V17" s="16"/>
      <c r="W17" s="16"/>
      <c r="X17" s="16"/>
      <c r="Y17" s="16"/>
      <c r="Z17" s="16"/>
    </row>
    <row r="18" spans="1:26" ht="18.75" hidden="1" customHeight="1">
      <c r="A18" s="499">
        <v>48</v>
      </c>
      <c r="B18" s="5" t="s">
        <v>298</v>
      </c>
      <c r="C18" s="610">
        <v>6000</v>
      </c>
      <c r="D18" s="610">
        <v>6000</v>
      </c>
      <c r="E18" s="119">
        <v>45030</v>
      </c>
      <c r="F18" s="119"/>
      <c r="G18" s="616">
        <v>16286</v>
      </c>
      <c r="H18" s="611" t="s">
        <v>423</v>
      </c>
      <c r="I18" s="611">
        <v>45017</v>
      </c>
      <c r="J18" s="19" t="s">
        <v>497</v>
      </c>
      <c r="K18" s="16"/>
      <c r="L18" s="16"/>
      <c r="M18" s="16"/>
      <c r="N18" s="16"/>
      <c r="O18" s="16"/>
      <c r="P18" s="16"/>
      <c r="Q18" s="16"/>
      <c r="R18" s="16"/>
      <c r="S18" s="16"/>
      <c r="T18" s="16"/>
      <c r="U18" s="16"/>
      <c r="V18" s="16"/>
      <c r="W18" s="16"/>
      <c r="X18" s="16"/>
      <c r="Y18" s="16"/>
      <c r="Z18" s="16"/>
    </row>
    <row r="19" spans="1:26" ht="18.75" hidden="1" customHeight="1">
      <c r="A19" s="605">
        <v>32</v>
      </c>
      <c r="B19" s="612" t="s">
        <v>259</v>
      </c>
      <c r="C19" s="613">
        <v>6000</v>
      </c>
      <c r="D19" s="613">
        <v>10000</v>
      </c>
      <c r="E19" s="119">
        <v>44609</v>
      </c>
      <c r="F19" s="119">
        <v>44974</v>
      </c>
      <c r="G19" s="607">
        <v>24000</v>
      </c>
      <c r="H19" s="617" t="s">
        <v>425</v>
      </c>
      <c r="I19" s="617"/>
      <c r="J19" s="627" t="s">
        <v>501</v>
      </c>
      <c r="K19" s="16"/>
      <c r="L19" s="16"/>
      <c r="M19" s="16"/>
      <c r="N19" s="16"/>
      <c r="O19" s="16"/>
      <c r="P19" s="16"/>
      <c r="Q19" s="16"/>
      <c r="R19" s="16"/>
      <c r="S19" s="16"/>
      <c r="T19" s="16"/>
      <c r="U19" s="16"/>
      <c r="V19" s="16"/>
      <c r="W19" s="16"/>
      <c r="X19" s="16"/>
      <c r="Y19" s="16"/>
      <c r="Z19" s="16"/>
    </row>
    <row r="20" spans="1:26" ht="18.75" hidden="1" customHeight="1">
      <c r="A20" s="499">
        <v>37</v>
      </c>
      <c r="B20" s="135" t="s">
        <v>241</v>
      </c>
      <c r="C20" s="579">
        <v>20000</v>
      </c>
      <c r="D20" s="579">
        <v>5000</v>
      </c>
      <c r="E20" s="119">
        <v>44945</v>
      </c>
      <c r="F20" s="119">
        <v>45310</v>
      </c>
      <c r="G20" s="609" t="e">
        <f>50818+'2023'!S48+'2023'!T48+'2024'!#REF!</f>
        <v>#REF!</v>
      </c>
      <c r="H20" s="611">
        <v>44896</v>
      </c>
      <c r="I20" s="611">
        <v>44927</v>
      </c>
      <c r="J20" s="19" t="s">
        <v>499</v>
      </c>
      <c r="K20" s="16"/>
      <c r="L20" s="16"/>
      <c r="M20" s="16"/>
      <c r="N20" s="16"/>
      <c r="O20" s="16"/>
      <c r="P20" s="16"/>
      <c r="Q20" s="16"/>
      <c r="R20" s="16"/>
      <c r="S20" s="16"/>
      <c r="T20" s="16"/>
      <c r="U20" s="16"/>
      <c r="V20" s="16"/>
      <c r="W20" s="16"/>
      <c r="X20" s="16"/>
      <c r="Y20" s="16"/>
      <c r="Z20" s="16"/>
    </row>
    <row r="21" spans="1:26" ht="18.75" hidden="1" customHeight="1">
      <c r="A21" s="499">
        <v>1</v>
      </c>
      <c r="B21" s="135" t="s">
        <v>504</v>
      </c>
      <c r="C21" s="579">
        <v>25000</v>
      </c>
      <c r="D21" s="579">
        <v>5000</v>
      </c>
      <c r="E21" s="119">
        <v>44830</v>
      </c>
      <c r="F21" s="119">
        <v>45195</v>
      </c>
      <c r="G21" s="609">
        <f>5000+'2023'!S7+'2023'!T7+'2024'!I6</f>
        <v>18913.043478260868</v>
      </c>
      <c r="H21" s="611">
        <v>45170</v>
      </c>
      <c r="I21" s="611">
        <v>45200</v>
      </c>
      <c r="J21" s="19" t="s">
        <v>497</v>
      </c>
      <c r="K21" s="16"/>
      <c r="L21" s="16"/>
      <c r="M21" s="16"/>
      <c r="N21" s="16"/>
      <c r="O21" s="16"/>
      <c r="P21" s="16"/>
      <c r="Q21" s="16"/>
      <c r="R21" s="16"/>
      <c r="S21" s="16"/>
      <c r="T21" s="16"/>
      <c r="U21" s="16"/>
      <c r="V21" s="16"/>
      <c r="W21" s="16"/>
      <c r="X21" s="16"/>
      <c r="Y21" s="16"/>
      <c r="Z21" s="16"/>
    </row>
    <row r="22" spans="1:26" ht="18.75" hidden="1" customHeight="1">
      <c r="A22" s="499">
        <v>18</v>
      </c>
      <c r="B22" s="135" t="s">
        <v>306</v>
      </c>
      <c r="C22" s="579">
        <v>25000</v>
      </c>
      <c r="D22" s="579">
        <v>10000</v>
      </c>
      <c r="E22" s="119">
        <v>44837</v>
      </c>
      <c r="F22" s="119">
        <v>45202</v>
      </c>
      <c r="G22" s="609">
        <v>65476</v>
      </c>
      <c r="H22" s="614" t="s">
        <v>423</v>
      </c>
      <c r="I22" s="611">
        <v>44835</v>
      </c>
      <c r="J22" s="19" t="s">
        <v>497</v>
      </c>
      <c r="K22" s="16"/>
      <c r="L22" s="16"/>
      <c r="M22" s="16"/>
      <c r="N22" s="16"/>
      <c r="O22" s="16"/>
      <c r="P22" s="16"/>
      <c r="Q22" s="16"/>
      <c r="R22" s="16"/>
      <c r="S22" s="16"/>
      <c r="T22" s="16"/>
      <c r="U22" s="16"/>
      <c r="V22" s="16"/>
      <c r="W22" s="16"/>
      <c r="X22" s="16"/>
      <c r="Y22" s="16"/>
      <c r="Z22" s="16"/>
    </row>
    <row r="23" spans="1:26" ht="18.75" hidden="1" customHeight="1">
      <c r="A23" s="499">
        <v>3</v>
      </c>
      <c r="B23" s="135" t="s">
        <v>204</v>
      </c>
      <c r="C23" s="579">
        <v>30000</v>
      </c>
      <c r="D23" s="579">
        <v>5000</v>
      </c>
      <c r="E23" s="119">
        <v>44799</v>
      </c>
      <c r="F23" s="119">
        <v>45164</v>
      </c>
      <c r="G23" s="609">
        <f>'2023'!S8+'2023'!T8+'2024'!I7</f>
        <v>9608.6956521739139</v>
      </c>
      <c r="H23" s="611">
        <v>45200</v>
      </c>
      <c r="I23" s="611">
        <v>45231</v>
      </c>
      <c r="J23" s="19" t="s">
        <v>499</v>
      </c>
      <c r="K23" s="16"/>
      <c r="L23" s="16"/>
      <c r="M23" s="16"/>
      <c r="N23" s="16"/>
      <c r="O23" s="16"/>
      <c r="P23" s="16"/>
      <c r="Q23" s="16"/>
      <c r="R23" s="16"/>
      <c r="S23" s="16"/>
      <c r="T23" s="16"/>
      <c r="U23" s="16"/>
      <c r="V23" s="16"/>
      <c r="W23" s="16"/>
      <c r="X23" s="16"/>
      <c r="Y23" s="16"/>
      <c r="Z23" s="16"/>
    </row>
    <row r="24" spans="1:26" ht="18.75" hidden="1" customHeight="1">
      <c r="A24" s="499">
        <v>13</v>
      </c>
      <c r="B24" s="135" t="s">
        <v>292</v>
      </c>
      <c r="C24" s="579">
        <v>25000</v>
      </c>
      <c r="D24" s="579">
        <v>10000</v>
      </c>
      <c r="E24" s="119">
        <v>44972</v>
      </c>
      <c r="F24" s="119">
        <v>45336</v>
      </c>
      <c r="G24" s="609">
        <v>0</v>
      </c>
      <c r="H24" s="611">
        <v>45323</v>
      </c>
      <c r="I24" s="611">
        <v>45352</v>
      </c>
      <c r="J24" s="19" t="s">
        <v>499</v>
      </c>
      <c r="K24" s="16"/>
      <c r="L24" s="16"/>
      <c r="M24" s="16"/>
      <c r="N24" s="16"/>
      <c r="O24" s="16"/>
      <c r="P24" s="16"/>
      <c r="Q24" s="16"/>
      <c r="R24" s="16"/>
      <c r="S24" s="16"/>
      <c r="T24" s="16"/>
      <c r="U24" s="16"/>
      <c r="V24" s="16"/>
      <c r="W24" s="16"/>
      <c r="X24" s="16"/>
      <c r="Y24" s="16"/>
      <c r="Z24" s="16"/>
    </row>
    <row r="25" spans="1:26" ht="18.75" hidden="1" customHeight="1">
      <c r="A25" s="499">
        <v>26</v>
      </c>
      <c r="B25" s="135" t="s">
        <v>96</v>
      </c>
      <c r="C25" s="579">
        <v>47000</v>
      </c>
      <c r="D25" s="579">
        <v>5000</v>
      </c>
      <c r="E25" s="119">
        <v>44814</v>
      </c>
      <c r="F25" s="119">
        <v>45179</v>
      </c>
      <c r="G25" s="609">
        <f>53595+'2023'!S38+'2023'!T38+'To beDeleted'!I108</f>
        <v>67595</v>
      </c>
      <c r="H25" s="614" t="s">
        <v>423</v>
      </c>
      <c r="I25" s="611">
        <v>44835</v>
      </c>
      <c r="J25" s="19" t="s">
        <v>499</v>
      </c>
      <c r="K25" s="16"/>
      <c r="L25" s="16"/>
      <c r="M25" s="16"/>
      <c r="N25" s="16"/>
      <c r="O25" s="16"/>
      <c r="P25" s="16"/>
      <c r="Q25" s="16"/>
      <c r="R25" s="16"/>
      <c r="S25" s="16"/>
      <c r="T25" s="16"/>
      <c r="U25" s="16"/>
      <c r="V25" s="16"/>
      <c r="W25" s="16"/>
      <c r="X25" s="16"/>
      <c r="Y25" s="16"/>
      <c r="Z25" s="16"/>
    </row>
    <row r="26" spans="1:26" ht="18.75" hidden="1" customHeight="1">
      <c r="A26" s="605">
        <v>33</v>
      </c>
      <c r="B26" s="612" t="s">
        <v>505</v>
      </c>
      <c r="C26" s="613">
        <v>6000</v>
      </c>
      <c r="D26" s="613">
        <v>10000</v>
      </c>
      <c r="E26" s="119">
        <v>44656</v>
      </c>
      <c r="F26" s="119">
        <v>45204</v>
      </c>
      <c r="G26" s="607">
        <v>0</v>
      </c>
      <c r="H26" s="617" t="s">
        <v>425</v>
      </c>
      <c r="I26" s="617" t="s">
        <v>506</v>
      </c>
      <c r="J26" s="627" t="s">
        <v>501</v>
      </c>
      <c r="K26" s="16"/>
      <c r="L26" s="16"/>
      <c r="M26" s="16"/>
      <c r="N26" s="16"/>
      <c r="O26" s="16"/>
      <c r="P26" s="16"/>
      <c r="Q26" s="16"/>
      <c r="R26" s="16"/>
      <c r="S26" s="16"/>
      <c r="T26" s="16"/>
      <c r="U26" s="16"/>
      <c r="V26" s="16"/>
      <c r="W26" s="16"/>
      <c r="X26" s="16"/>
      <c r="Y26" s="16"/>
      <c r="Z26" s="16"/>
    </row>
    <row r="27" spans="1:26" ht="18.75" hidden="1" customHeight="1">
      <c r="A27" s="499">
        <v>31</v>
      </c>
      <c r="B27" s="135" t="s">
        <v>305</v>
      </c>
      <c r="C27" s="579">
        <v>10000</v>
      </c>
      <c r="D27" s="579">
        <v>6000</v>
      </c>
      <c r="E27" s="119">
        <v>44841</v>
      </c>
      <c r="F27" s="119">
        <v>45206</v>
      </c>
      <c r="G27" s="609">
        <v>0</v>
      </c>
      <c r="H27" s="611">
        <v>45170</v>
      </c>
      <c r="I27" s="611">
        <v>45200</v>
      </c>
      <c r="J27" s="19" t="s">
        <v>499</v>
      </c>
      <c r="K27" s="16"/>
      <c r="L27" s="16"/>
      <c r="M27" s="16"/>
      <c r="N27" s="16"/>
      <c r="O27" s="16"/>
      <c r="P27" s="16"/>
      <c r="Q27" s="16"/>
      <c r="R27" s="16"/>
      <c r="S27" s="16"/>
      <c r="T27" s="16"/>
      <c r="U27" s="16"/>
      <c r="V27" s="16"/>
      <c r="W27" s="16"/>
      <c r="X27" s="16"/>
      <c r="Y27" s="16"/>
      <c r="Z27" s="16"/>
    </row>
    <row r="28" spans="1:26" ht="18.75" hidden="1" customHeight="1">
      <c r="A28" s="499">
        <v>51</v>
      </c>
      <c r="B28" s="5" t="s">
        <v>507</v>
      </c>
      <c r="C28" s="610">
        <v>10000</v>
      </c>
      <c r="D28" s="610">
        <v>6000</v>
      </c>
      <c r="E28" s="119"/>
      <c r="F28" s="119"/>
      <c r="G28" s="609">
        <f>'2023'!S50+'2023'!T50+'To beDeleted'!I96</f>
        <v>10173.91304347826</v>
      </c>
      <c r="H28" s="611" t="s">
        <v>423</v>
      </c>
      <c r="I28" s="611">
        <v>45231</v>
      </c>
      <c r="J28" s="19" t="s">
        <v>508</v>
      </c>
      <c r="K28" s="628"/>
      <c r="L28" s="628"/>
      <c r="M28" s="628"/>
      <c r="N28" s="628"/>
      <c r="O28" s="628"/>
      <c r="P28" s="628"/>
      <c r="Q28" s="628"/>
      <c r="R28" s="628"/>
      <c r="S28" s="628"/>
      <c r="T28" s="628"/>
      <c r="U28" s="628"/>
      <c r="V28" s="628"/>
      <c r="W28" s="628"/>
      <c r="X28" s="628"/>
      <c r="Y28" s="628"/>
      <c r="Z28" s="628"/>
    </row>
    <row r="29" spans="1:26" ht="18.75" hidden="1" customHeight="1">
      <c r="A29" s="499">
        <v>20</v>
      </c>
      <c r="B29" s="135" t="s">
        <v>87</v>
      </c>
      <c r="C29" s="579">
        <v>52000</v>
      </c>
      <c r="D29" s="579">
        <v>5000</v>
      </c>
      <c r="E29" s="119">
        <v>44491</v>
      </c>
      <c r="F29" s="119">
        <v>44856</v>
      </c>
      <c r="G29" s="609">
        <v>95000</v>
      </c>
      <c r="H29" s="501" t="s">
        <v>423</v>
      </c>
      <c r="I29" s="501"/>
      <c r="J29" s="19" t="s">
        <v>497</v>
      </c>
      <c r="K29" s="16"/>
      <c r="L29" s="16"/>
      <c r="M29" s="16"/>
      <c r="N29" s="16"/>
      <c r="O29" s="16"/>
      <c r="P29" s="16"/>
      <c r="Q29" s="16"/>
      <c r="R29" s="16"/>
      <c r="S29" s="16"/>
      <c r="T29" s="16"/>
      <c r="U29" s="16"/>
      <c r="V29" s="16"/>
      <c r="W29" s="16"/>
      <c r="X29" s="16"/>
      <c r="Y29" s="16"/>
      <c r="Z29" s="16"/>
    </row>
    <row r="30" spans="1:26" ht="18.75" hidden="1" customHeight="1">
      <c r="A30" s="499">
        <v>39</v>
      </c>
      <c r="B30" s="135" t="s">
        <v>311</v>
      </c>
      <c r="C30" s="579">
        <v>38000</v>
      </c>
      <c r="D30" s="579">
        <v>5000</v>
      </c>
      <c r="E30" s="119">
        <v>45114</v>
      </c>
      <c r="F30" s="119">
        <v>45477</v>
      </c>
      <c r="G30" s="609" t="e">
        <f>20000+'2023'!S47+'2023'!T47+'2024'!I28</f>
        <v>#VALUE!</v>
      </c>
      <c r="H30" s="611">
        <v>45078</v>
      </c>
      <c r="I30" s="611">
        <v>45108</v>
      </c>
      <c r="J30" s="19" t="s">
        <v>499</v>
      </c>
      <c r="K30" s="16"/>
      <c r="L30" s="16"/>
      <c r="M30" s="16"/>
      <c r="N30" s="16"/>
      <c r="O30" s="16"/>
      <c r="P30" s="16"/>
      <c r="Q30" s="16"/>
      <c r="R30" s="16"/>
      <c r="S30" s="16"/>
      <c r="T30" s="16"/>
      <c r="U30" s="16"/>
      <c r="V30" s="16"/>
      <c r="W30" s="16"/>
      <c r="X30" s="16"/>
      <c r="Y30" s="16"/>
      <c r="Z30" s="16"/>
    </row>
    <row r="31" spans="1:26" ht="18.75" hidden="1" customHeight="1">
      <c r="A31" s="499">
        <v>11</v>
      </c>
      <c r="B31" s="135" t="s">
        <v>104</v>
      </c>
      <c r="C31" s="579">
        <v>70000</v>
      </c>
      <c r="D31" s="579">
        <v>10000</v>
      </c>
      <c r="E31" s="119">
        <v>45098</v>
      </c>
      <c r="F31" s="119">
        <v>45465</v>
      </c>
      <c r="G31" s="609" t="e">
        <f>46818+'2023'!S18+'2023'!T18+'2024'!#REF!+30000</f>
        <v>#REF!</v>
      </c>
      <c r="H31" s="501" t="s">
        <v>423</v>
      </c>
      <c r="I31" s="611">
        <v>45078</v>
      </c>
      <c r="J31" s="19" t="s">
        <v>499</v>
      </c>
      <c r="K31" s="16"/>
      <c r="L31" s="16"/>
      <c r="M31" s="16"/>
      <c r="N31" s="16"/>
      <c r="O31" s="16"/>
      <c r="P31" s="16"/>
      <c r="Q31" s="16"/>
      <c r="R31" s="16"/>
      <c r="S31" s="16"/>
      <c r="T31" s="16"/>
      <c r="U31" s="16"/>
      <c r="V31" s="16"/>
      <c r="W31" s="16"/>
      <c r="X31" s="16"/>
      <c r="Y31" s="16"/>
      <c r="Z31" s="16"/>
    </row>
    <row r="32" spans="1:26" ht="18.75" hidden="1" customHeight="1">
      <c r="A32" s="499">
        <v>21</v>
      </c>
      <c r="B32" s="135" t="s">
        <v>509</v>
      </c>
      <c r="C32" s="579">
        <v>45000</v>
      </c>
      <c r="D32" s="579">
        <v>0</v>
      </c>
      <c r="E32" s="119">
        <v>44593</v>
      </c>
      <c r="F32" s="119">
        <v>44958</v>
      </c>
      <c r="G32" s="609">
        <v>53000</v>
      </c>
      <c r="H32" s="618">
        <v>45434</v>
      </c>
      <c r="I32" s="501"/>
      <c r="J32" s="19" t="s">
        <v>501</v>
      </c>
      <c r="K32" s="628"/>
      <c r="L32" s="628"/>
      <c r="M32" s="628"/>
      <c r="N32" s="628"/>
      <c r="O32" s="628"/>
      <c r="P32" s="628"/>
      <c r="Q32" s="628"/>
      <c r="R32" s="628"/>
      <c r="S32" s="628"/>
      <c r="T32" s="628"/>
      <c r="U32" s="628"/>
      <c r="V32" s="628"/>
      <c r="W32" s="628"/>
      <c r="X32" s="628"/>
      <c r="Y32" s="628"/>
      <c r="Z32" s="628"/>
    </row>
    <row r="33" spans="1:26" ht="18.75" hidden="1" customHeight="1">
      <c r="A33" s="499">
        <v>57</v>
      </c>
      <c r="B33" s="5" t="s">
        <v>510</v>
      </c>
      <c r="C33" s="610">
        <v>6000</v>
      </c>
      <c r="D33" s="610">
        <v>4000</v>
      </c>
      <c r="E33" s="119">
        <v>45286</v>
      </c>
      <c r="F33" s="119">
        <v>46017</v>
      </c>
      <c r="G33" s="609">
        <f>'2024'!I13</f>
        <v>5000</v>
      </c>
      <c r="H33" s="611" t="s">
        <v>423</v>
      </c>
      <c r="I33" s="611">
        <v>45261</v>
      </c>
      <c r="J33" s="19" t="s">
        <v>499</v>
      </c>
      <c r="K33" s="628"/>
      <c r="L33" s="628"/>
      <c r="M33" s="628"/>
      <c r="N33" s="628"/>
      <c r="O33" s="628"/>
      <c r="P33" s="628"/>
      <c r="Q33" s="628"/>
      <c r="R33" s="628"/>
      <c r="S33" s="628"/>
      <c r="T33" s="628"/>
      <c r="U33" s="628"/>
      <c r="V33" s="628"/>
      <c r="W33" s="628"/>
      <c r="X33" s="628"/>
      <c r="Y33" s="628"/>
      <c r="Z33" s="628"/>
    </row>
    <row r="34" spans="1:26" ht="18.75" hidden="1" customHeight="1">
      <c r="A34" s="499">
        <v>9</v>
      </c>
      <c r="B34" s="135" t="s">
        <v>288</v>
      </c>
      <c r="C34" s="579">
        <v>10000</v>
      </c>
      <c r="D34" s="579">
        <v>6000</v>
      </c>
      <c r="E34" s="119">
        <v>44830</v>
      </c>
      <c r="F34" s="119">
        <v>45194</v>
      </c>
      <c r="G34" s="609">
        <f>3818+'2023'!S12+'2023'!T12+'2024'!I10+'2024'!J10</f>
        <v>31858</v>
      </c>
      <c r="H34" s="611">
        <v>45170</v>
      </c>
      <c r="I34" s="611">
        <v>45200</v>
      </c>
      <c r="J34" s="19" t="s">
        <v>499</v>
      </c>
      <c r="K34" s="16"/>
      <c r="L34" s="16"/>
      <c r="M34" s="16"/>
      <c r="N34" s="16"/>
      <c r="O34" s="16"/>
      <c r="P34" s="16"/>
      <c r="Q34" s="16"/>
      <c r="R34" s="16"/>
      <c r="S34" s="16"/>
      <c r="T34" s="16"/>
      <c r="U34" s="16"/>
      <c r="V34" s="16"/>
      <c r="W34" s="16"/>
      <c r="X34" s="16"/>
      <c r="Y34" s="16"/>
      <c r="Z34" s="16"/>
    </row>
    <row r="35" spans="1:26" ht="18.75" hidden="1" customHeight="1">
      <c r="A35" s="499">
        <v>23</v>
      </c>
      <c r="B35" s="135" t="s">
        <v>20</v>
      </c>
      <c r="C35" s="579">
        <v>17000</v>
      </c>
      <c r="D35" s="579">
        <v>10000</v>
      </c>
      <c r="E35" s="119"/>
      <c r="F35" s="119"/>
      <c r="G35" s="609">
        <v>0</v>
      </c>
      <c r="H35" s="611"/>
      <c r="I35" s="611"/>
      <c r="J35" s="19" t="s">
        <v>497</v>
      </c>
      <c r="K35" s="16"/>
      <c r="L35" s="16"/>
      <c r="M35" s="16"/>
      <c r="N35" s="16"/>
      <c r="O35" s="16"/>
      <c r="P35" s="16"/>
      <c r="Q35" s="16"/>
      <c r="R35" s="16"/>
      <c r="S35" s="16"/>
      <c r="T35" s="16"/>
      <c r="U35" s="16"/>
      <c r="V35" s="16"/>
      <c r="W35" s="16"/>
      <c r="X35" s="16"/>
      <c r="Y35" s="16"/>
      <c r="Z35" s="16"/>
    </row>
    <row r="36" spans="1:26" ht="27" hidden="1" customHeight="1">
      <c r="A36" s="499">
        <v>28</v>
      </c>
      <c r="B36" s="135" t="s">
        <v>303</v>
      </c>
      <c r="C36" s="579">
        <v>15000</v>
      </c>
      <c r="D36" s="579">
        <v>6000</v>
      </c>
      <c r="E36" s="119">
        <v>45153</v>
      </c>
      <c r="F36" s="119">
        <v>45519</v>
      </c>
      <c r="G36" s="609" t="e">
        <f>20609+'2023'!S35+'2023'!T35+'2024'!#REF!</f>
        <v>#REF!</v>
      </c>
      <c r="H36" s="611">
        <v>45108</v>
      </c>
      <c r="I36" s="611">
        <v>45139</v>
      </c>
      <c r="J36" s="19" t="s">
        <v>499</v>
      </c>
      <c r="K36" s="16"/>
      <c r="L36" s="16"/>
      <c r="M36" s="16"/>
      <c r="N36" s="16"/>
      <c r="O36" s="16"/>
      <c r="P36" s="16"/>
      <c r="Q36" s="16"/>
      <c r="R36" s="16"/>
      <c r="S36" s="16"/>
      <c r="T36" s="16"/>
      <c r="U36" s="16"/>
      <c r="V36" s="16"/>
      <c r="W36" s="16"/>
      <c r="X36" s="16"/>
      <c r="Y36" s="16"/>
      <c r="Z36" s="16"/>
    </row>
    <row r="37" spans="1:26" ht="18.75" hidden="1" customHeight="1">
      <c r="A37" s="499">
        <v>29</v>
      </c>
      <c r="B37" s="135" t="s">
        <v>511</v>
      </c>
      <c r="C37" s="579">
        <v>15000</v>
      </c>
      <c r="D37" s="579">
        <v>6000</v>
      </c>
      <c r="E37" s="119">
        <v>45154</v>
      </c>
      <c r="F37" s="119">
        <v>45521</v>
      </c>
      <c r="G37" s="609">
        <f>31476+'2024'!I23</f>
        <v>31476</v>
      </c>
      <c r="H37" s="611">
        <v>45108</v>
      </c>
      <c r="I37" s="611">
        <v>45139</v>
      </c>
      <c r="J37" s="19" t="s">
        <v>499</v>
      </c>
      <c r="K37" s="16"/>
      <c r="L37" s="16"/>
      <c r="M37" s="16"/>
      <c r="N37" s="16"/>
      <c r="O37" s="16"/>
      <c r="P37" s="16"/>
      <c r="Q37" s="16"/>
      <c r="R37" s="16"/>
      <c r="S37" s="16"/>
      <c r="T37" s="16"/>
      <c r="U37" s="16"/>
      <c r="V37" s="16"/>
      <c r="W37" s="16"/>
      <c r="X37" s="16"/>
      <c r="Y37" s="16"/>
      <c r="Z37" s="16"/>
    </row>
    <row r="38" spans="1:26" ht="27" hidden="1" customHeight="1">
      <c r="A38" s="499">
        <v>52</v>
      </c>
      <c r="B38" s="5" t="s">
        <v>307</v>
      </c>
      <c r="C38" s="610">
        <v>10000</v>
      </c>
      <c r="D38" s="610">
        <v>6000</v>
      </c>
      <c r="E38" s="119">
        <v>45166</v>
      </c>
      <c r="F38" s="119">
        <v>45531</v>
      </c>
      <c r="G38" s="609">
        <f>'2023'!Q40+'2023'!R40+'2023'!S40+'2023'!T40+'2024'!I24</f>
        <v>27700</v>
      </c>
      <c r="H38" s="611" t="s">
        <v>423</v>
      </c>
      <c r="I38" s="611">
        <v>45170</v>
      </c>
      <c r="J38" s="19" t="s">
        <v>499</v>
      </c>
      <c r="K38" s="16"/>
      <c r="L38" s="16"/>
      <c r="M38" s="16"/>
      <c r="N38" s="16"/>
      <c r="O38" s="16"/>
      <c r="P38" s="16"/>
      <c r="Q38" s="16"/>
      <c r="R38" s="16"/>
      <c r="S38" s="16"/>
      <c r="T38" s="16"/>
      <c r="U38" s="16"/>
      <c r="V38" s="16"/>
      <c r="W38" s="16"/>
      <c r="X38" s="16"/>
      <c r="Y38" s="16"/>
      <c r="Z38" s="16"/>
    </row>
    <row r="39" spans="1:26" ht="18.75" hidden="1" customHeight="1">
      <c r="A39" s="499">
        <v>45</v>
      </c>
      <c r="B39" s="135" t="s">
        <v>242</v>
      </c>
      <c r="C39" s="579">
        <v>15000</v>
      </c>
      <c r="D39" s="579">
        <v>10000</v>
      </c>
      <c r="E39" s="119">
        <v>45075</v>
      </c>
      <c r="F39" s="119">
        <v>45441</v>
      </c>
      <c r="G39" s="609" t="e">
        <f>50000+'2023'!S45+'2023'!T45+'2024'!I26</f>
        <v>#VALUE!</v>
      </c>
      <c r="H39" s="611">
        <v>45017</v>
      </c>
      <c r="I39" s="611">
        <v>45047</v>
      </c>
      <c r="J39" s="19" t="s">
        <v>499</v>
      </c>
      <c r="K39" s="16"/>
      <c r="L39" s="16"/>
      <c r="M39" s="16"/>
      <c r="N39" s="16"/>
      <c r="O39" s="16"/>
      <c r="P39" s="16"/>
      <c r="Q39" s="16"/>
      <c r="R39" s="16"/>
      <c r="S39" s="16"/>
      <c r="T39" s="16"/>
      <c r="U39" s="16"/>
      <c r="V39" s="16"/>
      <c r="W39" s="16"/>
      <c r="X39" s="16"/>
      <c r="Y39" s="16"/>
      <c r="Z39" s="16"/>
    </row>
    <row r="40" spans="1:26" ht="18.75" hidden="1" customHeight="1">
      <c r="A40" s="499">
        <v>46</v>
      </c>
      <c r="B40" s="135" t="s">
        <v>205</v>
      </c>
      <c r="C40" s="579">
        <v>35000</v>
      </c>
      <c r="D40" s="579">
        <v>5000</v>
      </c>
      <c r="E40" s="119">
        <v>44812</v>
      </c>
      <c r="F40" s="119">
        <v>45177</v>
      </c>
      <c r="G40" s="609">
        <f>16881+'2023'!S15+'2023'!T15+'2024'!I12</f>
        <v>34381</v>
      </c>
      <c r="H40" s="611">
        <v>44805</v>
      </c>
      <c r="I40" s="611">
        <v>45200</v>
      </c>
      <c r="J40" s="19" t="s">
        <v>499</v>
      </c>
      <c r="K40" s="16"/>
      <c r="L40" s="16"/>
      <c r="M40" s="16"/>
      <c r="N40" s="16"/>
      <c r="O40" s="16"/>
      <c r="P40" s="16"/>
      <c r="Q40" s="16"/>
      <c r="R40" s="16"/>
      <c r="S40" s="16"/>
      <c r="T40" s="16"/>
      <c r="U40" s="16"/>
      <c r="V40" s="16"/>
      <c r="W40" s="16"/>
      <c r="X40" s="16"/>
      <c r="Y40" s="16"/>
      <c r="Z40" s="16"/>
    </row>
    <row r="41" spans="1:26" ht="18.75" hidden="1" customHeight="1">
      <c r="A41" s="499">
        <v>40</v>
      </c>
      <c r="B41" s="135" t="s">
        <v>80</v>
      </c>
      <c r="C41" s="579">
        <v>50000</v>
      </c>
      <c r="D41" s="579">
        <v>5000</v>
      </c>
      <c r="E41" s="119">
        <v>44824</v>
      </c>
      <c r="F41" s="119">
        <v>45189</v>
      </c>
      <c r="G41" s="609">
        <v>53687</v>
      </c>
      <c r="H41" s="615" t="s">
        <v>425</v>
      </c>
      <c r="I41" s="501" t="s">
        <v>512</v>
      </c>
      <c r="J41" s="19" t="s">
        <v>497</v>
      </c>
      <c r="K41" s="16"/>
      <c r="L41" s="16"/>
      <c r="M41" s="16"/>
      <c r="N41" s="16"/>
      <c r="O41" s="16"/>
      <c r="P41" s="16"/>
      <c r="Q41" s="16"/>
      <c r="R41" s="16"/>
      <c r="S41" s="16"/>
      <c r="T41" s="16"/>
      <c r="U41" s="16"/>
      <c r="V41" s="16"/>
      <c r="W41" s="16"/>
      <c r="X41" s="16"/>
      <c r="Y41" s="16"/>
      <c r="Z41" s="16"/>
    </row>
    <row r="42" spans="1:26" ht="18.75" hidden="1" customHeight="1">
      <c r="A42" s="499">
        <v>15</v>
      </c>
      <c r="B42" s="135" t="s">
        <v>291</v>
      </c>
      <c r="C42" s="579">
        <v>10000</v>
      </c>
      <c r="D42" s="579">
        <v>6000</v>
      </c>
      <c r="E42" s="119">
        <v>44841</v>
      </c>
      <c r="F42" s="119">
        <v>45206</v>
      </c>
      <c r="G42" s="609">
        <f>(67081/2)+'To beDeleted'!L110</f>
        <v>36410.065217391304</v>
      </c>
      <c r="H42" s="614" t="s">
        <v>513</v>
      </c>
      <c r="I42" s="501"/>
      <c r="J42" s="19" t="s">
        <v>497</v>
      </c>
      <c r="K42" s="628"/>
      <c r="L42" s="628"/>
      <c r="M42" s="628"/>
      <c r="N42" s="628"/>
      <c r="O42" s="628"/>
      <c r="P42" s="628"/>
      <c r="Q42" s="628"/>
      <c r="R42" s="628"/>
      <c r="S42" s="628"/>
      <c r="T42" s="628"/>
      <c r="U42" s="628"/>
      <c r="V42" s="628"/>
      <c r="W42" s="628"/>
      <c r="X42" s="628"/>
      <c r="Y42" s="628"/>
      <c r="Z42" s="628"/>
    </row>
    <row r="43" spans="1:26" ht="18.75" hidden="1" customHeight="1">
      <c r="A43" s="499">
        <v>34</v>
      </c>
      <c r="B43" s="135" t="s">
        <v>309</v>
      </c>
      <c r="C43" s="579">
        <v>6000</v>
      </c>
      <c r="D43" s="579">
        <v>10000</v>
      </c>
      <c r="E43" s="119">
        <v>44679</v>
      </c>
      <c r="F43" s="119">
        <v>45227</v>
      </c>
      <c r="G43" s="609">
        <f>'2023'!S43+'2023'!T43+'2024'!I25</f>
        <v>11000</v>
      </c>
      <c r="H43" s="611">
        <v>45200</v>
      </c>
      <c r="I43" s="611">
        <v>45231</v>
      </c>
      <c r="J43" s="19" t="s">
        <v>499</v>
      </c>
      <c r="K43" s="16"/>
      <c r="L43" s="16"/>
      <c r="M43" s="16"/>
      <c r="N43" s="16"/>
      <c r="O43" s="16"/>
      <c r="P43" s="16"/>
      <c r="Q43" s="16"/>
      <c r="R43" s="16"/>
      <c r="S43" s="16"/>
      <c r="T43" s="16"/>
      <c r="U43" s="16"/>
      <c r="V43" s="16"/>
      <c r="W43" s="16"/>
      <c r="X43" s="16"/>
      <c r="Y43" s="16"/>
      <c r="Z43" s="16"/>
    </row>
    <row r="44" spans="1:26" ht="18.75" hidden="1" customHeight="1">
      <c r="A44" s="499">
        <v>16</v>
      </c>
      <c r="B44" s="135" t="s">
        <v>514</v>
      </c>
      <c r="C44" s="579">
        <v>25000</v>
      </c>
      <c r="D44" s="579">
        <v>5000</v>
      </c>
      <c r="E44" s="119">
        <v>44937</v>
      </c>
      <c r="F44" s="119"/>
      <c r="G44" s="609">
        <f>'2024'!I21</f>
        <v>5000</v>
      </c>
      <c r="H44" s="611">
        <v>44896</v>
      </c>
      <c r="I44" s="611">
        <v>44927</v>
      </c>
      <c r="J44" s="19" t="s">
        <v>499</v>
      </c>
      <c r="K44" s="16"/>
      <c r="L44" s="16"/>
      <c r="M44" s="16"/>
      <c r="N44" s="16"/>
      <c r="O44" s="16"/>
      <c r="P44" s="16"/>
      <c r="Q44" s="16"/>
      <c r="R44" s="16"/>
      <c r="S44" s="16"/>
      <c r="T44" s="16"/>
      <c r="U44" s="16"/>
      <c r="V44" s="16"/>
      <c r="W44" s="16"/>
      <c r="X44" s="16"/>
      <c r="Y44" s="16"/>
      <c r="Z44" s="16"/>
    </row>
    <row r="45" spans="1:26" ht="18.75" hidden="1" customHeight="1">
      <c r="A45" s="499">
        <v>55</v>
      </c>
      <c r="B45" s="5" t="s">
        <v>314</v>
      </c>
      <c r="C45" s="610">
        <v>6000</v>
      </c>
      <c r="D45" s="610">
        <v>4000</v>
      </c>
      <c r="E45" s="119">
        <v>45227</v>
      </c>
      <c r="F45" s="119">
        <v>45775</v>
      </c>
      <c r="G45" s="609">
        <f>'2023'!S53+'2023'!T53+'2024'!I36</f>
        <v>6555.5555555555557</v>
      </c>
      <c r="H45" s="611" t="s">
        <v>423</v>
      </c>
      <c r="I45" s="611">
        <v>45231</v>
      </c>
      <c r="J45" s="19" t="s">
        <v>499</v>
      </c>
      <c r="K45" s="16"/>
      <c r="L45" s="16"/>
      <c r="M45" s="16"/>
      <c r="N45" s="16"/>
      <c r="O45" s="16"/>
      <c r="P45" s="16"/>
      <c r="Q45" s="16"/>
      <c r="R45" s="16"/>
      <c r="S45" s="16"/>
      <c r="T45" s="16"/>
      <c r="U45" s="16"/>
      <c r="V45" s="16"/>
      <c r="W45" s="16"/>
      <c r="X45" s="16"/>
      <c r="Y45" s="16"/>
      <c r="Z45" s="16"/>
    </row>
    <row r="46" spans="1:26" ht="18.75" hidden="1" customHeight="1">
      <c r="A46" s="499">
        <v>25</v>
      </c>
      <c r="B46" s="135" t="s">
        <v>228</v>
      </c>
      <c r="C46" s="579">
        <v>6000</v>
      </c>
      <c r="D46" s="579">
        <v>10000</v>
      </c>
      <c r="E46" s="119">
        <v>44823</v>
      </c>
      <c r="F46" s="119">
        <v>45370</v>
      </c>
      <c r="G46" s="609">
        <f>93000+'2023'!S33+'2023'!T33+'2024'!I22</f>
        <v>115740.74074074074</v>
      </c>
      <c r="H46" s="501" t="s">
        <v>423</v>
      </c>
      <c r="I46" s="611">
        <v>44896</v>
      </c>
      <c r="J46" s="19" t="s">
        <v>499</v>
      </c>
      <c r="K46" s="16"/>
      <c r="L46" s="16"/>
      <c r="M46" s="16"/>
      <c r="N46" s="16"/>
      <c r="O46" s="16"/>
      <c r="P46" s="16"/>
      <c r="Q46" s="16"/>
      <c r="R46" s="16"/>
      <c r="S46" s="16"/>
      <c r="T46" s="16"/>
      <c r="U46" s="16"/>
      <c r="V46" s="16"/>
      <c r="W46" s="16"/>
      <c r="X46" s="16"/>
      <c r="Y46" s="16"/>
      <c r="Z46" s="16"/>
    </row>
    <row r="47" spans="1:26" ht="18.75" hidden="1" customHeight="1">
      <c r="A47" s="499">
        <v>7</v>
      </c>
      <c r="B47" s="135" t="s">
        <v>338</v>
      </c>
      <c r="C47" s="579">
        <v>6000</v>
      </c>
      <c r="D47" s="579">
        <v>10000</v>
      </c>
      <c r="E47" s="119">
        <v>45056</v>
      </c>
      <c r="F47" s="119">
        <v>45606</v>
      </c>
      <c r="G47" s="609">
        <f>40429+'2023'!S11+'2023'!T11+'2024'!I9</f>
        <v>62429</v>
      </c>
      <c r="H47" s="501" t="s">
        <v>423</v>
      </c>
      <c r="I47" s="611">
        <v>45047</v>
      </c>
      <c r="J47" s="19" t="s">
        <v>499</v>
      </c>
      <c r="K47" s="16"/>
      <c r="L47" s="16"/>
      <c r="M47" s="16"/>
      <c r="N47" s="16"/>
      <c r="O47" s="16"/>
      <c r="P47" s="16"/>
      <c r="Q47" s="16"/>
      <c r="R47" s="16"/>
      <c r="S47" s="16"/>
      <c r="T47" s="16"/>
      <c r="U47" s="16"/>
      <c r="V47" s="16"/>
      <c r="W47" s="16"/>
      <c r="X47" s="16"/>
      <c r="Y47" s="16"/>
      <c r="Z47" s="16"/>
    </row>
    <row r="48" spans="1:26" ht="18.75" hidden="1" customHeight="1">
      <c r="A48" s="499">
        <v>58</v>
      </c>
      <c r="B48" s="5" t="s">
        <v>515</v>
      </c>
      <c r="C48" s="610">
        <v>6000</v>
      </c>
      <c r="D48" s="610">
        <v>4000</v>
      </c>
      <c r="E48" s="119">
        <v>45286</v>
      </c>
      <c r="F48" s="119">
        <v>46017</v>
      </c>
      <c r="G48" s="609">
        <f>'To beDeleted'!I116</f>
        <v>10000</v>
      </c>
      <c r="H48" s="611" t="s">
        <v>423</v>
      </c>
      <c r="I48" s="611">
        <v>45261</v>
      </c>
      <c r="J48" s="19" t="s">
        <v>499</v>
      </c>
      <c r="K48" s="16"/>
      <c r="L48" s="16"/>
      <c r="M48" s="16"/>
      <c r="N48" s="16"/>
      <c r="O48" s="16"/>
      <c r="P48" s="16"/>
      <c r="Q48" s="16"/>
      <c r="R48" s="16"/>
      <c r="S48" s="16"/>
      <c r="T48" s="16"/>
      <c r="U48" s="16"/>
      <c r="V48" s="16"/>
      <c r="W48" s="16"/>
      <c r="X48" s="16"/>
      <c r="Y48" s="16"/>
      <c r="Z48" s="16"/>
    </row>
    <row r="49" spans="1:26" ht="18.75" hidden="1" customHeight="1">
      <c r="A49" s="499">
        <v>22</v>
      </c>
      <c r="B49" s="135" t="s">
        <v>84</v>
      </c>
      <c r="C49" s="579">
        <v>52000</v>
      </c>
      <c r="D49" s="579">
        <v>0</v>
      </c>
      <c r="E49" s="119">
        <v>44449</v>
      </c>
      <c r="F49" s="119">
        <v>44814</v>
      </c>
      <c r="G49" s="609">
        <v>62700</v>
      </c>
      <c r="H49" s="611" t="s">
        <v>423</v>
      </c>
      <c r="I49" s="611"/>
      <c r="J49" s="19" t="s">
        <v>498</v>
      </c>
      <c r="K49" s="628"/>
      <c r="L49" s="628"/>
      <c r="M49" s="628"/>
      <c r="N49" s="628"/>
      <c r="O49" s="628"/>
      <c r="P49" s="628"/>
      <c r="Q49" s="628"/>
      <c r="R49" s="628"/>
      <c r="S49" s="628"/>
      <c r="T49" s="628"/>
      <c r="U49" s="628"/>
      <c r="V49" s="628"/>
      <c r="W49" s="628"/>
      <c r="X49" s="628"/>
      <c r="Y49" s="628"/>
      <c r="Z49" s="628"/>
    </row>
    <row r="50" spans="1:26" ht="18.75" hidden="1" customHeight="1">
      <c r="A50" s="499">
        <v>19</v>
      </c>
      <c r="B50" s="135" t="s">
        <v>516</v>
      </c>
      <c r="C50" s="579">
        <v>40000</v>
      </c>
      <c r="D50" s="579">
        <v>0</v>
      </c>
      <c r="E50" s="119">
        <v>44838</v>
      </c>
      <c r="F50" s="119">
        <v>45202</v>
      </c>
      <c r="G50" s="609" t="e">
        <f>1364+'2023'!S14+'2023'!T14+'2024'!#REF!</f>
        <v>#REF!</v>
      </c>
      <c r="H50" s="614" t="s">
        <v>423</v>
      </c>
      <c r="I50" s="611">
        <v>45200</v>
      </c>
      <c r="J50" s="19" t="s">
        <v>499</v>
      </c>
      <c r="K50" s="16"/>
      <c r="L50" s="16"/>
      <c r="M50" s="16"/>
      <c r="N50" s="16"/>
      <c r="O50" s="16"/>
      <c r="P50" s="16"/>
      <c r="Q50" s="16"/>
      <c r="R50" s="16"/>
      <c r="S50" s="16"/>
      <c r="T50" s="16"/>
      <c r="U50" s="16"/>
      <c r="V50" s="16"/>
      <c r="W50" s="16"/>
      <c r="X50" s="16"/>
      <c r="Y50" s="16"/>
      <c r="Z50" s="16"/>
    </row>
    <row r="51" spans="1:26" ht="18.75" hidden="1" customHeight="1">
      <c r="A51" s="499">
        <v>35</v>
      </c>
      <c r="B51" s="135" t="s">
        <v>308</v>
      </c>
      <c r="C51" s="579">
        <v>25000</v>
      </c>
      <c r="D51" s="579">
        <v>5000</v>
      </c>
      <c r="E51" s="119">
        <v>44747</v>
      </c>
      <c r="F51" s="119">
        <v>45112</v>
      </c>
      <c r="G51" s="609">
        <v>71783</v>
      </c>
      <c r="H51" s="501" t="s">
        <v>423</v>
      </c>
      <c r="I51" s="501"/>
      <c r="J51" s="19" t="s">
        <v>497</v>
      </c>
      <c r="K51" s="16"/>
      <c r="L51" s="16"/>
      <c r="M51" s="16"/>
      <c r="N51" s="16"/>
      <c r="O51" s="16"/>
      <c r="P51" s="16"/>
      <c r="Q51" s="16"/>
      <c r="R51" s="16"/>
      <c r="S51" s="16"/>
      <c r="T51" s="16"/>
      <c r="U51" s="16"/>
      <c r="V51" s="16"/>
      <c r="W51" s="16"/>
      <c r="X51" s="16"/>
      <c r="Y51" s="16"/>
      <c r="Z51" s="16"/>
    </row>
    <row r="52" spans="1:26" ht="33" hidden="1" customHeight="1">
      <c r="A52" s="499">
        <v>2</v>
      </c>
      <c r="B52" s="135" t="s">
        <v>203</v>
      </c>
      <c r="C52" s="579">
        <v>40000</v>
      </c>
      <c r="D52" s="579">
        <v>10000</v>
      </c>
      <c r="E52" s="119">
        <v>44798</v>
      </c>
      <c r="F52" s="119">
        <v>45163</v>
      </c>
      <c r="G52" s="609">
        <f>'2023'!S6+'2023'!T6+'2024'!I5</f>
        <v>12962.962962962964</v>
      </c>
      <c r="H52" s="611">
        <v>45200</v>
      </c>
      <c r="I52" s="611">
        <v>45231</v>
      </c>
      <c r="J52" s="19" t="s">
        <v>499</v>
      </c>
      <c r="K52" s="16"/>
      <c r="L52" s="16"/>
      <c r="M52" s="16"/>
      <c r="N52" s="16"/>
      <c r="O52" s="16"/>
      <c r="P52" s="16"/>
      <c r="Q52" s="16"/>
      <c r="R52" s="16"/>
      <c r="S52" s="16"/>
      <c r="T52" s="16"/>
      <c r="U52" s="16"/>
      <c r="V52" s="16"/>
      <c r="W52" s="16"/>
      <c r="X52" s="16"/>
      <c r="Y52" s="16"/>
      <c r="Z52" s="16"/>
    </row>
    <row r="53" spans="1:26" ht="28.2" hidden="1" customHeight="1">
      <c r="A53" s="499">
        <v>36</v>
      </c>
      <c r="B53" s="135" t="s">
        <v>234</v>
      </c>
      <c r="C53" s="579">
        <v>40000</v>
      </c>
      <c r="D53" s="579">
        <v>10000</v>
      </c>
      <c r="E53" s="119">
        <v>44817</v>
      </c>
      <c r="F53" s="119">
        <v>45182</v>
      </c>
      <c r="G53" s="609">
        <v>80000</v>
      </c>
      <c r="H53" s="617" t="s">
        <v>425</v>
      </c>
      <c r="I53" s="501"/>
      <c r="J53" s="19" t="s">
        <v>501</v>
      </c>
      <c r="K53" s="16"/>
      <c r="L53" s="16"/>
      <c r="M53" s="16"/>
      <c r="N53" s="16"/>
      <c r="O53" s="16"/>
      <c r="P53" s="16"/>
      <c r="Q53" s="16"/>
      <c r="R53" s="16"/>
      <c r="S53" s="16"/>
      <c r="T53" s="16"/>
      <c r="U53" s="16"/>
      <c r="V53" s="16"/>
      <c r="W53" s="16"/>
      <c r="X53" s="16"/>
      <c r="Y53" s="16"/>
      <c r="Z53" s="16"/>
    </row>
    <row r="54" spans="1:26" ht="18.75" hidden="1" customHeight="1">
      <c r="A54" s="499">
        <v>41</v>
      </c>
      <c r="B54" s="135" t="s">
        <v>254</v>
      </c>
      <c r="C54" s="579">
        <v>35000</v>
      </c>
      <c r="D54" s="579">
        <v>10000</v>
      </c>
      <c r="E54" s="119">
        <v>45329</v>
      </c>
      <c r="F54" s="119">
        <v>45511</v>
      </c>
      <c r="G54" s="609">
        <v>87099</v>
      </c>
      <c r="H54" s="611">
        <v>45292</v>
      </c>
      <c r="I54" s="611"/>
      <c r="J54" s="19" t="s">
        <v>508</v>
      </c>
      <c r="K54" s="16"/>
      <c r="L54" s="16"/>
      <c r="M54" s="16"/>
      <c r="N54" s="16"/>
      <c r="O54" s="16"/>
      <c r="P54" s="16"/>
      <c r="Q54" s="16"/>
      <c r="R54" s="16"/>
      <c r="S54" s="16"/>
      <c r="T54" s="16"/>
      <c r="U54" s="16"/>
      <c r="V54" s="16"/>
      <c r="W54" s="16"/>
      <c r="X54" s="16"/>
      <c r="Y54" s="16"/>
      <c r="Z54" s="16"/>
    </row>
    <row r="55" spans="1:26" ht="18.75" hidden="1" customHeight="1">
      <c r="A55" s="499">
        <v>24</v>
      </c>
      <c r="B55" s="135" t="s">
        <v>301</v>
      </c>
      <c r="C55" s="579">
        <v>25000</v>
      </c>
      <c r="D55" s="579">
        <v>5000</v>
      </c>
      <c r="E55" s="119">
        <v>44806</v>
      </c>
      <c r="F55" s="119">
        <v>45171</v>
      </c>
      <c r="G55" s="609">
        <f>5000+'2023'!S32+'2023'!T32+'To beDeleted'!I107</f>
        <v>17869.565217391304</v>
      </c>
      <c r="H55" s="611">
        <v>45170</v>
      </c>
      <c r="I55" s="611">
        <v>45200</v>
      </c>
      <c r="J55" s="19" t="s">
        <v>499</v>
      </c>
      <c r="K55" s="16"/>
      <c r="L55" s="16"/>
      <c r="M55" s="16"/>
      <c r="N55" s="16"/>
      <c r="O55" s="16"/>
      <c r="P55" s="16"/>
      <c r="Q55" s="16"/>
      <c r="R55" s="16"/>
      <c r="S55" s="16"/>
      <c r="T55" s="16"/>
      <c r="U55" s="16"/>
      <c r="V55" s="16"/>
      <c r="W55" s="16"/>
      <c r="X55" s="16"/>
      <c r="Y55" s="16"/>
      <c r="Z55" s="16"/>
    </row>
    <row r="56" spans="1:26" ht="18.75" hidden="1" customHeight="1">
      <c r="A56" s="499">
        <v>14</v>
      </c>
      <c r="B56" s="135" t="s">
        <v>211</v>
      </c>
      <c r="C56" s="579">
        <v>25000</v>
      </c>
      <c r="D56" s="579">
        <v>10000</v>
      </c>
      <c r="E56" s="119">
        <v>45049</v>
      </c>
      <c r="F56" s="119">
        <v>45599</v>
      </c>
      <c r="G56" s="609" t="e">
        <f>60000+'2023'!S20+'2023'!T20+'2024'!#REF!</f>
        <v>#REF!</v>
      </c>
      <c r="H56" s="501" t="s">
        <v>423</v>
      </c>
      <c r="I56" s="611">
        <v>45047</v>
      </c>
      <c r="J56" s="19" t="s">
        <v>499</v>
      </c>
      <c r="K56" s="16"/>
      <c r="L56" s="16"/>
      <c r="M56" s="16"/>
      <c r="N56" s="16"/>
      <c r="O56" s="16"/>
      <c r="P56" s="16"/>
      <c r="Q56" s="16"/>
      <c r="R56" s="16"/>
      <c r="S56" s="16"/>
      <c r="T56" s="16"/>
      <c r="U56" s="16"/>
      <c r="V56" s="16"/>
      <c r="W56" s="16"/>
      <c r="X56" s="16"/>
      <c r="Y56" s="16"/>
      <c r="Z56" s="16"/>
    </row>
    <row r="57" spans="1:26" ht="18.75" hidden="1" customHeight="1">
      <c r="A57" s="499">
        <v>17</v>
      </c>
      <c r="B57" s="135" t="s">
        <v>221</v>
      </c>
      <c r="C57" s="579">
        <v>15000</v>
      </c>
      <c r="D57" s="579">
        <v>10000</v>
      </c>
      <c r="E57" s="119">
        <v>44936</v>
      </c>
      <c r="F57" s="119">
        <v>45301</v>
      </c>
      <c r="G57" s="619">
        <f>'2024'!I18</f>
        <v>6086.9565217391309</v>
      </c>
      <c r="H57" s="611">
        <v>45261</v>
      </c>
      <c r="I57" s="611">
        <v>45292</v>
      </c>
      <c r="J57" s="19" t="s">
        <v>499</v>
      </c>
      <c r="K57" s="16"/>
      <c r="L57" s="16"/>
      <c r="M57" s="16"/>
      <c r="N57" s="16"/>
      <c r="O57" s="16"/>
      <c r="P57" s="16"/>
      <c r="Q57" s="16"/>
      <c r="R57" s="16"/>
      <c r="S57" s="16"/>
      <c r="T57" s="16"/>
      <c r="U57" s="16"/>
      <c r="V57" s="16"/>
      <c r="W57" s="16"/>
      <c r="X57" s="16"/>
      <c r="Y57" s="16"/>
      <c r="Z57" s="16"/>
    </row>
    <row r="58" spans="1:26" ht="18.75" hidden="1" customHeight="1">
      <c r="A58" s="499">
        <v>12</v>
      </c>
      <c r="B58" s="135" t="s">
        <v>208</v>
      </c>
      <c r="C58" s="579">
        <v>15000</v>
      </c>
      <c r="D58" s="579">
        <v>6000</v>
      </c>
      <c r="E58" s="119">
        <v>45228</v>
      </c>
      <c r="F58" s="119">
        <v>45594</v>
      </c>
      <c r="G58" s="609">
        <f>'2023'!T17+'2024'!I15</f>
        <v>16000</v>
      </c>
      <c r="H58" s="611">
        <v>45200</v>
      </c>
      <c r="I58" s="611">
        <v>45231</v>
      </c>
      <c r="J58" s="19" t="s">
        <v>517</v>
      </c>
      <c r="K58" s="16"/>
      <c r="L58" s="16"/>
      <c r="M58" s="16"/>
      <c r="N58" s="16"/>
      <c r="O58" s="16"/>
      <c r="P58" s="16"/>
      <c r="Q58" s="16"/>
      <c r="R58" s="16"/>
      <c r="S58" s="16"/>
      <c r="T58" s="16"/>
      <c r="U58" s="16"/>
      <c r="V58" s="16"/>
      <c r="W58" s="16"/>
      <c r="X58" s="16"/>
      <c r="Y58" s="16"/>
      <c r="Z58" s="16"/>
    </row>
    <row r="59" spans="1:26" ht="18.75" hidden="1" customHeight="1">
      <c r="A59" s="499">
        <v>43</v>
      </c>
      <c r="B59" s="135" t="s">
        <v>244</v>
      </c>
      <c r="C59" s="579">
        <v>40000</v>
      </c>
      <c r="D59" s="579">
        <v>7000</v>
      </c>
      <c r="E59" s="119">
        <v>45462</v>
      </c>
      <c r="F59" s="119">
        <v>45827</v>
      </c>
      <c r="G59" s="609"/>
      <c r="H59" s="611">
        <v>45413</v>
      </c>
      <c r="I59" s="611">
        <v>45444</v>
      </c>
      <c r="J59" s="19" t="s">
        <v>499</v>
      </c>
      <c r="K59" s="16"/>
      <c r="L59" s="16"/>
      <c r="M59" s="16"/>
      <c r="N59" s="16"/>
      <c r="O59" s="16"/>
      <c r="P59" s="16"/>
      <c r="Q59" s="16"/>
      <c r="R59" s="16"/>
      <c r="S59" s="16"/>
      <c r="T59" s="16"/>
      <c r="U59" s="16"/>
      <c r="V59" s="16"/>
      <c r="W59" s="16"/>
      <c r="X59" s="16"/>
      <c r="Y59" s="16"/>
      <c r="Z59" s="16"/>
    </row>
    <row r="60" spans="1:26" ht="18.75" hidden="1" customHeight="1">
      <c r="A60" s="620"/>
      <c r="B60" s="621" t="s">
        <v>126</v>
      </c>
      <c r="C60" s="622">
        <f>SUM(C1:C56)</f>
        <v>1132000</v>
      </c>
      <c r="D60" s="622">
        <f>SUM(D1:D56)</f>
        <v>366000</v>
      </c>
      <c r="E60" s="621"/>
      <c r="F60" s="621"/>
      <c r="G60" s="623" t="e">
        <f>SUM(G1:G55)</f>
        <v>#REF!</v>
      </c>
      <c r="H60" s="501"/>
      <c r="I60" s="501"/>
      <c r="J60" s="4"/>
      <c r="K60" s="16"/>
      <c r="L60" s="16"/>
      <c r="M60" s="16"/>
      <c r="N60" s="16"/>
      <c r="O60" s="16"/>
      <c r="P60" s="16"/>
      <c r="Q60" s="16"/>
      <c r="R60" s="16"/>
      <c r="S60" s="16"/>
      <c r="T60" s="16"/>
      <c r="U60" s="16"/>
      <c r="V60" s="16"/>
      <c r="W60" s="16"/>
      <c r="X60" s="16"/>
      <c r="Y60" s="16"/>
      <c r="Z60" s="16"/>
    </row>
    <row r="61" spans="1:26" ht="14.25" customHeight="1">
      <c r="A61" s="624"/>
      <c r="B61" s="253"/>
      <c r="C61" s="253"/>
      <c r="D61" s="253"/>
      <c r="E61" s="253"/>
      <c r="F61" s="253"/>
      <c r="G61" s="253"/>
      <c r="H61" s="625"/>
      <c r="I61" s="625"/>
      <c r="J61" s="16"/>
      <c r="K61" s="16"/>
      <c r="L61" s="16"/>
      <c r="M61" s="16"/>
      <c r="N61" s="16"/>
      <c r="O61" s="16"/>
      <c r="P61" s="16"/>
      <c r="Q61" s="16"/>
      <c r="R61" s="16"/>
      <c r="S61" s="16"/>
      <c r="T61" s="16"/>
      <c r="U61" s="16"/>
      <c r="V61" s="16"/>
      <c r="W61" s="16"/>
      <c r="X61" s="16"/>
      <c r="Y61" s="16"/>
      <c r="Z61" s="16"/>
    </row>
    <row r="62" spans="1:26" ht="14.25" customHeight="1">
      <c r="A62" s="624"/>
      <c r="B62" s="253"/>
      <c r="C62" s="253"/>
      <c r="D62" s="253"/>
      <c r="E62" s="253"/>
      <c r="F62" s="253"/>
      <c r="G62" s="253"/>
      <c r="H62" s="625"/>
      <c r="I62" s="625"/>
      <c r="J62" s="16"/>
      <c r="K62" s="16"/>
      <c r="L62" s="16"/>
      <c r="M62" s="16"/>
      <c r="N62" s="16"/>
      <c r="O62" s="16"/>
      <c r="P62" s="16"/>
      <c r="Q62" s="16"/>
      <c r="R62" s="16"/>
      <c r="S62" s="16"/>
      <c r="T62" s="16"/>
      <c r="U62" s="16"/>
      <c r="V62" s="16"/>
      <c r="W62" s="16"/>
      <c r="X62" s="16"/>
      <c r="Y62" s="16"/>
      <c r="Z62" s="16"/>
    </row>
    <row r="63" spans="1:26" ht="14.25" customHeight="1">
      <c r="A63" s="624"/>
      <c r="B63" s="253"/>
      <c r="C63" s="253"/>
      <c r="D63" s="253"/>
      <c r="E63" s="253"/>
      <c r="F63" s="253"/>
      <c r="G63" s="253"/>
      <c r="H63" s="625"/>
      <c r="I63" s="625"/>
      <c r="J63" s="16"/>
      <c r="K63" s="16"/>
      <c r="L63" s="16"/>
      <c r="M63" s="16"/>
      <c r="N63" s="16"/>
      <c r="O63" s="16"/>
      <c r="P63" s="16"/>
      <c r="Q63" s="16"/>
      <c r="R63" s="16"/>
      <c r="S63" s="16"/>
      <c r="T63" s="16"/>
      <c r="U63" s="16"/>
      <c r="V63" s="16"/>
      <c r="W63" s="16"/>
      <c r="X63" s="16"/>
      <c r="Y63" s="16"/>
      <c r="Z63" s="16"/>
    </row>
    <row r="64" spans="1:26" ht="14.25" customHeight="1">
      <c r="A64" s="624"/>
      <c r="B64" s="253"/>
      <c r="C64" s="253"/>
      <c r="D64" s="253"/>
      <c r="E64" s="253"/>
      <c r="F64" s="253"/>
      <c r="G64" s="253"/>
      <c r="H64" s="625"/>
      <c r="I64" s="625"/>
      <c r="J64" s="16"/>
      <c r="K64" s="16"/>
      <c r="L64" s="16"/>
      <c r="M64" s="16"/>
      <c r="N64" s="16"/>
      <c r="O64" s="16"/>
      <c r="P64" s="16"/>
      <c r="Q64" s="16"/>
      <c r="R64" s="16"/>
      <c r="S64" s="16"/>
      <c r="T64" s="16"/>
      <c r="U64" s="16"/>
      <c r="V64" s="16"/>
      <c r="W64" s="16"/>
      <c r="X64" s="16"/>
      <c r="Y64" s="16"/>
      <c r="Z64" s="16"/>
    </row>
    <row r="65" spans="1:26" ht="14.25" customHeight="1">
      <c r="A65" s="624"/>
      <c r="B65" s="253"/>
      <c r="C65" s="253"/>
      <c r="D65" s="253"/>
      <c r="E65" s="253"/>
      <c r="F65" s="253"/>
      <c r="G65" s="253"/>
      <c r="H65" s="625"/>
      <c r="I65" s="625"/>
      <c r="J65" s="16"/>
      <c r="K65" s="16"/>
      <c r="L65" s="16"/>
      <c r="M65" s="16"/>
      <c r="N65" s="16"/>
      <c r="O65" s="16"/>
      <c r="P65" s="16"/>
      <c r="Q65" s="16"/>
      <c r="R65" s="16"/>
      <c r="S65" s="16"/>
      <c r="T65" s="16"/>
      <c r="U65" s="16"/>
      <c r="V65" s="16"/>
      <c r="W65" s="16"/>
      <c r="X65" s="16"/>
      <c r="Y65" s="16"/>
      <c r="Z65" s="16"/>
    </row>
    <row r="66" spans="1:26" ht="14.25" customHeight="1">
      <c r="A66" s="624"/>
      <c r="B66" s="253"/>
      <c r="C66" s="253"/>
      <c r="D66" s="253"/>
      <c r="E66" s="253"/>
      <c r="F66" s="253"/>
      <c r="G66" s="629"/>
      <c r="H66" s="625"/>
      <c r="I66" s="625"/>
      <c r="J66" s="16"/>
      <c r="K66" s="16"/>
      <c r="L66" s="16"/>
      <c r="M66" s="16"/>
      <c r="N66" s="16"/>
      <c r="O66" s="16"/>
      <c r="P66" s="16"/>
      <c r="Q66" s="16"/>
      <c r="R66" s="16"/>
      <c r="S66" s="16"/>
      <c r="T66" s="16"/>
      <c r="U66" s="16"/>
      <c r="V66" s="16"/>
      <c r="W66" s="16"/>
      <c r="X66" s="16"/>
      <c r="Y66" s="16"/>
      <c r="Z66" s="16"/>
    </row>
    <row r="67" spans="1:26" ht="14.25" customHeight="1">
      <c r="A67" s="624"/>
      <c r="B67" s="253"/>
      <c r="C67" s="253"/>
      <c r="D67" s="253"/>
      <c r="E67" s="253"/>
      <c r="F67" s="253"/>
      <c r="G67" s="253"/>
      <c r="H67" s="625"/>
      <c r="I67" s="625"/>
      <c r="J67" s="16"/>
      <c r="K67" s="16"/>
      <c r="L67" s="16"/>
      <c r="M67" s="16"/>
      <c r="N67" s="16"/>
      <c r="O67" s="16"/>
      <c r="P67" s="16"/>
      <c r="Q67" s="16"/>
      <c r="R67" s="16"/>
      <c r="S67" s="16"/>
      <c r="T67" s="16"/>
      <c r="U67" s="16"/>
      <c r="V67" s="16"/>
      <c r="W67" s="16"/>
      <c r="X67" s="16"/>
      <c r="Y67" s="16"/>
      <c r="Z67" s="16"/>
    </row>
    <row r="68" spans="1:26" ht="14.25" customHeight="1">
      <c r="A68" s="624"/>
      <c r="B68" s="253"/>
      <c r="C68" s="253"/>
      <c r="D68" s="253"/>
      <c r="E68" s="253"/>
      <c r="F68" s="253"/>
      <c r="G68" s="253"/>
      <c r="H68" s="625"/>
      <c r="I68" s="625"/>
      <c r="J68" s="16"/>
      <c r="K68" s="16"/>
      <c r="L68" s="16"/>
      <c r="M68" s="16"/>
      <c r="N68" s="16"/>
      <c r="O68" s="16"/>
      <c r="P68" s="16"/>
      <c r="Q68" s="16"/>
      <c r="R68" s="16"/>
      <c r="S68" s="16"/>
      <c r="T68" s="16"/>
      <c r="U68" s="16"/>
      <c r="V68" s="16"/>
      <c r="W68" s="16"/>
      <c r="X68" s="16"/>
      <c r="Y68" s="16"/>
      <c r="Z68" s="16"/>
    </row>
    <row r="69" spans="1:26" ht="14.25" customHeight="1">
      <c r="A69" s="624"/>
      <c r="B69" s="253"/>
      <c r="C69" s="253"/>
      <c r="D69" s="253"/>
      <c r="E69" s="253"/>
      <c r="F69" s="253"/>
      <c r="G69" s="253"/>
      <c r="H69" s="625"/>
      <c r="I69" s="625"/>
      <c r="J69" s="16"/>
      <c r="K69" s="16"/>
      <c r="L69" s="16"/>
      <c r="M69" s="16"/>
      <c r="N69" s="16"/>
      <c r="O69" s="16"/>
      <c r="P69" s="16"/>
      <c r="Q69" s="16"/>
      <c r="R69" s="16"/>
      <c r="S69" s="16"/>
      <c r="T69" s="16"/>
      <c r="U69" s="16"/>
      <c r="V69" s="16"/>
      <c r="W69" s="16"/>
      <c r="X69" s="16"/>
      <c r="Y69" s="16"/>
      <c r="Z69" s="16"/>
    </row>
    <row r="70" spans="1:26" ht="14.25" customHeight="1">
      <c r="A70" s="624"/>
      <c r="B70" s="253"/>
      <c r="C70" s="253"/>
      <c r="D70" s="253"/>
      <c r="E70" s="253"/>
      <c r="F70" s="253"/>
      <c r="G70" s="253"/>
      <c r="H70" s="625"/>
      <c r="I70" s="625"/>
      <c r="J70" s="16"/>
      <c r="K70" s="16"/>
      <c r="L70" s="16"/>
      <c r="M70" s="16"/>
      <c r="N70" s="16"/>
      <c r="O70" s="16"/>
      <c r="P70" s="16"/>
      <c r="Q70" s="16"/>
      <c r="R70" s="16"/>
      <c r="S70" s="16"/>
      <c r="T70" s="16"/>
      <c r="U70" s="16"/>
      <c r="V70" s="16"/>
      <c r="W70" s="16"/>
      <c r="X70" s="16"/>
      <c r="Y70" s="16"/>
      <c r="Z70" s="16"/>
    </row>
    <row r="71" spans="1:26" ht="14.25" customHeight="1">
      <c r="A71" s="624"/>
      <c r="B71" s="253"/>
      <c r="C71" s="253"/>
      <c r="D71" s="253"/>
      <c r="E71" s="253"/>
      <c r="F71" s="253"/>
      <c r="G71" s="253"/>
      <c r="H71" s="625"/>
      <c r="I71" s="625"/>
      <c r="J71" s="16"/>
      <c r="K71" s="16"/>
      <c r="L71" s="16"/>
      <c r="M71" s="16"/>
      <c r="N71" s="16"/>
      <c r="O71" s="16"/>
      <c r="P71" s="16"/>
      <c r="Q71" s="16"/>
      <c r="R71" s="16"/>
      <c r="S71" s="16"/>
      <c r="T71" s="16"/>
      <c r="U71" s="16"/>
      <c r="V71" s="16"/>
      <c r="W71" s="16"/>
      <c r="X71" s="16"/>
      <c r="Y71" s="16"/>
      <c r="Z71" s="16"/>
    </row>
    <row r="72" spans="1:26" ht="14.25" customHeight="1">
      <c r="A72" s="624"/>
      <c r="B72" s="253"/>
      <c r="C72" s="253"/>
      <c r="D72" s="253"/>
      <c r="E72" s="253"/>
      <c r="F72" s="253"/>
      <c r="G72" s="253"/>
      <c r="H72" s="625"/>
      <c r="I72" s="625"/>
      <c r="J72" s="16"/>
      <c r="K72" s="16"/>
      <c r="L72" s="16"/>
      <c r="M72" s="16"/>
      <c r="N72" s="16"/>
      <c r="O72" s="16"/>
      <c r="P72" s="16"/>
      <c r="Q72" s="16"/>
      <c r="R72" s="16"/>
      <c r="S72" s="16"/>
      <c r="T72" s="16"/>
      <c r="U72" s="16"/>
      <c r="V72" s="16"/>
      <c r="W72" s="16"/>
      <c r="X72" s="16"/>
      <c r="Y72" s="16"/>
      <c r="Z72" s="16"/>
    </row>
    <row r="73" spans="1:26" ht="14.25" customHeight="1">
      <c r="A73" s="624"/>
      <c r="B73" s="253"/>
      <c r="C73" s="253"/>
      <c r="D73" s="253"/>
      <c r="E73" s="253"/>
      <c r="F73" s="253"/>
      <c r="G73" s="253"/>
      <c r="H73" s="625"/>
      <c r="I73" s="625"/>
      <c r="J73" s="16"/>
      <c r="K73" s="16"/>
      <c r="L73" s="16"/>
      <c r="M73" s="16"/>
      <c r="N73" s="16"/>
      <c r="O73" s="16"/>
      <c r="P73" s="16"/>
      <c r="Q73" s="16"/>
      <c r="R73" s="16"/>
      <c r="S73" s="16"/>
      <c r="T73" s="16"/>
      <c r="U73" s="16"/>
      <c r="V73" s="16"/>
      <c r="W73" s="16"/>
      <c r="X73" s="16"/>
      <c r="Y73" s="16"/>
      <c r="Z73" s="16"/>
    </row>
    <row r="74" spans="1:26" ht="14.25" customHeight="1">
      <c r="A74" s="624"/>
      <c r="B74" s="253"/>
      <c r="C74" s="253"/>
      <c r="D74" s="253"/>
      <c r="E74" s="253"/>
      <c r="F74" s="253"/>
      <c r="G74" s="253"/>
      <c r="H74" s="625"/>
      <c r="I74" s="625"/>
      <c r="J74" s="16"/>
      <c r="K74" s="16"/>
      <c r="L74" s="16"/>
      <c r="M74" s="16"/>
      <c r="N74" s="16"/>
      <c r="O74" s="16"/>
      <c r="P74" s="16"/>
      <c r="Q74" s="16"/>
      <c r="R74" s="16"/>
      <c r="S74" s="16"/>
      <c r="T74" s="16"/>
      <c r="U74" s="16"/>
      <c r="V74" s="16"/>
      <c r="W74" s="16"/>
      <c r="X74" s="16"/>
      <c r="Y74" s="16"/>
      <c r="Z74" s="16"/>
    </row>
    <row r="75" spans="1:26" ht="14.25" customHeight="1">
      <c r="A75" s="624"/>
      <c r="B75" s="253"/>
      <c r="C75" s="253"/>
      <c r="D75" s="253"/>
      <c r="E75" s="253"/>
      <c r="F75" s="253"/>
      <c r="G75" s="253"/>
      <c r="H75" s="625"/>
      <c r="I75" s="625"/>
      <c r="J75" s="16"/>
      <c r="K75" s="16"/>
      <c r="L75" s="16"/>
      <c r="M75" s="16"/>
      <c r="N75" s="16"/>
      <c r="O75" s="16"/>
      <c r="P75" s="16"/>
      <c r="Q75" s="16"/>
      <c r="R75" s="16"/>
      <c r="S75" s="16"/>
      <c r="T75" s="16"/>
      <c r="U75" s="16"/>
      <c r="V75" s="16"/>
      <c r="W75" s="16"/>
      <c r="X75" s="16"/>
      <c r="Y75" s="16"/>
      <c r="Z75" s="16"/>
    </row>
    <row r="76" spans="1:26" ht="14.25" customHeight="1">
      <c r="A76" s="624"/>
      <c r="B76" s="253"/>
      <c r="C76" s="253"/>
      <c r="D76" s="253"/>
      <c r="E76" s="253"/>
      <c r="F76" s="253"/>
      <c r="G76" s="253"/>
      <c r="H76" s="625"/>
      <c r="I76" s="625"/>
      <c r="J76" s="16"/>
      <c r="K76" s="16"/>
      <c r="L76" s="16"/>
      <c r="M76" s="16"/>
      <c r="N76" s="16"/>
      <c r="O76" s="16"/>
      <c r="P76" s="16"/>
      <c r="Q76" s="16"/>
      <c r="R76" s="16"/>
      <c r="S76" s="16"/>
      <c r="T76" s="16"/>
      <c r="U76" s="16"/>
      <c r="V76" s="16"/>
      <c r="W76" s="16"/>
      <c r="X76" s="16"/>
      <c r="Y76" s="16"/>
      <c r="Z76" s="16"/>
    </row>
    <row r="77" spans="1:26" ht="14.25" customHeight="1">
      <c r="A77" s="624"/>
      <c r="B77" s="253"/>
      <c r="C77" s="253"/>
      <c r="D77" s="253"/>
      <c r="E77" s="253"/>
      <c r="F77" s="253"/>
      <c r="G77" s="253"/>
      <c r="H77" s="625"/>
      <c r="I77" s="625"/>
      <c r="J77" s="16"/>
      <c r="K77" s="16"/>
      <c r="L77" s="16"/>
      <c r="M77" s="16"/>
      <c r="N77" s="16"/>
      <c r="O77" s="16"/>
      <c r="P77" s="16"/>
      <c r="Q77" s="16"/>
      <c r="R77" s="16"/>
      <c r="S77" s="16"/>
      <c r="T77" s="16"/>
      <c r="U77" s="16"/>
      <c r="V77" s="16"/>
      <c r="W77" s="16"/>
      <c r="X77" s="16"/>
      <c r="Y77" s="16"/>
      <c r="Z77" s="16"/>
    </row>
    <row r="78" spans="1:26" ht="14.25" customHeight="1">
      <c r="A78" s="624"/>
      <c r="B78" s="253"/>
      <c r="C78" s="253"/>
      <c r="D78" s="253"/>
      <c r="E78" s="253"/>
      <c r="F78" s="253"/>
      <c r="G78" s="253"/>
      <c r="H78" s="625"/>
      <c r="I78" s="625"/>
      <c r="J78" s="16"/>
      <c r="K78" s="16"/>
      <c r="L78" s="16"/>
      <c r="M78" s="16"/>
      <c r="N78" s="16"/>
      <c r="O78" s="16"/>
      <c r="P78" s="16"/>
      <c r="Q78" s="16"/>
      <c r="R78" s="16"/>
      <c r="S78" s="16"/>
      <c r="T78" s="16"/>
      <c r="U78" s="16"/>
      <c r="V78" s="16"/>
      <c r="W78" s="16"/>
      <c r="X78" s="16"/>
      <c r="Y78" s="16"/>
      <c r="Z78" s="16"/>
    </row>
    <row r="79" spans="1:26" ht="14.25" customHeight="1">
      <c r="A79" s="624"/>
      <c r="B79" s="253"/>
      <c r="C79" s="253"/>
      <c r="D79" s="253"/>
      <c r="E79" s="253"/>
      <c r="F79" s="253"/>
      <c r="G79" s="253"/>
      <c r="H79" s="625"/>
      <c r="I79" s="625"/>
      <c r="J79" s="16"/>
      <c r="K79" s="16"/>
      <c r="L79" s="16"/>
      <c r="M79" s="16"/>
      <c r="N79" s="16"/>
      <c r="O79" s="16"/>
      <c r="P79" s="16"/>
      <c r="Q79" s="16"/>
      <c r="R79" s="16"/>
      <c r="S79" s="16"/>
      <c r="T79" s="16"/>
      <c r="U79" s="16"/>
      <c r="V79" s="16"/>
      <c r="W79" s="16"/>
      <c r="X79" s="16"/>
      <c r="Y79" s="16"/>
      <c r="Z79" s="16"/>
    </row>
    <row r="80" spans="1:26" ht="14.25" customHeight="1">
      <c r="A80" s="624"/>
      <c r="B80" s="253"/>
      <c r="C80" s="253"/>
      <c r="D80" s="253"/>
      <c r="E80" s="253"/>
      <c r="F80" s="253"/>
      <c r="G80" s="253"/>
      <c r="H80" s="625"/>
      <c r="I80" s="625"/>
      <c r="J80" s="16"/>
      <c r="K80" s="16"/>
      <c r="L80" s="16"/>
      <c r="M80" s="16"/>
      <c r="N80" s="16"/>
      <c r="O80" s="16"/>
      <c r="P80" s="16"/>
      <c r="Q80" s="16"/>
      <c r="R80" s="16"/>
      <c r="S80" s="16"/>
      <c r="T80" s="16"/>
      <c r="U80" s="16"/>
      <c r="V80" s="16"/>
      <c r="W80" s="16"/>
      <c r="X80" s="16"/>
      <c r="Y80" s="16"/>
      <c r="Z80" s="16"/>
    </row>
    <row r="81" spans="1:26" ht="14.25" customHeight="1">
      <c r="A81" s="624"/>
      <c r="B81" s="253"/>
      <c r="C81" s="253"/>
      <c r="D81" s="253"/>
      <c r="E81" s="253"/>
      <c r="F81" s="253"/>
      <c r="G81" s="253"/>
      <c r="H81" s="625"/>
      <c r="I81" s="625"/>
      <c r="J81" s="16"/>
      <c r="K81" s="16"/>
      <c r="L81" s="16"/>
      <c r="M81" s="16"/>
      <c r="N81" s="16"/>
      <c r="O81" s="16"/>
      <c r="P81" s="16"/>
      <c r="Q81" s="16"/>
      <c r="R81" s="16"/>
      <c r="S81" s="16"/>
      <c r="T81" s="16"/>
      <c r="U81" s="16"/>
      <c r="V81" s="16"/>
      <c r="W81" s="16"/>
      <c r="X81" s="16"/>
      <c r="Y81" s="16"/>
      <c r="Z81" s="16"/>
    </row>
    <row r="82" spans="1:26" ht="14.25" customHeight="1">
      <c r="A82" s="624"/>
      <c r="B82" s="253"/>
      <c r="C82" s="253"/>
      <c r="D82" s="253"/>
      <c r="E82" s="253"/>
      <c r="F82" s="253"/>
      <c r="G82" s="253"/>
      <c r="H82" s="625"/>
      <c r="I82" s="625"/>
      <c r="J82" s="16"/>
      <c r="K82" s="16"/>
      <c r="L82" s="16"/>
      <c r="M82" s="16"/>
      <c r="N82" s="16"/>
      <c r="O82" s="16"/>
      <c r="P82" s="16"/>
      <c r="Q82" s="16"/>
      <c r="R82" s="16"/>
      <c r="S82" s="16"/>
      <c r="T82" s="16"/>
      <c r="U82" s="16"/>
      <c r="V82" s="16"/>
      <c r="W82" s="16"/>
      <c r="X82" s="16"/>
      <c r="Y82" s="16"/>
      <c r="Z82" s="16"/>
    </row>
    <row r="83" spans="1:26" ht="14.25" customHeight="1">
      <c r="A83" s="624"/>
      <c r="B83" s="253"/>
      <c r="C83" s="253"/>
      <c r="D83" s="253"/>
      <c r="E83" s="253"/>
      <c r="F83" s="253"/>
      <c r="G83" s="253"/>
      <c r="H83" s="625"/>
      <c r="I83" s="625"/>
      <c r="J83" s="16"/>
      <c r="K83" s="16"/>
      <c r="L83" s="16"/>
      <c r="M83" s="16"/>
      <c r="N83" s="16"/>
      <c r="O83" s="16"/>
      <c r="P83" s="16"/>
      <c r="Q83" s="16"/>
      <c r="R83" s="16"/>
      <c r="S83" s="16"/>
      <c r="T83" s="16"/>
      <c r="U83" s="16"/>
      <c r="V83" s="16"/>
      <c r="W83" s="16"/>
      <c r="X83" s="16"/>
      <c r="Y83" s="16"/>
      <c r="Z83" s="16"/>
    </row>
    <row r="84" spans="1:26" ht="14.25" customHeight="1">
      <c r="A84" s="624"/>
      <c r="B84" s="253"/>
      <c r="C84" s="253"/>
      <c r="D84" s="253"/>
      <c r="E84" s="253"/>
      <c r="F84" s="253"/>
      <c r="G84" s="253"/>
      <c r="H84" s="625"/>
      <c r="I84" s="625"/>
      <c r="J84" s="16"/>
      <c r="K84" s="16"/>
      <c r="L84" s="16"/>
      <c r="M84" s="16"/>
      <c r="N84" s="16"/>
      <c r="O84" s="16"/>
      <c r="P84" s="16"/>
      <c r="Q84" s="16"/>
      <c r="R84" s="16"/>
      <c r="S84" s="16"/>
      <c r="T84" s="16"/>
      <c r="U84" s="16"/>
      <c r="V84" s="16"/>
      <c r="W84" s="16"/>
      <c r="X84" s="16"/>
      <c r="Y84" s="16"/>
      <c r="Z84" s="16"/>
    </row>
    <row r="85" spans="1:26" ht="14.25" customHeight="1">
      <c r="A85" s="624"/>
      <c r="B85" s="253"/>
      <c r="C85" s="253"/>
      <c r="D85" s="253"/>
      <c r="E85" s="253"/>
      <c r="F85" s="253"/>
      <c r="G85" s="253"/>
      <c r="H85" s="625"/>
      <c r="I85" s="625"/>
      <c r="J85" s="16"/>
      <c r="K85" s="16"/>
      <c r="L85" s="16"/>
      <c r="M85" s="16"/>
      <c r="N85" s="16"/>
      <c r="O85" s="16"/>
      <c r="P85" s="16"/>
      <c r="Q85" s="16"/>
      <c r="R85" s="16"/>
      <c r="S85" s="16"/>
      <c r="T85" s="16"/>
      <c r="U85" s="16"/>
      <c r="V85" s="16"/>
      <c r="W85" s="16"/>
      <c r="X85" s="16"/>
      <c r="Y85" s="16"/>
      <c r="Z85" s="16"/>
    </row>
    <row r="86" spans="1:26" ht="14.25" customHeight="1">
      <c r="A86" s="624"/>
      <c r="B86" s="253"/>
      <c r="C86" s="253"/>
      <c r="D86" s="253"/>
      <c r="E86" s="253"/>
      <c r="F86" s="253"/>
      <c r="G86" s="253"/>
      <c r="H86" s="625"/>
      <c r="I86" s="625"/>
      <c r="J86" s="16"/>
      <c r="K86" s="16"/>
      <c r="L86" s="16"/>
      <c r="M86" s="16"/>
      <c r="N86" s="16"/>
      <c r="O86" s="16"/>
      <c r="P86" s="16"/>
      <c r="Q86" s="16"/>
      <c r="R86" s="16"/>
      <c r="S86" s="16"/>
      <c r="T86" s="16"/>
      <c r="U86" s="16"/>
      <c r="V86" s="16"/>
      <c r="W86" s="16"/>
      <c r="X86" s="16"/>
      <c r="Y86" s="16"/>
      <c r="Z86" s="16"/>
    </row>
    <row r="87" spans="1:26" ht="14.25" customHeight="1">
      <c r="A87" s="624"/>
      <c r="B87" s="253"/>
      <c r="C87" s="253"/>
      <c r="D87" s="253"/>
      <c r="E87" s="253"/>
      <c r="F87" s="253"/>
      <c r="G87" s="253"/>
      <c r="H87" s="625"/>
      <c r="I87" s="625"/>
      <c r="J87" s="16"/>
      <c r="K87" s="16"/>
      <c r="L87" s="16"/>
      <c r="M87" s="16"/>
      <c r="N87" s="16"/>
      <c r="O87" s="16"/>
      <c r="P87" s="16"/>
      <c r="Q87" s="16"/>
      <c r="R87" s="16"/>
      <c r="S87" s="16"/>
      <c r="T87" s="16"/>
      <c r="U87" s="16"/>
      <c r="V87" s="16"/>
      <c r="W87" s="16"/>
      <c r="X87" s="16"/>
      <c r="Y87" s="16"/>
      <c r="Z87" s="16"/>
    </row>
    <row r="88" spans="1:26" ht="14.25" customHeight="1">
      <c r="A88" s="624"/>
      <c r="B88" s="253"/>
      <c r="C88" s="253"/>
      <c r="D88" s="253"/>
      <c r="E88" s="253"/>
      <c r="F88" s="253"/>
      <c r="G88" s="253"/>
      <c r="H88" s="625"/>
      <c r="I88" s="625"/>
      <c r="J88" s="16"/>
      <c r="K88" s="16"/>
      <c r="L88" s="16"/>
      <c r="M88" s="16"/>
      <c r="N88" s="16"/>
      <c r="O88" s="16"/>
      <c r="P88" s="16"/>
      <c r="Q88" s="16"/>
      <c r="R88" s="16"/>
      <c r="S88" s="16"/>
      <c r="T88" s="16"/>
      <c r="U88" s="16"/>
      <c r="V88" s="16"/>
      <c r="W88" s="16"/>
      <c r="X88" s="16"/>
      <c r="Y88" s="16"/>
      <c r="Z88" s="16"/>
    </row>
    <row r="89" spans="1:26" ht="14.25" customHeight="1">
      <c r="A89" s="624"/>
      <c r="B89" s="253"/>
      <c r="C89" s="253"/>
      <c r="D89" s="253"/>
      <c r="E89" s="253"/>
      <c r="F89" s="253"/>
      <c r="G89" s="253"/>
      <c r="H89" s="625"/>
      <c r="I89" s="625"/>
      <c r="J89" s="16"/>
      <c r="K89" s="16"/>
      <c r="L89" s="16"/>
      <c r="M89" s="16"/>
      <c r="N89" s="16"/>
      <c r="O89" s="16"/>
      <c r="P89" s="16"/>
      <c r="Q89" s="16"/>
      <c r="R89" s="16"/>
      <c r="S89" s="16"/>
      <c r="T89" s="16"/>
      <c r="U89" s="16"/>
      <c r="V89" s="16"/>
      <c r="W89" s="16"/>
      <c r="X89" s="16"/>
      <c r="Y89" s="16"/>
      <c r="Z89" s="16"/>
    </row>
    <row r="90" spans="1:26" ht="14.25" customHeight="1">
      <c r="A90" s="624"/>
      <c r="B90" s="253"/>
      <c r="C90" s="253"/>
      <c r="D90" s="253"/>
      <c r="E90" s="253"/>
      <c r="F90" s="253"/>
      <c r="G90" s="253"/>
      <c r="H90" s="625"/>
      <c r="I90" s="625"/>
      <c r="J90" s="16"/>
      <c r="K90" s="16"/>
      <c r="L90" s="16"/>
      <c r="M90" s="16"/>
      <c r="N90" s="16"/>
      <c r="O90" s="16"/>
      <c r="P90" s="16"/>
      <c r="Q90" s="16"/>
      <c r="R90" s="16"/>
      <c r="S90" s="16"/>
      <c r="T90" s="16"/>
      <c r="U90" s="16"/>
      <c r="V90" s="16"/>
      <c r="W90" s="16"/>
      <c r="X90" s="16"/>
      <c r="Y90" s="16"/>
      <c r="Z90" s="16"/>
    </row>
    <row r="91" spans="1:26" ht="14.25" customHeight="1">
      <c r="A91" s="624"/>
      <c r="B91" s="253"/>
      <c r="C91" s="253"/>
      <c r="D91" s="253"/>
      <c r="E91" s="253"/>
      <c r="F91" s="253"/>
      <c r="G91" s="253"/>
      <c r="H91" s="625"/>
      <c r="I91" s="625"/>
      <c r="J91" s="16"/>
      <c r="K91" s="16"/>
      <c r="L91" s="16"/>
      <c r="M91" s="16"/>
      <c r="N91" s="16"/>
      <c r="O91" s="16"/>
      <c r="P91" s="16"/>
      <c r="Q91" s="16"/>
      <c r="R91" s="16"/>
      <c r="S91" s="16"/>
      <c r="T91" s="16"/>
      <c r="U91" s="16"/>
      <c r="V91" s="16"/>
      <c r="W91" s="16"/>
      <c r="X91" s="16"/>
      <c r="Y91" s="16"/>
      <c r="Z91" s="16"/>
    </row>
    <row r="92" spans="1:26" ht="14.25" customHeight="1">
      <c r="A92" s="624"/>
      <c r="B92" s="253"/>
      <c r="C92" s="253"/>
      <c r="D92" s="253"/>
      <c r="E92" s="253"/>
      <c r="F92" s="253"/>
      <c r="G92" s="253"/>
      <c r="H92" s="625"/>
      <c r="I92" s="625"/>
      <c r="J92" s="16"/>
      <c r="K92" s="16"/>
      <c r="L92" s="16"/>
      <c r="M92" s="16"/>
      <c r="N92" s="16"/>
      <c r="O92" s="16"/>
      <c r="P92" s="16"/>
      <c r="Q92" s="16"/>
      <c r="R92" s="16"/>
      <c r="S92" s="16"/>
      <c r="T92" s="16"/>
      <c r="U92" s="16"/>
      <c r="V92" s="16"/>
      <c r="W92" s="16"/>
      <c r="X92" s="16"/>
      <c r="Y92" s="16"/>
      <c r="Z92" s="16"/>
    </row>
    <row r="93" spans="1:26" ht="14.25" customHeight="1">
      <c r="A93" s="624"/>
      <c r="B93" s="253"/>
      <c r="C93" s="253"/>
      <c r="D93" s="253"/>
      <c r="E93" s="253"/>
      <c r="F93" s="253"/>
      <c r="G93" s="253"/>
      <c r="H93" s="625"/>
      <c r="I93" s="625"/>
      <c r="J93" s="16"/>
      <c r="K93" s="16"/>
      <c r="L93" s="16"/>
      <c r="M93" s="16"/>
      <c r="N93" s="16"/>
      <c r="O93" s="16"/>
      <c r="P93" s="16"/>
      <c r="Q93" s="16"/>
      <c r="R93" s="16"/>
      <c r="S93" s="16"/>
      <c r="T93" s="16"/>
      <c r="U93" s="16"/>
      <c r="V93" s="16"/>
      <c r="W93" s="16"/>
      <c r="X93" s="16"/>
      <c r="Y93" s="16"/>
      <c r="Z93" s="16"/>
    </row>
    <row r="94" spans="1:26" ht="14.25" customHeight="1">
      <c r="A94" s="624"/>
      <c r="B94" s="253"/>
      <c r="C94" s="253"/>
      <c r="D94" s="253"/>
      <c r="E94" s="253"/>
      <c r="F94" s="253"/>
      <c r="G94" s="253"/>
      <c r="H94" s="625"/>
      <c r="I94" s="625"/>
      <c r="J94" s="16"/>
      <c r="K94" s="16"/>
      <c r="L94" s="16"/>
      <c r="M94" s="16"/>
      <c r="N94" s="16"/>
      <c r="O94" s="16"/>
      <c r="P94" s="16"/>
      <c r="Q94" s="16"/>
      <c r="R94" s="16"/>
      <c r="S94" s="16"/>
      <c r="T94" s="16"/>
      <c r="U94" s="16"/>
      <c r="V94" s="16"/>
      <c r="W94" s="16"/>
      <c r="X94" s="16"/>
      <c r="Y94" s="16"/>
      <c r="Z94" s="16"/>
    </row>
    <row r="95" spans="1:26" ht="14.25" customHeight="1">
      <c r="A95" s="624"/>
      <c r="B95" s="253"/>
      <c r="C95" s="253"/>
      <c r="D95" s="253"/>
      <c r="E95" s="253"/>
      <c r="F95" s="253"/>
      <c r="G95" s="253"/>
      <c r="H95" s="625"/>
      <c r="I95" s="625"/>
      <c r="J95" s="16"/>
      <c r="K95" s="16"/>
      <c r="L95" s="16"/>
      <c r="M95" s="16"/>
      <c r="N95" s="16"/>
      <c r="O95" s="16"/>
      <c r="P95" s="16"/>
      <c r="Q95" s="16"/>
      <c r="R95" s="16"/>
      <c r="S95" s="16"/>
      <c r="T95" s="16"/>
      <c r="U95" s="16"/>
      <c r="V95" s="16"/>
      <c r="W95" s="16"/>
      <c r="X95" s="16"/>
      <c r="Y95" s="16"/>
      <c r="Z95" s="16"/>
    </row>
    <row r="96" spans="1:26" ht="14.25" customHeight="1">
      <c r="A96" s="624"/>
      <c r="B96" s="253"/>
      <c r="C96" s="253"/>
      <c r="D96" s="253"/>
      <c r="E96" s="253"/>
      <c r="F96" s="253"/>
      <c r="G96" s="253"/>
      <c r="H96" s="625"/>
      <c r="I96" s="625"/>
      <c r="J96" s="16"/>
      <c r="K96" s="16"/>
      <c r="L96" s="16"/>
      <c r="M96" s="16"/>
      <c r="N96" s="16"/>
      <c r="O96" s="16"/>
      <c r="P96" s="16"/>
      <c r="Q96" s="16"/>
      <c r="R96" s="16"/>
      <c r="S96" s="16"/>
      <c r="T96" s="16"/>
      <c r="U96" s="16"/>
      <c r="V96" s="16"/>
      <c r="W96" s="16"/>
      <c r="X96" s="16"/>
      <c r="Y96" s="16"/>
      <c r="Z96" s="16"/>
    </row>
    <row r="97" spans="1:26" ht="14.25" customHeight="1">
      <c r="A97" s="624"/>
      <c r="B97" s="253"/>
      <c r="C97" s="253"/>
      <c r="D97" s="253"/>
      <c r="E97" s="253"/>
      <c r="F97" s="253"/>
      <c r="G97" s="253"/>
      <c r="H97" s="625"/>
      <c r="I97" s="625"/>
      <c r="J97" s="16"/>
      <c r="K97" s="16"/>
      <c r="L97" s="16"/>
      <c r="M97" s="16"/>
      <c r="N97" s="16"/>
      <c r="O97" s="16"/>
      <c r="P97" s="16"/>
      <c r="Q97" s="16"/>
      <c r="R97" s="16"/>
      <c r="S97" s="16"/>
      <c r="T97" s="16"/>
      <c r="U97" s="16"/>
      <c r="V97" s="16"/>
      <c r="W97" s="16"/>
      <c r="X97" s="16"/>
      <c r="Y97" s="16"/>
      <c r="Z97" s="16"/>
    </row>
    <row r="98" spans="1:26" ht="14.25" customHeight="1">
      <c r="A98" s="624"/>
      <c r="B98" s="253"/>
      <c r="C98" s="253"/>
      <c r="D98" s="253"/>
      <c r="E98" s="253"/>
      <c r="F98" s="253"/>
      <c r="G98" s="253"/>
      <c r="H98" s="625"/>
      <c r="I98" s="625"/>
      <c r="J98" s="16"/>
      <c r="K98" s="16"/>
      <c r="L98" s="16"/>
      <c r="M98" s="16"/>
      <c r="N98" s="16"/>
      <c r="O98" s="16"/>
      <c r="P98" s="16"/>
      <c r="Q98" s="16"/>
      <c r="R98" s="16"/>
      <c r="S98" s="16"/>
      <c r="T98" s="16"/>
      <c r="U98" s="16"/>
      <c r="V98" s="16"/>
      <c r="W98" s="16"/>
      <c r="X98" s="16"/>
      <c r="Y98" s="16"/>
      <c r="Z98" s="16"/>
    </row>
    <row r="99" spans="1:26" ht="14.25" customHeight="1">
      <c r="A99" s="624"/>
      <c r="B99" s="253"/>
      <c r="C99" s="253"/>
      <c r="D99" s="253"/>
      <c r="E99" s="253"/>
      <c r="F99" s="253"/>
      <c r="G99" s="253"/>
      <c r="H99" s="625"/>
      <c r="I99" s="625"/>
      <c r="J99" s="16"/>
      <c r="K99" s="16"/>
      <c r="L99" s="16"/>
      <c r="M99" s="16"/>
      <c r="N99" s="16"/>
      <c r="O99" s="16"/>
      <c r="P99" s="16"/>
      <c r="Q99" s="16"/>
      <c r="R99" s="16"/>
      <c r="S99" s="16"/>
      <c r="T99" s="16"/>
      <c r="U99" s="16"/>
      <c r="V99" s="16"/>
      <c r="W99" s="16"/>
      <c r="X99" s="16"/>
      <c r="Y99" s="16"/>
      <c r="Z99" s="16"/>
    </row>
    <row r="100" spans="1:26" ht="14.25" customHeight="1">
      <c r="A100" s="624"/>
      <c r="B100" s="253"/>
      <c r="C100" s="253"/>
      <c r="D100" s="253"/>
      <c r="E100" s="253"/>
      <c r="F100" s="253"/>
      <c r="G100" s="253"/>
      <c r="H100" s="625"/>
      <c r="I100" s="625"/>
      <c r="J100" s="16"/>
      <c r="K100" s="16"/>
      <c r="L100" s="16"/>
      <c r="M100" s="16"/>
      <c r="N100" s="16"/>
      <c r="O100" s="16"/>
      <c r="P100" s="16"/>
      <c r="Q100" s="16"/>
      <c r="R100" s="16"/>
      <c r="S100" s="16"/>
      <c r="T100" s="16"/>
      <c r="U100" s="16"/>
      <c r="V100" s="16"/>
      <c r="W100" s="16"/>
      <c r="X100" s="16"/>
      <c r="Y100" s="16"/>
      <c r="Z100" s="16"/>
    </row>
    <row r="101" spans="1:26" ht="14.25" customHeight="1">
      <c r="A101" s="624"/>
      <c r="B101" s="253"/>
      <c r="C101" s="253"/>
      <c r="D101" s="253"/>
      <c r="E101" s="253"/>
      <c r="F101" s="253"/>
      <c r="G101" s="253"/>
      <c r="H101" s="625"/>
      <c r="I101" s="625"/>
      <c r="J101" s="16"/>
      <c r="K101" s="16"/>
      <c r="L101" s="16"/>
      <c r="M101" s="16"/>
      <c r="N101" s="16"/>
      <c r="O101" s="16"/>
      <c r="P101" s="16"/>
      <c r="Q101" s="16"/>
      <c r="R101" s="16"/>
      <c r="S101" s="16"/>
      <c r="T101" s="16"/>
      <c r="U101" s="16"/>
      <c r="V101" s="16"/>
      <c r="W101" s="16"/>
      <c r="X101" s="16"/>
      <c r="Y101" s="16"/>
      <c r="Z101" s="16"/>
    </row>
    <row r="102" spans="1:26" ht="14.25" customHeight="1">
      <c r="A102" s="624"/>
      <c r="B102" s="253"/>
      <c r="C102" s="253"/>
      <c r="D102" s="253"/>
      <c r="E102" s="253"/>
      <c r="F102" s="253"/>
      <c r="G102" s="253"/>
      <c r="H102" s="625"/>
      <c r="I102" s="625"/>
      <c r="J102" s="16"/>
      <c r="K102" s="16"/>
      <c r="L102" s="16"/>
      <c r="M102" s="16"/>
      <c r="N102" s="16"/>
      <c r="O102" s="16"/>
      <c r="P102" s="16"/>
      <c r="Q102" s="16"/>
      <c r="R102" s="16"/>
      <c r="S102" s="16"/>
      <c r="T102" s="16"/>
      <c r="U102" s="16"/>
      <c r="V102" s="16"/>
      <c r="W102" s="16"/>
      <c r="X102" s="16"/>
      <c r="Y102" s="16"/>
      <c r="Z102" s="16"/>
    </row>
    <row r="103" spans="1:26" ht="14.25" customHeight="1">
      <c r="A103" s="624"/>
      <c r="B103" s="253"/>
      <c r="C103" s="253"/>
      <c r="D103" s="253"/>
      <c r="E103" s="253"/>
      <c r="F103" s="253"/>
      <c r="G103" s="253"/>
      <c r="H103" s="625"/>
      <c r="I103" s="625"/>
      <c r="J103" s="16"/>
      <c r="K103" s="16"/>
      <c r="L103" s="16"/>
      <c r="M103" s="16"/>
      <c r="N103" s="16"/>
      <c r="O103" s="16"/>
      <c r="P103" s="16"/>
      <c r="Q103" s="16"/>
      <c r="R103" s="16"/>
      <c r="S103" s="16"/>
      <c r="T103" s="16"/>
      <c r="U103" s="16"/>
      <c r="V103" s="16"/>
      <c r="W103" s="16"/>
      <c r="X103" s="16"/>
      <c r="Y103" s="16"/>
      <c r="Z103" s="16"/>
    </row>
    <row r="104" spans="1:26" ht="14.25" customHeight="1">
      <c r="A104" s="624"/>
      <c r="B104" s="253"/>
      <c r="C104" s="253"/>
      <c r="D104" s="253"/>
      <c r="E104" s="253"/>
      <c r="F104" s="253"/>
      <c r="G104" s="253"/>
      <c r="H104" s="625"/>
      <c r="I104" s="625"/>
      <c r="J104" s="16"/>
      <c r="K104" s="16"/>
      <c r="L104" s="16"/>
      <c r="M104" s="16"/>
      <c r="N104" s="16"/>
      <c r="O104" s="16"/>
      <c r="P104" s="16"/>
      <c r="Q104" s="16"/>
      <c r="R104" s="16"/>
      <c r="S104" s="16"/>
      <c r="T104" s="16"/>
      <c r="U104" s="16"/>
      <c r="V104" s="16"/>
      <c r="W104" s="16"/>
      <c r="X104" s="16"/>
      <c r="Y104" s="16"/>
      <c r="Z104" s="16"/>
    </row>
    <row r="105" spans="1:26" ht="14.25" customHeight="1">
      <c r="A105" s="624"/>
      <c r="B105" s="253"/>
      <c r="C105" s="253"/>
      <c r="D105" s="253"/>
      <c r="E105" s="253"/>
      <c r="F105" s="253"/>
      <c r="G105" s="253"/>
      <c r="H105" s="625"/>
      <c r="I105" s="625"/>
      <c r="J105" s="16"/>
      <c r="K105" s="16"/>
      <c r="L105" s="16"/>
      <c r="M105" s="16"/>
      <c r="N105" s="16"/>
      <c r="O105" s="16"/>
      <c r="P105" s="16"/>
      <c r="Q105" s="16"/>
      <c r="R105" s="16"/>
      <c r="S105" s="16"/>
      <c r="T105" s="16"/>
      <c r="U105" s="16"/>
      <c r="V105" s="16"/>
      <c r="W105" s="16"/>
      <c r="X105" s="16"/>
      <c r="Y105" s="16"/>
      <c r="Z105" s="16"/>
    </row>
    <row r="106" spans="1:26" ht="14.25" customHeight="1">
      <c r="A106" s="624"/>
      <c r="B106" s="253"/>
      <c r="C106" s="253"/>
      <c r="D106" s="253"/>
      <c r="E106" s="253"/>
      <c r="F106" s="253"/>
      <c r="G106" s="253"/>
      <c r="H106" s="625"/>
      <c r="I106" s="625"/>
      <c r="J106" s="16"/>
      <c r="K106" s="16"/>
      <c r="L106" s="16"/>
      <c r="M106" s="16"/>
      <c r="N106" s="16"/>
      <c r="O106" s="16"/>
      <c r="P106" s="16"/>
      <c r="Q106" s="16"/>
      <c r="R106" s="16"/>
      <c r="S106" s="16"/>
      <c r="T106" s="16"/>
      <c r="U106" s="16"/>
      <c r="V106" s="16"/>
      <c r="W106" s="16"/>
      <c r="X106" s="16"/>
      <c r="Y106" s="16"/>
      <c r="Z106" s="16"/>
    </row>
    <row r="107" spans="1:26" ht="14.25" customHeight="1">
      <c r="A107" s="624"/>
      <c r="B107" s="253"/>
      <c r="C107" s="253"/>
      <c r="D107" s="253"/>
      <c r="E107" s="253"/>
      <c r="F107" s="253"/>
      <c r="G107" s="253"/>
      <c r="H107" s="625"/>
      <c r="I107" s="625"/>
      <c r="J107" s="16"/>
      <c r="K107" s="16"/>
      <c r="L107" s="16"/>
      <c r="M107" s="16"/>
      <c r="N107" s="16"/>
      <c r="O107" s="16"/>
      <c r="P107" s="16"/>
      <c r="Q107" s="16"/>
      <c r="R107" s="16"/>
      <c r="S107" s="16"/>
      <c r="T107" s="16"/>
      <c r="U107" s="16"/>
      <c r="V107" s="16"/>
      <c r="W107" s="16"/>
      <c r="X107" s="16"/>
      <c r="Y107" s="16"/>
      <c r="Z107" s="16"/>
    </row>
    <row r="108" spans="1:26" ht="14.25" customHeight="1">
      <c r="A108" s="624"/>
      <c r="B108" s="253"/>
      <c r="C108" s="253"/>
      <c r="D108" s="253"/>
      <c r="E108" s="253"/>
      <c r="F108" s="253"/>
      <c r="G108" s="253"/>
      <c r="H108" s="625"/>
      <c r="I108" s="625"/>
      <c r="J108" s="16"/>
      <c r="K108" s="16"/>
      <c r="L108" s="16"/>
      <c r="M108" s="16"/>
      <c r="N108" s="16"/>
      <c r="O108" s="16"/>
      <c r="P108" s="16"/>
      <c r="Q108" s="16"/>
      <c r="R108" s="16"/>
      <c r="S108" s="16"/>
      <c r="T108" s="16"/>
      <c r="U108" s="16"/>
      <c r="V108" s="16"/>
      <c r="W108" s="16"/>
      <c r="X108" s="16"/>
      <c r="Y108" s="16"/>
      <c r="Z108" s="16"/>
    </row>
    <row r="109" spans="1:26" ht="14.25" customHeight="1">
      <c r="A109" s="624"/>
      <c r="B109" s="253"/>
      <c r="C109" s="253"/>
      <c r="D109" s="253"/>
      <c r="E109" s="253"/>
      <c r="F109" s="253"/>
      <c r="G109" s="253"/>
      <c r="H109" s="625"/>
      <c r="I109" s="625"/>
      <c r="J109" s="16"/>
      <c r="K109" s="16"/>
      <c r="L109" s="16"/>
      <c r="M109" s="16"/>
      <c r="N109" s="16"/>
      <c r="O109" s="16"/>
      <c r="P109" s="16"/>
      <c r="Q109" s="16"/>
      <c r="R109" s="16"/>
      <c r="S109" s="16"/>
      <c r="T109" s="16"/>
      <c r="U109" s="16"/>
      <c r="V109" s="16"/>
      <c r="W109" s="16"/>
      <c r="X109" s="16"/>
      <c r="Y109" s="16"/>
      <c r="Z109" s="16"/>
    </row>
    <row r="110" spans="1:26" ht="14.25" customHeight="1">
      <c r="A110" s="624"/>
      <c r="B110" s="253"/>
      <c r="C110" s="253"/>
      <c r="D110" s="253"/>
      <c r="E110" s="253"/>
      <c r="F110" s="253"/>
      <c r="G110" s="253"/>
      <c r="H110" s="625"/>
      <c r="I110" s="625"/>
      <c r="J110" s="16"/>
      <c r="K110" s="16"/>
      <c r="L110" s="16"/>
      <c r="M110" s="16"/>
      <c r="N110" s="16"/>
      <c r="O110" s="16"/>
      <c r="P110" s="16"/>
      <c r="Q110" s="16"/>
      <c r="R110" s="16"/>
      <c r="S110" s="16"/>
      <c r="T110" s="16"/>
      <c r="U110" s="16"/>
      <c r="V110" s="16"/>
      <c r="W110" s="16"/>
      <c r="X110" s="16"/>
      <c r="Y110" s="16"/>
      <c r="Z110" s="16"/>
    </row>
    <row r="111" spans="1:26" ht="14.25" customHeight="1">
      <c r="A111" s="624"/>
      <c r="B111" s="253"/>
      <c r="C111" s="253"/>
      <c r="D111" s="253"/>
      <c r="E111" s="253"/>
      <c r="F111" s="253"/>
      <c r="G111" s="253"/>
      <c r="H111" s="625"/>
      <c r="I111" s="625"/>
      <c r="J111" s="16"/>
      <c r="K111" s="16"/>
      <c r="L111" s="16"/>
      <c r="M111" s="16"/>
      <c r="N111" s="16"/>
      <c r="O111" s="16"/>
      <c r="P111" s="16"/>
      <c r="Q111" s="16"/>
      <c r="R111" s="16"/>
      <c r="S111" s="16"/>
      <c r="T111" s="16"/>
      <c r="U111" s="16"/>
      <c r="V111" s="16"/>
      <c r="W111" s="16"/>
      <c r="X111" s="16"/>
      <c r="Y111" s="16"/>
      <c r="Z111" s="16"/>
    </row>
    <row r="112" spans="1:26" ht="14.25" customHeight="1">
      <c r="A112" s="624"/>
      <c r="B112" s="253"/>
      <c r="C112" s="253"/>
      <c r="D112" s="253"/>
      <c r="E112" s="253"/>
      <c r="F112" s="253"/>
      <c r="G112" s="253"/>
      <c r="H112" s="625"/>
      <c r="I112" s="625"/>
      <c r="J112" s="16"/>
      <c r="K112" s="16"/>
      <c r="L112" s="16"/>
      <c r="M112" s="16"/>
      <c r="N112" s="16"/>
      <c r="O112" s="16"/>
      <c r="P112" s="16"/>
      <c r="Q112" s="16"/>
      <c r="R112" s="16"/>
      <c r="S112" s="16"/>
      <c r="T112" s="16"/>
      <c r="U112" s="16"/>
      <c r="V112" s="16"/>
      <c r="W112" s="16"/>
      <c r="X112" s="16"/>
      <c r="Y112" s="16"/>
      <c r="Z112" s="16"/>
    </row>
    <row r="113" spans="1:26" ht="14.25" customHeight="1">
      <c r="A113" s="624"/>
      <c r="B113" s="253"/>
      <c r="C113" s="253"/>
      <c r="D113" s="253"/>
      <c r="E113" s="253"/>
      <c r="F113" s="253"/>
      <c r="G113" s="253"/>
      <c r="H113" s="625"/>
      <c r="I113" s="625"/>
      <c r="J113" s="16"/>
      <c r="K113" s="16"/>
      <c r="L113" s="16"/>
      <c r="M113" s="16"/>
      <c r="N113" s="16"/>
      <c r="O113" s="16"/>
      <c r="P113" s="16"/>
      <c r="Q113" s="16"/>
      <c r="R113" s="16"/>
      <c r="S113" s="16"/>
      <c r="T113" s="16"/>
      <c r="U113" s="16"/>
      <c r="V113" s="16"/>
      <c r="W113" s="16"/>
      <c r="X113" s="16"/>
      <c r="Y113" s="16"/>
      <c r="Z113" s="16"/>
    </row>
    <row r="114" spans="1:26" ht="14.25" customHeight="1">
      <c r="A114" s="624"/>
      <c r="B114" s="253"/>
      <c r="C114" s="253"/>
      <c r="D114" s="253"/>
      <c r="E114" s="253"/>
      <c r="F114" s="253"/>
      <c r="G114" s="253"/>
      <c r="H114" s="625"/>
      <c r="I114" s="625"/>
      <c r="J114" s="16"/>
      <c r="K114" s="16"/>
      <c r="L114" s="16"/>
      <c r="M114" s="16"/>
      <c r="N114" s="16"/>
      <c r="O114" s="16"/>
      <c r="P114" s="16"/>
      <c r="Q114" s="16"/>
      <c r="R114" s="16"/>
      <c r="S114" s="16"/>
      <c r="T114" s="16"/>
      <c r="U114" s="16"/>
      <c r="V114" s="16"/>
      <c r="W114" s="16"/>
      <c r="X114" s="16"/>
      <c r="Y114" s="16"/>
      <c r="Z114" s="16"/>
    </row>
    <row r="115" spans="1:26" ht="14.25" customHeight="1">
      <c r="A115" s="624"/>
      <c r="B115" s="253"/>
      <c r="C115" s="253"/>
      <c r="D115" s="253"/>
      <c r="E115" s="253"/>
      <c r="F115" s="253"/>
      <c r="G115" s="253"/>
      <c r="H115" s="625"/>
      <c r="I115" s="625"/>
      <c r="J115" s="16"/>
      <c r="K115" s="16"/>
      <c r="L115" s="16"/>
      <c r="M115" s="16"/>
      <c r="N115" s="16"/>
      <c r="O115" s="16"/>
      <c r="P115" s="16"/>
      <c r="Q115" s="16"/>
      <c r="R115" s="16"/>
      <c r="S115" s="16"/>
      <c r="T115" s="16"/>
      <c r="U115" s="16"/>
      <c r="V115" s="16"/>
      <c r="W115" s="16"/>
      <c r="X115" s="16"/>
      <c r="Y115" s="16"/>
      <c r="Z115" s="16"/>
    </row>
    <row r="116" spans="1:26" ht="14.25" customHeight="1">
      <c r="A116" s="624"/>
      <c r="B116" s="253"/>
      <c r="C116" s="253"/>
      <c r="D116" s="253"/>
      <c r="E116" s="253"/>
      <c r="F116" s="253"/>
      <c r="G116" s="253"/>
      <c r="H116" s="625"/>
      <c r="I116" s="625"/>
      <c r="J116" s="16"/>
      <c r="K116" s="16"/>
      <c r="L116" s="16"/>
      <c r="M116" s="16"/>
      <c r="N116" s="16"/>
      <c r="O116" s="16"/>
      <c r="P116" s="16"/>
      <c r="Q116" s="16"/>
      <c r="R116" s="16"/>
      <c r="S116" s="16"/>
      <c r="T116" s="16"/>
      <c r="U116" s="16"/>
      <c r="V116" s="16"/>
      <c r="W116" s="16"/>
      <c r="X116" s="16"/>
      <c r="Y116" s="16"/>
      <c r="Z116" s="16"/>
    </row>
    <row r="117" spans="1:26" ht="14.25" customHeight="1">
      <c r="A117" s="624"/>
      <c r="B117" s="253"/>
      <c r="C117" s="253"/>
      <c r="D117" s="253"/>
      <c r="E117" s="253"/>
      <c r="F117" s="253"/>
      <c r="G117" s="253"/>
      <c r="H117" s="625"/>
      <c r="I117" s="625"/>
      <c r="J117" s="16"/>
      <c r="K117" s="16"/>
      <c r="L117" s="16"/>
      <c r="M117" s="16"/>
      <c r="N117" s="16"/>
      <c r="O117" s="16"/>
      <c r="P117" s="16"/>
      <c r="Q117" s="16"/>
      <c r="R117" s="16"/>
      <c r="S117" s="16"/>
      <c r="T117" s="16"/>
      <c r="U117" s="16"/>
      <c r="V117" s="16"/>
      <c r="W117" s="16"/>
      <c r="X117" s="16"/>
      <c r="Y117" s="16"/>
      <c r="Z117" s="16"/>
    </row>
    <row r="118" spans="1:26" ht="14.25" customHeight="1">
      <c r="A118" s="624"/>
      <c r="B118" s="253"/>
      <c r="C118" s="253"/>
      <c r="D118" s="253"/>
      <c r="E118" s="253"/>
      <c r="F118" s="253"/>
      <c r="G118" s="253"/>
      <c r="H118" s="625"/>
      <c r="I118" s="625"/>
      <c r="J118" s="16"/>
      <c r="K118" s="16"/>
      <c r="L118" s="16"/>
      <c r="M118" s="16"/>
      <c r="N118" s="16"/>
      <c r="O118" s="16"/>
      <c r="P118" s="16"/>
      <c r="Q118" s="16"/>
      <c r="R118" s="16"/>
      <c r="S118" s="16"/>
      <c r="T118" s="16"/>
      <c r="U118" s="16"/>
      <c r="V118" s="16"/>
      <c r="W118" s="16"/>
      <c r="X118" s="16"/>
      <c r="Y118" s="16"/>
      <c r="Z118" s="16"/>
    </row>
    <row r="119" spans="1:26" ht="14.25" customHeight="1">
      <c r="A119" s="624"/>
      <c r="B119" s="253"/>
      <c r="C119" s="253"/>
      <c r="D119" s="253"/>
      <c r="E119" s="253"/>
      <c r="F119" s="253"/>
      <c r="G119" s="253"/>
      <c r="H119" s="625"/>
      <c r="I119" s="625"/>
      <c r="J119" s="16"/>
      <c r="K119" s="16"/>
      <c r="L119" s="16"/>
      <c r="M119" s="16"/>
      <c r="N119" s="16"/>
      <c r="O119" s="16"/>
      <c r="P119" s="16"/>
      <c r="Q119" s="16"/>
      <c r="R119" s="16"/>
      <c r="S119" s="16"/>
      <c r="T119" s="16"/>
      <c r="U119" s="16"/>
      <c r="V119" s="16"/>
      <c r="W119" s="16"/>
      <c r="X119" s="16"/>
      <c r="Y119" s="16"/>
      <c r="Z119" s="16"/>
    </row>
    <row r="120" spans="1:26" ht="14.25" customHeight="1">
      <c r="A120" s="624"/>
      <c r="B120" s="253"/>
      <c r="C120" s="253"/>
      <c r="D120" s="253"/>
      <c r="E120" s="253"/>
      <c r="F120" s="253"/>
      <c r="G120" s="253"/>
      <c r="H120" s="625"/>
      <c r="I120" s="625"/>
      <c r="J120" s="16"/>
      <c r="K120" s="16"/>
      <c r="L120" s="16"/>
      <c r="M120" s="16"/>
      <c r="N120" s="16"/>
      <c r="O120" s="16"/>
      <c r="P120" s="16"/>
      <c r="Q120" s="16"/>
      <c r="R120" s="16"/>
      <c r="S120" s="16"/>
      <c r="T120" s="16"/>
      <c r="U120" s="16"/>
      <c r="V120" s="16"/>
      <c r="W120" s="16"/>
      <c r="X120" s="16"/>
      <c r="Y120" s="16"/>
      <c r="Z120" s="16"/>
    </row>
    <row r="121" spans="1:26" ht="14.25" customHeight="1">
      <c r="A121" s="624"/>
      <c r="B121" s="253"/>
      <c r="C121" s="253"/>
      <c r="D121" s="253"/>
      <c r="E121" s="253"/>
      <c r="F121" s="253"/>
      <c r="G121" s="253"/>
      <c r="H121" s="625"/>
      <c r="I121" s="625"/>
      <c r="J121" s="16"/>
      <c r="K121" s="16"/>
      <c r="L121" s="16"/>
      <c r="M121" s="16"/>
      <c r="N121" s="16"/>
      <c r="O121" s="16"/>
      <c r="P121" s="16"/>
      <c r="Q121" s="16"/>
      <c r="R121" s="16"/>
      <c r="S121" s="16"/>
      <c r="T121" s="16"/>
      <c r="U121" s="16"/>
      <c r="V121" s="16"/>
      <c r="W121" s="16"/>
      <c r="X121" s="16"/>
      <c r="Y121" s="16"/>
      <c r="Z121" s="16"/>
    </row>
    <row r="122" spans="1:26" ht="14.25" customHeight="1">
      <c r="A122" s="624"/>
      <c r="B122" s="253"/>
      <c r="C122" s="253"/>
      <c r="D122" s="253"/>
      <c r="E122" s="253"/>
      <c r="F122" s="253"/>
      <c r="G122" s="253"/>
      <c r="H122" s="625"/>
      <c r="I122" s="625"/>
      <c r="J122" s="16"/>
      <c r="K122" s="16"/>
      <c r="L122" s="16"/>
      <c r="M122" s="16"/>
      <c r="N122" s="16"/>
      <c r="O122" s="16"/>
      <c r="P122" s="16"/>
      <c r="Q122" s="16"/>
      <c r="R122" s="16"/>
      <c r="S122" s="16"/>
      <c r="T122" s="16"/>
      <c r="U122" s="16"/>
      <c r="V122" s="16"/>
      <c r="W122" s="16"/>
      <c r="X122" s="16"/>
      <c r="Y122" s="16"/>
      <c r="Z122" s="16"/>
    </row>
    <row r="123" spans="1:26" ht="14.25" customHeight="1">
      <c r="A123" s="624"/>
      <c r="B123" s="253"/>
      <c r="C123" s="253"/>
      <c r="D123" s="253"/>
      <c r="E123" s="253"/>
      <c r="F123" s="253"/>
      <c r="G123" s="253"/>
      <c r="H123" s="625"/>
      <c r="I123" s="625"/>
      <c r="J123" s="16"/>
      <c r="K123" s="16"/>
      <c r="L123" s="16"/>
      <c r="M123" s="16"/>
      <c r="N123" s="16"/>
      <c r="O123" s="16"/>
      <c r="P123" s="16"/>
      <c r="Q123" s="16"/>
      <c r="R123" s="16"/>
      <c r="S123" s="16"/>
      <c r="T123" s="16"/>
      <c r="U123" s="16"/>
      <c r="V123" s="16"/>
      <c r="W123" s="16"/>
      <c r="X123" s="16"/>
      <c r="Y123" s="16"/>
      <c r="Z123" s="16"/>
    </row>
    <row r="124" spans="1:26" ht="14.25" customHeight="1">
      <c r="A124" s="624"/>
      <c r="B124" s="253"/>
      <c r="C124" s="253"/>
      <c r="D124" s="253"/>
      <c r="E124" s="253"/>
      <c r="F124" s="253"/>
      <c r="G124" s="253"/>
      <c r="H124" s="625"/>
      <c r="I124" s="625"/>
      <c r="J124" s="16"/>
      <c r="K124" s="16"/>
      <c r="L124" s="16"/>
      <c r="M124" s="16"/>
      <c r="N124" s="16"/>
      <c r="O124" s="16"/>
      <c r="P124" s="16"/>
      <c r="Q124" s="16"/>
      <c r="R124" s="16"/>
      <c r="S124" s="16"/>
      <c r="T124" s="16"/>
      <c r="U124" s="16"/>
      <c r="V124" s="16"/>
      <c r="W124" s="16"/>
      <c r="X124" s="16"/>
      <c r="Y124" s="16"/>
      <c r="Z124" s="16"/>
    </row>
    <row r="125" spans="1:26" ht="14.25" customHeight="1">
      <c r="A125" s="624"/>
      <c r="B125" s="253"/>
      <c r="C125" s="253"/>
      <c r="D125" s="253"/>
      <c r="E125" s="253"/>
      <c r="F125" s="253"/>
      <c r="G125" s="253"/>
      <c r="H125" s="625"/>
      <c r="I125" s="625"/>
      <c r="J125" s="16"/>
      <c r="K125" s="16"/>
      <c r="L125" s="16"/>
      <c r="M125" s="16"/>
      <c r="N125" s="16"/>
      <c r="O125" s="16"/>
      <c r="P125" s="16"/>
      <c r="Q125" s="16"/>
      <c r="R125" s="16"/>
      <c r="S125" s="16"/>
      <c r="T125" s="16"/>
      <c r="U125" s="16"/>
      <c r="V125" s="16"/>
      <c r="W125" s="16"/>
      <c r="X125" s="16"/>
      <c r="Y125" s="16"/>
      <c r="Z125" s="16"/>
    </row>
    <row r="126" spans="1:26" ht="14.25" customHeight="1">
      <c r="A126" s="624"/>
      <c r="B126" s="253"/>
      <c r="C126" s="253"/>
      <c r="D126" s="253"/>
      <c r="E126" s="253"/>
      <c r="F126" s="253"/>
      <c r="G126" s="253"/>
      <c r="H126" s="625"/>
      <c r="I126" s="625"/>
      <c r="J126" s="16"/>
      <c r="K126" s="16"/>
      <c r="L126" s="16"/>
      <c r="M126" s="16"/>
      <c r="N126" s="16"/>
      <c r="O126" s="16"/>
      <c r="P126" s="16"/>
      <c r="Q126" s="16"/>
      <c r="R126" s="16"/>
      <c r="S126" s="16"/>
      <c r="T126" s="16"/>
      <c r="U126" s="16"/>
      <c r="V126" s="16"/>
      <c r="W126" s="16"/>
      <c r="X126" s="16"/>
      <c r="Y126" s="16"/>
      <c r="Z126" s="16"/>
    </row>
    <row r="127" spans="1:26" ht="14.25" customHeight="1">
      <c r="A127" s="624"/>
      <c r="B127" s="253"/>
      <c r="C127" s="253"/>
      <c r="D127" s="253"/>
      <c r="E127" s="253"/>
      <c r="F127" s="253"/>
      <c r="G127" s="253"/>
      <c r="H127" s="625"/>
      <c r="I127" s="625"/>
      <c r="J127" s="16"/>
      <c r="K127" s="16"/>
      <c r="L127" s="16"/>
      <c r="M127" s="16"/>
      <c r="N127" s="16"/>
      <c r="O127" s="16"/>
      <c r="P127" s="16"/>
      <c r="Q127" s="16"/>
      <c r="R127" s="16"/>
      <c r="S127" s="16"/>
      <c r="T127" s="16"/>
      <c r="U127" s="16"/>
      <c r="V127" s="16"/>
      <c r="W127" s="16"/>
      <c r="X127" s="16"/>
      <c r="Y127" s="16"/>
      <c r="Z127" s="16"/>
    </row>
    <row r="128" spans="1:26" ht="14.25" customHeight="1">
      <c r="A128" s="624"/>
      <c r="B128" s="253"/>
      <c r="C128" s="253"/>
      <c r="D128" s="253"/>
      <c r="E128" s="253"/>
      <c r="F128" s="253"/>
      <c r="G128" s="253"/>
      <c r="H128" s="625"/>
      <c r="I128" s="625"/>
      <c r="J128" s="16"/>
      <c r="K128" s="16"/>
      <c r="L128" s="16"/>
      <c r="M128" s="16"/>
      <c r="N128" s="16"/>
      <c r="O128" s="16"/>
      <c r="P128" s="16"/>
      <c r="Q128" s="16"/>
      <c r="R128" s="16"/>
      <c r="S128" s="16"/>
      <c r="T128" s="16"/>
      <c r="U128" s="16"/>
      <c r="V128" s="16"/>
      <c r="W128" s="16"/>
      <c r="X128" s="16"/>
      <c r="Y128" s="16"/>
      <c r="Z128" s="16"/>
    </row>
    <row r="129" spans="1:26" ht="14.25" customHeight="1">
      <c r="A129" s="624"/>
      <c r="B129" s="253"/>
      <c r="C129" s="253"/>
      <c r="D129" s="253"/>
      <c r="E129" s="253"/>
      <c r="F129" s="253"/>
      <c r="G129" s="253"/>
      <c r="H129" s="625"/>
      <c r="I129" s="625"/>
      <c r="J129" s="16"/>
      <c r="K129" s="16"/>
      <c r="L129" s="16"/>
      <c r="M129" s="16"/>
      <c r="N129" s="16"/>
      <c r="O129" s="16"/>
      <c r="P129" s="16"/>
      <c r="Q129" s="16"/>
      <c r="R129" s="16"/>
      <c r="S129" s="16"/>
      <c r="T129" s="16"/>
      <c r="U129" s="16"/>
      <c r="V129" s="16"/>
      <c r="W129" s="16"/>
      <c r="X129" s="16"/>
      <c r="Y129" s="16"/>
      <c r="Z129" s="16"/>
    </row>
    <row r="130" spans="1:26" ht="14.25" customHeight="1">
      <c r="A130" s="624"/>
      <c r="B130" s="253"/>
      <c r="C130" s="253"/>
      <c r="D130" s="253"/>
      <c r="E130" s="253"/>
      <c r="F130" s="253"/>
      <c r="G130" s="253"/>
      <c r="H130" s="625"/>
      <c r="I130" s="625"/>
      <c r="J130" s="16"/>
      <c r="K130" s="16"/>
      <c r="L130" s="16"/>
      <c r="M130" s="16"/>
      <c r="N130" s="16"/>
      <c r="O130" s="16"/>
      <c r="P130" s="16"/>
      <c r="Q130" s="16"/>
      <c r="R130" s="16"/>
      <c r="S130" s="16"/>
      <c r="T130" s="16"/>
      <c r="U130" s="16"/>
      <c r="V130" s="16"/>
      <c r="W130" s="16"/>
      <c r="X130" s="16"/>
      <c r="Y130" s="16"/>
      <c r="Z130" s="16"/>
    </row>
    <row r="131" spans="1:26" ht="14.25" customHeight="1">
      <c r="A131" s="624"/>
      <c r="B131" s="253"/>
      <c r="C131" s="253"/>
      <c r="D131" s="253"/>
      <c r="E131" s="253"/>
      <c r="F131" s="253"/>
      <c r="G131" s="253"/>
      <c r="H131" s="625"/>
      <c r="I131" s="625"/>
      <c r="J131" s="16"/>
      <c r="K131" s="16"/>
      <c r="L131" s="16"/>
      <c r="M131" s="16"/>
      <c r="N131" s="16"/>
      <c r="O131" s="16"/>
      <c r="P131" s="16"/>
      <c r="Q131" s="16"/>
      <c r="R131" s="16"/>
      <c r="S131" s="16"/>
      <c r="T131" s="16"/>
      <c r="U131" s="16"/>
      <c r="V131" s="16"/>
      <c r="W131" s="16"/>
      <c r="X131" s="16"/>
      <c r="Y131" s="16"/>
      <c r="Z131" s="16"/>
    </row>
    <row r="132" spans="1:26" ht="14.25" customHeight="1">
      <c r="A132" s="624"/>
      <c r="B132" s="253"/>
      <c r="C132" s="253"/>
      <c r="D132" s="253"/>
      <c r="E132" s="253"/>
      <c r="F132" s="253"/>
      <c r="G132" s="253"/>
      <c r="H132" s="625"/>
      <c r="I132" s="625"/>
      <c r="J132" s="16"/>
      <c r="K132" s="16"/>
      <c r="L132" s="16"/>
      <c r="M132" s="16"/>
      <c r="N132" s="16"/>
      <c r="O132" s="16"/>
      <c r="P132" s="16"/>
      <c r="Q132" s="16"/>
      <c r="R132" s="16"/>
      <c r="S132" s="16"/>
      <c r="T132" s="16"/>
      <c r="U132" s="16"/>
      <c r="V132" s="16"/>
      <c r="W132" s="16"/>
      <c r="X132" s="16"/>
      <c r="Y132" s="16"/>
      <c r="Z132" s="16"/>
    </row>
    <row r="133" spans="1:26" ht="14.25" customHeight="1">
      <c r="A133" s="624"/>
      <c r="B133" s="253"/>
      <c r="C133" s="253"/>
      <c r="D133" s="253"/>
      <c r="E133" s="253"/>
      <c r="F133" s="253"/>
      <c r="G133" s="253"/>
      <c r="H133" s="625"/>
      <c r="I133" s="625"/>
      <c r="J133" s="16"/>
      <c r="K133" s="16"/>
      <c r="L133" s="16"/>
      <c r="M133" s="16"/>
      <c r="N133" s="16"/>
      <c r="O133" s="16"/>
      <c r="P133" s="16"/>
      <c r="Q133" s="16"/>
      <c r="R133" s="16"/>
      <c r="S133" s="16"/>
      <c r="T133" s="16"/>
      <c r="U133" s="16"/>
      <c r="V133" s="16"/>
      <c r="W133" s="16"/>
      <c r="X133" s="16"/>
      <c r="Y133" s="16"/>
      <c r="Z133" s="16"/>
    </row>
    <row r="134" spans="1:26" ht="14.25" customHeight="1">
      <c r="A134" s="624"/>
      <c r="B134" s="253"/>
      <c r="C134" s="253"/>
      <c r="D134" s="253"/>
      <c r="E134" s="253"/>
      <c r="F134" s="253"/>
      <c r="G134" s="253"/>
      <c r="H134" s="625"/>
      <c r="I134" s="625"/>
      <c r="J134" s="16"/>
      <c r="K134" s="16"/>
      <c r="L134" s="16"/>
      <c r="M134" s="16"/>
      <c r="N134" s="16"/>
      <c r="O134" s="16"/>
      <c r="P134" s="16"/>
      <c r="Q134" s="16"/>
      <c r="R134" s="16"/>
      <c r="S134" s="16"/>
      <c r="T134" s="16"/>
      <c r="U134" s="16"/>
      <c r="V134" s="16"/>
      <c r="W134" s="16"/>
      <c r="X134" s="16"/>
      <c r="Y134" s="16"/>
      <c r="Z134" s="16"/>
    </row>
    <row r="135" spans="1:26" ht="14.25" customHeight="1">
      <c r="A135" s="624"/>
      <c r="B135" s="253"/>
      <c r="C135" s="253"/>
      <c r="D135" s="253"/>
      <c r="E135" s="253"/>
      <c r="F135" s="253"/>
      <c r="G135" s="253"/>
      <c r="H135" s="625"/>
      <c r="I135" s="625"/>
      <c r="J135" s="16"/>
      <c r="K135" s="16"/>
      <c r="L135" s="16"/>
      <c r="M135" s="16"/>
      <c r="N135" s="16"/>
      <c r="O135" s="16"/>
      <c r="P135" s="16"/>
      <c r="Q135" s="16"/>
      <c r="R135" s="16"/>
      <c r="S135" s="16"/>
      <c r="T135" s="16"/>
      <c r="U135" s="16"/>
      <c r="V135" s="16"/>
      <c r="W135" s="16"/>
      <c r="X135" s="16"/>
      <c r="Y135" s="16"/>
      <c r="Z135" s="16"/>
    </row>
    <row r="136" spans="1:26" ht="14.25" customHeight="1">
      <c r="A136" s="624"/>
      <c r="B136" s="253"/>
      <c r="C136" s="253"/>
      <c r="D136" s="253"/>
      <c r="E136" s="253"/>
      <c r="F136" s="253"/>
      <c r="G136" s="253"/>
      <c r="H136" s="625"/>
      <c r="I136" s="625"/>
      <c r="J136" s="16"/>
      <c r="K136" s="16"/>
      <c r="L136" s="16"/>
      <c r="M136" s="16"/>
      <c r="N136" s="16"/>
      <c r="O136" s="16"/>
      <c r="P136" s="16"/>
      <c r="Q136" s="16"/>
      <c r="R136" s="16"/>
      <c r="S136" s="16"/>
      <c r="T136" s="16"/>
      <c r="U136" s="16"/>
      <c r="V136" s="16"/>
      <c r="W136" s="16"/>
      <c r="X136" s="16"/>
      <c r="Y136" s="16"/>
      <c r="Z136" s="16"/>
    </row>
    <row r="137" spans="1:26" ht="14.25" customHeight="1">
      <c r="A137" s="624"/>
      <c r="B137" s="253"/>
      <c r="C137" s="253"/>
      <c r="D137" s="253"/>
      <c r="E137" s="253"/>
      <c r="F137" s="253"/>
      <c r="G137" s="253"/>
      <c r="H137" s="625"/>
      <c r="I137" s="625"/>
      <c r="J137" s="16"/>
      <c r="K137" s="16"/>
      <c r="L137" s="16"/>
      <c r="M137" s="16"/>
      <c r="N137" s="16"/>
      <c r="O137" s="16"/>
      <c r="P137" s="16"/>
      <c r="Q137" s="16"/>
      <c r="R137" s="16"/>
      <c r="S137" s="16"/>
      <c r="T137" s="16"/>
      <c r="U137" s="16"/>
      <c r="V137" s="16"/>
      <c r="W137" s="16"/>
      <c r="X137" s="16"/>
      <c r="Y137" s="16"/>
      <c r="Z137" s="16"/>
    </row>
    <row r="138" spans="1:26" ht="14.25" customHeight="1">
      <c r="A138" s="624"/>
      <c r="B138" s="253"/>
      <c r="C138" s="253"/>
      <c r="D138" s="253"/>
      <c r="E138" s="253"/>
      <c r="F138" s="253"/>
      <c r="G138" s="253"/>
      <c r="H138" s="625"/>
      <c r="I138" s="625"/>
      <c r="J138" s="16"/>
      <c r="K138" s="16"/>
      <c r="L138" s="16"/>
      <c r="M138" s="16"/>
      <c r="N138" s="16"/>
      <c r="O138" s="16"/>
      <c r="P138" s="16"/>
      <c r="Q138" s="16"/>
      <c r="R138" s="16"/>
      <c r="S138" s="16"/>
      <c r="T138" s="16"/>
      <c r="U138" s="16"/>
      <c r="V138" s="16"/>
      <c r="W138" s="16"/>
      <c r="X138" s="16"/>
      <c r="Y138" s="16"/>
      <c r="Z138" s="16"/>
    </row>
    <row r="139" spans="1:26" ht="14.25" customHeight="1">
      <c r="A139" s="624"/>
      <c r="B139" s="253"/>
      <c r="C139" s="253"/>
      <c r="D139" s="253"/>
      <c r="E139" s="253"/>
      <c r="F139" s="253"/>
      <c r="G139" s="253"/>
      <c r="H139" s="625"/>
      <c r="I139" s="625"/>
      <c r="J139" s="16"/>
      <c r="K139" s="16"/>
      <c r="L139" s="16"/>
      <c r="M139" s="16"/>
      <c r="N139" s="16"/>
      <c r="O139" s="16"/>
      <c r="P139" s="16"/>
      <c r="Q139" s="16"/>
      <c r="R139" s="16"/>
      <c r="S139" s="16"/>
      <c r="T139" s="16"/>
      <c r="U139" s="16"/>
      <c r="V139" s="16"/>
      <c r="W139" s="16"/>
      <c r="X139" s="16"/>
      <c r="Y139" s="16"/>
      <c r="Z139" s="16"/>
    </row>
    <row r="140" spans="1:26" ht="14.25" customHeight="1">
      <c r="A140" s="624"/>
      <c r="B140" s="253"/>
      <c r="C140" s="253"/>
      <c r="D140" s="253"/>
      <c r="E140" s="253"/>
      <c r="F140" s="253"/>
      <c r="G140" s="253"/>
      <c r="H140" s="625"/>
      <c r="I140" s="625"/>
      <c r="J140" s="16"/>
      <c r="K140" s="16"/>
      <c r="L140" s="16"/>
      <c r="M140" s="16"/>
      <c r="N140" s="16"/>
      <c r="O140" s="16"/>
      <c r="P140" s="16"/>
      <c r="Q140" s="16"/>
      <c r="R140" s="16"/>
      <c r="S140" s="16"/>
      <c r="T140" s="16"/>
      <c r="U140" s="16"/>
      <c r="V140" s="16"/>
      <c r="W140" s="16"/>
      <c r="X140" s="16"/>
      <c r="Y140" s="16"/>
      <c r="Z140" s="16"/>
    </row>
    <row r="141" spans="1:26" ht="14.25" customHeight="1">
      <c r="A141" s="624"/>
      <c r="B141" s="253"/>
      <c r="C141" s="253"/>
      <c r="D141" s="253"/>
      <c r="E141" s="253"/>
      <c r="F141" s="253"/>
      <c r="G141" s="253"/>
      <c r="H141" s="625"/>
      <c r="I141" s="625"/>
      <c r="J141" s="16"/>
      <c r="K141" s="16"/>
      <c r="L141" s="16"/>
      <c r="M141" s="16"/>
      <c r="N141" s="16"/>
      <c r="O141" s="16"/>
      <c r="P141" s="16"/>
      <c r="Q141" s="16"/>
      <c r="R141" s="16"/>
      <c r="S141" s="16"/>
      <c r="T141" s="16"/>
      <c r="U141" s="16"/>
      <c r="V141" s="16"/>
      <c r="W141" s="16"/>
      <c r="X141" s="16"/>
      <c r="Y141" s="16"/>
      <c r="Z141" s="16"/>
    </row>
    <row r="142" spans="1:26" ht="14.25" customHeight="1">
      <c r="A142" s="624"/>
      <c r="B142" s="253"/>
      <c r="C142" s="253"/>
      <c r="D142" s="253"/>
      <c r="E142" s="253"/>
      <c r="F142" s="253"/>
      <c r="G142" s="253"/>
      <c r="H142" s="625"/>
      <c r="I142" s="625"/>
      <c r="J142" s="16"/>
      <c r="K142" s="16"/>
      <c r="L142" s="16"/>
      <c r="M142" s="16"/>
      <c r="N142" s="16"/>
      <c r="O142" s="16"/>
      <c r="P142" s="16"/>
      <c r="Q142" s="16"/>
      <c r="R142" s="16"/>
      <c r="S142" s="16"/>
      <c r="T142" s="16"/>
      <c r="U142" s="16"/>
      <c r="V142" s="16"/>
      <c r="W142" s="16"/>
      <c r="X142" s="16"/>
      <c r="Y142" s="16"/>
      <c r="Z142" s="16"/>
    </row>
    <row r="143" spans="1:26" ht="14.25" customHeight="1">
      <c r="A143" s="624"/>
      <c r="B143" s="253"/>
      <c r="C143" s="253"/>
      <c r="D143" s="253"/>
      <c r="E143" s="253"/>
      <c r="F143" s="253"/>
      <c r="G143" s="253"/>
      <c r="H143" s="625"/>
      <c r="I143" s="625"/>
      <c r="J143" s="16"/>
      <c r="K143" s="16"/>
      <c r="L143" s="16"/>
      <c r="M143" s="16"/>
      <c r="N143" s="16"/>
      <c r="O143" s="16"/>
      <c r="P143" s="16"/>
      <c r="Q143" s="16"/>
      <c r="R143" s="16"/>
      <c r="S143" s="16"/>
      <c r="T143" s="16"/>
      <c r="U143" s="16"/>
      <c r="V143" s="16"/>
      <c r="W143" s="16"/>
      <c r="X143" s="16"/>
      <c r="Y143" s="16"/>
      <c r="Z143" s="16"/>
    </row>
    <row r="144" spans="1:26" ht="14.25" customHeight="1">
      <c r="A144" s="624"/>
      <c r="B144" s="253"/>
      <c r="C144" s="253"/>
      <c r="D144" s="253"/>
      <c r="E144" s="253"/>
      <c r="F144" s="253"/>
      <c r="G144" s="253"/>
      <c r="H144" s="625"/>
      <c r="I144" s="625"/>
      <c r="J144" s="16"/>
      <c r="K144" s="16"/>
      <c r="L144" s="16"/>
      <c r="M144" s="16"/>
      <c r="N144" s="16"/>
      <c r="O144" s="16"/>
      <c r="P144" s="16"/>
      <c r="Q144" s="16"/>
      <c r="R144" s="16"/>
      <c r="S144" s="16"/>
      <c r="T144" s="16"/>
      <c r="U144" s="16"/>
      <c r="V144" s="16"/>
      <c r="W144" s="16"/>
      <c r="X144" s="16"/>
      <c r="Y144" s="16"/>
      <c r="Z144" s="16"/>
    </row>
    <row r="145" spans="1:26" ht="14.25" customHeight="1">
      <c r="A145" s="624"/>
      <c r="B145" s="253"/>
      <c r="C145" s="253"/>
      <c r="D145" s="253"/>
      <c r="E145" s="253"/>
      <c r="F145" s="253"/>
      <c r="G145" s="253"/>
      <c r="H145" s="625"/>
      <c r="I145" s="625"/>
      <c r="J145" s="16"/>
      <c r="K145" s="16"/>
      <c r="L145" s="16"/>
      <c r="M145" s="16"/>
      <c r="N145" s="16"/>
      <c r="O145" s="16"/>
      <c r="P145" s="16"/>
      <c r="Q145" s="16"/>
      <c r="R145" s="16"/>
      <c r="S145" s="16"/>
      <c r="T145" s="16"/>
      <c r="U145" s="16"/>
      <c r="V145" s="16"/>
      <c r="W145" s="16"/>
      <c r="X145" s="16"/>
      <c r="Y145" s="16"/>
      <c r="Z145" s="16"/>
    </row>
    <row r="146" spans="1:26" ht="14.25" customHeight="1">
      <c r="A146" s="624"/>
      <c r="B146" s="253"/>
      <c r="C146" s="253"/>
      <c r="D146" s="253"/>
      <c r="E146" s="253"/>
      <c r="F146" s="253"/>
      <c r="G146" s="253"/>
      <c r="H146" s="625"/>
      <c r="I146" s="625"/>
      <c r="J146" s="16"/>
      <c r="K146" s="16"/>
      <c r="L146" s="16"/>
      <c r="M146" s="16"/>
      <c r="N146" s="16"/>
      <c r="O146" s="16"/>
      <c r="P146" s="16"/>
      <c r="Q146" s="16"/>
      <c r="R146" s="16"/>
      <c r="S146" s="16"/>
      <c r="T146" s="16"/>
      <c r="U146" s="16"/>
      <c r="V146" s="16"/>
      <c r="W146" s="16"/>
      <c r="X146" s="16"/>
      <c r="Y146" s="16"/>
      <c r="Z146" s="16"/>
    </row>
    <row r="147" spans="1:26" ht="14.25" customHeight="1">
      <c r="A147" s="624"/>
      <c r="B147" s="253"/>
      <c r="C147" s="253"/>
      <c r="D147" s="253"/>
      <c r="E147" s="253"/>
      <c r="F147" s="253"/>
      <c r="G147" s="253"/>
      <c r="H147" s="625"/>
      <c r="I147" s="625"/>
      <c r="J147" s="16"/>
      <c r="K147" s="16"/>
      <c r="L147" s="16"/>
      <c r="M147" s="16"/>
      <c r="N147" s="16"/>
      <c r="O147" s="16"/>
      <c r="P147" s="16"/>
      <c r="Q147" s="16"/>
      <c r="R147" s="16"/>
      <c r="S147" s="16"/>
      <c r="T147" s="16"/>
      <c r="U147" s="16"/>
      <c r="V147" s="16"/>
      <c r="W147" s="16"/>
      <c r="X147" s="16"/>
      <c r="Y147" s="16"/>
      <c r="Z147" s="16"/>
    </row>
    <row r="148" spans="1:26" ht="14.25" customHeight="1">
      <c r="A148" s="624"/>
      <c r="B148" s="253"/>
      <c r="C148" s="253"/>
      <c r="D148" s="253"/>
      <c r="E148" s="253"/>
      <c r="F148" s="253"/>
      <c r="G148" s="253"/>
      <c r="H148" s="625"/>
      <c r="I148" s="625"/>
      <c r="J148" s="16"/>
      <c r="K148" s="16"/>
      <c r="L148" s="16"/>
      <c r="M148" s="16"/>
      <c r="N148" s="16"/>
      <c r="O148" s="16"/>
      <c r="P148" s="16"/>
      <c r="Q148" s="16"/>
      <c r="R148" s="16"/>
      <c r="S148" s="16"/>
      <c r="T148" s="16"/>
      <c r="U148" s="16"/>
      <c r="V148" s="16"/>
      <c r="W148" s="16"/>
      <c r="X148" s="16"/>
      <c r="Y148" s="16"/>
      <c r="Z148" s="16"/>
    </row>
    <row r="149" spans="1:26" ht="14.25" customHeight="1">
      <c r="A149" s="624"/>
      <c r="B149" s="253"/>
      <c r="C149" s="253"/>
      <c r="D149" s="253"/>
      <c r="E149" s="253"/>
      <c r="F149" s="253"/>
      <c r="G149" s="253"/>
      <c r="H149" s="625"/>
      <c r="I149" s="625"/>
      <c r="J149" s="16"/>
      <c r="K149" s="16"/>
      <c r="L149" s="16"/>
      <c r="M149" s="16"/>
      <c r="N149" s="16"/>
      <c r="O149" s="16"/>
      <c r="P149" s="16"/>
      <c r="Q149" s="16"/>
      <c r="R149" s="16"/>
      <c r="S149" s="16"/>
      <c r="T149" s="16"/>
      <c r="U149" s="16"/>
      <c r="V149" s="16"/>
      <c r="W149" s="16"/>
      <c r="X149" s="16"/>
      <c r="Y149" s="16"/>
      <c r="Z149" s="16"/>
    </row>
    <row r="150" spans="1:26" ht="14.25" customHeight="1">
      <c r="A150" s="624"/>
      <c r="B150" s="253"/>
      <c r="C150" s="253"/>
      <c r="D150" s="253"/>
      <c r="E150" s="253"/>
      <c r="F150" s="253"/>
      <c r="G150" s="253"/>
      <c r="H150" s="625"/>
      <c r="I150" s="625"/>
      <c r="J150" s="16"/>
      <c r="K150" s="16"/>
      <c r="L150" s="16"/>
      <c r="M150" s="16"/>
      <c r="N150" s="16"/>
      <c r="O150" s="16"/>
      <c r="P150" s="16"/>
      <c r="Q150" s="16"/>
      <c r="R150" s="16"/>
      <c r="S150" s="16"/>
      <c r="T150" s="16"/>
      <c r="U150" s="16"/>
      <c r="V150" s="16"/>
      <c r="W150" s="16"/>
      <c r="X150" s="16"/>
      <c r="Y150" s="16"/>
      <c r="Z150" s="16"/>
    </row>
    <row r="151" spans="1:26" ht="14.25" customHeight="1">
      <c r="A151" s="624"/>
      <c r="B151" s="253"/>
      <c r="C151" s="253"/>
      <c r="D151" s="253"/>
      <c r="E151" s="253"/>
      <c r="F151" s="253"/>
      <c r="G151" s="253"/>
      <c r="H151" s="625"/>
      <c r="I151" s="625"/>
      <c r="J151" s="16"/>
      <c r="K151" s="16"/>
      <c r="L151" s="16"/>
      <c r="M151" s="16"/>
      <c r="N151" s="16"/>
      <c r="O151" s="16"/>
      <c r="P151" s="16"/>
      <c r="Q151" s="16"/>
      <c r="R151" s="16"/>
      <c r="S151" s="16"/>
      <c r="T151" s="16"/>
      <c r="U151" s="16"/>
      <c r="V151" s="16"/>
      <c r="W151" s="16"/>
      <c r="X151" s="16"/>
      <c r="Y151" s="16"/>
      <c r="Z151" s="16"/>
    </row>
    <row r="152" spans="1:26" ht="14.25" customHeight="1">
      <c r="A152" s="624"/>
      <c r="B152" s="253"/>
      <c r="C152" s="253"/>
      <c r="D152" s="253"/>
      <c r="E152" s="253"/>
      <c r="F152" s="253"/>
      <c r="G152" s="253"/>
      <c r="H152" s="625"/>
      <c r="I152" s="625"/>
      <c r="J152" s="16"/>
      <c r="K152" s="16"/>
      <c r="L152" s="16"/>
      <c r="M152" s="16"/>
      <c r="N152" s="16"/>
      <c r="O152" s="16"/>
      <c r="P152" s="16"/>
      <c r="Q152" s="16"/>
      <c r="R152" s="16"/>
      <c r="S152" s="16"/>
      <c r="T152" s="16"/>
      <c r="U152" s="16"/>
      <c r="V152" s="16"/>
      <c r="W152" s="16"/>
      <c r="X152" s="16"/>
      <c r="Y152" s="16"/>
      <c r="Z152" s="16"/>
    </row>
    <row r="153" spans="1:26" ht="14.25" customHeight="1">
      <c r="A153" s="624"/>
      <c r="B153" s="253"/>
      <c r="C153" s="253"/>
      <c r="D153" s="253"/>
      <c r="E153" s="253"/>
      <c r="F153" s="253"/>
      <c r="G153" s="253"/>
      <c r="H153" s="625"/>
      <c r="I153" s="625"/>
      <c r="J153" s="16"/>
      <c r="K153" s="16"/>
      <c r="L153" s="16"/>
      <c r="M153" s="16"/>
      <c r="N153" s="16"/>
      <c r="O153" s="16"/>
      <c r="P153" s="16"/>
      <c r="Q153" s="16"/>
      <c r="R153" s="16"/>
      <c r="S153" s="16"/>
      <c r="T153" s="16"/>
      <c r="U153" s="16"/>
      <c r="V153" s="16"/>
      <c r="W153" s="16"/>
      <c r="X153" s="16"/>
      <c r="Y153" s="16"/>
      <c r="Z153" s="16"/>
    </row>
    <row r="154" spans="1:26" ht="14.25" customHeight="1">
      <c r="A154" s="624"/>
      <c r="B154" s="253"/>
      <c r="C154" s="253"/>
      <c r="D154" s="253"/>
      <c r="E154" s="253"/>
      <c r="F154" s="253"/>
      <c r="G154" s="253"/>
      <c r="H154" s="625"/>
      <c r="I154" s="625"/>
      <c r="J154" s="16"/>
      <c r="K154" s="16"/>
      <c r="L154" s="16"/>
      <c r="M154" s="16"/>
      <c r="N154" s="16"/>
      <c r="O154" s="16"/>
      <c r="P154" s="16"/>
      <c r="Q154" s="16"/>
      <c r="R154" s="16"/>
      <c r="S154" s="16"/>
      <c r="T154" s="16"/>
      <c r="U154" s="16"/>
      <c r="V154" s="16"/>
      <c r="W154" s="16"/>
      <c r="X154" s="16"/>
      <c r="Y154" s="16"/>
      <c r="Z154" s="16"/>
    </row>
    <row r="155" spans="1:26" ht="14.25" customHeight="1">
      <c r="A155" s="624"/>
      <c r="B155" s="253"/>
      <c r="C155" s="253"/>
      <c r="D155" s="253"/>
      <c r="E155" s="253"/>
      <c r="F155" s="253"/>
      <c r="G155" s="253"/>
      <c r="H155" s="625"/>
      <c r="I155" s="625"/>
      <c r="J155" s="16"/>
      <c r="K155" s="16"/>
      <c r="L155" s="16"/>
      <c r="M155" s="16"/>
      <c r="N155" s="16"/>
      <c r="O155" s="16"/>
      <c r="P155" s="16"/>
      <c r="Q155" s="16"/>
      <c r="R155" s="16"/>
      <c r="S155" s="16"/>
      <c r="T155" s="16"/>
      <c r="U155" s="16"/>
      <c r="V155" s="16"/>
      <c r="W155" s="16"/>
      <c r="X155" s="16"/>
      <c r="Y155" s="16"/>
      <c r="Z155" s="16"/>
    </row>
    <row r="156" spans="1:26" ht="14.25" customHeight="1">
      <c r="A156" s="624"/>
      <c r="B156" s="253"/>
      <c r="C156" s="253"/>
      <c r="D156" s="253"/>
      <c r="E156" s="253"/>
      <c r="F156" s="253"/>
      <c r="G156" s="253"/>
      <c r="H156" s="625"/>
      <c r="I156" s="625"/>
      <c r="J156" s="16"/>
      <c r="K156" s="16"/>
      <c r="L156" s="16"/>
      <c r="M156" s="16"/>
      <c r="N156" s="16"/>
      <c r="O156" s="16"/>
      <c r="P156" s="16"/>
      <c r="Q156" s="16"/>
      <c r="R156" s="16"/>
      <c r="S156" s="16"/>
      <c r="T156" s="16"/>
      <c r="U156" s="16"/>
      <c r="V156" s="16"/>
      <c r="W156" s="16"/>
      <c r="X156" s="16"/>
      <c r="Y156" s="16"/>
      <c r="Z156" s="16"/>
    </row>
    <row r="157" spans="1:26" ht="14.25" customHeight="1">
      <c r="A157" s="624"/>
      <c r="B157" s="253"/>
      <c r="C157" s="253"/>
      <c r="D157" s="253"/>
      <c r="E157" s="253"/>
      <c r="F157" s="253"/>
      <c r="G157" s="253"/>
      <c r="H157" s="625"/>
      <c r="I157" s="625"/>
      <c r="J157" s="16"/>
      <c r="K157" s="16"/>
      <c r="L157" s="16"/>
      <c r="M157" s="16"/>
      <c r="N157" s="16"/>
      <c r="O157" s="16"/>
      <c r="P157" s="16"/>
      <c r="Q157" s="16"/>
      <c r="R157" s="16"/>
      <c r="S157" s="16"/>
      <c r="T157" s="16"/>
      <c r="U157" s="16"/>
      <c r="V157" s="16"/>
      <c r="W157" s="16"/>
      <c r="X157" s="16"/>
      <c r="Y157" s="16"/>
      <c r="Z157" s="16"/>
    </row>
    <row r="158" spans="1:26" ht="14.25" customHeight="1">
      <c r="A158" s="624"/>
      <c r="B158" s="253"/>
      <c r="C158" s="253"/>
      <c r="D158" s="253"/>
      <c r="E158" s="253"/>
      <c r="F158" s="253"/>
      <c r="G158" s="253"/>
      <c r="H158" s="625"/>
      <c r="I158" s="625"/>
      <c r="J158" s="16"/>
      <c r="K158" s="16"/>
      <c r="L158" s="16"/>
      <c r="M158" s="16"/>
      <c r="N158" s="16"/>
      <c r="O158" s="16"/>
      <c r="P158" s="16"/>
      <c r="Q158" s="16"/>
      <c r="R158" s="16"/>
      <c r="S158" s="16"/>
      <c r="T158" s="16"/>
      <c r="U158" s="16"/>
      <c r="V158" s="16"/>
      <c r="W158" s="16"/>
      <c r="X158" s="16"/>
      <c r="Y158" s="16"/>
      <c r="Z158" s="16"/>
    </row>
    <row r="159" spans="1:26" ht="14.25" customHeight="1">
      <c r="A159" s="624"/>
      <c r="B159" s="253"/>
      <c r="C159" s="253"/>
      <c r="D159" s="253"/>
      <c r="E159" s="253"/>
      <c r="F159" s="253"/>
      <c r="G159" s="253"/>
      <c r="H159" s="625"/>
      <c r="I159" s="625"/>
      <c r="J159" s="16"/>
      <c r="K159" s="16"/>
      <c r="L159" s="16"/>
      <c r="M159" s="16"/>
      <c r="N159" s="16"/>
      <c r="O159" s="16"/>
      <c r="P159" s="16"/>
      <c r="Q159" s="16"/>
      <c r="R159" s="16"/>
      <c r="S159" s="16"/>
      <c r="T159" s="16"/>
      <c r="U159" s="16"/>
      <c r="V159" s="16"/>
      <c r="W159" s="16"/>
      <c r="X159" s="16"/>
      <c r="Y159" s="16"/>
      <c r="Z159" s="16"/>
    </row>
    <row r="160" spans="1:26" ht="14.25" customHeight="1">
      <c r="A160" s="624"/>
      <c r="B160" s="253"/>
      <c r="C160" s="253"/>
      <c r="D160" s="253"/>
      <c r="E160" s="253"/>
      <c r="F160" s="253"/>
      <c r="G160" s="253"/>
      <c r="H160" s="625"/>
      <c r="I160" s="625"/>
      <c r="J160" s="16"/>
      <c r="K160" s="16"/>
      <c r="L160" s="16"/>
      <c r="M160" s="16"/>
      <c r="N160" s="16"/>
      <c r="O160" s="16"/>
      <c r="P160" s="16"/>
      <c r="Q160" s="16"/>
      <c r="R160" s="16"/>
      <c r="S160" s="16"/>
      <c r="T160" s="16"/>
      <c r="U160" s="16"/>
      <c r="V160" s="16"/>
      <c r="W160" s="16"/>
      <c r="X160" s="16"/>
      <c r="Y160" s="16"/>
      <c r="Z160" s="16"/>
    </row>
    <row r="161" spans="1:26" ht="14.25" customHeight="1">
      <c r="A161" s="624"/>
      <c r="B161" s="253"/>
      <c r="C161" s="253"/>
      <c r="D161" s="253"/>
      <c r="E161" s="253"/>
      <c r="F161" s="253"/>
      <c r="G161" s="253"/>
      <c r="H161" s="625"/>
      <c r="I161" s="625"/>
      <c r="J161" s="16"/>
      <c r="K161" s="16"/>
      <c r="L161" s="16"/>
      <c r="M161" s="16"/>
      <c r="N161" s="16"/>
      <c r="O161" s="16"/>
      <c r="P161" s="16"/>
      <c r="Q161" s="16"/>
      <c r="R161" s="16"/>
      <c r="S161" s="16"/>
      <c r="T161" s="16"/>
      <c r="U161" s="16"/>
      <c r="V161" s="16"/>
      <c r="W161" s="16"/>
      <c r="X161" s="16"/>
      <c r="Y161" s="16"/>
      <c r="Z161" s="16"/>
    </row>
    <row r="162" spans="1:26" ht="14.25" customHeight="1">
      <c r="A162" s="624"/>
      <c r="B162" s="253"/>
      <c r="C162" s="253"/>
      <c r="D162" s="253"/>
      <c r="E162" s="253"/>
      <c r="F162" s="253"/>
      <c r="G162" s="253"/>
      <c r="H162" s="625"/>
      <c r="I162" s="625"/>
      <c r="J162" s="16"/>
      <c r="K162" s="16"/>
      <c r="L162" s="16"/>
      <c r="M162" s="16"/>
      <c r="N162" s="16"/>
      <c r="O162" s="16"/>
      <c r="P162" s="16"/>
      <c r="Q162" s="16"/>
      <c r="R162" s="16"/>
      <c r="S162" s="16"/>
      <c r="T162" s="16"/>
      <c r="U162" s="16"/>
      <c r="V162" s="16"/>
      <c r="W162" s="16"/>
      <c r="X162" s="16"/>
      <c r="Y162" s="16"/>
      <c r="Z162" s="16"/>
    </row>
    <row r="163" spans="1:26" ht="14.25" customHeight="1">
      <c r="A163" s="624"/>
      <c r="B163" s="253"/>
      <c r="C163" s="253"/>
      <c r="D163" s="253"/>
      <c r="E163" s="253"/>
      <c r="F163" s="253"/>
      <c r="G163" s="253"/>
      <c r="H163" s="625"/>
      <c r="I163" s="625"/>
      <c r="J163" s="16"/>
      <c r="K163" s="16"/>
      <c r="L163" s="16"/>
      <c r="M163" s="16"/>
      <c r="N163" s="16"/>
      <c r="O163" s="16"/>
      <c r="P163" s="16"/>
      <c r="Q163" s="16"/>
      <c r="R163" s="16"/>
      <c r="S163" s="16"/>
      <c r="T163" s="16"/>
      <c r="U163" s="16"/>
      <c r="V163" s="16"/>
      <c r="W163" s="16"/>
      <c r="X163" s="16"/>
      <c r="Y163" s="16"/>
      <c r="Z163" s="16"/>
    </row>
    <row r="164" spans="1:26" ht="14.25" customHeight="1">
      <c r="A164" s="624"/>
      <c r="B164" s="253"/>
      <c r="C164" s="253"/>
      <c r="D164" s="253"/>
      <c r="E164" s="253"/>
      <c r="F164" s="253"/>
      <c r="G164" s="253"/>
      <c r="H164" s="625"/>
      <c r="I164" s="625"/>
      <c r="J164" s="16"/>
      <c r="K164" s="16"/>
      <c r="L164" s="16"/>
      <c r="M164" s="16"/>
      <c r="N164" s="16"/>
      <c r="O164" s="16"/>
      <c r="P164" s="16"/>
      <c r="Q164" s="16"/>
      <c r="R164" s="16"/>
      <c r="S164" s="16"/>
      <c r="T164" s="16"/>
      <c r="U164" s="16"/>
      <c r="V164" s="16"/>
      <c r="W164" s="16"/>
      <c r="X164" s="16"/>
      <c r="Y164" s="16"/>
      <c r="Z164" s="16"/>
    </row>
    <row r="165" spans="1:26" ht="14.25" customHeight="1">
      <c r="A165" s="624"/>
      <c r="B165" s="253"/>
      <c r="C165" s="253"/>
      <c r="D165" s="253"/>
      <c r="E165" s="253"/>
      <c r="F165" s="253"/>
      <c r="G165" s="253"/>
      <c r="H165" s="625"/>
      <c r="I165" s="625"/>
      <c r="J165" s="16"/>
      <c r="K165" s="16"/>
      <c r="L165" s="16"/>
      <c r="M165" s="16"/>
      <c r="N165" s="16"/>
      <c r="O165" s="16"/>
      <c r="P165" s="16"/>
      <c r="Q165" s="16"/>
      <c r="R165" s="16"/>
      <c r="S165" s="16"/>
      <c r="T165" s="16"/>
      <c r="U165" s="16"/>
      <c r="V165" s="16"/>
      <c r="W165" s="16"/>
      <c r="X165" s="16"/>
      <c r="Y165" s="16"/>
      <c r="Z165" s="16"/>
    </row>
    <row r="166" spans="1:26" ht="14.25" customHeight="1">
      <c r="A166" s="624"/>
      <c r="B166" s="253"/>
      <c r="C166" s="253"/>
      <c r="D166" s="253"/>
      <c r="E166" s="253"/>
      <c r="F166" s="253"/>
      <c r="G166" s="253"/>
      <c r="H166" s="625"/>
      <c r="I166" s="625"/>
      <c r="J166" s="16"/>
      <c r="K166" s="16"/>
      <c r="L166" s="16"/>
      <c r="M166" s="16"/>
      <c r="N166" s="16"/>
      <c r="O166" s="16"/>
      <c r="P166" s="16"/>
      <c r="Q166" s="16"/>
      <c r="R166" s="16"/>
      <c r="S166" s="16"/>
      <c r="T166" s="16"/>
      <c r="U166" s="16"/>
      <c r="V166" s="16"/>
      <c r="W166" s="16"/>
      <c r="X166" s="16"/>
      <c r="Y166" s="16"/>
      <c r="Z166" s="16"/>
    </row>
    <row r="167" spans="1:26" ht="14.25" customHeight="1">
      <c r="A167" s="624"/>
      <c r="B167" s="253"/>
      <c r="C167" s="253"/>
      <c r="D167" s="253"/>
      <c r="E167" s="253"/>
      <c r="F167" s="253"/>
      <c r="G167" s="253"/>
      <c r="H167" s="625"/>
      <c r="I167" s="625"/>
      <c r="J167" s="16"/>
      <c r="K167" s="16"/>
      <c r="L167" s="16"/>
      <c r="M167" s="16"/>
      <c r="N167" s="16"/>
      <c r="O167" s="16"/>
      <c r="P167" s="16"/>
      <c r="Q167" s="16"/>
      <c r="R167" s="16"/>
      <c r="S167" s="16"/>
      <c r="T167" s="16"/>
      <c r="U167" s="16"/>
      <c r="V167" s="16"/>
      <c r="W167" s="16"/>
      <c r="X167" s="16"/>
      <c r="Y167" s="16"/>
      <c r="Z167" s="16"/>
    </row>
    <row r="168" spans="1:26" ht="14.25" customHeight="1">
      <c r="A168" s="624"/>
      <c r="B168" s="253"/>
      <c r="C168" s="253"/>
      <c r="D168" s="253"/>
      <c r="E168" s="253"/>
      <c r="F168" s="253"/>
      <c r="G168" s="253"/>
      <c r="H168" s="625"/>
      <c r="I168" s="625"/>
      <c r="J168" s="16"/>
      <c r="K168" s="16"/>
      <c r="L168" s="16"/>
      <c r="M168" s="16"/>
      <c r="N168" s="16"/>
      <c r="O168" s="16"/>
      <c r="P168" s="16"/>
      <c r="Q168" s="16"/>
      <c r="R168" s="16"/>
      <c r="S168" s="16"/>
      <c r="T168" s="16"/>
      <c r="U168" s="16"/>
      <c r="V168" s="16"/>
      <c r="W168" s="16"/>
      <c r="X168" s="16"/>
      <c r="Y168" s="16"/>
      <c r="Z168" s="16"/>
    </row>
    <row r="169" spans="1:26" ht="14.25" customHeight="1">
      <c r="A169" s="624"/>
      <c r="B169" s="253"/>
      <c r="C169" s="253"/>
      <c r="D169" s="253"/>
      <c r="E169" s="253"/>
      <c r="F169" s="253"/>
      <c r="G169" s="253"/>
      <c r="H169" s="625"/>
      <c r="I169" s="625"/>
      <c r="J169" s="16"/>
      <c r="K169" s="16"/>
      <c r="L169" s="16"/>
      <c r="M169" s="16"/>
      <c r="N169" s="16"/>
      <c r="O169" s="16"/>
      <c r="P169" s="16"/>
      <c r="Q169" s="16"/>
      <c r="R169" s="16"/>
      <c r="S169" s="16"/>
      <c r="T169" s="16"/>
      <c r="U169" s="16"/>
      <c r="V169" s="16"/>
      <c r="W169" s="16"/>
      <c r="X169" s="16"/>
      <c r="Y169" s="16"/>
      <c r="Z169" s="16"/>
    </row>
    <row r="170" spans="1:26" ht="14.25" customHeight="1">
      <c r="A170" s="624"/>
      <c r="B170" s="253"/>
      <c r="C170" s="253"/>
      <c r="D170" s="253"/>
      <c r="E170" s="253"/>
      <c r="F170" s="253"/>
      <c r="G170" s="253"/>
      <c r="H170" s="625"/>
      <c r="I170" s="625"/>
      <c r="J170" s="16"/>
      <c r="K170" s="16"/>
      <c r="L170" s="16"/>
      <c r="M170" s="16"/>
      <c r="N170" s="16"/>
      <c r="O170" s="16"/>
      <c r="P170" s="16"/>
      <c r="Q170" s="16"/>
      <c r="R170" s="16"/>
      <c r="S170" s="16"/>
      <c r="T170" s="16"/>
      <c r="U170" s="16"/>
      <c r="V170" s="16"/>
      <c r="W170" s="16"/>
      <c r="X170" s="16"/>
      <c r="Y170" s="16"/>
      <c r="Z170" s="16"/>
    </row>
    <row r="171" spans="1:26" ht="14.25" customHeight="1">
      <c r="A171" s="624"/>
      <c r="B171" s="253"/>
      <c r="C171" s="253"/>
      <c r="D171" s="253"/>
      <c r="E171" s="253"/>
      <c r="F171" s="253"/>
      <c r="G171" s="253"/>
      <c r="H171" s="625"/>
      <c r="I171" s="625"/>
      <c r="J171" s="16"/>
      <c r="K171" s="16"/>
      <c r="L171" s="16"/>
      <c r="M171" s="16"/>
      <c r="N171" s="16"/>
      <c r="O171" s="16"/>
      <c r="P171" s="16"/>
      <c r="Q171" s="16"/>
      <c r="R171" s="16"/>
      <c r="S171" s="16"/>
      <c r="T171" s="16"/>
      <c r="U171" s="16"/>
      <c r="V171" s="16"/>
      <c r="W171" s="16"/>
      <c r="X171" s="16"/>
      <c r="Y171" s="16"/>
      <c r="Z171" s="16"/>
    </row>
    <row r="172" spans="1:26" ht="14.25" customHeight="1">
      <c r="A172" s="624"/>
      <c r="B172" s="253"/>
      <c r="C172" s="253"/>
      <c r="D172" s="253"/>
      <c r="E172" s="253"/>
      <c r="F172" s="253"/>
      <c r="G172" s="253"/>
      <c r="H172" s="625"/>
      <c r="I172" s="625"/>
      <c r="J172" s="16"/>
      <c r="K172" s="16"/>
      <c r="L172" s="16"/>
      <c r="M172" s="16"/>
      <c r="N172" s="16"/>
      <c r="O172" s="16"/>
      <c r="P172" s="16"/>
      <c r="Q172" s="16"/>
      <c r="R172" s="16"/>
      <c r="S172" s="16"/>
      <c r="T172" s="16"/>
      <c r="U172" s="16"/>
      <c r="V172" s="16"/>
      <c r="W172" s="16"/>
      <c r="X172" s="16"/>
      <c r="Y172" s="16"/>
      <c r="Z172" s="16"/>
    </row>
    <row r="173" spans="1:26" ht="14.25" customHeight="1">
      <c r="A173" s="624"/>
      <c r="B173" s="253"/>
      <c r="C173" s="253"/>
      <c r="D173" s="253"/>
      <c r="E173" s="253"/>
      <c r="F173" s="253"/>
      <c r="G173" s="253"/>
      <c r="H173" s="625"/>
      <c r="I173" s="625"/>
      <c r="J173" s="16"/>
      <c r="K173" s="16"/>
      <c r="L173" s="16"/>
      <c r="M173" s="16"/>
      <c r="N173" s="16"/>
      <c r="O173" s="16"/>
      <c r="P173" s="16"/>
      <c r="Q173" s="16"/>
      <c r="R173" s="16"/>
      <c r="S173" s="16"/>
      <c r="T173" s="16"/>
      <c r="U173" s="16"/>
      <c r="V173" s="16"/>
      <c r="W173" s="16"/>
      <c r="X173" s="16"/>
      <c r="Y173" s="16"/>
      <c r="Z173" s="16"/>
    </row>
    <row r="174" spans="1:26" ht="14.25" customHeight="1">
      <c r="A174" s="624"/>
      <c r="B174" s="253"/>
      <c r="C174" s="253"/>
      <c r="D174" s="253"/>
      <c r="E174" s="253"/>
      <c r="F174" s="253"/>
      <c r="G174" s="253"/>
      <c r="H174" s="625"/>
      <c r="I174" s="625"/>
      <c r="J174" s="16"/>
      <c r="K174" s="16"/>
      <c r="L174" s="16"/>
      <c r="M174" s="16"/>
      <c r="N174" s="16"/>
      <c r="O174" s="16"/>
      <c r="P174" s="16"/>
      <c r="Q174" s="16"/>
      <c r="R174" s="16"/>
      <c r="S174" s="16"/>
      <c r="T174" s="16"/>
      <c r="U174" s="16"/>
      <c r="V174" s="16"/>
      <c r="W174" s="16"/>
      <c r="X174" s="16"/>
      <c r="Y174" s="16"/>
      <c r="Z174" s="16"/>
    </row>
    <row r="175" spans="1:26" ht="14.25" customHeight="1">
      <c r="A175" s="624"/>
      <c r="B175" s="253"/>
      <c r="C175" s="253"/>
      <c r="D175" s="253"/>
      <c r="E175" s="253"/>
      <c r="F175" s="253"/>
      <c r="G175" s="253"/>
      <c r="H175" s="625"/>
      <c r="I175" s="625"/>
      <c r="J175" s="16"/>
      <c r="K175" s="16"/>
      <c r="L175" s="16"/>
      <c r="M175" s="16"/>
      <c r="N175" s="16"/>
      <c r="O175" s="16"/>
      <c r="P175" s="16"/>
      <c r="Q175" s="16"/>
      <c r="R175" s="16"/>
      <c r="S175" s="16"/>
      <c r="T175" s="16"/>
      <c r="U175" s="16"/>
      <c r="V175" s="16"/>
      <c r="W175" s="16"/>
      <c r="X175" s="16"/>
      <c r="Y175" s="16"/>
      <c r="Z175" s="16"/>
    </row>
    <row r="176" spans="1:26" ht="14.25" customHeight="1">
      <c r="A176" s="624"/>
      <c r="B176" s="253"/>
      <c r="C176" s="253"/>
      <c r="D176" s="253"/>
      <c r="E176" s="253"/>
      <c r="F176" s="253"/>
      <c r="G176" s="253"/>
      <c r="H176" s="625"/>
      <c r="I176" s="625"/>
      <c r="J176" s="16"/>
      <c r="K176" s="16"/>
      <c r="L176" s="16"/>
      <c r="M176" s="16"/>
      <c r="N176" s="16"/>
      <c r="O176" s="16"/>
      <c r="P176" s="16"/>
      <c r="Q176" s="16"/>
      <c r="R176" s="16"/>
      <c r="S176" s="16"/>
      <c r="T176" s="16"/>
      <c r="U176" s="16"/>
      <c r="V176" s="16"/>
      <c r="W176" s="16"/>
      <c r="X176" s="16"/>
      <c r="Y176" s="16"/>
      <c r="Z176" s="16"/>
    </row>
    <row r="177" spans="1:26" ht="14.25" customHeight="1">
      <c r="A177" s="624"/>
      <c r="B177" s="253"/>
      <c r="C177" s="253"/>
      <c r="D177" s="253"/>
      <c r="E177" s="253"/>
      <c r="F177" s="253"/>
      <c r="G177" s="253"/>
      <c r="H177" s="625"/>
      <c r="I177" s="625"/>
      <c r="J177" s="16"/>
      <c r="K177" s="16"/>
      <c r="L177" s="16"/>
      <c r="M177" s="16"/>
      <c r="N177" s="16"/>
      <c r="O177" s="16"/>
      <c r="P177" s="16"/>
      <c r="Q177" s="16"/>
      <c r="R177" s="16"/>
      <c r="S177" s="16"/>
      <c r="T177" s="16"/>
      <c r="U177" s="16"/>
      <c r="V177" s="16"/>
      <c r="W177" s="16"/>
      <c r="X177" s="16"/>
      <c r="Y177" s="16"/>
      <c r="Z177" s="16"/>
    </row>
    <row r="178" spans="1:26" ht="14.25" customHeight="1">
      <c r="A178" s="624"/>
      <c r="B178" s="253"/>
      <c r="C178" s="253"/>
      <c r="D178" s="253"/>
      <c r="E178" s="253"/>
      <c r="F178" s="253"/>
      <c r="G178" s="253"/>
      <c r="H178" s="625"/>
      <c r="I178" s="625"/>
      <c r="J178" s="16"/>
      <c r="K178" s="16"/>
      <c r="L178" s="16"/>
      <c r="M178" s="16"/>
      <c r="N178" s="16"/>
      <c r="O178" s="16"/>
      <c r="P178" s="16"/>
      <c r="Q178" s="16"/>
      <c r="R178" s="16"/>
      <c r="S178" s="16"/>
      <c r="T178" s="16"/>
      <c r="U178" s="16"/>
      <c r="V178" s="16"/>
      <c r="W178" s="16"/>
      <c r="X178" s="16"/>
      <c r="Y178" s="16"/>
      <c r="Z178" s="16"/>
    </row>
    <row r="179" spans="1:26" ht="14.25" customHeight="1">
      <c r="A179" s="624"/>
      <c r="B179" s="253"/>
      <c r="C179" s="253"/>
      <c r="D179" s="253"/>
      <c r="E179" s="253"/>
      <c r="F179" s="253"/>
      <c r="G179" s="253"/>
      <c r="H179" s="625"/>
      <c r="I179" s="625"/>
      <c r="J179" s="16"/>
      <c r="K179" s="16"/>
      <c r="L179" s="16"/>
      <c r="M179" s="16"/>
      <c r="N179" s="16"/>
      <c r="O179" s="16"/>
      <c r="P179" s="16"/>
      <c r="Q179" s="16"/>
      <c r="R179" s="16"/>
      <c r="S179" s="16"/>
      <c r="T179" s="16"/>
      <c r="U179" s="16"/>
      <c r="V179" s="16"/>
      <c r="W179" s="16"/>
      <c r="X179" s="16"/>
      <c r="Y179" s="16"/>
      <c r="Z179" s="16"/>
    </row>
    <row r="180" spans="1:26" ht="14.25" customHeight="1">
      <c r="A180" s="624"/>
      <c r="B180" s="253"/>
      <c r="C180" s="253"/>
      <c r="D180" s="253"/>
      <c r="E180" s="253"/>
      <c r="F180" s="253"/>
      <c r="G180" s="253"/>
      <c r="H180" s="625"/>
      <c r="I180" s="625"/>
      <c r="J180" s="16"/>
      <c r="K180" s="16"/>
      <c r="L180" s="16"/>
      <c r="M180" s="16"/>
      <c r="N180" s="16"/>
      <c r="O180" s="16"/>
      <c r="P180" s="16"/>
      <c r="Q180" s="16"/>
      <c r="R180" s="16"/>
      <c r="S180" s="16"/>
      <c r="T180" s="16"/>
      <c r="U180" s="16"/>
      <c r="V180" s="16"/>
      <c r="W180" s="16"/>
      <c r="X180" s="16"/>
      <c r="Y180" s="16"/>
      <c r="Z180" s="16"/>
    </row>
    <row r="181" spans="1:26" ht="14.25" customHeight="1">
      <c r="A181" s="624"/>
      <c r="B181" s="253"/>
      <c r="C181" s="253"/>
      <c r="D181" s="253"/>
      <c r="E181" s="253"/>
      <c r="F181" s="253"/>
      <c r="G181" s="253"/>
      <c r="H181" s="625"/>
      <c r="I181" s="625"/>
      <c r="J181" s="16"/>
      <c r="K181" s="16"/>
      <c r="L181" s="16"/>
      <c r="M181" s="16"/>
      <c r="N181" s="16"/>
      <c r="O181" s="16"/>
      <c r="P181" s="16"/>
      <c r="Q181" s="16"/>
      <c r="R181" s="16"/>
      <c r="S181" s="16"/>
      <c r="T181" s="16"/>
      <c r="U181" s="16"/>
      <c r="V181" s="16"/>
      <c r="W181" s="16"/>
      <c r="X181" s="16"/>
      <c r="Y181" s="16"/>
      <c r="Z181" s="16"/>
    </row>
    <row r="182" spans="1:26" ht="14.25" customHeight="1">
      <c r="A182" s="624"/>
      <c r="B182" s="253"/>
      <c r="C182" s="253"/>
      <c r="D182" s="253"/>
      <c r="E182" s="253"/>
      <c r="F182" s="253"/>
      <c r="G182" s="253"/>
      <c r="H182" s="625"/>
      <c r="I182" s="625"/>
      <c r="J182" s="16"/>
      <c r="K182" s="16"/>
      <c r="L182" s="16"/>
      <c r="M182" s="16"/>
      <c r="N182" s="16"/>
      <c r="O182" s="16"/>
      <c r="P182" s="16"/>
      <c r="Q182" s="16"/>
      <c r="R182" s="16"/>
      <c r="S182" s="16"/>
      <c r="T182" s="16"/>
      <c r="U182" s="16"/>
      <c r="V182" s="16"/>
      <c r="W182" s="16"/>
      <c r="X182" s="16"/>
      <c r="Y182" s="16"/>
      <c r="Z182" s="16"/>
    </row>
    <row r="183" spans="1:26" ht="14.25" customHeight="1">
      <c r="A183" s="624"/>
      <c r="B183" s="253"/>
      <c r="C183" s="253"/>
      <c r="D183" s="253"/>
      <c r="E183" s="253"/>
      <c r="F183" s="253"/>
      <c r="G183" s="253"/>
      <c r="H183" s="625"/>
      <c r="I183" s="625"/>
      <c r="J183" s="16"/>
      <c r="K183" s="16"/>
      <c r="L183" s="16"/>
      <c r="M183" s="16"/>
      <c r="N183" s="16"/>
      <c r="O183" s="16"/>
      <c r="P183" s="16"/>
      <c r="Q183" s="16"/>
      <c r="R183" s="16"/>
      <c r="S183" s="16"/>
      <c r="T183" s="16"/>
      <c r="U183" s="16"/>
      <c r="V183" s="16"/>
      <c r="W183" s="16"/>
      <c r="X183" s="16"/>
      <c r="Y183" s="16"/>
      <c r="Z183" s="16"/>
    </row>
    <row r="184" spans="1:26" ht="14.25" customHeight="1">
      <c r="A184" s="624"/>
      <c r="B184" s="253"/>
      <c r="C184" s="253"/>
      <c r="D184" s="253"/>
      <c r="E184" s="253"/>
      <c r="F184" s="253"/>
      <c r="G184" s="253"/>
      <c r="H184" s="625"/>
      <c r="I184" s="625"/>
      <c r="J184" s="16"/>
      <c r="K184" s="16"/>
      <c r="L184" s="16"/>
      <c r="M184" s="16"/>
      <c r="N184" s="16"/>
      <c r="O184" s="16"/>
      <c r="P184" s="16"/>
      <c r="Q184" s="16"/>
      <c r="R184" s="16"/>
      <c r="S184" s="16"/>
      <c r="T184" s="16"/>
      <c r="U184" s="16"/>
      <c r="V184" s="16"/>
      <c r="W184" s="16"/>
      <c r="X184" s="16"/>
      <c r="Y184" s="16"/>
      <c r="Z184" s="16"/>
    </row>
    <row r="185" spans="1:26" ht="14.25" customHeight="1">
      <c r="A185" s="624"/>
      <c r="B185" s="253"/>
      <c r="C185" s="253"/>
      <c r="D185" s="253"/>
      <c r="E185" s="253"/>
      <c r="F185" s="253"/>
      <c r="G185" s="253"/>
      <c r="H185" s="625"/>
      <c r="I185" s="625"/>
      <c r="J185" s="16"/>
      <c r="K185" s="16"/>
      <c r="L185" s="16"/>
      <c r="M185" s="16"/>
      <c r="N185" s="16"/>
      <c r="O185" s="16"/>
      <c r="P185" s="16"/>
      <c r="Q185" s="16"/>
      <c r="R185" s="16"/>
      <c r="S185" s="16"/>
      <c r="T185" s="16"/>
      <c r="U185" s="16"/>
      <c r="V185" s="16"/>
      <c r="W185" s="16"/>
      <c r="X185" s="16"/>
      <c r="Y185" s="16"/>
      <c r="Z185" s="16"/>
    </row>
    <row r="186" spans="1:26" ht="14.25" customHeight="1">
      <c r="A186" s="624"/>
      <c r="B186" s="253"/>
      <c r="C186" s="253"/>
      <c r="D186" s="253"/>
      <c r="E186" s="253"/>
      <c r="F186" s="253"/>
      <c r="G186" s="253"/>
      <c r="H186" s="625"/>
      <c r="I186" s="625"/>
      <c r="J186" s="16"/>
      <c r="K186" s="16"/>
      <c r="L186" s="16"/>
      <c r="M186" s="16"/>
      <c r="N186" s="16"/>
      <c r="O186" s="16"/>
      <c r="P186" s="16"/>
      <c r="Q186" s="16"/>
      <c r="R186" s="16"/>
      <c r="S186" s="16"/>
      <c r="T186" s="16"/>
      <c r="U186" s="16"/>
      <c r="V186" s="16"/>
      <c r="W186" s="16"/>
      <c r="X186" s="16"/>
      <c r="Y186" s="16"/>
      <c r="Z186" s="16"/>
    </row>
    <row r="187" spans="1:26" ht="14.25" customHeight="1">
      <c r="A187" s="624"/>
      <c r="B187" s="253"/>
      <c r="C187" s="253"/>
      <c r="D187" s="253"/>
      <c r="E187" s="253"/>
      <c r="F187" s="253"/>
      <c r="G187" s="253"/>
      <c r="H187" s="625"/>
      <c r="I187" s="625"/>
      <c r="J187" s="16"/>
      <c r="K187" s="16"/>
      <c r="L187" s="16"/>
      <c r="M187" s="16"/>
      <c r="N187" s="16"/>
      <c r="O187" s="16"/>
      <c r="P187" s="16"/>
      <c r="Q187" s="16"/>
      <c r="R187" s="16"/>
      <c r="S187" s="16"/>
      <c r="T187" s="16"/>
      <c r="U187" s="16"/>
      <c r="V187" s="16"/>
      <c r="W187" s="16"/>
      <c r="X187" s="16"/>
      <c r="Y187" s="16"/>
      <c r="Z187" s="16"/>
    </row>
    <row r="188" spans="1:26" ht="14.25" customHeight="1">
      <c r="A188" s="624"/>
      <c r="B188" s="253"/>
      <c r="C188" s="253"/>
      <c r="D188" s="253"/>
      <c r="E188" s="253"/>
      <c r="F188" s="253"/>
      <c r="G188" s="253"/>
      <c r="H188" s="625"/>
      <c r="I188" s="625"/>
      <c r="J188" s="16"/>
      <c r="K188" s="16"/>
      <c r="L188" s="16"/>
      <c r="M188" s="16"/>
      <c r="N188" s="16"/>
      <c r="O188" s="16"/>
      <c r="P188" s="16"/>
      <c r="Q188" s="16"/>
      <c r="R188" s="16"/>
      <c r="S188" s="16"/>
      <c r="T188" s="16"/>
      <c r="U188" s="16"/>
      <c r="V188" s="16"/>
      <c r="W188" s="16"/>
      <c r="X188" s="16"/>
      <c r="Y188" s="16"/>
      <c r="Z188" s="16"/>
    </row>
    <row r="189" spans="1:26" ht="14.25" customHeight="1">
      <c r="A189" s="624"/>
      <c r="B189" s="253"/>
      <c r="C189" s="253"/>
      <c r="D189" s="253"/>
      <c r="E189" s="253"/>
      <c r="F189" s="253"/>
      <c r="G189" s="253"/>
      <c r="H189" s="625"/>
      <c r="I189" s="625"/>
      <c r="J189" s="16"/>
      <c r="K189" s="16"/>
      <c r="L189" s="16"/>
      <c r="M189" s="16"/>
      <c r="N189" s="16"/>
      <c r="O189" s="16"/>
      <c r="P189" s="16"/>
      <c r="Q189" s="16"/>
      <c r="R189" s="16"/>
      <c r="S189" s="16"/>
      <c r="T189" s="16"/>
      <c r="U189" s="16"/>
      <c r="V189" s="16"/>
      <c r="W189" s="16"/>
      <c r="X189" s="16"/>
      <c r="Y189" s="16"/>
      <c r="Z189" s="16"/>
    </row>
    <row r="190" spans="1:26" ht="14.25" customHeight="1">
      <c r="A190" s="624"/>
      <c r="B190" s="253"/>
      <c r="C190" s="253"/>
      <c r="D190" s="253"/>
      <c r="E190" s="253"/>
      <c r="F190" s="253"/>
      <c r="G190" s="253"/>
      <c r="H190" s="625"/>
      <c r="I190" s="625"/>
      <c r="J190" s="16"/>
      <c r="K190" s="16"/>
      <c r="L190" s="16"/>
      <c r="M190" s="16"/>
      <c r="N190" s="16"/>
      <c r="O190" s="16"/>
      <c r="P190" s="16"/>
      <c r="Q190" s="16"/>
      <c r="R190" s="16"/>
      <c r="S190" s="16"/>
      <c r="T190" s="16"/>
      <c r="U190" s="16"/>
      <c r="V190" s="16"/>
      <c r="W190" s="16"/>
      <c r="X190" s="16"/>
      <c r="Y190" s="16"/>
      <c r="Z190" s="16"/>
    </row>
    <row r="191" spans="1:26" ht="14.25" customHeight="1">
      <c r="A191" s="624"/>
      <c r="B191" s="253"/>
      <c r="C191" s="253"/>
      <c r="D191" s="253"/>
      <c r="E191" s="253"/>
      <c r="F191" s="253"/>
      <c r="G191" s="253"/>
      <c r="H191" s="625"/>
      <c r="I191" s="625"/>
      <c r="J191" s="16"/>
      <c r="K191" s="16"/>
      <c r="L191" s="16"/>
      <c r="M191" s="16"/>
      <c r="N191" s="16"/>
      <c r="O191" s="16"/>
      <c r="P191" s="16"/>
      <c r="Q191" s="16"/>
      <c r="R191" s="16"/>
      <c r="S191" s="16"/>
      <c r="T191" s="16"/>
      <c r="U191" s="16"/>
      <c r="V191" s="16"/>
      <c r="W191" s="16"/>
      <c r="X191" s="16"/>
      <c r="Y191" s="16"/>
      <c r="Z191" s="16"/>
    </row>
    <row r="192" spans="1:26" ht="14.25" customHeight="1">
      <c r="A192" s="624"/>
      <c r="B192" s="253"/>
      <c r="C192" s="253"/>
      <c r="D192" s="253"/>
      <c r="E192" s="253"/>
      <c r="F192" s="253"/>
      <c r="G192" s="253"/>
      <c r="H192" s="625"/>
      <c r="I192" s="625"/>
      <c r="J192" s="16"/>
      <c r="K192" s="16"/>
      <c r="L192" s="16"/>
      <c r="M192" s="16"/>
      <c r="N192" s="16"/>
      <c r="O192" s="16"/>
      <c r="P192" s="16"/>
      <c r="Q192" s="16"/>
      <c r="R192" s="16"/>
      <c r="S192" s="16"/>
      <c r="T192" s="16"/>
      <c r="U192" s="16"/>
      <c r="V192" s="16"/>
      <c r="W192" s="16"/>
      <c r="X192" s="16"/>
      <c r="Y192" s="16"/>
      <c r="Z192" s="16"/>
    </row>
    <row r="193" spans="1:26" ht="14.25" customHeight="1">
      <c r="A193" s="624"/>
      <c r="B193" s="253"/>
      <c r="C193" s="253"/>
      <c r="D193" s="253"/>
      <c r="E193" s="253"/>
      <c r="F193" s="253"/>
      <c r="G193" s="253"/>
      <c r="H193" s="625"/>
      <c r="I193" s="625"/>
      <c r="J193" s="16"/>
      <c r="K193" s="16"/>
      <c r="L193" s="16"/>
      <c r="M193" s="16"/>
      <c r="N193" s="16"/>
      <c r="O193" s="16"/>
      <c r="P193" s="16"/>
      <c r="Q193" s="16"/>
      <c r="R193" s="16"/>
      <c r="S193" s="16"/>
      <c r="T193" s="16"/>
      <c r="U193" s="16"/>
      <c r="V193" s="16"/>
      <c r="W193" s="16"/>
      <c r="X193" s="16"/>
      <c r="Y193" s="16"/>
      <c r="Z193" s="16"/>
    </row>
    <row r="194" spans="1:26" ht="14.25" customHeight="1">
      <c r="A194" s="624"/>
      <c r="B194" s="253"/>
      <c r="C194" s="253"/>
      <c r="D194" s="253"/>
      <c r="E194" s="253"/>
      <c r="F194" s="253"/>
      <c r="G194" s="253"/>
      <c r="H194" s="625"/>
      <c r="I194" s="625"/>
      <c r="J194" s="16"/>
      <c r="K194" s="16"/>
      <c r="L194" s="16"/>
      <c r="M194" s="16"/>
      <c r="N194" s="16"/>
      <c r="O194" s="16"/>
      <c r="P194" s="16"/>
      <c r="Q194" s="16"/>
      <c r="R194" s="16"/>
      <c r="S194" s="16"/>
      <c r="T194" s="16"/>
      <c r="U194" s="16"/>
      <c r="V194" s="16"/>
      <c r="W194" s="16"/>
      <c r="X194" s="16"/>
      <c r="Y194" s="16"/>
      <c r="Z194" s="16"/>
    </row>
    <row r="195" spans="1:26" ht="14.25" customHeight="1">
      <c r="A195" s="624"/>
      <c r="B195" s="253"/>
      <c r="C195" s="253"/>
      <c r="D195" s="253"/>
      <c r="E195" s="253"/>
      <c r="F195" s="253"/>
      <c r="G195" s="253"/>
      <c r="H195" s="625"/>
      <c r="I195" s="625"/>
      <c r="J195" s="16"/>
      <c r="K195" s="16"/>
      <c r="L195" s="16"/>
      <c r="M195" s="16"/>
      <c r="N195" s="16"/>
      <c r="O195" s="16"/>
      <c r="P195" s="16"/>
      <c r="Q195" s="16"/>
      <c r="R195" s="16"/>
      <c r="S195" s="16"/>
      <c r="T195" s="16"/>
      <c r="U195" s="16"/>
      <c r="V195" s="16"/>
      <c r="W195" s="16"/>
      <c r="X195" s="16"/>
      <c r="Y195" s="16"/>
      <c r="Z195" s="16"/>
    </row>
    <row r="196" spans="1:26" ht="14.25" customHeight="1">
      <c r="A196" s="624"/>
      <c r="B196" s="253"/>
      <c r="C196" s="253"/>
      <c r="D196" s="253"/>
      <c r="E196" s="253"/>
      <c r="F196" s="253"/>
      <c r="G196" s="253"/>
      <c r="H196" s="625"/>
      <c r="I196" s="625"/>
      <c r="J196" s="16"/>
      <c r="K196" s="16"/>
      <c r="L196" s="16"/>
      <c r="M196" s="16"/>
      <c r="N196" s="16"/>
      <c r="O196" s="16"/>
      <c r="P196" s="16"/>
      <c r="Q196" s="16"/>
      <c r="R196" s="16"/>
      <c r="S196" s="16"/>
      <c r="T196" s="16"/>
      <c r="U196" s="16"/>
      <c r="V196" s="16"/>
      <c r="W196" s="16"/>
      <c r="X196" s="16"/>
      <c r="Y196" s="16"/>
      <c r="Z196" s="16"/>
    </row>
    <row r="197" spans="1:26" ht="14.25" customHeight="1">
      <c r="A197" s="624"/>
      <c r="B197" s="253"/>
      <c r="C197" s="253"/>
      <c r="D197" s="253"/>
      <c r="E197" s="253"/>
      <c r="F197" s="253"/>
      <c r="G197" s="253"/>
      <c r="H197" s="625"/>
      <c r="I197" s="625"/>
      <c r="J197" s="16"/>
      <c r="K197" s="16"/>
      <c r="L197" s="16"/>
      <c r="M197" s="16"/>
      <c r="N197" s="16"/>
      <c r="O197" s="16"/>
      <c r="P197" s="16"/>
      <c r="Q197" s="16"/>
      <c r="R197" s="16"/>
      <c r="S197" s="16"/>
      <c r="T197" s="16"/>
      <c r="U197" s="16"/>
      <c r="V197" s="16"/>
      <c r="W197" s="16"/>
      <c r="X197" s="16"/>
      <c r="Y197" s="16"/>
      <c r="Z197" s="16"/>
    </row>
    <row r="198" spans="1:26" ht="14.25" customHeight="1">
      <c r="A198" s="624"/>
      <c r="B198" s="253"/>
      <c r="C198" s="253"/>
      <c r="D198" s="253"/>
      <c r="E198" s="253"/>
      <c r="F198" s="253"/>
      <c r="G198" s="253"/>
      <c r="H198" s="625"/>
      <c r="I198" s="625"/>
      <c r="J198" s="16"/>
      <c r="K198" s="16"/>
      <c r="L198" s="16"/>
      <c r="M198" s="16"/>
      <c r="N198" s="16"/>
      <c r="O198" s="16"/>
      <c r="P198" s="16"/>
      <c r="Q198" s="16"/>
      <c r="R198" s="16"/>
      <c r="S198" s="16"/>
      <c r="T198" s="16"/>
      <c r="U198" s="16"/>
      <c r="V198" s="16"/>
      <c r="W198" s="16"/>
      <c r="X198" s="16"/>
      <c r="Y198" s="16"/>
      <c r="Z198" s="16"/>
    </row>
    <row r="199" spans="1:26" ht="14.25" customHeight="1">
      <c r="A199" s="624"/>
      <c r="B199" s="253"/>
      <c r="C199" s="253"/>
      <c r="D199" s="253"/>
      <c r="E199" s="253"/>
      <c r="F199" s="253"/>
      <c r="G199" s="253"/>
      <c r="H199" s="625"/>
      <c r="I199" s="625"/>
      <c r="J199" s="16"/>
      <c r="K199" s="16"/>
      <c r="L199" s="16"/>
      <c r="M199" s="16"/>
      <c r="N199" s="16"/>
      <c r="O199" s="16"/>
      <c r="P199" s="16"/>
      <c r="Q199" s="16"/>
      <c r="R199" s="16"/>
      <c r="S199" s="16"/>
      <c r="T199" s="16"/>
      <c r="U199" s="16"/>
      <c r="V199" s="16"/>
      <c r="W199" s="16"/>
      <c r="X199" s="16"/>
      <c r="Y199" s="16"/>
      <c r="Z199" s="16"/>
    </row>
    <row r="200" spans="1:26" ht="14.25" customHeight="1">
      <c r="A200" s="624"/>
      <c r="B200" s="253"/>
      <c r="C200" s="253"/>
      <c r="D200" s="253"/>
      <c r="E200" s="253"/>
      <c r="F200" s="253"/>
      <c r="G200" s="253"/>
      <c r="H200" s="625"/>
      <c r="I200" s="625"/>
      <c r="J200" s="16"/>
      <c r="K200" s="16"/>
      <c r="L200" s="16"/>
      <c r="M200" s="16"/>
      <c r="N200" s="16"/>
      <c r="O200" s="16"/>
      <c r="P200" s="16"/>
      <c r="Q200" s="16"/>
      <c r="R200" s="16"/>
      <c r="S200" s="16"/>
      <c r="T200" s="16"/>
      <c r="U200" s="16"/>
      <c r="V200" s="16"/>
      <c r="W200" s="16"/>
      <c r="X200" s="16"/>
      <c r="Y200" s="16"/>
      <c r="Z200" s="16"/>
    </row>
    <row r="201" spans="1:26" ht="14.25" customHeight="1">
      <c r="A201" s="624"/>
      <c r="B201" s="253"/>
      <c r="C201" s="253"/>
      <c r="D201" s="253"/>
      <c r="E201" s="253"/>
      <c r="F201" s="253"/>
      <c r="G201" s="253"/>
      <c r="H201" s="625"/>
      <c r="I201" s="625"/>
      <c r="J201" s="16"/>
      <c r="K201" s="16"/>
      <c r="L201" s="16"/>
      <c r="M201" s="16"/>
      <c r="N201" s="16"/>
      <c r="O201" s="16"/>
      <c r="P201" s="16"/>
      <c r="Q201" s="16"/>
      <c r="R201" s="16"/>
      <c r="S201" s="16"/>
      <c r="T201" s="16"/>
      <c r="U201" s="16"/>
      <c r="V201" s="16"/>
      <c r="W201" s="16"/>
      <c r="X201" s="16"/>
      <c r="Y201" s="16"/>
      <c r="Z201" s="16"/>
    </row>
    <row r="202" spans="1:26" ht="14.25" customHeight="1">
      <c r="A202" s="624"/>
      <c r="B202" s="253"/>
      <c r="C202" s="253"/>
      <c r="D202" s="253"/>
      <c r="E202" s="253"/>
      <c r="F202" s="253"/>
      <c r="G202" s="253"/>
      <c r="H202" s="625"/>
      <c r="I202" s="625"/>
      <c r="J202" s="16"/>
      <c r="K202" s="16"/>
      <c r="L202" s="16"/>
      <c r="M202" s="16"/>
      <c r="N202" s="16"/>
      <c r="O202" s="16"/>
      <c r="P202" s="16"/>
      <c r="Q202" s="16"/>
      <c r="R202" s="16"/>
      <c r="S202" s="16"/>
      <c r="T202" s="16"/>
      <c r="U202" s="16"/>
      <c r="V202" s="16"/>
      <c r="W202" s="16"/>
      <c r="X202" s="16"/>
      <c r="Y202" s="16"/>
      <c r="Z202" s="16"/>
    </row>
    <row r="203" spans="1:26" ht="14.25" customHeight="1">
      <c r="A203" s="624"/>
      <c r="B203" s="253"/>
      <c r="C203" s="253"/>
      <c r="D203" s="253"/>
      <c r="E203" s="253"/>
      <c r="F203" s="253"/>
      <c r="G203" s="253"/>
      <c r="H203" s="625"/>
      <c r="I203" s="625"/>
      <c r="J203" s="16"/>
      <c r="K203" s="16"/>
      <c r="L203" s="16"/>
      <c r="M203" s="16"/>
      <c r="N203" s="16"/>
      <c r="O203" s="16"/>
      <c r="P203" s="16"/>
      <c r="Q203" s="16"/>
      <c r="R203" s="16"/>
      <c r="S203" s="16"/>
      <c r="T203" s="16"/>
      <c r="U203" s="16"/>
      <c r="V203" s="16"/>
      <c r="W203" s="16"/>
      <c r="X203" s="16"/>
      <c r="Y203" s="16"/>
      <c r="Z203" s="16"/>
    </row>
    <row r="204" spans="1:26" ht="14.25" customHeight="1">
      <c r="A204" s="624"/>
      <c r="B204" s="253"/>
      <c r="C204" s="253"/>
      <c r="D204" s="253"/>
      <c r="E204" s="253"/>
      <c r="F204" s="253"/>
      <c r="G204" s="253"/>
      <c r="H204" s="625"/>
      <c r="I204" s="625"/>
      <c r="J204" s="16"/>
      <c r="K204" s="16"/>
      <c r="L204" s="16"/>
      <c r="M204" s="16"/>
      <c r="N204" s="16"/>
      <c r="O204" s="16"/>
      <c r="P204" s="16"/>
      <c r="Q204" s="16"/>
      <c r="R204" s="16"/>
      <c r="S204" s="16"/>
      <c r="T204" s="16"/>
      <c r="U204" s="16"/>
      <c r="V204" s="16"/>
      <c r="W204" s="16"/>
      <c r="X204" s="16"/>
      <c r="Y204" s="16"/>
      <c r="Z204" s="16"/>
    </row>
    <row r="205" spans="1:26" ht="14.25" customHeight="1">
      <c r="A205" s="624"/>
      <c r="B205" s="253"/>
      <c r="C205" s="253"/>
      <c r="D205" s="253"/>
      <c r="E205" s="253"/>
      <c r="F205" s="253"/>
      <c r="G205" s="253"/>
      <c r="H205" s="625"/>
      <c r="I205" s="625"/>
      <c r="J205" s="16"/>
      <c r="K205" s="16"/>
      <c r="L205" s="16"/>
      <c r="M205" s="16"/>
      <c r="N205" s="16"/>
      <c r="O205" s="16"/>
      <c r="P205" s="16"/>
      <c r="Q205" s="16"/>
      <c r="R205" s="16"/>
      <c r="S205" s="16"/>
      <c r="T205" s="16"/>
      <c r="U205" s="16"/>
      <c r="V205" s="16"/>
      <c r="W205" s="16"/>
      <c r="X205" s="16"/>
      <c r="Y205" s="16"/>
      <c r="Z205" s="16"/>
    </row>
    <row r="206" spans="1:26" ht="14.25" customHeight="1">
      <c r="A206" s="624"/>
      <c r="B206" s="253"/>
      <c r="C206" s="253"/>
      <c r="D206" s="253"/>
      <c r="E206" s="253"/>
      <c r="F206" s="253"/>
      <c r="G206" s="253"/>
      <c r="H206" s="625"/>
      <c r="I206" s="625"/>
      <c r="J206" s="16"/>
      <c r="K206" s="16"/>
      <c r="L206" s="16"/>
      <c r="M206" s="16"/>
      <c r="N206" s="16"/>
      <c r="O206" s="16"/>
      <c r="P206" s="16"/>
      <c r="Q206" s="16"/>
      <c r="R206" s="16"/>
      <c r="S206" s="16"/>
      <c r="T206" s="16"/>
      <c r="U206" s="16"/>
      <c r="V206" s="16"/>
      <c r="W206" s="16"/>
      <c r="X206" s="16"/>
      <c r="Y206" s="16"/>
      <c r="Z206" s="16"/>
    </row>
    <row r="207" spans="1:26" ht="14.25" customHeight="1">
      <c r="A207" s="624"/>
      <c r="B207" s="253"/>
      <c r="C207" s="253"/>
      <c r="D207" s="253"/>
      <c r="E207" s="253"/>
      <c r="F207" s="253"/>
      <c r="G207" s="253"/>
      <c r="H207" s="625"/>
      <c r="I207" s="625"/>
      <c r="J207" s="16"/>
      <c r="K207" s="16"/>
      <c r="L207" s="16"/>
      <c r="M207" s="16"/>
      <c r="N207" s="16"/>
      <c r="O207" s="16"/>
      <c r="P207" s="16"/>
      <c r="Q207" s="16"/>
      <c r="R207" s="16"/>
      <c r="S207" s="16"/>
      <c r="T207" s="16"/>
      <c r="U207" s="16"/>
      <c r="V207" s="16"/>
      <c r="W207" s="16"/>
      <c r="X207" s="16"/>
      <c r="Y207" s="16"/>
      <c r="Z207" s="16"/>
    </row>
    <row r="208" spans="1:26" ht="14.25" customHeight="1">
      <c r="A208" s="624"/>
      <c r="B208" s="253"/>
      <c r="C208" s="253"/>
      <c r="D208" s="253"/>
      <c r="E208" s="253"/>
      <c r="F208" s="253"/>
      <c r="G208" s="253"/>
      <c r="H208" s="625"/>
      <c r="I208" s="625"/>
      <c r="J208" s="16"/>
      <c r="K208" s="16"/>
      <c r="L208" s="16"/>
      <c r="M208" s="16"/>
      <c r="N208" s="16"/>
      <c r="O208" s="16"/>
      <c r="P208" s="16"/>
      <c r="Q208" s="16"/>
      <c r="R208" s="16"/>
      <c r="S208" s="16"/>
      <c r="T208" s="16"/>
      <c r="U208" s="16"/>
      <c r="V208" s="16"/>
      <c r="W208" s="16"/>
      <c r="X208" s="16"/>
      <c r="Y208" s="16"/>
      <c r="Z208" s="16"/>
    </row>
    <row r="209" spans="1:26" ht="14.25" customHeight="1">
      <c r="A209" s="624"/>
      <c r="B209" s="253"/>
      <c r="C209" s="253"/>
      <c r="D209" s="253"/>
      <c r="E209" s="253"/>
      <c r="F209" s="253"/>
      <c r="G209" s="253"/>
      <c r="H209" s="625"/>
      <c r="I209" s="625"/>
      <c r="J209" s="16"/>
      <c r="K209" s="16"/>
      <c r="L209" s="16"/>
      <c r="M209" s="16"/>
      <c r="N209" s="16"/>
      <c r="O209" s="16"/>
      <c r="P209" s="16"/>
      <c r="Q209" s="16"/>
      <c r="R209" s="16"/>
      <c r="S209" s="16"/>
      <c r="T209" s="16"/>
      <c r="U209" s="16"/>
      <c r="V209" s="16"/>
      <c r="W209" s="16"/>
      <c r="X209" s="16"/>
      <c r="Y209" s="16"/>
      <c r="Z209" s="16"/>
    </row>
    <row r="210" spans="1:26" ht="14.25" customHeight="1">
      <c r="A210" s="624"/>
      <c r="B210" s="253"/>
      <c r="C210" s="253"/>
      <c r="D210" s="253"/>
      <c r="E210" s="253"/>
      <c r="F210" s="253"/>
      <c r="G210" s="253"/>
      <c r="H210" s="625"/>
      <c r="I210" s="625"/>
      <c r="J210" s="16"/>
      <c r="K210" s="16"/>
      <c r="L210" s="16"/>
      <c r="M210" s="16"/>
      <c r="N210" s="16"/>
      <c r="O210" s="16"/>
      <c r="P210" s="16"/>
      <c r="Q210" s="16"/>
      <c r="R210" s="16"/>
      <c r="S210" s="16"/>
      <c r="T210" s="16"/>
      <c r="U210" s="16"/>
      <c r="V210" s="16"/>
      <c r="W210" s="16"/>
      <c r="X210" s="16"/>
      <c r="Y210" s="16"/>
      <c r="Z210" s="16"/>
    </row>
    <row r="211" spans="1:26" ht="14.25" customHeight="1">
      <c r="A211" s="624"/>
      <c r="B211" s="253"/>
      <c r="C211" s="253"/>
      <c r="D211" s="253"/>
      <c r="E211" s="253"/>
      <c r="F211" s="253"/>
      <c r="G211" s="253"/>
      <c r="H211" s="625"/>
      <c r="I211" s="625"/>
      <c r="J211" s="16"/>
      <c r="K211" s="16"/>
      <c r="L211" s="16"/>
      <c r="M211" s="16"/>
      <c r="N211" s="16"/>
      <c r="O211" s="16"/>
      <c r="P211" s="16"/>
      <c r="Q211" s="16"/>
      <c r="R211" s="16"/>
      <c r="S211" s="16"/>
      <c r="T211" s="16"/>
      <c r="U211" s="16"/>
      <c r="V211" s="16"/>
      <c r="W211" s="16"/>
      <c r="X211" s="16"/>
      <c r="Y211" s="16"/>
      <c r="Z211" s="16"/>
    </row>
    <row r="212" spans="1:26" ht="14.25" customHeight="1">
      <c r="A212" s="624"/>
      <c r="B212" s="253"/>
      <c r="C212" s="253"/>
      <c r="D212" s="253"/>
      <c r="E212" s="253"/>
      <c r="F212" s="253"/>
      <c r="G212" s="253"/>
      <c r="H212" s="625"/>
      <c r="I212" s="625"/>
      <c r="J212" s="16"/>
      <c r="K212" s="16"/>
      <c r="L212" s="16"/>
      <c r="M212" s="16"/>
      <c r="N212" s="16"/>
      <c r="O212" s="16"/>
      <c r="P212" s="16"/>
      <c r="Q212" s="16"/>
      <c r="R212" s="16"/>
      <c r="S212" s="16"/>
      <c r="T212" s="16"/>
      <c r="U212" s="16"/>
      <c r="V212" s="16"/>
      <c r="W212" s="16"/>
      <c r="X212" s="16"/>
      <c r="Y212" s="16"/>
      <c r="Z212" s="16"/>
    </row>
    <row r="213" spans="1:26" ht="14.25" customHeight="1">
      <c r="A213" s="624"/>
      <c r="B213" s="253"/>
      <c r="C213" s="253"/>
      <c r="D213" s="253"/>
      <c r="E213" s="253"/>
      <c r="F213" s="253"/>
      <c r="G213" s="253"/>
      <c r="H213" s="625"/>
      <c r="I213" s="625"/>
      <c r="J213" s="16"/>
      <c r="K213" s="16"/>
      <c r="L213" s="16"/>
      <c r="M213" s="16"/>
      <c r="N213" s="16"/>
      <c r="O213" s="16"/>
      <c r="P213" s="16"/>
      <c r="Q213" s="16"/>
      <c r="R213" s="16"/>
      <c r="S213" s="16"/>
      <c r="T213" s="16"/>
      <c r="U213" s="16"/>
      <c r="V213" s="16"/>
      <c r="W213" s="16"/>
      <c r="X213" s="16"/>
      <c r="Y213" s="16"/>
      <c r="Z213" s="16"/>
    </row>
    <row r="214" spans="1:26" ht="14.25" customHeight="1">
      <c r="A214" s="624"/>
      <c r="B214" s="253"/>
      <c r="C214" s="253"/>
      <c r="D214" s="253"/>
      <c r="E214" s="253"/>
      <c r="F214" s="253"/>
      <c r="G214" s="253"/>
      <c r="H214" s="625"/>
      <c r="I214" s="625"/>
      <c r="J214" s="16"/>
      <c r="K214" s="16"/>
      <c r="L214" s="16"/>
      <c r="M214" s="16"/>
      <c r="N214" s="16"/>
      <c r="O214" s="16"/>
      <c r="P214" s="16"/>
      <c r="Q214" s="16"/>
      <c r="R214" s="16"/>
      <c r="S214" s="16"/>
      <c r="T214" s="16"/>
      <c r="U214" s="16"/>
      <c r="V214" s="16"/>
      <c r="W214" s="16"/>
      <c r="X214" s="16"/>
      <c r="Y214" s="16"/>
      <c r="Z214" s="16"/>
    </row>
    <row r="215" spans="1:26" ht="14.25" customHeight="1">
      <c r="A215" s="624"/>
      <c r="B215" s="253"/>
      <c r="C215" s="253"/>
      <c r="D215" s="253"/>
      <c r="E215" s="253"/>
      <c r="F215" s="253"/>
      <c r="G215" s="253"/>
      <c r="H215" s="625"/>
      <c r="I215" s="625"/>
      <c r="J215" s="16"/>
      <c r="K215" s="16"/>
      <c r="L215" s="16"/>
      <c r="M215" s="16"/>
      <c r="N215" s="16"/>
      <c r="O215" s="16"/>
      <c r="P215" s="16"/>
      <c r="Q215" s="16"/>
      <c r="R215" s="16"/>
      <c r="S215" s="16"/>
      <c r="T215" s="16"/>
      <c r="U215" s="16"/>
      <c r="V215" s="16"/>
      <c r="W215" s="16"/>
      <c r="X215" s="16"/>
      <c r="Y215" s="16"/>
      <c r="Z215" s="16"/>
    </row>
    <row r="216" spans="1:26" ht="14.25" customHeight="1">
      <c r="A216" s="624"/>
      <c r="B216" s="253"/>
      <c r="C216" s="253"/>
      <c r="D216" s="253"/>
      <c r="E216" s="253"/>
      <c r="F216" s="253"/>
      <c r="G216" s="253"/>
      <c r="H216" s="625"/>
      <c r="I216" s="625"/>
      <c r="J216" s="16"/>
      <c r="K216" s="16"/>
      <c r="L216" s="16"/>
      <c r="M216" s="16"/>
      <c r="N216" s="16"/>
      <c r="O216" s="16"/>
      <c r="P216" s="16"/>
      <c r="Q216" s="16"/>
      <c r="R216" s="16"/>
      <c r="S216" s="16"/>
      <c r="T216" s="16"/>
      <c r="U216" s="16"/>
      <c r="V216" s="16"/>
      <c r="W216" s="16"/>
      <c r="X216" s="16"/>
      <c r="Y216" s="16"/>
      <c r="Z216" s="16"/>
    </row>
    <row r="217" spans="1:26" ht="14.25" customHeight="1">
      <c r="A217" s="624"/>
      <c r="B217" s="253"/>
      <c r="C217" s="253"/>
      <c r="D217" s="253"/>
      <c r="E217" s="253"/>
      <c r="F217" s="253"/>
      <c r="G217" s="253"/>
      <c r="H217" s="625"/>
      <c r="I217" s="625"/>
      <c r="J217" s="16"/>
      <c r="K217" s="16"/>
      <c r="L217" s="16"/>
      <c r="M217" s="16"/>
      <c r="N217" s="16"/>
      <c r="O217" s="16"/>
      <c r="P217" s="16"/>
      <c r="Q217" s="16"/>
      <c r="R217" s="16"/>
      <c r="S217" s="16"/>
      <c r="T217" s="16"/>
      <c r="U217" s="16"/>
      <c r="V217" s="16"/>
      <c r="W217" s="16"/>
      <c r="X217" s="16"/>
      <c r="Y217" s="16"/>
      <c r="Z217" s="16"/>
    </row>
    <row r="218" spans="1:26" ht="14.25" customHeight="1">
      <c r="A218" s="624"/>
      <c r="B218" s="253"/>
      <c r="C218" s="253"/>
      <c r="D218" s="253"/>
      <c r="E218" s="253"/>
      <c r="F218" s="253"/>
      <c r="G218" s="253"/>
      <c r="H218" s="625"/>
      <c r="I218" s="625"/>
      <c r="J218" s="16"/>
      <c r="K218" s="16"/>
      <c r="L218" s="16"/>
      <c r="M218" s="16"/>
      <c r="N218" s="16"/>
      <c r="O218" s="16"/>
      <c r="P218" s="16"/>
      <c r="Q218" s="16"/>
      <c r="R218" s="16"/>
      <c r="S218" s="16"/>
      <c r="T218" s="16"/>
      <c r="U218" s="16"/>
      <c r="V218" s="16"/>
      <c r="W218" s="16"/>
      <c r="X218" s="16"/>
      <c r="Y218" s="16"/>
      <c r="Z218" s="16"/>
    </row>
    <row r="219" spans="1:26" ht="14.25" customHeight="1">
      <c r="A219" s="624"/>
      <c r="B219" s="253"/>
      <c r="C219" s="253"/>
      <c r="D219" s="253"/>
      <c r="E219" s="253"/>
      <c r="F219" s="253"/>
      <c r="G219" s="253"/>
      <c r="H219" s="625"/>
      <c r="I219" s="625"/>
      <c r="J219" s="16"/>
      <c r="K219" s="16"/>
      <c r="L219" s="16"/>
      <c r="M219" s="16"/>
      <c r="N219" s="16"/>
      <c r="O219" s="16"/>
      <c r="P219" s="16"/>
      <c r="Q219" s="16"/>
      <c r="R219" s="16"/>
      <c r="S219" s="16"/>
      <c r="T219" s="16"/>
      <c r="U219" s="16"/>
      <c r="V219" s="16"/>
      <c r="W219" s="16"/>
      <c r="X219" s="16"/>
      <c r="Y219" s="16"/>
      <c r="Z219" s="16"/>
    </row>
    <row r="220" spans="1:26" ht="14.25" customHeight="1">
      <c r="A220" s="624"/>
      <c r="B220" s="253"/>
      <c r="C220" s="253"/>
      <c r="D220" s="253"/>
      <c r="E220" s="253"/>
      <c r="F220" s="253"/>
      <c r="G220" s="253"/>
      <c r="H220" s="625"/>
      <c r="I220" s="625"/>
      <c r="J220" s="16"/>
      <c r="K220" s="16"/>
      <c r="L220" s="16"/>
      <c r="M220" s="16"/>
      <c r="N220" s="16"/>
      <c r="O220" s="16"/>
      <c r="P220" s="16"/>
      <c r="Q220" s="16"/>
      <c r="R220" s="16"/>
      <c r="S220" s="16"/>
      <c r="T220" s="16"/>
      <c r="U220" s="16"/>
      <c r="V220" s="16"/>
      <c r="W220" s="16"/>
      <c r="X220" s="16"/>
      <c r="Y220" s="16"/>
      <c r="Z220" s="16"/>
    </row>
    <row r="221" spans="1:26" ht="14.25" customHeight="1">
      <c r="A221" s="624"/>
      <c r="B221" s="253"/>
      <c r="C221" s="253"/>
      <c r="D221" s="253"/>
      <c r="E221" s="253"/>
      <c r="F221" s="253"/>
      <c r="G221" s="253"/>
      <c r="H221" s="625"/>
      <c r="I221" s="625"/>
      <c r="J221" s="16"/>
      <c r="K221" s="16"/>
      <c r="L221" s="16"/>
      <c r="M221" s="16"/>
      <c r="N221" s="16"/>
      <c r="O221" s="16"/>
      <c r="P221" s="16"/>
      <c r="Q221" s="16"/>
      <c r="R221" s="16"/>
      <c r="S221" s="16"/>
      <c r="T221" s="16"/>
      <c r="U221" s="16"/>
      <c r="V221" s="16"/>
      <c r="W221" s="16"/>
      <c r="X221" s="16"/>
      <c r="Y221" s="16"/>
      <c r="Z221" s="16"/>
    </row>
    <row r="222" spans="1:26" ht="14.25" customHeight="1">
      <c r="A222" s="624"/>
      <c r="B222" s="253"/>
      <c r="C222" s="253"/>
      <c r="D222" s="253"/>
      <c r="E222" s="253"/>
      <c r="F222" s="253"/>
      <c r="G222" s="253"/>
      <c r="H222" s="625"/>
      <c r="I222" s="625"/>
      <c r="J222" s="16"/>
      <c r="K222" s="16"/>
      <c r="L222" s="16"/>
      <c r="M222" s="16"/>
      <c r="N222" s="16"/>
      <c r="O222" s="16"/>
      <c r="P222" s="16"/>
      <c r="Q222" s="16"/>
      <c r="R222" s="16"/>
      <c r="S222" s="16"/>
      <c r="T222" s="16"/>
      <c r="U222" s="16"/>
      <c r="V222" s="16"/>
      <c r="W222" s="16"/>
      <c r="X222" s="16"/>
      <c r="Y222" s="16"/>
      <c r="Z222" s="16"/>
    </row>
    <row r="223" spans="1:26" ht="14.25" customHeight="1">
      <c r="A223" s="624"/>
      <c r="B223" s="253"/>
      <c r="C223" s="253"/>
      <c r="D223" s="253"/>
      <c r="E223" s="253"/>
      <c r="F223" s="253"/>
      <c r="G223" s="253"/>
      <c r="H223" s="625"/>
      <c r="I223" s="625"/>
      <c r="J223" s="16"/>
      <c r="K223" s="16"/>
      <c r="L223" s="16"/>
      <c r="M223" s="16"/>
      <c r="N223" s="16"/>
      <c r="O223" s="16"/>
      <c r="P223" s="16"/>
      <c r="Q223" s="16"/>
      <c r="R223" s="16"/>
      <c r="S223" s="16"/>
      <c r="T223" s="16"/>
      <c r="U223" s="16"/>
      <c r="V223" s="16"/>
      <c r="W223" s="16"/>
      <c r="X223" s="16"/>
      <c r="Y223" s="16"/>
      <c r="Z223" s="16"/>
    </row>
    <row r="224" spans="1:26" ht="14.25" customHeight="1">
      <c r="A224" s="624"/>
      <c r="B224" s="253"/>
      <c r="C224" s="253"/>
      <c r="D224" s="253"/>
      <c r="E224" s="253"/>
      <c r="F224" s="253"/>
      <c r="G224" s="253"/>
      <c r="H224" s="625"/>
      <c r="I224" s="625"/>
      <c r="J224" s="16"/>
      <c r="K224" s="16"/>
      <c r="L224" s="16"/>
      <c r="M224" s="16"/>
      <c r="N224" s="16"/>
      <c r="O224" s="16"/>
      <c r="P224" s="16"/>
      <c r="Q224" s="16"/>
      <c r="R224" s="16"/>
      <c r="S224" s="16"/>
      <c r="T224" s="16"/>
      <c r="U224" s="16"/>
      <c r="V224" s="16"/>
      <c r="W224" s="16"/>
      <c r="X224" s="16"/>
      <c r="Y224" s="16"/>
      <c r="Z224" s="16"/>
    </row>
    <row r="225" spans="1:26" ht="14.25" customHeight="1">
      <c r="A225" s="624"/>
      <c r="B225" s="253"/>
      <c r="C225" s="253"/>
      <c r="D225" s="253"/>
      <c r="E225" s="253"/>
      <c r="F225" s="253"/>
      <c r="G225" s="253"/>
      <c r="H225" s="625"/>
      <c r="I225" s="625"/>
      <c r="J225" s="16"/>
      <c r="K225" s="16"/>
      <c r="L225" s="16"/>
      <c r="M225" s="16"/>
      <c r="N225" s="16"/>
      <c r="O225" s="16"/>
      <c r="P225" s="16"/>
      <c r="Q225" s="16"/>
      <c r="R225" s="16"/>
      <c r="S225" s="16"/>
      <c r="T225" s="16"/>
      <c r="U225" s="16"/>
      <c r="V225" s="16"/>
      <c r="W225" s="16"/>
      <c r="X225" s="16"/>
      <c r="Y225" s="16"/>
      <c r="Z225" s="16"/>
    </row>
    <row r="226" spans="1:26" ht="14.25" customHeight="1">
      <c r="A226" s="624"/>
      <c r="B226" s="253"/>
      <c r="C226" s="253"/>
      <c r="D226" s="253"/>
      <c r="E226" s="253"/>
      <c r="F226" s="253"/>
      <c r="G226" s="253"/>
      <c r="H226" s="625"/>
      <c r="I226" s="625"/>
      <c r="J226" s="16"/>
      <c r="K226" s="16"/>
      <c r="L226" s="16"/>
      <c r="M226" s="16"/>
      <c r="N226" s="16"/>
      <c r="O226" s="16"/>
      <c r="P226" s="16"/>
      <c r="Q226" s="16"/>
      <c r="R226" s="16"/>
      <c r="S226" s="16"/>
      <c r="T226" s="16"/>
      <c r="U226" s="16"/>
      <c r="V226" s="16"/>
      <c r="W226" s="16"/>
      <c r="X226" s="16"/>
      <c r="Y226" s="16"/>
      <c r="Z226" s="16"/>
    </row>
    <row r="227" spans="1:26" ht="14.25" customHeight="1">
      <c r="A227" s="624"/>
      <c r="B227" s="253"/>
      <c r="C227" s="253"/>
      <c r="D227" s="253"/>
      <c r="E227" s="253"/>
      <c r="F227" s="253"/>
      <c r="G227" s="253"/>
      <c r="H227" s="625"/>
      <c r="I227" s="625"/>
      <c r="J227" s="16"/>
      <c r="K227" s="16"/>
      <c r="L227" s="16"/>
      <c r="M227" s="16"/>
      <c r="N227" s="16"/>
      <c r="O227" s="16"/>
      <c r="P227" s="16"/>
      <c r="Q227" s="16"/>
      <c r="R227" s="16"/>
      <c r="S227" s="16"/>
      <c r="T227" s="16"/>
      <c r="U227" s="16"/>
      <c r="V227" s="16"/>
      <c r="W227" s="16"/>
      <c r="X227" s="16"/>
      <c r="Y227" s="16"/>
      <c r="Z227" s="16"/>
    </row>
    <row r="228" spans="1:26" ht="14.25" customHeight="1">
      <c r="A228" s="624"/>
      <c r="B228" s="253"/>
      <c r="C228" s="253"/>
      <c r="D228" s="253"/>
      <c r="E228" s="253"/>
      <c r="F228" s="253"/>
      <c r="G228" s="253"/>
      <c r="H228" s="625"/>
      <c r="I228" s="625"/>
      <c r="J228" s="16"/>
      <c r="K228" s="16"/>
      <c r="L228" s="16"/>
      <c r="M228" s="16"/>
      <c r="N228" s="16"/>
      <c r="O228" s="16"/>
      <c r="P228" s="16"/>
      <c r="Q228" s="16"/>
      <c r="R228" s="16"/>
      <c r="S228" s="16"/>
      <c r="T228" s="16"/>
      <c r="U228" s="16"/>
      <c r="V228" s="16"/>
      <c r="W228" s="16"/>
      <c r="X228" s="16"/>
      <c r="Y228" s="16"/>
      <c r="Z228" s="16"/>
    </row>
    <row r="229" spans="1:26" ht="14.25" customHeight="1">
      <c r="A229" s="624"/>
      <c r="B229" s="253"/>
      <c r="C229" s="253"/>
      <c r="D229" s="253"/>
      <c r="E229" s="253"/>
      <c r="F229" s="253"/>
      <c r="G229" s="253"/>
      <c r="H229" s="625"/>
      <c r="I229" s="625"/>
      <c r="J229" s="16"/>
      <c r="K229" s="16"/>
      <c r="L229" s="16"/>
      <c r="M229" s="16"/>
      <c r="N229" s="16"/>
      <c r="O229" s="16"/>
      <c r="P229" s="16"/>
      <c r="Q229" s="16"/>
      <c r="R229" s="16"/>
      <c r="S229" s="16"/>
      <c r="T229" s="16"/>
      <c r="U229" s="16"/>
      <c r="V229" s="16"/>
      <c r="W229" s="16"/>
      <c r="X229" s="16"/>
      <c r="Y229" s="16"/>
      <c r="Z229" s="16"/>
    </row>
    <row r="230" spans="1:26" ht="14.25" customHeight="1">
      <c r="A230" s="624"/>
      <c r="B230" s="253"/>
      <c r="C230" s="253"/>
      <c r="D230" s="253"/>
      <c r="E230" s="253"/>
      <c r="F230" s="253"/>
      <c r="G230" s="253"/>
      <c r="H230" s="625"/>
      <c r="I230" s="625"/>
      <c r="J230" s="16"/>
      <c r="K230" s="16"/>
      <c r="L230" s="16"/>
      <c r="M230" s="16"/>
      <c r="N230" s="16"/>
      <c r="O230" s="16"/>
      <c r="P230" s="16"/>
      <c r="Q230" s="16"/>
      <c r="R230" s="16"/>
      <c r="S230" s="16"/>
      <c r="T230" s="16"/>
      <c r="U230" s="16"/>
      <c r="V230" s="16"/>
      <c r="W230" s="16"/>
      <c r="X230" s="16"/>
      <c r="Y230" s="16"/>
      <c r="Z230" s="16"/>
    </row>
    <row r="231" spans="1:26" ht="14.25" customHeight="1">
      <c r="A231" s="624"/>
      <c r="B231" s="253"/>
      <c r="C231" s="253"/>
      <c r="D231" s="253"/>
      <c r="E231" s="253"/>
      <c r="F231" s="253"/>
      <c r="G231" s="253"/>
      <c r="H231" s="625"/>
      <c r="I231" s="625"/>
      <c r="J231" s="16"/>
      <c r="K231" s="16"/>
      <c r="L231" s="16"/>
      <c r="M231" s="16"/>
      <c r="N231" s="16"/>
      <c r="O231" s="16"/>
      <c r="P231" s="16"/>
      <c r="Q231" s="16"/>
      <c r="R231" s="16"/>
      <c r="S231" s="16"/>
      <c r="T231" s="16"/>
      <c r="U231" s="16"/>
      <c r="V231" s="16"/>
      <c r="W231" s="16"/>
      <c r="X231" s="16"/>
      <c r="Y231" s="16"/>
      <c r="Z231" s="16"/>
    </row>
    <row r="232" spans="1:26" ht="14.25" customHeight="1">
      <c r="A232" s="624"/>
      <c r="B232" s="253"/>
      <c r="C232" s="253"/>
      <c r="D232" s="253"/>
      <c r="E232" s="253"/>
      <c r="F232" s="253"/>
      <c r="G232" s="253"/>
      <c r="H232" s="625"/>
      <c r="I232" s="625"/>
      <c r="J232" s="16"/>
      <c r="K232" s="16"/>
      <c r="L232" s="16"/>
      <c r="M232" s="16"/>
      <c r="N232" s="16"/>
      <c r="O232" s="16"/>
      <c r="P232" s="16"/>
      <c r="Q232" s="16"/>
      <c r="R232" s="16"/>
      <c r="S232" s="16"/>
      <c r="T232" s="16"/>
      <c r="U232" s="16"/>
      <c r="V232" s="16"/>
      <c r="W232" s="16"/>
      <c r="X232" s="16"/>
      <c r="Y232" s="16"/>
      <c r="Z232" s="16"/>
    </row>
    <row r="233" spans="1:26" ht="14.25" customHeight="1">
      <c r="A233" s="624"/>
      <c r="B233" s="253"/>
      <c r="C233" s="253"/>
      <c r="D233" s="253"/>
      <c r="E233" s="253"/>
      <c r="F233" s="253"/>
      <c r="G233" s="253"/>
      <c r="H233" s="625"/>
      <c r="I233" s="625"/>
      <c r="J233" s="16"/>
      <c r="K233" s="16"/>
      <c r="L233" s="16"/>
      <c r="M233" s="16"/>
      <c r="N233" s="16"/>
      <c r="O233" s="16"/>
      <c r="P233" s="16"/>
      <c r="Q233" s="16"/>
      <c r="R233" s="16"/>
      <c r="S233" s="16"/>
      <c r="T233" s="16"/>
      <c r="U233" s="16"/>
      <c r="V233" s="16"/>
      <c r="W233" s="16"/>
      <c r="X233" s="16"/>
      <c r="Y233" s="16"/>
      <c r="Z233" s="16"/>
    </row>
    <row r="234" spans="1:26" ht="14.25" customHeight="1">
      <c r="A234" s="624"/>
      <c r="B234" s="253"/>
      <c r="C234" s="253"/>
      <c r="D234" s="253"/>
      <c r="E234" s="253"/>
      <c r="F234" s="253"/>
      <c r="G234" s="253"/>
      <c r="H234" s="625"/>
      <c r="I234" s="625"/>
      <c r="J234" s="16"/>
      <c r="K234" s="16"/>
      <c r="L234" s="16"/>
      <c r="M234" s="16"/>
      <c r="N234" s="16"/>
      <c r="O234" s="16"/>
      <c r="P234" s="16"/>
      <c r="Q234" s="16"/>
      <c r="R234" s="16"/>
      <c r="S234" s="16"/>
      <c r="T234" s="16"/>
      <c r="U234" s="16"/>
      <c r="V234" s="16"/>
      <c r="W234" s="16"/>
      <c r="X234" s="16"/>
      <c r="Y234" s="16"/>
      <c r="Z234" s="16"/>
    </row>
    <row r="235" spans="1:26" ht="14.25" customHeight="1">
      <c r="A235" s="624"/>
      <c r="B235" s="253"/>
      <c r="C235" s="253"/>
      <c r="D235" s="253"/>
      <c r="E235" s="253"/>
      <c r="F235" s="253"/>
      <c r="G235" s="253"/>
      <c r="H235" s="625"/>
      <c r="I235" s="625"/>
      <c r="J235" s="16"/>
      <c r="K235" s="16"/>
      <c r="L235" s="16"/>
      <c r="M235" s="16"/>
      <c r="N235" s="16"/>
      <c r="O235" s="16"/>
      <c r="P235" s="16"/>
      <c r="Q235" s="16"/>
      <c r="R235" s="16"/>
      <c r="S235" s="16"/>
      <c r="T235" s="16"/>
      <c r="U235" s="16"/>
      <c r="V235" s="16"/>
      <c r="W235" s="16"/>
      <c r="X235" s="16"/>
      <c r="Y235" s="16"/>
      <c r="Z235" s="16"/>
    </row>
    <row r="236" spans="1:26" ht="14.25" customHeight="1">
      <c r="A236" s="624"/>
      <c r="B236" s="253"/>
      <c r="C236" s="253"/>
      <c r="D236" s="253"/>
      <c r="E236" s="253"/>
      <c r="F236" s="253"/>
      <c r="G236" s="253"/>
      <c r="H236" s="625"/>
      <c r="I236" s="625"/>
      <c r="J236" s="16"/>
      <c r="K236" s="16"/>
      <c r="L236" s="16"/>
      <c r="M236" s="16"/>
      <c r="N236" s="16"/>
      <c r="O236" s="16"/>
      <c r="P236" s="16"/>
      <c r="Q236" s="16"/>
      <c r="R236" s="16"/>
      <c r="S236" s="16"/>
      <c r="T236" s="16"/>
      <c r="U236" s="16"/>
      <c r="V236" s="16"/>
      <c r="W236" s="16"/>
      <c r="X236" s="16"/>
      <c r="Y236" s="16"/>
      <c r="Z236" s="16"/>
    </row>
    <row r="237" spans="1:26" ht="14.25" customHeight="1">
      <c r="A237" s="624"/>
      <c r="B237" s="253"/>
      <c r="C237" s="253"/>
      <c r="D237" s="253"/>
      <c r="E237" s="253"/>
      <c r="F237" s="253"/>
      <c r="G237" s="253"/>
      <c r="H237" s="625"/>
      <c r="I237" s="625"/>
      <c r="J237" s="16"/>
      <c r="K237" s="16"/>
      <c r="L237" s="16"/>
      <c r="M237" s="16"/>
      <c r="N237" s="16"/>
      <c r="O237" s="16"/>
      <c r="P237" s="16"/>
      <c r="Q237" s="16"/>
      <c r="R237" s="16"/>
      <c r="S237" s="16"/>
      <c r="T237" s="16"/>
      <c r="U237" s="16"/>
      <c r="V237" s="16"/>
      <c r="W237" s="16"/>
      <c r="X237" s="16"/>
      <c r="Y237" s="16"/>
      <c r="Z237" s="16"/>
    </row>
    <row r="238" spans="1:26" ht="14.25" customHeight="1">
      <c r="A238" s="624"/>
      <c r="B238" s="253"/>
      <c r="C238" s="253"/>
      <c r="D238" s="253"/>
      <c r="E238" s="253"/>
      <c r="F238" s="253"/>
      <c r="G238" s="253"/>
      <c r="H238" s="625"/>
      <c r="I238" s="625"/>
      <c r="J238" s="16"/>
      <c r="K238" s="16"/>
      <c r="L238" s="16"/>
      <c r="M238" s="16"/>
      <c r="N238" s="16"/>
      <c r="O238" s="16"/>
      <c r="P238" s="16"/>
      <c r="Q238" s="16"/>
      <c r="R238" s="16"/>
      <c r="S238" s="16"/>
      <c r="T238" s="16"/>
      <c r="U238" s="16"/>
      <c r="V238" s="16"/>
      <c r="W238" s="16"/>
      <c r="X238" s="16"/>
      <c r="Y238" s="16"/>
      <c r="Z238" s="16"/>
    </row>
    <row r="239" spans="1:26" ht="14.25" customHeight="1">
      <c r="A239" s="624"/>
      <c r="B239" s="253"/>
      <c r="C239" s="253"/>
      <c r="D239" s="253"/>
      <c r="E239" s="253"/>
      <c r="F239" s="253"/>
      <c r="G239" s="253"/>
      <c r="H239" s="625"/>
      <c r="I239" s="625"/>
      <c r="J239" s="16"/>
      <c r="K239" s="16"/>
      <c r="L239" s="16"/>
      <c r="M239" s="16"/>
      <c r="N239" s="16"/>
      <c r="O239" s="16"/>
      <c r="P239" s="16"/>
      <c r="Q239" s="16"/>
      <c r="R239" s="16"/>
      <c r="S239" s="16"/>
      <c r="T239" s="16"/>
      <c r="U239" s="16"/>
      <c r="V239" s="16"/>
      <c r="W239" s="16"/>
      <c r="X239" s="16"/>
      <c r="Y239" s="16"/>
      <c r="Z239" s="16"/>
    </row>
    <row r="240" spans="1:26" ht="14.25" customHeight="1">
      <c r="A240" s="624"/>
      <c r="B240" s="253"/>
      <c r="C240" s="253"/>
      <c r="D240" s="253"/>
      <c r="E240" s="253"/>
      <c r="F240" s="253"/>
      <c r="G240" s="253"/>
      <c r="H240" s="625"/>
      <c r="I240" s="625"/>
      <c r="J240" s="16"/>
      <c r="K240" s="16"/>
      <c r="L240" s="16"/>
      <c r="M240" s="16"/>
      <c r="N240" s="16"/>
      <c r="O240" s="16"/>
      <c r="P240" s="16"/>
      <c r="Q240" s="16"/>
      <c r="R240" s="16"/>
      <c r="S240" s="16"/>
      <c r="T240" s="16"/>
      <c r="U240" s="16"/>
      <c r="V240" s="16"/>
      <c r="W240" s="16"/>
      <c r="X240" s="16"/>
      <c r="Y240" s="16"/>
      <c r="Z240" s="16"/>
    </row>
    <row r="241" spans="1:26" ht="14.25" customHeight="1">
      <c r="A241" s="624"/>
      <c r="B241" s="253"/>
      <c r="C241" s="253"/>
      <c r="D241" s="253"/>
      <c r="E241" s="253"/>
      <c r="F241" s="253"/>
      <c r="G241" s="253"/>
      <c r="H241" s="625"/>
      <c r="I241" s="625"/>
      <c r="J241" s="16"/>
      <c r="K241" s="16"/>
      <c r="L241" s="16"/>
      <c r="M241" s="16"/>
      <c r="N241" s="16"/>
      <c r="O241" s="16"/>
      <c r="P241" s="16"/>
      <c r="Q241" s="16"/>
      <c r="R241" s="16"/>
      <c r="S241" s="16"/>
      <c r="T241" s="16"/>
      <c r="U241" s="16"/>
      <c r="V241" s="16"/>
      <c r="W241" s="16"/>
      <c r="X241" s="16"/>
      <c r="Y241" s="16"/>
      <c r="Z241" s="16"/>
    </row>
    <row r="242" spans="1:26" ht="14.25" customHeight="1">
      <c r="A242" s="624"/>
      <c r="B242" s="253"/>
      <c r="C242" s="253"/>
      <c r="D242" s="253"/>
      <c r="E242" s="253"/>
      <c r="F242" s="253"/>
      <c r="G242" s="253"/>
      <c r="H242" s="625"/>
      <c r="I242" s="625"/>
      <c r="J242" s="16"/>
      <c r="K242" s="16"/>
      <c r="L242" s="16"/>
      <c r="M242" s="16"/>
      <c r="N242" s="16"/>
      <c r="O242" s="16"/>
      <c r="P242" s="16"/>
      <c r="Q242" s="16"/>
      <c r="R242" s="16"/>
      <c r="S242" s="16"/>
      <c r="T242" s="16"/>
      <c r="U242" s="16"/>
      <c r="V242" s="16"/>
      <c r="W242" s="16"/>
      <c r="X242" s="16"/>
      <c r="Y242" s="16"/>
      <c r="Z242" s="16"/>
    </row>
    <row r="243" spans="1:26" ht="14.25" customHeight="1">
      <c r="A243" s="624"/>
      <c r="B243" s="253"/>
      <c r="C243" s="253"/>
      <c r="D243" s="253"/>
      <c r="E243" s="253"/>
      <c r="F243" s="253"/>
      <c r="G243" s="253"/>
      <c r="H243" s="625"/>
      <c r="I243" s="625"/>
      <c r="J243" s="16"/>
      <c r="K243" s="16"/>
      <c r="L243" s="16"/>
      <c r="M243" s="16"/>
      <c r="N243" s="16"/>
      <c r="O243" s="16"/>
      <c r="P243" s="16"/>
      <c r="Q243" s="16"/>
      <c r="R243" s="16"/>
      <c r="S243" s="16"/>
      <c r="T243" s="16"/>
      <c r="U243" s="16"/>
      <c r="V243" s="16"/>
      <c r="W243" s="16"/>
      <c r="X243" s="16"/>
      <c r="Y243" s="16"/>
      <c r="Z243" s="16"/>
    </row>
    <row r="244" spans="1:26" ht="14.25" customHeight="1">
      <c r="A244" s="624"/>
      <c r="B244" s="253"/>
      <c r="C244" s="253"/>
      <c r="D244" s="253"/>
      <c r="E244" s="253"/>
      <c r="F244" s="253"/>
      <c r="G244" s="253"/>
      <c r="H244" s="625"/>
      <c r="I244" s="625"/>
      <c r="J244" s="16"/>
      <c r="K244" s="16"/>
      <c r="L244" s="16"/>
      <c r="M244" s="16"/>
      <c r="N244" s="16"/>
      <c r="O244" s="16"/>
      <c r="P244" s="16"/>
      <c r="Q244" s="16"/>
      <c r="R244" s="16"/>
      <c r="S244" s="16"/>
      <c r="T244" s="16"/>
      <c r="U244" s="16"/>
      <c r="V244" s="16"/>
      <c r="W244" s="16"/>
      <c r="X244" s="16"/>
      <c r="Y244" s="16"/>
      <c r="Z244" s="16"/>
    </row>
    <row r="245" spans="1:26" ht="14.25" customHeight="1">
      <c r="A245" s="624"/>
      <c r="B245" s="253"/>
      <c r="C245" s="253"/>
      <c r="D245" s="253"/>
      <c r="E245" s="253"/>
      <c r="F245" s="253"/>
      <c r="G245" s="253"/>
      <c r="H245" s="625"/>
      <c r="I245" s="625"/>
      <c r="J245" s="16"/>
      <c r="K245" s="16"/>
      <c r="L245" s="16"/>
      <c r="M245" s="16"/>
      <c r="N245" s="16"/>
      <c r="O245" s="16"/>
      <c r="P245" s="16"/>
      <c r="Q245" s="16"/>
      <c r="R245" s="16"/>
      <c r="S245" s="16"/>
      <c r="T245" s="16"/>
      <c r="U245" s="16"/>
      <c r="V245" s="16"/>
      <c r="W245" s="16"/>
      <c r="X245" s="16"/>
      <c r="Y245" s="16"/>
      <c r="Z245" s="16"/>
    </row>
    <row r="246" spans="1:26" ht="14.25" customHeight="1">
      <c r="A246" s="624"/>
      <c r="B246" s="253"/>
      <c r="C246" s="253"/>
      <c r="D246" s="253"/>
      <c r="E246" s="253"/>
      <c r="F246" s="253"/>
      <c r="G246" s="253"/>
      <c r="H246" s="625"/>
      <c r="I246" s="625"/>
      <c r="J246" s="16"/>
      <c r="K246" s="16"/>
      <c r="L246" s="16"/>
      <c r="M246" s="16"/>
      <c r="N246" s="16"/>
      <c r="O246" s="16"/>
      <c r="P246" s="16"/>
      <c r="Q246" s="16"/>
      <c r="R246" s="16"/>
      <c r="S246" s="16"/>
      <c r="T246" s="16"/>
      <c r="U246" s="16"/>
      <c r="V246" s="16"/>
      <c r="W246" s="16"/>
      <c r="X246" s="16"/>
      <c r="Y246" s="16"/>
      <c r="Z246" s="16"/>
    </row>
    <row r="247" spans="1:26" ht="14.25" customHeight="1">
      <c r="A247" s="624"/>
      <c r="B247" s="253"/>
      <c r="C247" s="253"/>
      <c r="D247" s="253"/>
      <c r="E247" s="253"/>
      <c r="F247" s="253"/>
      <c r="G247" s="253"/>
      <c r="H247" s="625"/>
      <c r="I247" s="625"/>
      <c r="J247" s="16"/>
      <c r="K247" s="16"/>
      <c r="L247" s="16"/>
      <c r="M247" s="16"/>
      <c r="N247" s="16"/>
      <c r="O247" s="16"/>
      <c r="P247" s="16"/>
      <c r="Q247" s="16"/>
      <c r="R247" s="16"/>
      <c r="S247" s="16"/>
      <c r="T247" s="16"/>
      <c r="U247" s="16"/>
      <c r="V247" s="16"/>
      <c r="W247" s="16"/>
      <c r="X247" s="16"/>
      <c r="Y247" s="16"/>
      <c r="Z247" s="16"/>
    </row>
    <row r="248" spans="1:26" ht="14.25" customHeight="1">
      <c r="A248" s="624"/>
      <c r="B248" s="253"/>
      <c r="C248" s="253"/>
      <c r="D248" s="253"/>
      <c r="E248" s="253"/>
      <c r="F248" s="253"/>
      <c r="G248" s="253"/>
      <c r="H248" s="625"/>
      <c r="I248" s="625"/>
      <c r="J248" s="16"/>
      <c r="K248" s="16"/>
      <c r="L248" s="16"/>
      <c r="M248" s="16"/>
      <c r="N248" s="16"/>
      <c r="O248" s="16"/>
      <c r="P248" s="16"/>
      <c r="Q248" s="16"/>
      <c r="R248" s="16"/>
      <c r="S248" s="16"/>
      <c r="T248" s="16"/>
      <c r="U248" s="16"/>
      <c r="V248" s="16"/>
      <c r="W248" s="16"/>
      <c r="X248" s="16"/>
      <c r="Y248" s="16"/>
      <c r="Z248" s="16"/>
    </row>
    <row r="249" spans="1:26" ht="14.25" customHeight="1">
      <c r="A249" s="624"/>
      <c r="B249" s="253"/>
      <c r="C249" s="253"/>
      <c r="D249" s="253"/>
      <c r="E249" s="253"/>
      <c r="F249" s="253"/>
      <c r="G249" s="253"/>
      <c r="H249" s="625"/>
      <c r="I249" s="625"/>
      <c r="J249" s="16"/>
      <c r="K249" s="16"/>
      <c r="L249" s="16"/>
      <c r="M249" s="16"/>
      <c r="N249" s="16"/>
      <c r="O249" s="16"/>
      <c r="P249" s="16"/>
      <c r="Q249" s="16"/>
      <c r="R249" s="16"/>
      <c r="S249" s="16"/>
      <c r="T249" s="16"/>
      <c r="U249" s="16"/>
      <c r="V249" s="16"/>
      <c r="W249" s="16"/>
      <c r="X249" s="16"/>
      <c r="Y249" s="16"/>
      <c r="Z249" s="16"/>
    </row>
    <row r="250" spans="1:26" ht="14.25" customHeight="1">
      <c r="A250" s="624"/>
      <c r="B250" s="253"/>
      <c r="C250" s="253"/>
      <c r="D250" s="253"/>
      <c r="E250" s="253"/>
      <c r="F250" s="253"/>
      <c r="G250" s="253"/>
      <c r="H250" s="625"/>
      <c r="I250" s="625"/>
      <c r="J250" s="16"/>
      <c r="K250" s="16"/>
      <c r="L250" s="16"/>
      <c r="M250" s="16"/>
      <c r="N250" s="16"/>
      <c r="O250" s="16"/>
      <c r="P250" s="16"/>
      <c r="Q250" s="16"/>
      <c r="R250" s="16"/>
      <c r="S250" s="16"/>
      <c r="T250" s="16"/>
      <c r="U250" s="16"/>
      <c r="V250" s="16"/>
      <c r="W250" s="16"/>
      <c r="X250" s="16"/>
      <c r="Y250" s="16"/>
      <c r="Z250" s="16"/>
    </row>
    <row r="251" spans="1:26" ht="14.25" customHeight="1">
      <c r="A251" s="624"/>
      <c r="B251" s="253"/>
      <c r="C251" s="253"/>
      <c r="D251" s="253"/>
      <c r="E251" s="253"/>
      <c r="F251" s="253"/>
      <c r="G251" s="253"/>
      <c r="H251" s="625"/>
      <c r="I251" s="625"/>
      <c r="J251" s="16"/>
      <c r="K251" s="16"/>
      <c r="L251" s="16"/>
      <c r="M251" s="16"/>
      <c r="N251" s="16"/>
      <c r="O251" s="16"/>
      <c r="P251" s="16"/>
      <c r="Q251" s="16"/>
      <c r="R251" s="16"/>
      <c r="S251" s="16"/>
      <c r="T251" s="16"/>
      <c r="U251" s="16"/>
      <c r="V251" s="16"/>
      <c r="W251" s="16"/>
      <c r="X251" s="16"/>
      <c r="Y251" s="16"/>
      <c r="Z251" s="16"/>
    </row>
    <row r="252" spans="1:26" ht="14.25" customHeight="1">
      <c r="A252" s="624"/>
      <c r="B252" s="253"/>
      <c r="C252" s="253"/>
      <c r="D252" s="253"/>
      <c r="E252" s="253"/>
      <c r="F252" s="253"/>
      <c r="G252" s="253"/>
      <c r="H252" s="625"/>
      <c r="I252" s="625"/>
      <c r="J252" s="16"/>
      <c r="K252" s="16"/>
      <c r="L252" s="16"/>
      <c r="M252" s="16"/>
      <c r="N252" s="16"/>
      <c r="O252" s="16"/>
      <c r="P252" s="16"/>
      <c r="Q252" s="16"/>
      <c r="R252" s="16"/>
      <c r="S252" s="16"/>
      <c r="T252" s="16"/>
      <c r="U252" s="16"/>
      <c r="V252" s="16"/>
      <c r="W252" s="16"/>
      <c r="X252" s="16"/>
      <c r="Y252" s="16"/>
      <c r="Z252" s="16"/>
    </row>
    <row r="253" spans="1:26" ht="14.25" customHeight="1">
      <c r="A253" s="624"/>
      <c r="B253" s="253"/>
      <c r="C253" s="253"/>
      <c r="D253" s="253"/>
      <c r="E253" s="253"/>
      <c r="F253" s="253"/>
      <c r="G253" s="253"/>
      <c r="H253" s="625"/>
      <c r="I253" s="625"/>
      <c r="J253" s="16"/>
      <c r="K253" s="16"/>
      <c r="L253" s="16"/>
      <c r="M253" s="16"/>
      <c r="N253" s="16"/>
      <c r="O253" s="16"/>
      <c r="P253" s="16"/>
      <c r="Q253" s="16"/>
      <c r="R253" s="16"/>
      <c r="S253" s="16"/>
      <c r="T253" s="16"/>
      <c r="U253" s="16"/>
      <c r="V253" s="16"/>
      <c r="W253" s="16"/>
      <c r="X253" s="16"/>
      <c r="Y253" s="16"/>
      <c r="Z253" s="16"/>
    </row>
    <row r="254" spans="1:26" ht="14.25" customHeight="1">
      <c r="A254" s="624"/>
      <c r="B254" s="253"/>
      <c r="C254" s="253"/>
      <c r="D254" s="253"/>
      <c r="E254" s="253"/>
      <c r="F254" s="253"/>
      <c r="G254" s="253"/>
      <c r="H254" s="625"/>
      <c r="I254" s="625"/>
      <c r="J254" s="16"/>
      <c r="K254" s="16"/>
      <c r="L254" s="16"/>
      <c r="M254" s="16"/>
      <c r="N254" s="16"/>
      <c r="O254" s="16"/>
      <c r="P254" s="16"/>
      <c r="Q254" s="16"/>
      <c r="R254" s="16"/>
      <c r="S254" s="16"/>
      <c r="T254" s="16"/>
      <c r="U254" s="16"/>
      <c r="V254" s="16"/>
      <c r="W254" s="16"/>
      <c r="X254" s="16"/>
      <c r="Y254" s="16"/>
      <c r="Z254" s="16"/>
    </row>
    <row r="255" spans="1:26" ht="14.25" customHeight="1">
      <c r="A255" s="624"/>
      <c r="B255" s="253"/>
      <c r="C255" s="253"/>
      <c r="D255" s="253"/>
      <c r="E255" s="253"/>
      <c r="F255" s="253"/>
      <c r="G255" s="253"/>
      <c r="H255" s="625"/>
      <c r="I255" s="625"/>
      <c r="J255" s="16"/>
      <c r="K255" s="16"/>
      <c r="L255" s="16"/>
      <c r="M255" s="16"/>
      <c r="N255" s="16"/>
      <c r="O255" s="16"/>
      <c r="P255" s="16"/>
      <c r="Q255" s="16"/>
      <c r="R255" s="16"/>
      <c r="S255" s="16"/>
      <c r="T255" s="16"/>
      <c r="U255" s="16"/>
      <c r="V255" s="16"/>
      <c r="W255" s="16"/>
      <c r="X255" s="16"/>
      <c r="Y255" s="16"/>
      <c r="Z255" s="16"/>
    </row>
    <row r="256" spans="1:26" ht="14.25" customHeight="1">
      <c r="A256" s="624"/>
      <c r="B256" s="253"/>
      <c r="C256" s="253"/>
      <c r="D256" s="253"/>
      <c r="E256" s="253"/>
      <c r="F256" s="253"/>
      <c r="G256" s="253"/>
      <c r="H256" s="625"/>
      <c r="I256" s="625"/>
      <c r="J256" s="16"/>
      <c r="K256" s="16"/>
      <c r="L256" s="16"/>
      <c r="M256" s="16"/>
      <c r="N256" s="16"/>
      <c r="O256" s="16"/>
      <c r="P256" s="16"/>
      <c r="Q256" s="16"/>
      <c r="R256" s="16"/>
      <c r="S256" s="16"/>
      <c r="T256" s="16"/>
      <c r="U256" s="16"/>
      <c r="V256" s="16"/>
      <c r="W256" s="16"/>
      <c r="X256" s="16"/>
      <c r="Y256" s="16"/>
      <c r="Z256" s="16"/>
    </row>
    <row r="257" spans="1:26" ht="14.25" customHeight="1">
      <c r="A257" s="624"/>
      <c r="B257" s="253"/>
      <c r="C257" s="253"/>
      <c r="D257" s="253"/>
      <c r="E257" s="253"/>
      <c r="F257" s="253"/>
      <c r="G257" s="253"/>
      <c r="H257" s="625"/>
      <c r="I257" s="625"/>
      <c r="J257" s="16"/>
      <c r="K257" s="16"/>
      <c r="L257" s="16"/>
      <c r="M257" s="16"/>
      <c r="N257" s="16"/>
      <c r="O257" s="16"/>
      <c r="P257" s="16"/>
      <c r="Q257" s="16"/>
      <c r="R257" s="16"/>
      <c r="S257" s="16"/>
      <c r="T257" s="16"/>
      <c r="U257" s="16"/>
      <c r="V257" s="16"/>
      <c r="W257" s="16"/>
      <c r="X257" s="16"/>
      <c r="Y257" s="16"/>
      <c r="Z257" s="16"/>
    </row>
    <row r="258" spans="1:26" ht="14.25" customHeight="1">
      <c r="A258" s="624"/>
      <c r="B258" s="253"/>
      <c r="C258" s="253"/>
      <c r="D258" s="253"/>
      <c r="E258" s="253"/>
      <c r="F258" s="253"/>
      <c r="G258" s="253"/>
      <c r="H258" s="625"/>
      <c r="I258" s="625"/>
      <c r="J258" s="16"/>
      <c r="K258" s="16"/>
      <c r="L258" s="16"/>
      <c r="M258" s="16"/>
      <c r="N258" s="16"/>
      <c r="O258" s="16"/>
      <c r="P258" s="16"/>
      <c r="Q258" s="16"/>
      <c r="R258" s="16"/>
      <c r="S258" s="16"/>
      <c r="T258" s="16"/>
      <c r="U258" s="16"/>
      <c r="V258" s="16"/>
      <c r="W258" s="16"/>
      <c r="X258" s="16"/>
      <c r="Y258" s="16"/>
      <c r="Z258" s="16"/>
    </row>
    <row r="259" spans="1:26" ht="14.25" customHeight="1">
      <c r="A259" s="624"/>
      <c r="B259" s="253"/>
      <c r="C259" s="253"/>
      <c r="D259" s="253"/>
      <c r="E259" s="253"/>
      <c r="F259" s="253"/>
      <c r="G259" s="253"/>
      <c r="H259" s="625"/>
      <c r="I259" s="625"/>
      <c r="J259" s="16"/>
      <c r="K259" s="16"/>
      <c r="L259" s="16"/>
      <c r="M259" s="16"/>
      <c r="N259" s="16"/>
      <c r="O259" s="16"/>
      <c r="P259" s="16"/>
      <c r="Q259" s="16"/>
      <c r="R259" s="16"/>
      <c r="S259" s="16"/>
      <c r="T259" s="16"/>
      <c r="U259" s="16"/>
      <c r="V259" s="16"/>
      <c r="W259" s="16"/>
      <c r="X259" s="16"/>
      <c r="Y259" s="16"/>
      <c r="Z259" s="16"/>
    </row>
    <row r="260" spans="1:26" ht="15.75" customHeight="1">
      <c r="A260" s="344"/>
      <c r="B260" s="344"/>
      <c r="C260" s="344"/>
      <c r="D260" s="344"/>
      <c r="E260" s="344"/>
      <c r="F260" s="344"/>
      <c r="G260" s="344"/>
      <c r="H260" s="625"/>
      <c r="I260" s="625"/>
      <c r="J260" s="16"/>
    </row>
    <row r="261" spans="1:26" ht="15.75" customHeight="1">
      <c r="A261" s="344"/>
      <c r="B261" s="344"/>
      <c r="C261" s="344"/>
      <c r="D261" s="344"/>
      <c r="E261" s="344"/>
      <c r="F261" s="344"/>
      <c r="G261" s="344"/>
      <c r="H261" s="625"/>
      <c r="I261" s="625"/>
      <c r="J261" s="16"/>
    </row>
    <row r="262" spans="1:26" ht="15.75" customHeight="1">
      <c r="A262" s="344"/>
      <c r="B262" s="344"/>
      <c r="C262" s="344"/>
      <c r="D262" s="344"/>
      <c r="E262" s="344"/>
      <c r="F262" s="344"/>
      <c r="G262" s="344"/>
      <c r="H262" s="625"/>
      <c r="I262" s="625"/>
      <c r="J262" s="16"/>
    </row>
    <row r="263" spans="1:26" ht="15.75" customHeight="1">
      <c r="A263" s="344"/>
      <c r="B263" s="344"/>
      <c r="C263" s="344"/>
      <c r="D263" s="344"/>
      <c r="E263" s="344"/>
      <c r="F263" s="344"/>
      <c r="G263" s="344"/>
      <c r="H263" s="625"/>
      <c r="I263" s="625"/>
      <c r="J263" s="16"/>
    </row>
    <row r="264" spans="1:26" ht="15.75" customHeight="1">
      <c r="A264" s="344"/>
      <c r="B264" s="344"/>
      <c r="C264" s="344"/>
      <c r="D264" s="344"/>
      <c r="E264" s="344"/>
      <c r="F264" s="344"/>
      <c r="G264" s="344"/>
      <c r="H264" s="625"/>
      <c r="I264" s="625"/>
      <c r="J264" s="16"/>
    </row>
    <row r="265" spans="1:26" ht="15.75" customHeight="1">
      <c r="A265" s="344"/>
      <c r="B265" s="344"/>
      <c r="C265" s="344"/>
      <c r="D265" s="344"/>
      <c r="E265" s="344"/>
      <c r="F265" s="344"/>
      <c r="G265" s="344"/>
      <c r="H265" s="625"/>
      <c r="I265" s="625"/>
      <c r="J265" s="16"/>
    </row>
    <row r="266" spans="1:26" ht="15.75" customHeight="1">
      <c r="A266" s="344"/>
      <c r="B266" s="344"/>
      <c r="C266" s="344"/>
      <c r="D266" s="344"/>
      <c r="E266" s="344"/>
      <c r="F266" s="344"/>
      <c r="G266" s="344"/>
      <c r="H266" s="625"/>
      <c r="I266" s="625"/>
      <c r="J266" s="16"/>
    </row>
    <row r="267" spans="1:26" ht="15.75" customHeight="1">
      <c r="A267" s="344"/>
      <c r="B267" s="344"/>
      <c r="C267" s="344"/>
      <c r="D267" s="344"/>
      <c r="E267" s="344"/>
      <c r="F267" s="344"/>
      <c r="G267" s="344"/>
      <c r="H267" s="625"/>
      <c r="I267" s="625"/>
      <c r="J267" s="16"/>
    </row>
    <row r="268" spans="1:26" ht="15.75" customHeight="1">
      <c r="A268" s="344"/>
      <c r="B268" s="344"/>
      <c r="C268" s="344"/>
      <c r="D268" s="344"/>
      <c r="E268" s="344"/>
      <c r="F268" s="344"/>
      <c r="G268" s="344"/>
      <c r="H268" s="625"/>
      <c r="I268" s="625"/>
      <c r="J268" s="16"/>
    </row>
    <row r="269" spans="1:26" ht="15.75" customHeight="1">
      <c r="A269" s="344"/>
      <c r="B269" s="344"/>
      <c r="C269" s="344"/>
      <c r="D269" s="344"/>
      <c r="E269" s="344"/>
      <c r="F269" s="344"/>
      <c r="G269" s="344"/>
      <c r="H269" s="625"/>
      <c r="I269" s="625"/>
      <c r="J269" s="16"/>
    </row>
    <row r="270" spans="1:26" ht="15.75" customHeight="1">
      <c r="A270" s="344"/>
      <c r="B270" s="344"/>
      <c r="C270" s="344"/>
      <c r="D270" s="344"/>
      <c r="E270" s="344"/>
      <c r="F270" s="344"/>
      <c r="G270" s="344"/>
      <c r="H270" s="625"/>
      <c r="I270" s="625"/>
      <c r="J270" s="16"/>
    </row>
    <row r="271" spans="1:26" ht="15.75" customHeight="1">
      <c r="A271" s="344"/>
      <c r="B271" s="344"/>
      <c r="C271" s="344"/>
      <c r="D271" s="344"/>
      <c r="E271" s="344"/>
      <c r="F271" s="344"/>
      <c r="G271" s="344"/>
      <c r="H271" s="625"/>
      <c r="I271" s="625"/>
      <c r="J271" s="16"/>
    </row>
    <row r="272" spans="1:26" ht="15.75" customHeight="1">
      <c r="A272" s="344"/>
      <c r="B272" s="344"/>
      <c r="C272" s="344"/>
      <c r="D272" s="344"/>
      <c r="E272" s="344"/>
      <c r="F272" s="344"/>
      <c r="G272" s="344"/>
      <c r="H272" s="625"/>
      <c r="I272" s="625"/>
      <c r="J272" s="16"/>
    </row>
    <row r="273" spans="1:10" ht="15.75" customHeight="1">
      <c r="A273" s="344"/>
      <c r="B273" s="344"/>
      <c r="C273" s="344"/>
      <c r="D273" s="344"/>
      <c r="E273" s="344"/>
      <c r="F273" s="344"/>
      <c r="G273" s="344"/>
      <c r="H273" s="625"/>
      <c r="I273" s="625"/>
      <c r="J273" s="16"/>
    </row>
    <row r="274" spans="1:10" ht="15.75" customHeight="1">
      <c r="A274" s="344"/>
      <c r="B274" s="344"/>
      <c r="C274" s="344"/>
      <c r="D274" s="344"/>
      <c r="E274" s="344"/>
      <c r="F274" s="344"/>
      <c r="G274" s="344"/>
      <c r="H274" s="625"/>
      <c r="I274" s="625"/>
      <c r="J274" s="16"/>
    </row>
    <row r="275" spans="1:10" ht="15.75" customHeight="1">
      <c r="A275" s="344"/>
      <c r="B275" s="344"/>
      <c r="C275" s="344"/>
      <c r="D275" s="344"/>
      <c r="E275" s="344"/>
      <c r="F275" s="344"/>
      <c r="G275" s="344"/>
      <c r="H275" s="625"/>
      <c r="I275" s="625"/>
      <c r="J275" s="16"/>
    </row>
    <row r="276" spans="1:10" ht="15.75" customHeight="1">
      <c r="A276" s="344"/>
      <c r="B276" s="344"/>
      <c r="C276" s="344"/>
      <c r="D276" s="344"/>
      <c r="E276" s="344"/>
      <c r="F276" s="344"/>
      <c r="G276" s="344"/>
      <c r="H276" s="625"/>
      <c r="I276" s="625"/>
      <c r="J276" s="16"/>
    </row>
    <row r="277" spans="1:10" ht="15.75" customHeight="1">
      <c r="A277" s="344"/>
      <c r="B277" s="344"/>
      <c r="C277" s="344"/>
      <c r="D277" s="344"/>
      <c r="E277" s="344"/>
      <c r="F277" s="344"/>
      <c r="G277" s="344"/>
      <c r="H277" s="625"/>
      <c r="I277" s="625"/>
      <c r="J277" s="16"/>
    </row>
    <row r="278" spans="1:10" ht="15.75" customHeight="1">
      <c r="A278" s="344"/>
      <c r="B278" s="344"/>
      <c r="C278" s="344"/>
      <c r="D278" s="344"/>
      <c r="E278" s="344"/>
      <c r="F278" s="344"/>
      <c r="G278" s="344"/>
      <c r="H278" s="625"/>
      <c r="I278" s="625"/>
      <c r="J278" s="16"/>
    </row>
    <row r="279" spans="1:10" ht="15.75" customHeight="1">
      <c r="A279" s="344"/>
      <c r="B279" s="344"/>
      <c r="C279" s="344"/>
      <c r="D279" s="344"/>
      <c r="E279" s="344"/>
      <c r="F279" s="344"/>
      <c r="G279" s="344"/>
      <c r="H279" s="625"/>
      <c r="I279" s="625"/>
      <c r="J279" s="16"/>
    </row>
    <row r="280" spans="1:10" ht="15.75" customHeight="1">
      <c r="A280" s="344"/>
      <c r="B280" s="344"/>
      <c r="C280" s="344"/>
      <c r="D280" s="344"/>
      <c r="E280" s="344"/>
      <c r="F280" s="344"/>
      <c r="G280" s="344"/>
      <c r="H280" s="625"/>
      <c r="I280" s="625"/>
      <c r="J280" s="16"/>
    </row>
    <row r="281" spans="1:10" ht="15.75" customHeight="1">
      <c r="A281" s="344"/>
      <c r="B281" s="344"/>
      <c r="C281" s="344"/>
      <c r="D281" s="344"/>
      <c r="E281" s="344"/>
      <c r="F281" s="344"/>
      <c r="G281" s="344"/>
      <c r="H281" s="625"/>
      <c r="I281" s="625"/>
      <c r="J281" s="16"/>
    </row>
    <row r="282" spans="1:10" ht="15.75" customHeight="1">
      <c r="A282" s="344"/>
      <c r="B282" s="344"/>
      <c r="C282" s="344"/>
      <c r="D282" s="344"/>
      <c r="E282" s="344"/>
      <c r="F282" s="344"/>
      <c r="G282" s="344"/>
      <c r="H282" s="625"/>
      <c r="I282" s="625"/>
      <c r="J282" s="16"/>
    </row>
    <row r="283" spans="1:10" ht="15.75" customHeight="1">
      <c r="A283" s="344"/>
      <c r="B283" s="344"/>
      <c r="C283" s="344"/>
      <c r="D283" s="344"/>
      <c r="E283" s="344"/>
      <c r="F283" s="344"/>
      <c r="G283" s="344"/>
      <c r="H283" s="625"/>
      <c r="I283" s="625"/>
      <c r="J283" s="16"/>
    </row>
    <row r="284" spans="1:10" ht="15.75" customHeight="1">
      <c r="A284" s="344"/>
      <c r="B284" s="344"/>
      <c r="C284" s="344"/>
      <c r="D284" s="344"/>
      <c r="E284" s="344"/>
      <c r="F284" s="344"/>
      <c r="G284" s="344"/>
      <c r="H284" s="625"/>
      <c r="I284" s="625"/>
      <c r="J284" s="16"/>
    </row>
    <row r="285" spans="1:10" ht="15.75" customHeight="1">
      <c r="A285" s="344"/>
      <c r="B285" s="344"/>
      <c r="C285" s="344"/>
      <c r="D285" s="344"/>
      <c r="E285" s="344"/>
      <c r="F285" s="344"/>
      <c r="G285" s="344"/>
      <c r="H285" s="625"/>
      <c r="I285" s="625"/>
      <c r="J285" s="16"/>
    </row>
    <row r="286" spans="1:10" ht="15.75" customHeight="1">
      <c r="A286" s="344"/>
      <c r="B286" s="344"/>
      <c r="C286" s="344"/>
      <c r="D286" s="344"/>
      <c r="E286" s="344"/>
      <c r="F286" s="344"/>
      <c r="G286" s="344"/>
      <c r="H286" s="625"/>
      <c r="I286" s="625"/>
      <c r="J286" s="16"/>
    </row>
    <row r="287" spans="1:10" ht="15.75" customHeight="1">
      <c r="A287" s="344"/>
      <c r="B287" s="344"/>
      <c r="C287" s="344"/>
      <c r="D287" s="344"/>
      <c r="E287" s="344"/>
      <c r="F287" s="344"/>
      <c r="G287" s="344"/>
      <c r="H287" s="625"/>
      <c r="I287" s="625"/>
      <c r="J287" s="16"/>
    </row>
    <row r="288" spans="1:10" ht="15.75" customHeight="1">
      <c r="A288" s="344"/>
      <c r="B288" s="344"/>
      <c r="C288" s="344"/>
      <c r="D288" s="344"/>
      <c r="E288" s="344"/>
      <c r="F288" s="344"/>
      <c r="G288" s="344"/>
      <c r="H288" s="625"/>
      <c r="I288" s="625"/>
      <c r="J288" s="16"/>
    </row>
    <row r="289" spans="1:10" ht="15.75" customHeight="1">
      <c r="A289" s="344"/>
      <c r="B289" s="344"/>
      <c r="C289" s="344"/>
      <c r="D289" s="344"/>
      <c r="E289" s="344"/>
      <c r="F289" s="344"/>
      <c r="G289" s="344"/>
      <c r="H289" s="625"/>
      <c r="I289" s="625"/>
      <c r="J289" s="16"/>
    </row>
    <row r="290" spans="1:10" ht="15.75" customHeight="1">
      <c r="A290" s="344"/>
      <c r="B290" s="344"/>
      <c r="C290" s="344"/>
      <c r="D290" s="344"/>
      <c r="E290" s="344"/>
      <c r="F290" s="344"/>
      <c r="G290" s="344"/>
      <c r="H290" s="625"/>
      <c r="I290" s="625"/>
      <c r="J290" s="16"/>
    </row>
    <row r="291" spans="1:10" ht="15.75" customHeight="1">
      <c r="A291" s="344"/>
      <c r="B291" s="344"/>
      <c r="C291" s="344"/>
      <c r="D291" s="344"/>
      <c r="E291" s="344"/>
      <c r="F291" s="344"/>
      <c r="G291" s="344"/>
      <c r="H291" s="625"/>
      <c r="I291" s="625"/>
      <c r="J291" s="16"/>
    </row>
    <row r="292" spans="1:10" ht="15.75" customHeight="1">
      <c r="A292" s="344"/>
      <c r="B292" s="344"/>
      <c r="C292" s="344"/>
      <c r="D292" s="344"/>
      <c r="E292" s="344"/>
      <c r="F292" s="344"/>
      <c r="G292" s="344"/>
      <c r="H292" s="625"/>
      <c r="I292" s="625"/>
      <c r="J292" s="16"/>
    </row>
    <row r="293" spans="1:10" ht="15.75" customHeight="1">
      <c r="A293" s="344"/>
      <c r="B293" s="344"/>
      <c r="C293" s="344"/>
      <c r="D293" s="344"/>
      <c r="E293" s="344"/>
      <c r="F293" s="344"/>
      <c r="G293" s="344"/>
      <c r="H293" s="625"/>
      <c r="I293" s="625"/>
      <c r="J293" s="16"/>
    </row>
    <row r="294" spans="1:10" ht="15.75" customHeight="1">
      <c r="A294" s="344"/>
      <c r="B294" s="344"/>
      <c r="C294" s="344"/>
      <c r="D294" s="344"/>
      <c r="E294" s="344"/>
      <c r="F294" s="344"/>
      <c r="G294" s="344"/>
      <c r="H294" s="625"/>
      <c r="I294" s="625"/>
      <c r="J294" s="16"/>
    </row>
    <row r="295" spans="1:10" ht="15.75" customHeight="1">
      <c r="A295" s="344"/>
      <c r="B295" s="344"/>
      <c r="C295" s="344"/>
      <c r="D295" s="344"/>
      <c r="E295" s="344"/>
      <c r="F295" s="344"/>
      <c r="G295" s="344"/>
      <c r="H295" s="625"/>
      <c r="I295" s="625"/>
      <c r="J295" s="16"/>
    </row>
    <row r="296" spans="1:10" ht="15.75" customHeight="1">
      <c r="A296" s="344"/>
      <c r="B296" s="344"/>
      <c r="C296" s="344"/>
      <c r="D296" s="344"/>
      <c r="E296" s="344"/>
      <c r="F296" s="344"/>
      <c r="G296" s="344"/>
      <c r="H296" s="625"/>
      <c r="I296" s="625"/>
      <c r="J296" s="16"/>
    </row>
    <row r="297" spans="1:10" ht="15.75" customHeight="1">
      <c r="A297" s="344"/>
      <c r="B297" s="344"/>
      <c r="C297" s="344"/>
      <c r="D297" s="344"/>
      <c r="E297" s="344"/>
      <c r="F297" s="344"/>
      <c r="G297" s="344"/>
      <c r="H297" s="625"/>
      <c r="I297" s="625"/>
      <c r="J297" s="16"/>
    </row>
    <row r="298" spans="1:10" ht="15.75" customHeight="1">
      <c r="A298" s="344"/>
      <c r="B298" s="344"/>
      <c r="C298" s="344"/>
      <c r="D298" s="344"/>
      <c r="E298" s="344"/>
      <c r="F298" s="344"/>
      <c r="G298" s="344"/>
      <c r="H298" s="625"/>
      <c r="I298" s="625"/>
      <c r="J298" s="16"/>
    </row>
    <row r="299" spans="1:10" ht="15.75" customHeight="1">
      <c r="A299" s="344"/>
      <c r="B299" s="344"/>
      <c r="C299" s="344"/>
      <c r="D299" s="344"/>
      <c r="E299" s="344"/>
      <c r="F299" s="344"/>
      <c r="G299" s="344"/>
      <c r="H299" s="625"/>
      <c r="I299" s="625"/>
      <c r="J299" s="16"/>
    </row>
    <row r="300" spans="1:10" ht="15.75" customHeight="1">
      <c r="A300" s="344"/>
      <c r="B300" s="344"/>
      <c r="C300" s="344"/>
      <c r="D300" s="344"/>
      <c r="E300" s="344"/>
      <c r="F300" s="344"/>
      <c r="G300" s="344"/>
      <c r="H300" s="625"/>
      <c r="I300" s="625"/>
      <c r="J300" s="16"/>
    </row>
    <row r="301" spans="1:10" ht="15.75" customHeight="1">
      <c r="A301" s="344"/>
      <c r="B301" s="344"/>
      <c r="C301" s="344"/>
      <c r="D301" s="344"/>
      <c r="E301" s="344"/>
      <c r="F301" s="344"/>
      <c r="G301" s="344"/>
      <c r="H301" s="625"/>
      <c r="I301" s="625"/>
      <c r="J301" s="16"/>
    </row>
    <row r="302" spans="1:10" ht="15.75" customHeight="1">
      <c r="A302" s="344"/>
      <c r="B302" s="344"/>
      <c r="C302" s="344"/>
      <c r="D302" s="344"/>
      <c r="E302" s="344"/>
      <c r="F302" s="344"/>
      <c r="G302" s="344"/>
      <c r="H302" s="625"/>
      <c r="I302" s="625"/>
      <c r="J302" s="16"/>
    </row>
    <row r="303" spans="1:10" ht="15.75" customHeight="1">
      <c r="A303" s="344"/>
      <c r="B303" s="344"/>
      <c r="C303" s="344"/>
      <c r="D303" s="344"/>
      <c r="E303" s="344"/>
      <c r="F303" s="344"/>
      <c r="G303" s="344"/>
      <c r="H303" s="625"/>
      <c r="I303" s="625"/>
      <c r="J303" s="16"/>
    </row>
    <row r="304" spans="1:10" ht="15.75" customHeight="1">
      <c r="A304" s="344"/>
      <c r="B304" s="344"/>
      <c r="C304" s="344"/>
      <c r="D304" s="344"/>
      <c r="E304" s="344"/>
      <c r="F304" s="344"/>
      <c r="G304" s="344"/>
      <c r="H304" s="625"/>
      <c r="I304" s="625"/>
      <c r="J304" s="16"/>
    </row>
    <row r="305" spans="1:10" ht="15.75" customHeight="1">
      <c r="A305" s="344"/>
      <c r="B305" s="344"/>
      <c r="C305" s="344"/>
      <c r="D305" s="344"/>
      <c r="E305" s="344"/>
      <c r="F305" s="344"/>
      <c r="G305" s="344"/>
      <c r="H305" s="625"/>
      <c r="I305" s="625"/>
      <c r="J305" s="16"/>
    </row>
    <row r="306" spans="1:10" ht="15.75" customHeight="1">
      <c r="A306" s="344"/>
      <c r="B306" s="344"/>
      <c r="C306" s="344"/>
      <c r="D306" s="344"/>
      <c r="E306" s="344"/>
      <c r="F306" s="344"/>
      <c r="G306" s="344"/>
      <c r="H306" s="625"/>
      <c r="I306" s="625"/>
      <c r="J306" s="16"/>
    </row>
    <row r="307" spans="1:10" ht="15.75" customHeight="1">
      <c r="A307" s="344"/>
      <c r="B307" s="344"/>
      <c r="C307" s="344"/>
      <c r="D307" s="344"/>
      <c r="E307" s="344"/>
      <c r="F307" s="344"/>
      <c r="G307" s="344"/>
      <c r="H307" s="625"/>
      <c r="I307" s="625"/>
      <c r="J307" s="16"/>
    </row>
    <row r="308" spans="1:10" ht="15.75" customHeight="1">
      <c r="A308" s="344"/>
      <c r="B308" s="344"/>
      <c r="C308" s="344"/>
      <c r="D308" s="344"/>
      <c r="E308" s="344"/>
      <c r="F308" s="344"/>
      <c r="G308" s="344"/>
      <c r="H308" s="625"/>
      <c r="I308" s="625"/>
      <c r="J308" s="16"/>
    </row>
    <row r="309" spans="1:10" ht="15.75" customHeight="1">
      <c r="A309" s="344"/>
      <c r="B309" s="344"/>
      <c r="C309" s="344"/>
      <c r="D309" s="344"/>
      <c r="E309" s="344"/>
      <c r="F309" s="344"/>
      <c r="G309" s="344"/>
      <c r="H309" s="625"/>
      <c r="I309" s="625"/>
      <c r="J309" s="16"/>
    </row>
    <row r="310" spans="1:10" ht="15.75" customHeight="1">
      <c r="A310" s="344"/>
      <c r="B310" s="344"/>
      <c r="C310" s="344"/>
      <c r="D310" s="344"/>
      <c r="E310" s="344"/>
      <c r="F310" s="344"/>
      <c r="G310" s="344"/>
      <c r="H310" s="625"/>
      <c r="I310" s="625"/>
      <c r="J310" s="16"/>
    </row>
    <row r="311" spans="1:10" ht="15.75" customHeight="1">
      <c r="A311" s="344"/>
      <c r="B311" s="344"/>
      <c r="C311" s="344"/>
      <c r="D311" s="344"/>
      <c r="E311" s="344"/>
      <c r="F311" s="344"/>
      <c r="G311" s="344"/>
      <c r="H311" s="625"/>
      <c r="I311" s="625"/>
      <c r="J311" s="16"/>
    </row>
    <row r="312" spans="1:10" ht="15.75" customHeight="1">
      <c r="A312" s="344"/>
      <c r="B312" s="344"/>
      <c r="C312" s="344"/>
      <c r="D312" s="344"/>
      <c r="E312" s="344"/>
      <c r="F312" s="344"/>
      <c r="G312" s="344"/>
      <c r="H312" s="625"/>
      <c r="I312" s="625"/>
      <c r="J312" s="16"/>
    </row>
    <row r="313" spans="1:10" ht="15.75" customHeight="1">
      <c r="A313" s="344"/>
      <c r="B313" s="344"/>
      <c r="C313" s="344"/>
      <c r="D313" s="344"/>
      <c r="E313" s="344"/>
      <c r="F313" s="344"/>
      <c r="G313" s="344"/>
      <c r="H313" s="625"/>
      <c r="I313" s="625"/>
      <c r="J313" s="16"/>
    </row>
    <row r="314" spans="1:10" ht="15.75" customHeight="1">
      <c r="A314" s="344"/>
      <c r="B314" s="344"/>
      <c r="C314" s="344"/>
      <c r="D314" s="344"/>
      <c r="E314" s="344"/>
      <c r="F314" s="344"/>
      <c r="G314" s="344"/>
      <c r="H314" s="625"/>
      <c r="I314" s="625"/>
      <c r="J314" s="16"/>
    </row>
    <row r="315" spans="1:10" ht="15.75" customHeight="1">
      <c r="A315" s="344"/>
      <c r="B315" s="344"/>
      <c r="C315" s="344"/>
      <c r="D315" s="344"/>
      <c r="E315" s="344"/>
      <c r="F315" s="344"/>
      <c r="G315" s="344"/>
      <c r="H315" s="625"/>
      <c r="I315" s="625"/>
      <c r="J315" s="16"/>
    </row>
    <row r="316" spans="1:10" ht="15.75" customHeight="1">
      <c r="A316" s="344"/>
      <c r="B316" s="344"/>
      <c r="C316" s="344"/>
      <c r="D316" s="344"/>
      <c r="E316" s="344"/>
      <c r="F316" s="344"/>
      <c r="G316" s="344"/>
      <c r="H316" s="625"/>
      <c r="I316" s="625"/>
      <c r="J316" s="16"/>
    </row>
    <row r="317" spans="1:10" ht="15.75" customHeight="1">
      <c r="A317" s="344"/>
      <c r="B317" s="344"/>
      <c r="C317" s="344"/>
      <c r="D317" s="344"/>
      <c r="E317" s="344"/>
      <c r="F317" s="344"/>
      <c r="G317" s="344"/>
      <c r="H317" s="625"/>
      <c r="I317" s="625"/>
      <c r="J317" s="16"/>
    </row>
    <row r="318" spans="1:10" ht="15.75" customHeight="1">
      <c r="A318" s="344"/>
      <c r="B318" s="344"/>
      <c r="C318" s="344"/>
      <c r="D318" s="344"/>
      <c r="E318" s="344"/>
      <c r="F318" s="344"/>
      <c r="G318" s="344"/>
      <c r="H318" s="625"/>
      <c r="I318" s="625"/>
      <c r="J318" s="16"/>
    </row>
    <row r="319" spans="1:10" ht="15.75" customHeight="1">
      <c r="A319" s="344"/>
      <c r="B319" s="344"/>
      <c r="C319" s="344"/>
      <c r="D319" s="344"/>
      <c r="E319" s="344"/>
      <c r="F319" s="344"/>
      <c r="G319" s="344"/>
      <c r="H319" s="625"/>
      <c r="I319" s="625"/>
      <c r="J319" s="16"/>
    </row>
    <row r="320" spans="1:10" ht="15.75" customHeight="1">
      <c r="A320" s="344"/>
      <c r="B320" s="344"/>
      <c r="C320" s="344"/>
      <c r="D320" s="344"/>
      <c r="E320" s="344"/>
      <c r="F320" s="344"/>
      <c r="G320" s="344"/>
      <c r="H320" s="625"/>
      <c r="I320" s="625"/>
      <c r="J320" s="16"/>
    </row>
    <row r="321" spans="1:10" ht="15.75" customHeight="1">
      <c r="A321" s="344"/>
      <c r="B321" s="344"/>
      <c r="C321" s="344"/>
      <c r="D321" s="344"/>
      <c r="E321" s="344"/>
      <c r="F321" s="344"/>
      <c r="G321" s="344"/>
      <c r="H321" s="625"/>
      <c r="I321" s="625"/>
      <c r="J321" s="16"/>
    </row>
    <row r="322" spans="1:10" ht="15.75" customHeight="1">
      <c r="A322" s="344"/>
      <c r="B322" s="344"/>
      <c r="C322" s="344"/>
      <c r="D322" s="344"/>
      <c r="E322" s="344"/>
      <c r="F322" s="344"/>
      <c r="G322" s="344"/>
      <c r="H322" s="625"/>
      <c r="I322" s="625"/>
      <c r="J322" s="16"/>
    </row>
    <row r="323" spans="1:10" ht="15.75" customHeight="1">
      <c r="A323" s="344"/>
      <c r="B323" s="344"/>
      <c r="C323" s="344"/>
      <c r="D323" s="344"/>
      <c r="E323" s="344"/>
      <c r="F323" s="344"/>
      <c r="G323" s="344"/>
      <c r="H323" s="625"/>
      <c r="I323" s="625"/>
      <c r="J323" s="16"/>
    </row>
    <row r="324" spans="1:10" ht="15.75" customHeight="1">
      <c r="A324" s="344"/>
      <c r="B324" s="344"/>
      <c r="C324" s="344"/>
      <c r="D324" s="344"/>
      <c r="E324" s="344"/>
      <c r="F324" s="344"/>
      <c r="G324" s="344"/>
      <c r="H324" s="625"/>
      <c r="I324" s="625"/>
      <c r="J324" s="16"/>
    </row>
    <row r="325" spans="1:10" ht="15.75" customHeight="1">
      <c r="A325" s="344"/>
      <c r="B325" s="344"/>
      <c r="C325" s="344"/>
      <c r="D325" s="344"/>
      <c r="E325" s="344"/>
      <c r="F325" s="344"/>
      <c r="G325" s="344"/>
      <c r="H325" s="625"/>
      <c r="I325" s="625"/>
      <c r="J325" s="16"/>
    </row>
    <row r="326" spans="1:10" ht="15.75" customHeight="1">
      <c r="A326" s="344"/>
      <c r="B326" s="344"/>
      <c r="C326" s="344"/>
      <c r="D326" s="344"/>
      <c r="E326" s="344"/>
      <c r="F326" s="344"/>
      <c r="G326" s="344"/>
      <c r="H326" s="625"/>
      <c r="I326" s="625"/>
      <c r="J326" s="16"/>
    </row>
    <row r="327" spans="1:10" ht="15.75" customHeight="1">
      <c r="A327" s="344"/>
      <c r="B327" s="344"/>
      <c r="C327" s="344"/>
      <c r="D327" s="344"/>
      <c r="E327" s="344"/>
      <c r="F327" s="344"/>
      <c r="G327" s="344"/>
      <c r="H327" s="625"/>
      <c r="I327" s="625"/>
      <c r="J327" s="16"/>
    </row>
    <row r="328" spans="1:10" ht="15.75" customHeight="1">
      <c r="A328" s="344"/>
      <c r="B328" s="344"/>
      <c r="C328" s="344"/>
      <c r="D328" s="344"/>
      <c r="E328" s="344"/>
      <c r="F328" s="344"/>
      <c r="G328" s="344"/>
      <c r="H328" s="625"/>
      <c r="I328" s="625"/>
      <c r="J328" s="16"/>
    </row>
    <row r="329" spans="1:10" ht="15.75" customHeight="1">
      <c r="A329" s="344"/>
      <c r="B329" s="344"/>
      <c r="C329" s="344"/>
      <c r="D329" s="344"/>
      <c r="E329" s="344"/>
      <c r="F329" s="344"/>
      <c r="G329" s="344"/>
      <c r="H329" s="625"/>
      <c r="I329" s="625"/>
      <c r="J329" s="16"/>
    </row>
    <row r="330" spans="1:10" ht="15.75" customHeight="1">
      <c r="A330" s="344"/>
      <c r="B330" s="344"/>
      <c r="C330" s="344"/>
      <c r="D330" s="344"/>
      <c r="E330" s="344"/>
      <c r="F330" s="344"/>
      <c r="G330" s="344"/>
      <c r="H330" s="625"/>
      <c r="I330" s="625"/>
      <c r="J330" s="16"/>
    </row>
    <row r="331" spans="1:10" ht="15.75" customHeight="1">
      <c r="A331" s="344"/>
      <c r="B331" s="344"/>
      <c r="C331" s="344"/>
      <c r="D331" s="344"/>
      <c r="E331" s="344"/>
      <c r="F331" s="344"/>
      <c r="G331" s="344"/>
      <c r="H331" s="625"/>
      <c r="I331" s="625"/>
      <c r="J331" s="16"/>
    </row>
    <row r="332" spans="1:10" ht="15.75" customHeight="1">
      <c r="A332" s="344"/>
      <c r="B332" s="344"/>
      <c r="C332" s="344"/>
      <c r="D332" s="344"/>
      <c r="E332" s="344"/>
      <c r="F332" s="344"/>
      <c r="G332" s="344"/>
      <c r="H332" s="625"/>
      <c r="I332" s="625"/>
      <c r="J332" s="16"/>
    </row>
    <row r="333" spans="1:10" ht="15.75" customHeight="1">
      <c r="A333" s="344"/>
      <c r="B333" s="344"/>
      <c r="C333" s="344"/>
      <c r="D333" s="344"/>
      <c r="E333" s="344"/>
      <c r="F333" s="344"/>
      <c r="G333" s="344"/>
      <c r="H333" s="625"/>
      <c r="I333" s="625"/>
      <c r="J333" s="16"/>
    </row>
    <row r="334" spans="1:10" ht="15.75" customHeight="1">
      <c r="A334" s="344"/>
      <c r="B334" s="344"/>
      <c r="C334" s="344"/>
      <c r="D334" s="344"/>
      <c r="E334" s="344"/>
      <c r="F334" s="344"/>
      <c r="G334" s="344"/>
      <c r="H334" s="625"/>
      <c r="I334" s="625"/>
      <c r="J334" s="16"/>
    </row>
    <row r="335" spans="1:10" ht="15.75" customHeight="1">
      <c r="A335" s="344"/>
      <c r="B335" s="344"/>
      <c r="C335" s="344"/>
      <c r="D335" s="344"/>
      <c r="E335" s="344"/>
      <c r="F335" s="344"/>
      <c r="G335" s="344"/>
      <c r="H335" s="625"/>
      <c r="I335" s="625"/>
      <c r="J335" s="16"/>
    </row>
    <row r="336" spans="1:10" ht="15.75" customHeight="1">
      <c r="A336" s="344"/>
      <c r="B336" s="344"/>
      <c r="C336" s="344"/>
      <c r="D336" s="344"/>
      <c r="E336" s="344"/>
      <c r="F336" s="344"/>
      <c r="G336" s="344"/>
      <c r="H336" s="625"/>
      <c r="I336" s="625"/>
      <c r="J336" s="16"/>
    </row>
    <row r="337" spans="1:10" ht="15.75" customHeight="1">
      <c r="A337" s="344"/>
      <c r="B337" s="344"/>
      <c r="C337" s="344"/>
      <c r="D337" s="344"/>
      <c r="E337" s="344"/>
      <c r="F337" s="344"/>
      <c r="G337" s="344"/>
      <c r="H337" s="625"/>
      <c r="I337" s="625"/>
      <c r="J337" s="16"/>
    </row>
    <row r="338" spans="1:10" ht="15.75" customHeight="1">
      <c r="A338" s="344"/>
      <c r="B338" s="344"/>
      <c r="C338" s="344"/>
      <c r="D338" s="344"/>
      <c r="E338" s="344"/>
      <c r="F338" s="344"/>
      <c r="G338" s="344"/>
      <c r="H338" s="625"/>
      <c r="I338" s="625"/>
      <c r="J338" s="16"/>
    </row>
    <row r="339" spans="1:10" ht="15.75" customHeight="1">
      <c r="A339" s="344"/>
      <c r="B339" s="344"/>
      <c r="C339" s="344"/>
      <c r="D339" s="344"/>
      <c r="E339" s="344"/>
      <c r="F339" s="344"/>
      <c r="G339" s="344"/>
      <c r="H339" s="625"/>
      <c r="I339" s="625"/>
      <c r="J339" s="16"/>
    </row>
    <row r="340" spans="1:10" ht="15.75" customHeight="1">
      <c r="A340" s="344"/>
      <c r="B340" s="344"/>
      <c r="C340" s="344"/>
      <c r="D340" s="344"/>
      <c r="E340" s="344"/>
      <c r="F340" s="344"/>
      <c r="G340" s="344"/>
      <c r="H340" s="625"/>
      <c r="I340" s="625"/>
      <c r="J340" s="16"/>
    </row>
    <row r="341" spans="1:10" ht="15.75" customHeight="1">
      <c r="A341" s="344"/>
      <c r="B341" s="344"/>
      <c r="C341" s="344"/>
      <c r="D341" s="344"/>
      <c r="E341" s="344"/>
      <c r="F341" s="344"/>
      <c r="G341" s="344"/>
      <c r="H341" s="625"/>
      <c r="I341" s="625"/>
      <c r="J341" s="16"/>
    </row>
    <row r="342" spans="1:10" ht="15.75" customHeight="1">
      <c r="A342" s="344"/>
      <c r="B342" s="344"/>
      <c r="C342" s="344"/>
      <c r="D342" s="344"/>
      <c r="E342" s="344"/>
      <c r="F342" s="344"/>
      <c r="G342" s="344"/>
      <c r="H342" s="625"/>
      <c r="I342" s="625"/>
      <c r="J342" s="16"/>
    </row>
    <row r="343" spans="1:10" ht="15.75" customHeight="1">
      <c r="A343" s="344"/>
      <c r="B343" s="344"/>
      <c r="C343" s="344"/>
      <c r="D343" s="344"/>
      <c r="E343" s="344"/>
      <c r="F343" s="344"/>
      <c r="G343" s="344"/>
      <c r="H343" s="625"/>
      <c r="I343" s="625"/>
      <c r="J343" s="16"/>
    </row>
    <row r="344" spans="1:10" ht="15.75" customHeight="1">
      <c r="A344" s="344"/>
      <c r="B344" s="344"/>
      <c r="C344" s="344"/>
      <c r="D344" s="344"/>
      <c r="E344" s="344"/>
      <c r="F344" s="344"/>
      <c r="G344" s="344"/>
      <c r="H344" s="625"/>
      <c r="I344" s="625"/>
      <c r="J344" s="16"/>
    </row>
    <row r="345" spans="1:10" ht="15.75" customHeight="1">
      <c r="A345" s="344"/>
      <c r="B345" s="344"/>
      <c r="C345" s="344"/>
      <c r="D345" s="344"/>
      <c r="E345" s="344"/>
      <c r="F345" s="344"/>
      <c r="G345" s="344"/>
      <c r="H345" s="625"/>
      <c r="I345" s="625"/>
      <c r="J345" s="16"/>
    </row>
    <row r="346" spans="1:10" ht="15.75" customHeight="1">
      <c r="A346" s="344"/>
      <c r="B346" s="344"/>
      <c r="C346" s="344"/>
      <c r="D346" s="344"/>
      <c r="E346" s="344"/>
      <c r="F346" s="344"/>
      <c r="G346" s="344"/>
      <c r="H346" s="625"/>
      <c r="I346" s="625"/>
      <c r="J346" s="16"/>
    </row>
    <row r="347" spans="1:10" ht="15.75" customHeight="1">
      <c r="A347" s="344"/>
      <c r="B347" s="344"/>
      <c r="C347" s="344"/>
      <c r="D347" s="344"/>
      <c r="E347" s="344"/>
      <c r="F347" s="344"/>
      <c r="G347" s="344"/>
      <c r="H347" s="625"/>
      <c r="I347" s="625"/>
      <c r="J347" s="16"/>
    </row>
    <row r="348" spans="1:10" ht="15.75" customHeight="1">
      <c r="A348" s="344"/>
      <c r="B348" s="344"/>
      <c r="C348" s="344"/>
      <c r="D348" s="344"/>
      <c r="E348" s="344"/>
      <c r="F348" s="344"/>
      <c r="G348" s="344"/>
      <c r="H348" s="625"/>
      <c r="I348" s="625"/>
      <c r="J348" s="16"/>
    </row>
    <row r="349" spans="1:10" ht="15.75" customHeight="1">
      <c r="A349" s="344"/>
      <c r="B349" s="344"/>
      <c r="C349" s="344"/>
      <c r="D349" s="344"/>
      <c r="E349" s="344"/>
      <c r="F349" s="344"/>
      <c r="G349" s="344"/>
      <c r="H349" s="625"/>
      <c r="I349" s="625"/>
      <c r="J349" s="16"/>
    </row>
    <row r="350" spans="1:10" ht="15.75" customHeight="1">
      <c r="A350" s="344"/>
      <c r="B350" s="344"/>
      <c r="C350" s="344"/>
      <c r="D350" s="344"/>
      <c r="E350" s="344"/>
      <c r="F350" s="344"/>
      <c r="G350" s="344"/>
      <c r="H350" s="625"/>
      <c r="I350" s="625"/>
      <c r="J350" s="16"/>
    </row>
    <row r="351" spans="1:10" ht="15.75" customHeight="1">
      <c r="A351" s="344"/>
      <c r="B351" s="344"/>
      <c r="C351" s="344"/>
      <c r="D351" s="344"/>
      <c r="E351" s="344"/>
      <c r="F351" s="344"/>
      <c r="G351" s="344"/>
      <c r="H351" s="625"/>
      <c r="I351" s="625"/>
      <c r="J351" s="16"/>
    </row>
    <row r="352" spans="1:10" ht="15.75" customHeight="1">
      <c r="A352" s="344"/>
      <c r="B352" s="344"/>
      <c r="C352" s="344"/>
      <c r="D352" s="344"/>
      <c r="E352" s="344"/>
      <c r="F352" s="344"/>
      <c r="G352" s="344"/>
      <c r="H352" s="625"/>
      <c r="I352" s="625"/>
      <c r="J352" s="16"/>
    </row>
    <row r="353" spans="1:10" ht="15.75" customHeight="1">
      <c r="A353" s="344"/>
      <c r="B353" s="344"/>
      <c r="C353" s="344"/>
      <c r="D353" s="344"/>
      <c r="E353" s="344"/>
      <c r="F353" s="344"/>
      <c r="G353" s="344"/>
      <c r="H353" s="625"/>
      <c r="I353" s="625"/>
      <c r="J353" s="16"/>
    </row>
    <row r="354" spans="1:10" ht="15.75" customHeight="1">
      <c r="A354" s="344"/>
      <c r="B354" s="344"/>
      <c r="C354" s="344"/>
      <c r="D354" s="344"/>
      <c r="E354" s="344"/>
      <c r="F354" s="344"/>
      <c r="G354" s="344"/>
      <c r="H354" s="625"/>
      <c r="I354" s="625"/>
      <c r="J354" s="16"/>
    </row>
    <row r="355" spans="1:10" ht="15.75" customHeight="1">
      <c r="A355" s="344"/>
      <c r="B355" s="344"/>
      <c r="C355" s="344"/>
      <c r="D355" s="344"/>
      <c r="E355" s="344"/>
      <c r="F355" s="344"/>
      <c r="G355" s="344"/>
      <c r="H355" s="625"/>
      <c r="I355" s="625"/>
      <c r="J355" s="16"/>
    </row>
    <row r="356" spans="1:10" ht="15.75" customHeight="1">
      <c r="A356" s="344"/>
      <c r="B356" s="344"/>
      <c r="C356" s="344"/>
      <c r="D356" s="344"/>
      <c r="E356" s="344"/>
      <c r="F356" s="344"/>
      <c r="G356" s="344"/>
      <c r="H356" s="625"/>
      <c r="I356" s="625"/>
      <c r="J356" s="16"/>
    </row>
    <row r="357" spans="1:10" ht="15.75" customHeight="1">
      <c r="A357" s="344"/>
      <c r="B357" s="344"/>
      <c r="C357" s="344"/>
      <c r="D357" s="344"/>
      <c r="E357" s="344"/>
      <c r="F357" s="344"/>
      <c r="G357" s="344"/>
      <c r="H357" s="625"/>
      <c r="I357" s="625"/>
      <c r="J357" s="16"/>
    </row>
    <row r="358" spans="1:10" ht="15.75" customHeight="1">
      <c r="A358" s="344"/>
      <c r="B358" s="344"/>
      <c r="C358" s="344"/>
      <c r="D358" s="344"/>
      <c r="E358" s="344"/>
      <c r="F358" s="344"/>
      <c r="G358" s="344"/>
      <c r="H358" s="625"/>
      <c r="I358" s="625"/>
      <c r="J358" s="16"/>
    </row>
    <row r="359" spans="1:10" ht="15.75" customHeight="1">
      <c r="A359" s="344"/>
      <c r="B359" s="344"/>
      <c r="C359" s="344"/>
      <c r="D359" s="344"/>
      <c r="E359" s="344"/>
      <c r="F359" s="344"/>
      <c r="G359" s="344"/>
      <c r="H359" s="625"/>
      <c r="I359" s="625"/>
      <c r="J359" s="16"/>
    </row>
    <row r="360" spans="1:10" ht="15.75" customHeight="1">
      <c r="A360" s="344"/>
      <c r="B360" s="344"/>
      <c r="C360" s="344"/>
      <c r="D360" s="344"/>
      <c r="E360" s="344"/>
      <c r="F360" s="344"/>
      <c r="G360" s="344"/>
      <c r="H360" s="625"/>
      <c r="I360" s="625"/>
      <c r="J360" s="16"/>
    </row>
    <row r="361" spans="1:10" ht="15.75" customHeight="1">
      <c r="A361" s="344"/>
      <c r="B361" s="344"/>
      <c r="C361" s="344"/>
      <c r="D361" s="344"/>
      <c r="E361" s="344"/>
      <c r="F361" s="344"/>
      <c r="G361" s="344"/>
      <c r="H361" s="625"/>
      <c r="I361" s="625"/>
      <c r="J361" s="16"/>
    </row>
    <row r="362" spans="1:10" ht="15.75" customHeight="1">
      <c r="A362" s="344"/>
      <c r="B362" s="344"/>
      <c r="C362" s="344"/>
      <c r="D362" s="344"/>
      <c r="E362" s="344"/>
      <c r="F362" s="344"/>
      <c r="G362" s="344"/>
      <c r="H362" s="625"/>
      <c r="I362" s="625"/>
      <c r="J362" s="16"/>
    </row>
    <row r="363" spans="1:10" ht="15.75" customHeight="1">
      <c r="A363" s="344"/>
      <c r="B363" s="344"/>
      <c r="C363" s="344"/>
      <c r="D363" s="344"/>
      <c r="E363" s="344"/>
      <c r="F363" s="344"/>
      <c r="G363" s="344"/>
      <c r="H363" s="625"/>
      <c r="I363" s="625"/>
      <c r="J363" s="16"/>
    </row>
    <row r="364" spans="1:10" ht="15.75" customHeight="1">
      <c r="A364" s="344"/>
      <c r="B364" s="344"/>
      <c r="C364" s="344"/>
      <c r="D364" s="344"/>
      <c r="E364" s="344"/>
      <c r="F364" s="344"/>
      <c r="G364" s="344"/>
      <c r="H364" s="625"/>
      <c r="I364" s="625"/>
      <c r="J364" s="16"/>
    </row>
    <row r="365" spans="1:10" ht="15.75" customHeight="1">
      <c r="A365" s="344"/>
      <c r="B365" s="344"/>
      <c r="C365" s="344"/>
      <c r="D365" s="344"/>
      <c r="E365" s="344"/>
      <c r="F365" s="344"/>
      <c r="G365" s="344"/>
      <c r="H365" s="625"/>
      <c r="I365" s="625"/>
      <c r="J365" s="16"/>
    </row>
    <row r="366" spans="1:10" ht="15.75" customHeight="1">
      <c r="A366" s="344"/>
      <c r="B366" s="344"/>
      <c r="C366" s="344"/>
      <c r="D366" s="344"/>
      <c r="E366" s="344"/>
      <c r="F366" s="344"/>
      <c r="G366" s="344"/>
      <c r="H366" s="625"/>
      <c r="I366" s="625"/>
      <c r="J366" s="16"/>
    </row>
    <row r="367" spans="1:10" ht="15.75" customHeight="1">
      <c r="A367" s="344"/>
      <c r="B367" s="344"/>
      <c r="C367" s="344"/>
      <c r="D367" s="344"/>
      <c r="E367" s="344"/>
      <c r="F367" s="344"/>
      <c r="G367" s="344"/>
      <c r="H367" s="625"/>
      <c r="I367" s="625"/>
      <c r="J367" s="16"/>
    </row>
    <row r="368" spans="1:10" ht="15.75" customHeight="1">
      <c r="A368" s="344"/>
      <c r="B368" s="344"/>
      <c r="C368" s="344"/>
      <c r="D368" s="344"/>
      <c r="E368" s="344"/>
      <c r="F368" s="344"/>
      <c r="G368" s="344"/>
      <c r="H368" s="625"/>
      <c r="I368" s="625"/>
      <c r="J368" s="16"/>
    </row>
    <row r="369" spans="1:10" ht="15.75" customHeight="1">
      <c r="A369" s="344"/>
      <c r="B369" s="344"/>
      <c r="C369" s="344"/>
      <c r="D369" s="344"/>
      <c r="E369" s="344"/>
      <c r="F369" s="344"/>
      <c r="G369" s="344"/>
      <c r="H369" s="625"/>
      <c r="I369" s="625"/>
      <c r="J369" s="16"/>
    </row>
    <row r="370" spans="1:10" ht="15.75" customHeight="1">
      <c r="A370" s="344"/>
      <c r="B370" s="344"/>
      <c r="C370" s="344"/>
      <c r="D370" s="344"/>
      <c r="E370" s="344"/>
      <c r="F370" s="344"/>
      <c r="G370" s="344"/>
      <c r="H370" s="625"/>
      <c r="I370" s="625"/>
      <c r="J370" s="16"/>
    </row>
    <row r="371" spans="1:10" ht="15.75" customHeight="1">
      <c r="A371" s="344"/>
      <c r="B371" s="344"/>
      <c r="C371" s="344"/>
      <c r="D371" s="344"/>
      <c r="E371" s="344"/>
      <c r="F371" s="344"/>
      <c r="G371" s="344"/>
      <c r="H371" s="625"/>
      <c r="I371" s="625"/>
      <c r="J371" s="16"/>
    </row>
    <row r="372" spans="1:10" ht="15.75" customHeight="1">
      <c r="A372" s="344"/>
      <c r="B372" s="344"/>
      <c r="C372" s="344"/>
      <c r="D372" s="344"/>
      <c r="E372" s="344"/>
      <c r="F372" s="344"/>
      <c r="G372" s="344"/>
      <c r="H372" s="625"/>
      <c r="I372" s="625"/>
      <c r="J372" s="16"/>
    </row>
    <row r="373" spans="1:10" ht="15.75" customHeight="1">
      <c r="A373" s="344"/>
      <c r="B373" s="344"/>
      <c r="C373" s="344"/>
      <c r="D373" s="344"/>
      <c r="E373" s="344"/>
      <c r="F373" s="344"/>
      <c r="G373" s="344"/>
      <c r="H373" s="625"/>
      <c r="I373" s="625"/>
      <c r="J373" s="16"/>
    </row>
    <row r="374" spans="1:10" ht="15.75" customHeight="1">
      <c r="A374" s="344"/>
      <c r="B374" s="344"/>
      <c r="C374" s="344"/>
      <c r="D374" s="344"/>
      <c r="E374" s="344"/>
      <c r="F374" s="344"/>
      <c r="G374" s="344"/>
      <c r="H374" s="625"/>
      <c r="I374" s="625"/>
      <c r="J374" s="16"/>
    </row>
    <row r="375" spans="1:10" ht="15.75" customHeight="1">
      <c r="A375" s="344"/>
      <c r="B375" s="344"/>
      <c r="C375" s="344"/>
      <c r="D375" s="344"/>
      <c r="E375" s="344"/>
      <c r="F375" s="344"/>
      <c r="G375" s="344"/>
      <c r="H375" s="625"/>
      <c r="I375" s="625"/>
      <c r="J375" s="16"/>
    </row>
    <row r="376" spans="1:10" ht="15.75" customHeight="1">
      <c r="A376" s="344"/>
      <c r="B376" s="344"/>
      <c r="C376" s="344"/>
      <c r="D376" s="344"/>
      <c r="E376" s="344"/>
      <c r="F376" s="344"/>
      <c r="G376" s="344"/>
      <c r="H376" s="625"/>
      <c r="I376" s="625"/>
      <c r="J376" s="16"/>
    </row>
    <row r="377" spans="1:10" ht="15.75" customHeight="1">
      <c r="A377" s="344"/>
      <c r="B377" s="344"/>
      <c r="C377" s="344"/>
      <c r="D377" s="344"/>
      <c r="E377" s="344"/>
      <c r="F377" s="344"/>
      <c r="G377" s="344"/>
      <c r="H377" s="625"/>
      <c r="I377" s="625"/>
      <c r="J377" s="16"/>
    </row>
    <row r="378" spans="1:10" ht="15.75" customHeight="1">
      <c r="A378" s="344"/>
      <c r="B378" s="344"/>
      <c r="C378" s="344"/>
      <c r="D378" s="344"/>
      <c r="E378" s="344"/>
      <c r="F378" s="344"/>
      <c r="G378" s="344"/>
      <c r="H378" s="625"/>
      <c r="I378" s="625"/>
      <c r="J378" s="16"/>
    </row>
    <row r="379" spans="1:10" ht="15.75" customHeight="1">
      <c r="A379" s="344"/>
      <c r="B379" s="344"/>
      <c r="C379" s="344"/>
      <c r="D379" s="344"/>
      <c r="E379" s="344"/>
      <c r="F379" s="344"/>
      <c r="G379" s="344"/>
      <c r="H379" s="625"/>
      <c r="I379" s="625"/>
      <c r="J379" s="16"/>
    </row>
    <row r="380" spans="1:10" ht="15.75" customHeight="1">
      <c r="A380" s="344"/>
      <c r="B380" s="344"/>
      <c r="C380" s="344"/>
      <c r="D380" s="344"/>
      <c r="E380" s="344"/>
      <c r="F380" s="344"/>
      <c r="G380" s="344"/>
      <c r="H380" s="625"/>
      <c r="I380" s="625"/>
      <c r="J380" s="16"/>
    </row>
    <row r="381" spans="1:10" ht="15.75" customHeight="1">
      <c r="A381" s="344"/>
      <c r="B381" s="344"/>
      <c r="C381" s="344"/>
      <c r="D381" s="344"/>
      <c r="E381" s="344"/>
      <c r="F381" s="344"/>
      <c r="G381" s="344"/>
      <c r="H381" s="625"/>
      <c r="I381" s="625"/>
      <c r="J381" s="16"/>
    </row>
    <row r="382" spans="1:10" ht="15.75" customHeight="1">
      <c r="A382" s="344"/>
      <c r="B382" s="344"/>
      <c r="C382" s="344"/>
      <c r="D382" s="344"/>
      <c r="E382" s="344"/>
      <c r="F382" s="344"/>
      <c r="G382" s="344"/>
      <c r="H382" s="625"/>
      <c r="I382" s="625"/>
      <c r="J382" s="16"/>
    </row>
    <row r="383" spans="1:10" ht="15.75" customHeight="1">
      <c r="A383" s="344"/>
      <c r="B383" s="344"/>
      <c r="C383" s="344"/>
      <c r="D383" s="344"/>
      <c r="E383" s="344"/>
      <c r="F383" s="344"/>
      <c r="G383" s="344"/>
      <c r="H383" s="625"/>
      <c r="I383" s="625"/>
      <c r="J383" s="16"/>
    </row>
    <row r="384" spans="1:10" ht="15.75" customHeight="1">
      <c r="A384" s="344"/>
      <c r="B384" s="344"/>
      <c r="C384" s="344"/>
      <c r="D384" s="344"/>
      <c r="E384" s="344"/>
      <c r="F384" s="344"/>
      <c r="G384" s="344"/>
      <c r="H384" s="625"/>
      <c r="I384" s="625"/>
      <c r="J384" s="16"/>
    </row>
    <row r="385" spans="1:10" ht="15.75" customHeight="1">
      <c r="A385" s="344"/>
      <c r="B385" s="344"/>
      <c r="C385" s="344"/>
      <c r="D385" s="344"/>
      <c r="E385" s="344"/>
      <c r="F385" s="344"/>
      <c r="G385" s="344"/>
      <c r="H385" s="625"/>
      <c r="I385" s="625"/>
      <c r="J385" s="16"/>
    </row>
    <row r="386" spans="1:10" ht="15.75" customHeight="1">
      <c r="A386" s="344"/>
      <c r="B386" s="344"/>
      <c r="C386" s="344"/>
      <c r="D386" s="344"/>
      <c r="E386" s="344"/>
      <c r="F386" s="344"/>
      <c r="G386" s="344"/>
      <c r="H386" s="625"/>
      <c r="I386" s="625"/>
      <c r="J386" s="16"/>
    </row>
    <row r="387" spans="1:10" ht="15.75" customHeight="1">
      <c r="A387" s="344"/>
      <c r="B387" s="344"/>
      <c r="C387" s="344"/>
      <c r="D387" s="344"/>
      <c r="E387" s="344"/>
      <c r="F387" s="344"/>
      <c r="G387" s="344"/>
      <c r="H387" s="625"/>
      <c r="I387" s="625"/>
      <c r="J387" s="16"/>
    </row>
    <row r="388" spans="1:10" ht="15.75" customHeight="1">
      <c r="A388" s="344"/>
      <c r="B388" s="344"/>
      <c r="C388" s="344"/>
      <c r="D388" s="344"/>
      <c r="E388" s="344"/>
      <c r="F388" s="344"/>
      <c r="G388" s="344"/>
      <c r="H388" s="625"/>
      <c r="I388" s="625"/>
      <c r="J388" s="16"/>
    </row>
    <row r="389" spans="1:10" ht="15.75" customHeight="1">
      <c r="A389" s="344"/>
      <c r="B389" s="344"/>
      <c r="C389" s="344"/>
      <c r="D389" s="344"/>
      <c r="E389" s="344"/>
      <c r="F389" s="344"/>
      <c r="G389" s="344"/>
      <c r="H389" s="625"/>
      <c r="I389" s="625"/>
      <c r="J389" s="16"/>
    </row>
    <row r="390" spans="1:10" ht="15.75" customHeight="1">
      <c r="A390" s="344"/>
      <c r="B390" s="344"/>
      <c r="C390" s="344"/>
      <c r="D390" s="344"/>
      <c r="E390" s="344"/>
      <c r="F390" s="344"/>
      <c r="G390" s="344"/>
      <c r="H390" s="625"/>
      <c r="I390" s="625"/>
      <c r="J390" s="16"/>
    </row>
    <row r="391" spans="1:10" ht="15.75" customHeight="1">
      <c r="A391" s="344"/>
      <c r="B391" s="344"/>
      <c r="C391" s="344"/>
      <c r="D391" s="344"/>
      <c r="E391" s="344"/>
      <c r="F391" s="344"/>
      <c r="G391" s="344"/>
      <c r="H391" s="625"/>
      <c r="I391" s="625"/>
      <c r="J391" s="16"/>
    </row>
    <row r="392" spans="1:10" ht="15.75" customHeight="1">
      <c r="A392" s="344"/>
      <c r="B392" s="344"/>
      <c r="C392" s="344"/>
      <c r="D392" s="344"/>
      <c r="E392" s="344"/>
      <c r="F392" s="344"/>
      <c r="G392" s="344"/>
      <c r="H392" s="625"/>
      <c r="I392" s="625"/>
      <c r="J392" s="16"/>
    </row>
    <row r="393" spans="1:10" ht="15.75" customHeight="1">
      <c r="A393" s="344"/>
      <c r="B393" s="344"/>
      <c r="C393" s="344"/>
      <c r="D393" s="344"/>
      <c r="E393" s="344"/>
      <c r="F393" s="344"/>
      <c r="G393" s="344"/>
      <c r="H393" s="625"/>
      <c r="I393" s="625"/>
      <c r="J393" s="16"/>
    </row>
    <row r="394" spans="1:10" ht="15.75" customHeight="1">
      <c r="A394" s="344"/>
      <c r="B394" s="344"/>
      <c r="C394" s="344"/>
      <c r="D394" s="344"/>
      <c r="E394" s="344"/>
      <c r="F394" s="344"/>
      <c r="G394" s="344"/>
      <c r="H394" s="625"/>
      <c r="I394" s="625"/>
      <c r="J394" s="16"/>
    </row>
    <row r="395" spans="1:10" ht="15.75" customHeight="1">
      <c r="A395" s="344"/>
      <c r="B395" s="344"/>
      <c r="C395" s="344"/>
      <c r="D395" s="344"/>
      <c r="E395" s="344"/>
      <c r="F395" s="344"/>
      <c r="G395" s="344"/>
      <c r="H395" s="625"/>
      <c r="I395" s="625"/>
      <c r="J395" s="16"/>
    </row>
    <row r="396" spans="1:10" ht="15.75" customHeight="1">
      <c r="A396" s="344"/>
      <c r="B396" s="344"/>
      <c r="C396" s="344"/>
      <c r="D396" s="344"/>
      <c r="E396" s="344"/>
      <c r="F396" s="344"/>
      <c r="G396" s="344"/>
      <c r="H396" s="625"/>
      <c r="I396" s="625"/>
      <c r="J396" s="16"/>
    </row>
    <row r="397" spans="1:10" ht="15.75" customHeight="1">
      <c r="A397" s="344"/>
      <c r="B397" s="344"/>
      <c r="C397" s="344"/>
      <c r="D397" s="344"/>
      <c r="E397" s="344"/>
      <c r="F397" s="344"/>
      <c r="G397" s="344"/>
      <c r="H397" s="625"/>
      <c r="I397" s="625"/>
      <c r="J397" s="16"/>
    </row>
    <row r="398" spans="1:10" ht="15.75" customHeight="1">
      <c r="A398" s="344"/>
      <c r="B398" s="344"/>
      <c r="C398" s="344"/>
      <c r="D398" s="344"/>
      <c r="E398" s="344"/>
      <c r="F398" s="344"/>
      <c r="G398" s="344"/>
      <c r="H398" s="625"/>
      <c r="I398" s="625"/>
      <c r="J398" s="16"/>
    </row>
    <row r="399" spans="1:10" ht="15.75" customHeight="1">
      <c r="A399" s="344"/>
      <c r="B399" s="344"/>
      <c r="C399" s="344"/>
      <c r="D399" s="344"/>
      <c r="E399" s="344"/>
      <c r="F399" s="344"/>
      <c r="G399" s="344"/>
      <c r="H399" s="625"/>
      <c r="I399" s="625"/>
      <c r="J399" s="16"/>
    </row>
    <row r="400" spans="1:10" ht="15.75" customHeight="1">
      <c r="A400" s="344"/>
      <c r="B400" s="344"/>
      <c r="C400" s="344"/>
      <c r="D400" s="344"/>
      <c r="E400" s="344"/>
      <c r="F400" s="344"/>
      <c r="G400" s="344"/>
      <c r="H400" s="625"/>
      <c r="I400" s="625"/>
      <c r="J400" s="16"/>
    </row>
    <row r="401" spans="1:10" ht="15.75" customHeight="1">
      <c r="A401" s="344"/>
      <c r="B401" s="344"/>
      <c r="C401" s="344"/>
      <c r="D401" s="344"/>
      <c r="E401" s="344"/>
      <c r="F401" s="344"/>
      <c r="G401" s="344"/>
      <c r="H401" s="625"/>
      <c r="I401" s="625"/>
      <c r="J401" s="16"/>
    </row>
    <row r="402" spans="1:10" ht="15.75" customHeight="1">
      <c r="A402" s="344"/>
      <c r="B402" s="344"/>
      <c r="C402" s="344"/>
      <c r="D402" s="344"/>
      <c r="E402" s="344"/>
      <c r="F402" s="344"/>
      <c r="G402" s="344"/>
      <c r="H402" s="625"/>
      <c r="I402" s="625"/>
      <c r="J402" s="16"/>
    </row>
    <row r="403" spans="1:10" ht="15.75" customHeight="1">
      <c r="A403" s="344"/>
      <c r="B403" s="344"/>
      <c r="C403" s="344"/>
      <c r="D403" s="344"/>
      <c r="E403" s="344"/>
      <c r="F403" s="344"/>
      <c r="G403" s="344"/>
      <c r="H403" s="625"/>
      <c r="I403" s="625"/>
      <c r="J403" s="16"/>
    </row>
    <row r="404" spans="1:10" ht="15.75" customHeight="1">
      <c r="A404" s="344"/>
      <c r="B404" s="344"/>
      <c r="C404" s="344"/>
      <c r="D404" s="344"/>
      <c r="E404" s="344"/>
      <c r="F404" s="344"/>
      <c r="G404" s="344"/>
      <c r="H404" s="625"/>
      <c r="I404" s="625"/>
      <c r="J404" s="16"/>
    </row>
    <row r="405" spans="1:10" ht="15.75" customHeight="1">
      <c r="A405" s="344"/>
      <c r="B405" s="344"/>
      <c r="C405" s="344"/>
      <c r="D405" s="344"/>
      <c r="E405" s="344"/>
      <c r="F405" s="344"/>
      <c r="G405" s="344"/>
      <c r="H405" s="625"/>
      <c r="I405" s="625"/>
      <c r="J405" s="16"/>
    </row>
    <row r="406" spans="1:10" ht="15.75" customHeight="1">
      <c r="A406" s="344"/>
      <c r="B406" s="344"/>
      <c r="C406" s="344"/>
      <c r="D406" s="344"/>
      <c r="E406" s="344"/>
      <c r="F406" s="344"/>
      <c r="G406" s="344"/>
      <c r="H406" s="625"/>
      <c r="I406" s="625"/>
      <c r="J406" s="16"/>
    </row>
    <row r="407" spans="1:10" ht="15.75" customHeight="1">
      <c r="A407" s="344"/>
      <c r="B407" s="344"/>
      <c r="C407" s="344"/>
      <c r="D407" s="344"/>
      <c r="E407" s="344"/>
      <c r="F407" s="344"/>
      <c r="G407" s="344"/>
      <c r="H407" s="625"/>
      <c r="I407" s="625"/>
      <c r="J407" s="16"/>
    </row>
    <row r="408" spans="1:10" ht="15.75" customHeight="1">
      <c r="A408" s="344"/>
      <c r="B408" s="344"/>
      <c r="C408" s="344"/>
      <c r="D408" s="344"/>
      <c r="E408" s="344"/>
      <c r="F408" s="344"/>
      <c r="G408" s="344"/>
      <c r="H408" s="625"/>
      <c r="I408" s="625"/>
      <c r="J408" s="16"/>
    </row>
    <row r="409" spans="1:10" ht="15.75" customHeight="1">
      <c r="A409" s="344"/>
      <c r="B409" s="344"/>
      <c r="C409" s="344"/>
      <c r="D409" s="344"/>
      <c r="E409" s="344"/>
      <c r="F409" s="344"/>
      <c r="G409" s="344"/>
      <c r="H409" s="625"/>
      <c r="I409" s="625"/>
      <c r="J409" s="16"/>
    </row>
    <row r="410" spans="1:10" ht="15.75" customHeight="1">
      <c r="A410" s="344"/>
      <c r="B410" s="344"/>
      <c r="C410" s="344"/>
      <c r="D410" s="344"/>
      <c r="E410" s="344"/>
      <c r="F410" s="344"/>
      <c r="G410" s="344"/>
      <c r="H410" s="625"/>
      <c r="I410" s="625"/>
      <c r="J410" s="16"/>
    </row>
    <row r="411" spans="1:10" ht="15.75" customHeight="1">
      <c r="A411" s="344"/>
      <c r="B411" s="344"/>
      <c r="C411" s="344"/>
      <c r="D411" s="344"/>
      <c r="E411" s="344"/>
      <c r="F411" s="344"/>
      <c r="G411" s="344"/>
      <c r="H411" s="625"/>
      <c r="I411" s="625"/>
      <c r="J411" s="16"/>
    </row>
    <row r="412" spans="1:10" ht="15.75" customHeight="1">
      <c r="A412" s="344"/>
      <c r="B412" s="344"/>
      <c r="C412" s="344"/>
      <c r="D412" s="344"/>
      <c r="E412" s="344"/>
      <c r="F412" s="344"/>
      <c r="G412" s="344"/>
      <c r="H412" s="625"/>
      <c r="I412" s="625"/>
      <c r="J412" s="16"/>
    </row>
    <row r="413" spans="1:10" ht="15.75" customHeight="1">
      <c r="A413" s="344"/>
      <c r="B413" s="344"/>
      <c r="C413" s="344"/>
      <c r="D413" s="344"/>
      <c r="E413" s="344"/>
      <c r="F413" s="344"/>
      <c r="G413" s="344"/>
      <c r="H413" s="625"/>
      <c r="I413" s="625"/>
      <c r="J413" s="16"/>
    </row>
    <row r="414" spans="1:10" ht="15.75" customHeight="1">
      <c r="A414" s="344"/>
      <c r="B414" s="344"/>
      <c r="C414" s="344"/>
      <c r="D414" s="344"/>
      <c r="E414" s="344"/>
      <c r="F414" s="344"/>
      <c r="G414" s="344"/>
      <c r="H414" s="625"/>
      <c r="I414" s="625"/>
      <c r="J414" s="16"/>
    </row>
    <row r="415" spans="1:10" ht="15.75" customHeight="1">
      <c r="A415" s="344"/>
      <c r="B415" s="344"/>
      <c r="C415" s="344"/>
      <c r="D415" s="344"/>
      <c r="E415" s="344"/>
      <c r="F415" s="344"/>
      <c r="G415" s="344"/>
      <c r="H415" s="625"/>
      <c r="I415" s="625"/>
      <c r="J415" s="16"/>
    </row>
    <row r="416" spans="1:10" ht="15.75" customHeight="1">
      <c r="A416" s="344"/>
      <c r="B416" s="344"/>
      <c r="C416" s="344"/>
      <c r="D416" s="344"/>
      <c r="E416" s="344"/>
      <c r="F416" s="344"/>
      <c r="G416" s="344"/>
      <c r="H416" s="625"/>
      <c r="I416" s="625"/>
      <c r="J416" s="16"/>
    </row>
    <row r="417" spans="1:10" ht="15.75" customHeight="1">
      <c r="A417" s="344"/>
      <c r="B417" s="344"/>
      <c r="C417" s="344"/>
      <c r="D417" s="344"/>
      <c r="E417" s="344"/>
      <c r="F417" s="344"/>
      <c r="G417" s="344"/>
      <c r="H417" s="625"/>
      <c r="I417" s="625"/>
      <c r="J417" s="16"/>
    </row>
    <row r="418" spans="1:10" ht="15.75" customHeight="1">
      <c r="A418" s="344"/>
      <c r="B418" s="344"/>
      <c r="C418" s="344"/>
      <c r="D418" s="344"/>
      <c r="E418" s="344"/>
      <c r="F418" s="344"/>
      <c r="G418" s="344"/>
      <c r="H418" s="625"/>
      <c r="I418" s="625"/>
      <c r="J418" s="16"/>
    </row>
    <row r="419" spans="1:10" ht="15.75" customHeight="1">
      <c r="A419" s="344"/>
      <c r="B419" s="344"/>
      <c r="C419" s="344"/>
      <c r="D419" s="344"/>
      <c r="E419" s="344"/>
      <c r="F419" s="344"/>
      <c r="G419" s="344"/>
      <c r="H419" s="625"/>
      <c r="I419" s="625"/>
      <c r="J419" s="16"/>
    </row>
    <row r="420" spans="1:10" ht="15.75" customHeight="1">
      <c r="A420" s="344"/>
      <c r="B420" s="344"/>
      <c r="C420" s="344"/>
      <c r="D420" s="344"/>
      <c r="E420" s="344"/>
      <c r="F420" s="344"/>
      <c r="G420" s="344"/>
      <c r="H420" s="625"/>
      <c r="I420" s="625"/>
      <c r="J420" s="16"/>
    </row>
    <row r="421" spans="1:10" ht="15.75" customHeight="1">
      <c r="A421" s="344"/>
      <c r="B421" s="344"/>
      <c r="C421" s="344"/>
      <c r="D421" s="344"/>
      <c r="E421" s="344"/>
      <c r="F421" s="344"/>
      <c r="G421" s="344"/>
      <c r="H421" s="625"/>
      <c r="I421" s="625"/>
      <c r="J421" s="16"/>
    </row>
    <row r="422" spans="1:10" ht="15.75" customHeight="1">
      <c r="A422" s="344"/>
      <c r="B422" s="344"/>
      <c r="C422" s="344"/>
      <c r="D422" s="344"/>
      <c r="E422" s="344"/>
      <c r="F422" s="344"/>
      <c r="G422" s="344"/>
      <c r="H422" s="625"/>
      <c r="I422" s="625"/>
      <c r="J422" s="16"/>
    </row>
    <row r="423" spans="1:10" ht="15.75" customHeight="1">
      <c r="A423" s="344"/>
      <c r="B423" s="344"/>
      <c r="C423" s="344"/>
      <c r="D423" s="344"/>
      <c r="E423" s="344"/>
      <c r="F423" s="344"/>
      <c r="G423" s="344"/>
      <c r="H423" s="625"/>
      <c r="I423" s="625"/>
      <c r="J423" s="16"/>
    </row>
    <row r="424" spans="1:10" ht="15.75" customHeight="1">
      <c r="A424" s="344"/>
      <c r="B424" s="344"/>
      <c r="C424" s="344"/>
      <c r="D424" s="344"/>
      <c r="E424" s="344"/>
      <c r="F424" s="344"/>
      <c r="G424" s="344"/>
      <c r="H424" s="625"/>
      <c r="I424" s="625"/>
      <c r="J424" s="16"/>
    </row>
    <row r="425" spans="1:10" ht="15.75" customHeight="1">
      <c r="A425" s="344"/>
      <c r="B425" s="344"/>
      <c r="C425" s="344"/>
      <c r="D425" s="344"/>
      <c r="E425" s="344"/>
      <c r="F425" s="344"/>
      <c r="G425" s="344"/>
      <c r="H425" s="625"/>
      <c r="I425" s="625"/>
      <c r="J425" s="16"/>
    </row>
    <row r="426" spans="1:10" ht="15.75" customHeight="1">
      <c r="A426" s="344"/>
      <c r="B426" s="344"/>
      <c r="C426" s="344"/>
      <c r="D426" s="344"/>
      <c r="E426" s="344"/>
      <c r="F426" s="344"/>
      <c r="G426" s="344"/>
      <c r="H426" s="625"/>
      <c r="I426" s="625"/>
      <c r="J426" s="16"/>
    </row>
    <row r="427" spans="1:10" ht="15.75" customHeight="1">
      <c r="A427" s="344"/>
      <c r="B427" s="344"/>
      <c r="C427" s="344"/>
      <c r="D427" s="344"/>
      <c r="E427" s="344"/>
      <c r="F427" s="344"/>
      <c r="G427" s="344"/>
      <c r="H427" s="625"/>
      <c r="I427" s="625"/>
      <c r="J427" s="16"/>
    </row>
    <row r="428" spans="1:10" ht="15.75" customHeight="1">
      <c r="A428" s="344"/>
      <c r="B428" s="344"/>
      <c r="C428" s="344"/>
      <c r="D428" s="344"/>
      <c r="E428" s="344"/>
      <c r="F428" s="344"/>
      <c r="G428" s="344"/>
      <c r="H428" s="625"/>
      <c r="I428" s="625"/>
      <c r="J428" s="16"/>
    </row>
    <row r="429" spans="1:10" ht="15.75" customHeight="1">
      <c r="A429" s="344"/>
      <c r="B429" s="344"/>
      <c r="C429" s="344"/>
      <c r="D429" s="344"/>
      <c r="E429" s="344"/>
      <c r="F429" s="344"/>
      <c r="G429" s="344"/>
      <c r="H429" s="625"/>
      <c r="I429" s="625"/>
      <c r="J429" s="16"/>
    </row>
    <row r="430" spans="1:10" ht="15.75" customHeight="1">
      <c r="A430" s="344"/>
      <c r="B430" s="344"/>
      <c r="C430" s="344"/>
      <c r="D430" s="344"/>
      <c r="E430" s="344"/>
      <c r="F430" s="344"/>
      <c r="G430" s="344"/>
      <c r="H430" s="625"/>
      <c r="I430" s="625"/>
      <c r="J430" s="16"/>
    </row>
    <row r="431" spans="1:10" ht="15.75" customHeight="1">
      <c r="A431" s="344"/>
      <c r="B431" s="344"/>
      <c r="C431" s="344"/>
      <c r="D431" s="344"/>
      <c r="E431" s="344"/>
      <c r="F431" s="344"/>
      <c r="G431" s="344"/>
      <c r="H431" s="625"/>
      <c r="I431" s="625"/>
      <c r="J431" s="16"/>
    </row>
    <row r="432" spans="1:10" ht="15.75" customHeight="1">
      <c r="A432" s="344"/>
      <c r="B432" s="344"/>
      <c r="C432" s="344"/>
      <c r="D432" s="344"/>
      <c r="E432" s="344"/>
      <c r="F432" s="344"/>
      <c r="G432" s="344"/>
      <c r="H432" s="625"/>
      <c r="I432" s="625"/>
      <c r="J432" s="16"/>
    </row>
    <row r="433" spans="1:10" ht="15.75" customHeight="1">
      <c r="A433" s="344"/>
      <c r="B433" s="344"/>
      <c r="C433" s="344"/>
      <c r="D433" s="344"/>
      <c r="E433" s="344"/>
      <c r="F433" s="344"/>
      <c r="G433" s="344"/>
      <c r="H433" s="625"/>
      <c r="I433" s="625"/>
      <c r="J433" s="16"/>
    </row>
    <row r="434" spans="1:10" ht="15.75" customHeight="1">
      <c r="A434" s="344"/>
      <c r="B434" s="344"/>
      <c r="C434" s="344"/>
      <c r="D434" s="344"/>
      <c r="E434" s="344"/>
      <c r="F434" s="344"/>
      <c r="G434" s="344"/>
      <c r="H434" s="625"/>
      <c r="I434" s="625"/>
      <c r="J434" s="16"/>
    </row>
    <row r="435" spans="1:10" ht="15.75" customHeight="1">
      <c r="A435" s="344"/>
      <c r="B435" s="344"/>
      <c r="C435" s="344"/>
      <c r="D435" s="344"/>
      <c r="E435" s="344"/>
      <c r="F435" s="344"/>
      <c r="G435" s="344"/>
      <c r="H435" s="625"/>
      <c r="I435" s="625"/>
      <c r="J435" s="16"/>
    </row>
    <row r="436" spans="1:10" ht="15.75" customHeight="1">
      <c r="A436" s="344"/>
      <c r="B436" s="344"/>
      <c r="C436" s="344"/>
      <c r="D436" s="344"/>
      <c r="E436" s="344"/>
      <c r="F436" s="344"/>
      <c r="G436" s="344"/>
      <c r="H436" s="625"/>
      <c r="I436" s="625"/>
      <c r="J436" s="16"/>
    </row>
    <row r="437" spans="1:10" ht="15.75" customHeight="1">
      <c r="A437" s="344"/>
      <c r="B437" s="344"/>
      <c r="C437" s="344"/>
      <c r="D437" s="344"/>
      <c r="E437" s="344"/>
      <c r="F437" s="344"/>
      <c r="G437" s="344"/>
      <c r="H437" s="625"/>
      <c r="I437" s="625"/>
      <c r="J437" s="16"/>
    </row>
    <row r="438" spans="1:10" ht="15.75" customHeight="1">
      <c r="A438" s="344"/>
      <c r="B438" s="344"/>
      <c r="C438" s="344"/>
      <c r="D438" s="344"/>
      <c r="E438" s="344"/>
      <c r="F438" s="344"/>
      <c r="G438" s="344"/>
      <c r="H438" s="625"/>
      <c r="I438" s="625"/>
      <c r="J438" s="16"/>
    </row>
    <row r="439" spans="1:10" ht="15.75" customHeight="1">
      <c r="A439" s="344"/>
      <c r="B439" s="344"/>
      <c r="C439" s="344"/>
      <c r="D439" s="344"/>
      <c r="E439" s="344"/>
      <c r="F439" s="344"/>
      <c r="G439" s="344"/>
      <c r="H439" s="625"/>
      <c r="I439" s="625"/>
      <c r="J439" s="16"/>
    </row>
    <row r="440" spans="1:10" ht="15.75" customHeight="1">
      <c r="A440" s="344"/>
      <c r="B440" s="344"/>
      <c r="C440" s="344"/>
      <c r="D440" s="344"/>
      <c r="E440" s="344"/>
      <c r="F440" s="344"/>
      <c r="G440" s="344"/>
      <c r="H440" s="625"/>
      <c r="I440" s="625"/>
      <c r="J440" s="16"/>
    </row>
    <row r="441" spans="1:10" ht="15.75" customHeight="1">
      <c r="A441" s="344"/>
      <c r="B441" s="344"/>
      <c r="C441" s="344"/>
      <c r="D441" s="344"/>
      <c r="E441" s="344"/>
      <c r="F441" s="344"/>
      <c r="G441" s="344"/>
      <c r="H441" s="625"/>
      <c r="I441" s="625"/>
      <c r="J441" s="16"/>
    </row>
    <row r="442" spans="1:10" ht="15.75" customHeight="1">
      <c r="A442" s="344"/>
      <c r="B442" s="344"/>
      <c r="C442" s="344"/>
      <c r="D442" s="344"/>
      <c r="E442" s="344"/>
      <c r="F442" s="344"/>
      <c r="G442" s="344"/>
      <c r="H442" s="625"/>
      <c r="I442" s="625"/>
      <c r="J442" s="16"/>
    </row>
    <row r="443" spans="1:10" ht="15.75" customHeight="1">
      <c r="A443" s="344"/>
      <c r="B443" s="344"/>
      <c r="C443" s="344"/>
      <c r="D443" s="344"/>
      <c r="E443" s="344"/>
      <c r="F443" s="344"/>
      <c r="G443" s="344"/>
      <c r="H443" s="625"/>
      <c r="I443" s="625"/>
      <c r="J443" s="16"/>
    </row>
    <row r="444" spans="1:10" ht="15.75" customHeight="1">
      <c r="A444" s="344"/>
      <c r="B444" s="344"/>
      <c r="C444" s="344"/>
      <c r="D444" s="344"/>
      <c r="E444" s="344"/>
      <c r="F444" s="344"/>
      <c r="G444" s="344"/>
      <c r="H444" s="625"/>
      <c r="I444" s="625"/>
      <c r="J444" s="16"/>
    </row>
    <row r="445" spans="1:10" ht="15.75" customHeight="1">
      <c r="A445" s="344"/>
      <c r="B445" s="344"/>
      <c r="C445" s="344"/>
      <c r="D445" s="344"/>
      <c r="E445" s="344"/>
      <c r="F445" s="344"/>
      <c r="G445" s="344"/>
      <c r="H445" s="625"/>
      <c r="I445" s="625"/>
      <c r="J445" s="16"/>
    </row>
    <row r="446" spans="1:10" ht="15.75" customHeight="1">
      <c r="A446" s="344"/>
      <c r="B446" s="344"/>
      <c r="C446" s="344"/>
      <c r="D446" s="344"/>
      <c r="E446" s="344"/>
      <c r="F446" s="344"/>
      <c r="G446" s="344"/>
      <c r="H446" s="625"/>
      <c r="I446" s="625"/>
      <c r="J446" s="16"/>
    </row>
    <row r="447" spans="1:10" ht="15.75" customHeight="1">
      <c r="A447" s="344"/>
      <c r="B447" s="344"/>
      <c r="C447" s="344"/>
      <c r="D447" s="344"/>
      <c r="E447" s="344"/>
      <c r="F447" s="344"/>
      <c r="G447" s="344"/>
      <c r="H447" s="625"/>
      <c r="I447" s="625"/>
      <c r="J447" s="16"/>
    </row>
    <row r="448" spans="1:10" ht="15.75" customHeight="1">
      <c r="A448" s="344"/>
      <c r="B448" s="344"/>
      <c r="C448" s="344"/>
      <c r="D448" s="344"/>
      <c r="E448" s="344"/>
      <c r="F448" s="344"/>
      <c r="G448" s="344"/>
      <c r="H448" s="625"/>
      <c r="I448" s="625"/>
      <c r="J448" s="16"/>
    </row>
    <row r="449" spans="1:10" ht="15.75" customHeight="1">
      <c r="A449" s="344"/>
      <c r="B449" s="344"/>
      <c r="C449" s="344"/>
      <c r="D449" s="344"/>
      <c r="E449" s="344"/>
      <c r="F449" s="344"/>
      <c r="G449" s="344"/>
      <c r="H449" s="625"/>
      <c r="I449" s="625"/>
      <c r="J449" s="16"/>
    </row>
    <row r="450" spans="1:10" ht="15.75" customHeight="1">
      <c r="A450" s="344"/>
      <c r="B450" s="344"/>
      <c r="C450" s="344"/>
      <c r="D450" s="344"/>
      <c r="E450" s="344"/>
      <c r="F450" s="344"/>
      <c r="G450" s="344"/>
      <c r="H450" s="625"/>
      <c r="I450" s="625"/>
      <c r="J450" s="16"/>
    </row>
    <row r="451" spans="1:10" ht="15.75" customHeight="1">
      <c r="A451" s="344"/>
      <c r="B451" s="344"/>
      <c r="C451" s="344"/>
      <c r="D451" s="344"/>
      <c r="E451" s="344"/>
      <c r="F451" s="344"/>
      <c r="G451" s="344"/>
      <c r="H451" s="625"/>
      <c r="I451" s="625"/>
      <c r="J451" s="16"/>
    </row>
    <row r="452" spans="1:10" ht="15.75" customHeight="1">
      <c r="A452" s="344"/>
      <c r="B452" s="344"/>
      <c r="C452" s="344"/>
      <c r="D452" s="344"/>
      <c r="E452" s="344"/>
      <c r="F452" s="344"/>
      <c r="G452" s="344"/>
      <c r="H452" s="625"/>
      <c r="I452" s="625"/>
      <c r="J452" s="16"/>
    </row>
    <row r="453" spans="1:10" ht="15.75" customHeight="1">
      <c r="A453" s="344"/>
      <c r="B453" s="344"/>
      <c r="C453" s="344"/>
      <c r="D453" s="344"/>
      <c r="E453" s="344"/>
      <c r="F453" s="344"/>
      <c r="G453" s="344"/>
      <c r="H453" s="625"/>
      <c r="I453" s="625"/>
      <c r="J453" s="16"/>
    </row>
    <row r="454" spans="1:10" ht="15.75" customHeight="1">
      <c r="A454" s="344"/>
      <c r="B454" s="344"/>
      <c r="C454" s="344"/>
      <c r="D454" s="344"/>
      <c r="E454" s="344"/>
      <c r="F454" s="344"/>
      <c r="G454" s="344"/>
      <c r="H454" s="625"/>
      <c r="I454" s="625"/>
      <c r="J454" s="16"/>
    </row>
    <row r="455" spans="1:10" ht="15.75" customHeight="1">
      <c r="A455" s="344"/>
      <c r="B455" s="344"/>
      <c r="C455" s="344"/>
      <c r="D455" s="344"/>
      <c r="E455" s="344"/>
      <c r="F455" s="344"/>
      <c r="G455" s="344"/>
      <c r="H455" s="625"/>
      <c r="I455" s="625"/>
      <c r="J455" s="16"/>
    </row>
    <row r="456" spans="1:10" ht="15.75" customHeight="1">
      <c r="A456" s="344"/>
      <c r="B456" s="344"/>
      <c r="C456" s="344"/>
      <c r="D456" s="344"/>
      <c r="E456" s="344"/>
      <c r="F456" s="344"/>
      <c r="G456" s="344"/>
      <c r="H456" s="625"/>
      <c r="I456" s="625"/>
      <c r="J456" s="16"/>
    </row>
    <row r="457" spans="1:10" ht="15.75" customHeight="1">
      <c r="A457" s="344"/>
      <c r="B457" s="344"/>
      <c r="C457" s="344"/>
      <c r="D457" s="344"/>
      <c r="E457" s="344"/>
      <c r="F457" s="344"/>
      <c r="G457" s="344"/>
      <c r="H457" s="625"/>
      <c r="I457" s="625"/>
      <c r="J457" s="16"/>
    </row>
    <row r="458" spans="1:10" ht="15.75" customHeight="1">
      <c r="A458" s="344"/>
      <c r="B458" s="344"/>
      <c r="C458" s="344"/>
      <c r="D458" s="344"/>
      <c r="E458" s="344"/>
      <c r="F458" s="344"/>
      <c r="G458" s="344"/>
      <c r="H458" s="625"/>
      <c r="I458" s="625"/>
      <c r="J458" s="16"/>
    </row>
    <row r="459" spans="1:10" ht="15.75" customHeight="1">
      <c r="A459" s="344"/>
      <c r="B459" s="344"/>
      <c r="C459" s="344"/>
      <c r="D459" s="344"/>
      <c r="E459" s="344"/>
      <c r="F459" s="344"/>
      <c r="G459" s="344"/>
      <c r="H459" s="625"/>
      <c r="I459" s="625"/>
      <c r="J459" s="16"/>
    </row>
    <row r="460" spans="1:10" ht="15.75" customHeight="1">
      <c r="A460" s="344"/>
      <c r="B460" s="344"/>
      <c r="C460" s="344"/>
      <c r="D460" s="344"/>
      <c r="E460" s="344"/>
      <c r="F460" s="344"/>
      <c r="G460" s="344"/>
      <c r="H460" s="625"/>
      <c r="I460" s="625"/>
      <c r="J460" s="16"/>
    </row>
    <row r="461" spans="1:10" ht="15.75" customHeight="1">
      <c r="A461" s="344"/>
      <c r="B461" s="344"/>
      <c r="C461" s="344"/>
      <c r="D461" s="344"/>
      <c r="E461" s="344"/>
      <c r="F461" s="344"/>
      <c r="G461" s="344"/>
      <c r="H461" s="625"/>
      <c r="I461" s="625"/>
      <c r="J461" s="16"/>
    </row>
    <row r="462" spans="1:10" ht="15.75" customHeight="1">
      <c r="A462" s="344"/>
      <c r="B462" s="344"/>
      <c r="C462" s="344"/>
      <c r="D462" s="344"/>
      <c r="E462" s="344"/>
      <c r="F462" s="344"/>
      <c r="G462" s="344"/>
      <c r="H462" s="625"/>
      <c r="I462" s="625"/>
      <c r="J462" s="16"/>
    </row>
    <row r="463" spans="1:10" ht="15.75" customHeight="1">
      <c r="A463" s="344"/>
      <c r="B463" s="344"/>
      <c r="C463" s="344"/>
      <c r="D463" s="344"/>
      <c r="E463" s="344"/>
      <c r="F463" s="344"/>
      <c r="G463" s="344"/>
      <c r="H463" s="625"/>
      <c r="I463" s="625"/>
      <c r="J463" s="16"/>
    </row>
    <row r="464" spans="1:10" ht="15.75" customHeight="1">
      <c r="A464" s="344"/>
      <c r="B464" s="344"/>
      <c r="C464" s="344"/>
      <c r="D464" s="344"/>
      <c r="E464" s="344"/>
      <c r="F464" s="344"/>
      <c r="G464" s="344"/>
      <c r="H464" s="625"/>
      <c r="I464" s="625"/>
      <c r="J464" s="16"/>
    </row>
    <row r="465" spans="1:10" ht="15.75" customHeight="1">
      <c r="A465" s="344"/>
      <c r="B465" s="344"/>
      <c r="C465" s="344"/>
      <c r="D465" s="344"/>
      <c r="E465" s="344"/>
      <c r="F465" s="344"/>
      <c r="G465" s="344"/>
      <c r="H465" s="625"/>
      <c r="I465" s="625"/>
      <c r="J465" s="16"/>
    </row>
    <row r="466" spans="1:10" ht="15.75" customHeight="1">
      <c r="A466" s="344"/>
      <c r="B466" s="344"/>
      <c r="C466" s="344"/>
      <c r="D466" s="344"/>
      <c r="E466" s="344"/>
      <c r="F466" s="344"/>
      <c r="G466" s="344"/>
      <c r="H466" s="625"/>
      <c r="I466" s="625"/>
      <c r="J466" s="16"/>
    </row>
    <row r="467" spans="1:10" ht="15.75" customHeight="1">
      <c r="A467" s="344"/>
      <c r="B467" s="344"/>
      <c r="C467" s="344"/>
      <c r="D467" s="344"/>
      <c r="E467" s="344"/>
      <c r="F467" s="344"/>
      <c r="G467" s="344"/>
      <c r="H467" s="625"/>
      <c r="I467" s="625"/>
      <c r="J467" s="16"/>
    </row>
    <row r="468" spans="1:10" ht="15.75" customHeight="1">
      <c r="A468" s="344"/>
      <c r="B468" s="344"/>
      <c r="C468" s="344"/>
      <c r="D468" s="344"/>
      <c r="E468" s="344"/>
      <c r="F468" s="344"/>
      <c r="G468" s="344"/>
      <c r="H468" s="625"/>
      <c r="I468" s="625"/>
      <c r="J468" s="16"/>
    </row>
    <row r="469" spans="1:10" ht="15.75" customHeight="1">
      <c r="A469" s="344"/>
      <c r="B469" s="344"/>
      <c r="C469" s="344"/>
      <c r="D469" s="344"/>
      <c r="E469" s="344"/>
      <c r="F469" s="344"/>
      <c r="G469" s="344"/>
      <c r="H469" s="625"/>
      <c r="I469" s="625"/>
      <c r="J469" s="16"/>
    </row>
    <row r="470" spans="1:10" ht="15.75" customHeight="1">
      <c r="A470" s="344"/>
      <c r="B470" s="344"/>
      <c r="C470" s="344"/>
      <c r="D470" s="344"/>
      <c r="E470" s="344"/>
      <c r="F470" s="344"/>
      <c r="G470" s="344"/>
      <c r="H470" s="625"/>
      <c r="I470" s="625"/>
      <c r="J470" s="16"/>
    </row>
    <row r="471" spans="1:10" ht="15.75" customHeight="1">
      <c r="A471" s="344"/>
      <c r="B471" s="344"/>
      <c r="C471" s="344"/>
      <c r="D471" s="344"/>
      <c r="E471" s="344"/>
      <c r="F471" s="344"/>
      <c r="G471" s="344"/>
      <c r="H471" s="625"/>
      <c r="I471" s="625"/>
      <c r="J471" s="16"/>
    </row>
    <row r="472" spans="1:10" ht="15.75" customHeight="1">
      <c r="A472" s="344"/>
      <c r="B472" s="344"/>
      <c r="C472" s="344"/>
      <c r="D472" s="344"/>
      <c r="E472" s="344"/>
      <c r="F472" s="344"/>
      <c r="G472" s="344"/>
      <c r="H472" s="625"/>
      <c r="I472" s="625"/>
      <c r="J472" s="16"/>
    </row>
    <row r="473" spans="1:10" ht="15.75" customHeight="1">
      <c r="A473" s="344"/>
      <c r="B473" s="344"/>
      <c r="C473" s="344"/>
      <c r="D473" s="344"/>
      <c r="E473" s="344"/>
      <c r="F473" s="344"/>
      <c r="G473" s="344"/>
      <c r="H473" s="625"/>
      <c r="I473" s="625"/>
      <c r="J473" s="16"/>
    </row>
    <row r="474" spans="1:10" ht="15.75" customHeight="1">
      <c r="A474" s="344"/>
      <c r="B474" s="344"/>
      <c r="C474" s="344"/>
      <c r="D474" s="344"/>
      <c r="E474" s="344"/>
      <c r="F474" s="344"/>
      <c r="G474" s="344"/>
      <c r="H474" s="625"/>
      <c r="I474" s="625"/>
      <c r="J474" s="16"/>
    </row>
    <row r="475" spans="1:10" ht="15.75" customHeight="1">
      <c r="A475" s="344"/>
      <c r="B475" s="344"/>
      <c r="C475" s="344"/>
      <c r="D475" s="344"/>
      <c r="E475" s="344"/>
      <c r="F475" s="344"/>
      <c r="G475" s="344"/>
      <c r="H475" s="625"/>
      <c r="I475" s="625"/>
      <c r="J475" s="16"/>
    </row>
    <row r="476" spans="1:10" ht="15.75" customHeight="1">
      <c r="A476" s="344"/>
      <c r="B476" s="344"/>
      <c r="C476" s="344"/>
      <c r="D476" s="344"/>
      <c r="E476" s="344"/>
      <c r="F476" s="344"/>
      <c r="G476" s="344"/>
      <c r="H476" s="625"/>
      <c r="I476" s="625"/>
      <c r="J476" s="16"/>
    </row>
    <row r="477" spans="1:10" ht="15.75" customHeight="1">
      <c r="A477" s="344"/>
      <c r="B477" s="344"/>
      <c r="C477" s="344"/>
      <c r="D477" s="344"/>
      <c r="E477" s="344"/>
      <c r="F477" s="344"/>
      <c r="G477" s="344"/>
      <c r="H477" s="625"/>
      <c r="I477" s="625"/>
      <c r="J477" s="16"/>
    </row>
    <row r="478" spans="1:10" ht="15.75" customHeight="1">
      <c r="A478" s="344"/>
      <c r="B478" s="344"/>
      <c r="C478" s="344"/>
      <c r="D478" s="344"/>
      <c r="E478" s="344"/>
      <c r="F478" s="344"/>
      <c r="G478" s="344"/>
      <c r="H478" s="625"/>
      <c r="I478" s="625"/>
      <c r="J478" s="16"/>
    </row>
    <row r="479" spans="1:10" ht="15.75" customHeight="1">
      <c r="A479" s="344"/>
      <c r="B479" s="344"/>
      <c r="C479" s="344"/>
      <c r="D479" s="344"/>
      <c r="E479" s="344"/>
      <c r="F479" s="344"/>
      <c r="G479" s="344"/>
      <c r="H479" s="625"/>
      <c r="I479" s="625"/>
      <c r="J479" s="16"/>
    </row>
    <row r="480" spans="1:10" ht="15.75" customHeight="1">
      <c r="A480" s="344"/>
      <c r="B480" s="344"/>
      <c r="C480" s="344"/>
      <c r="D480" s="344"/>
      <c r="E480" s="344"/>
      <c r="F480" s="344"/>
      <c r="G480" s="344"/>
      <c r="H480" s="625"/>
      <c r="I480" s="625"/>
      <c r="J480" s="16"/>
    </row>
    <row r="481" spans="1:10" ht="15.75" customHeight="1">
      <c r="A481" s="344"/>
      <c r="B481" s="344"/>
      <c r="C481" s="344"/>
      <c r="D481" s="344"/>
      <c r="E481" s="344"/>
      <c r="F481" s="344"/>
      <c r="G481" s="344"/>
      <c r="H481" s="625"/>
      <c r="I481" s="625"/>
      <c r="J481" s="16"/>
    </row>
    <row r="482" spans="1:10" ht="15.75" customHeight="1">
      <c r="A482" s="344"/>
      <c r="B482" s="344"/>
      <c r="C482" s="344"/>
      <c r="D482" s="344"/>
      <c r="E482" s="344"/>
      <c r="F482" s="344"/>
      <c r="G482" s="344"/>
      <c r="H482" s="625"/>
      <c r="I482" s="625"/>
      <c r="J482" s="16"/>
    </row>
    <row r="483" spans="1:10" ht="15.75" customHeight="1">
      <c r="A483" s="344"/>
      <c r="B483" s="344"/>
      <c r="C483" s="344"/>
      <c r="D483" s="344"/>
      <c r="E483" s="344"/>
      <c r="F483" s="344"/>
      <c r="G483" s="344"/>
      <c r="H483" s="625"/>
      <c r="I483" s="625"/>
      <c r="J483" s="16"/>
    </row>
    <row r="484" spans="1:10" ht="15.75" customHeight="1">
      <c r="A484" s="344"/>
      <c r="B484" s="344"/>
      <c r="C484" s="344"/>
      <c r="D484" s="344"/>
      <c r="E484" s="344"/>
      <c r="F484" s="344"/>
      <c r="G484" s="344"/>
      <c r="H484" s="625"/>
      <c r="I484" s="625"/>
      <c r="J484" s="16"/>
    </row>
    <row r="485" spans="1:10" ht="15.75" customHeight="1">
      <c r="A485" s="344"/>
      <c r="B485" s="344"/>
      <c r="C485" s="344"/>
      <c r="D485" s="344"/>
      <c r="E485" s="344"/>
      <c r="F485" s="344"/>
      <c r="G485" s="344"/>
      <c r="H485" s="625"/>
      <c r="I485" s="625"/>
      <c r="J485" s="16"/>
    </row>
    <row r="486" spans="1:10" ht="15.75" customHeight="1">
      <c r="A486" s="344"/>
      <c r="B486" s="344"/>
      <c r="C486" s="344"/>
      <c r="D486" s="344"/>
      <c r="E486" s="344"/>
      <c r="F486" s="344"/>
      <c r="G486" s="344"/>
      <c r="H486" s="625"/>
      <c r="I486" s="625"/>
      <c r="J486" s="16"/>
    </row>
    <row r="487" spans="1:10" ht="15.75" customHeight="1">
      <c r="A487" s="344"/>
      <c r="B487" s="344"/>
      <c r="C487" s="344"/>
      <c r="D487" s="344"/>
      <c r="E487" s="344"/>
      <c r="F487" s="344"/>
      <c r="G487" s="344"/>
      <c r="H487" s="625"/>
      <c r="I487" s="625"/>
      <c r="J487" s="16"/>
    </row>
    <row r="488" spans="1:10" ht="15.75" customHeight="1">
      <c r="A488" s="344"/>
      <c r="B488" s="344"/>
      <c r="C488" s="344"/>
      <c r="D488" s="344"/>
      <c r="E488" s="344"/>
      <c r="F488" s="344"/>
      <c r="G488" s="344"/>
      <c r="H488" s="625"/>
      <c r="I488" s="625"/>
      <c r="J488" s="16"/>
    </row>
    <row r="489" spans="1:10" ht="15.75" customHeight="1">
      <c r="A489" s="344"/>
      <c r="B489" s="344"/>
      <c r="C489" s="344"/>
      <c r="D489" s="344"/>
      <c r="E489" s="344"/>
      <c r="F489" s="344"/>
      <c r="G489" s="344"/>
      <c r="H489" s="625"/>
      <c r="I489" s="625"/>
      <c r="J489" s="16"/>
    </row>
    <row r="490" spans="1:10" ht="15.75" customHeight="1">
      <c r="A490" s="344"/>
      <c r="B490" s="344"/>
      <c r="C490" s="344"/>
      <c r="D490" s="344"/>
      <c r="E490" s="344"/>
      <c r="F490" s="344"/>
      <c r="G490" s="344"/>
      <c r="H490" s="625"/>
      <c r="I490" s="625"/>
      <c r="J490" s="16"/>
    </row>
    <row r="491" spans="1:10" ht="15.75" customHeight="1">
      <c r="A491" s="344"/>
      <c r="B491" s="344"/>
      <c r="C491" s="344"/>
      <c r="D491" s="344"/>
      <c r="E491" s="344"/>
      <c r="F491" s="344"/>
      <c r="G491" s="344"/>
      <c r="H491" s="625"/>
      <c r="I491" s="625"/>
      <c r="J491" s="16"/>
    </row>
    <row r="492" spans="1:10" ht="15.75" customHeight="1">
      <c r="A492" s="344"/>
      <c r="B492" s="344"/>
      <c r="C492" s="344"/>
      <c r="D492" s="344"/>
      <c r="E492" s="344"/>
      <c r="F492" s="344"/>
      <c r="G492" s="344"/>
      <c r="H492" s="625"/>
      <c r="I492" s="625"/>
      <c r="J492" s="16"/>
    </row>
    <row r="493" spans="1:10" ht="15.75" customHeight="1">
      <c r="A493" s="344"/>
      <c r="B493" s="344"/>
      <c r="C493" s="344"/>
      <c r="D493" s="344"/>
      <c r="E493" s="344"/>
      <c r="F493" s="344"/>
      <c r="G493" s="344"/>
      <c r="H493" s="625"/>
      <c r="I493" s="625"/>
      <c r="J493" s="16"/>
    </row>
    <row r="494" spans="1:10" ht="15.75" customHeight="1">
      <c r="A494" s="344"/>
      <c r="B494" s="344"/>
      <c r="C494" s="344"/>
      <c r="D494" s="344"/>
      <c r="E494" s="344"/>
      <c r="F494" s="344"/>
      <c r="G494" s="344"/>
      <c r="H494" s="625"/>
      <c r="I494" s="625"/>
      <c r="J494" s="16"/>
    </row>
    <row r="495" spans="1:10" ht="15.75" customHeight="1">
      <c r="A495" s="344"/>
      <c r="B495" s="344"/>
      <c r="C495" s="344"/>
      <c r="D495" s="344"/>
      <c r="E495" s="344"/>
      <c r="F495" s="344"/>
      <c r="G495" s="344"/>
      <c r="H495" s="625"/>
      <c r="I495" s="625"/>
      <c r="J495" s="16"/>
    </row>
    <row r="496" spans="1:10" ht="15.75" customHeight="1">
      <c r="A496" s="344"/>
      <c r="B496" s="344"/>
      <c r="C496" s="344"/>
      <c r="D496" s="344"/>
      <c r="E496" s="344"/>
      <c r="F496" s="344"/>
      <c r="G496" s="344"/>
      <c r="H496" s="625"/>
      <c r="I496" s="625"/>
      <c r="J496" s="16"/>
    </row>
    <row r="497" spans="1:10" ht="15.75" customHeight="1">
      <c r="A497" s="344"/>
      <c r="B497" s="344"/>
      <c r="C497" s="344"/>
      <c r="D497" s="344"/>
      <c r="E497" s="344"/>
      <c r="F497" s="344"/>
      <c r="G497" s="344"/>
      <c r="H497" s="625"/>
      <c r="I497" s="625"/>
      <c r="J497" s="16"/>
    </row>
    <row r="498" spans="1:10" ht="15.75" customHeight="1">
      <c r="A498" s="344"/>
      <c r="B498" s="344"/>
      <c r="C498" s="344"/>
      <c r="D498" s="344"/>
      <c r="E498" s="344"/>
      <c r="F498" s="344"/>
      <c r="G498" s="344"/>
      <c r="H498" s="625"/>
      <c r="I498" s="625"/>
      <c r="J498" s="16"/>
    </row>
    <row r="499" spans="1:10" ht="15.75" customHeight="1">
      <c r="A499" s="344"/>
      <c r="B499" s="344"/>
      <c r="C499" s="344"/>
      <c r="D499" s="344"/>
      <c r="E499" s="344"/>
      <c r="F499" s="344"/>
      <c r="G499" s="344"/>
      <c r="H499" s="625"/>
      <c r="I499" s="625"/>
      <c r="J499" s="16"/>
    </row>
    <row r="500" spans="1:10" ht="15.75" customHeight="1">
      <c r="A500" s="344"/>
      <c r="B500" s="344"/>
      <c r="C500" s="344"/>
      <c r="D500" s="344"/>
      <c r="E500" s="344"/>
      <c r="F500" s="344"/>
      <c r="G500" s="344"/>
      <c r="H500" s="625"/>
      <c r="I500" s="625"/>
      <c r="J500" s="16"/>
    </row>
    <row r="501" spans="1:10" ht="15.75" customHeight="1">
      <c r="A501" s="344"/>
      <c r="B501" s="344"/>
      <c r="C501" s="344"/>
      <c r="D501" s="344"/>
      <c r="E501" s="344"/>
      <c r="F501" s="344"/>
      <c r="G501" s="344"/>
      <c r="H501" s="625"/>
      <c r="I501" s="625"/>
      <c r="J501" s="16"/>
    </row>
    <row r="502" spans="1:10" ht="15.75" customHeight="1">
      <c r="A502" s="344"/>
      <c r="B502" s="344"/>
      <c r="C502" s="344"/>
      <c r="D502" s="344"/>
      <c r="E502" s="344"/>
      <c r="F502" s="344"/>
      <c r="G502" s="344"/>
      <c r="H502" s="625"/>
      <c r="I502" s="625"/>
      <c r="J502" s="16"/>
    </row>
    <row r="503" spans="1:10" ht="15.75" customHeight="1">
      <c r="A503" s="344"/>
      <c r="B503" s="344"/>
      <c r="C503" s="344"/>
      <c r="D503" s="344"/>
      <c r="E503" s="344"/>
      <c r="F503" s="344"/>
      <c r="G503" s="344"/>
      <c r="H503" s="625"/>
      <c r="I503" s="625"/>
      <c r="J503" s="16"/>
    </row>
    <row r="504" spans="1:10" ht="15.75" customHeight="1">
      <c r="A504" s="344"/>
      <c r="B504" s="344"/>
      <c r="C504" s="344"/>
      <c r="D504" s="344"/>
      <c r="E504" s="344"/>
      <c r="F504" s="344"/>
      <c r="G504" s="344"/>
      <c r="H504" s="625"/>
      <c r="I504" s="625"/>
      <c r="J504" s="16"/>
    </row>
    <row r="505" spans="1:10" ht="15.75" customHeight="1">
      <c r="A505" s="344"/>
      <c r="B505" s="344"/>
      <c r="C505" s="344"/>
      <c r="D505" s="344"/>
      <c r="E505" s="344"/>
      <c r="F505" s="344"/>
      <c r="G505" s="344"/>
      <c r="H505" s="625"/>
      <c r="I505" s="625"/>
      <c r="J505" s="16"/>
    </row>
    <row r="506" spans="1:10" ht="15.75" customHeight="1">
      <c r="A506" s="344"/>
      <c r="B506" s="344"/>
      <c r="C506" s="344"/>
      <c r="D506" s="344"/>
      <c r="E506" s="344"/>
      <c r="F506" s="344"/>
      <c r="G506" s="344"/>
      <c r="H506" s="625"/>
      <c r="I506" s="625"/>
      <c r="J506" s="16"/>
    </row>
    <row r="507" spans="1:10" ht="15.75" customHeight="1">
      <c r="A507" s="344"/>
      <c r="B507" s="344"/>
      <c r="C507" s="344"/>
      <c r="D507" s="344"/>
      <c r="E507" s="344"/>
      <c r="F507" s="344"/>
      <c r="G507" s="344"/>
      <c r="H507" s="625"/>
      <c r="I507" s="625"/>
      <c r="J507" s="16"/>
    </row>
    <row r="508" spans="1:10" ht="15.75" customHeight="1">
      <c r="A508" s="344"/>
      <c r="B508" s="344"/>
      <c r="C508" s="344"/>
      <c r="D508" s="344"/>
      <c r="E508" s="344"/>
      <c r="F508" s="344"/>
      <c r="G508" s="344"/>
      <c r="H508" s="625"/>
      <c r="I508" s="625"/>
      <c r="J508" s="16"/>
    </row>
    <row r="509" spans="1:10" ht="15.75" customHeight="1">
      <c r="A509" s="344"/>
      <c r="B509" s="344"/>
      <c r="C509" s="344"/>
      <c r="D509" s="344"/>
      <c r="E509" s="344"/>
      <c r="F509" s="344"/>
      <c r="G509" s="344"/>
      <c r="H509" s="625"/>
      <c r="I509" s="625"/>
      <c r="J509" s="16"/>
    </row>
    <row r="510" spans="1:10" ht="15.75" customHeight="1">
      <c r="A510" s="344"/>
      <c r="B510" s="344"/>
      <c r="C510" s="344"/>
      <c r="D510" s="344"/>
      <c r="E510" s="344"/>
      <c r="F510" s="344"/>
      <c r="G510" s="344"/>
      <c r="H510" s="625"/>
      <c r="I510" s="625"/>
      <c r="J510" s="16"/>
    </row>
    <row r="511" spans="1:10" ht="15.75" customHeight="1">
      <c r="A511" s="344"/>
      <c r="B511" s="344"/>
      <c r="C511" s="344"/>
      <c r="D511" s="344"/>
      <c r="E511" s="344"/>
      <c r="F511" s="344"/>
      <c r="G511" s="344"/>
      <c r="H511" s="625"/>
      <c r="I511" s="625"/>
      <c r="J511" s="16"/>
    </row>
    <row r="512" spans="1:10" ht="15.75" customHeight="1">
      <c r="A512" s="344"/>
      <c r="B512" s="344"/>
      <c r="C512" s="344"/>
      <c r="D512" s="344"/>
      <c r="E512" s="344"/>
      <c r="F512" s="344"/>
      <c r="G512" s="344"/>
      <c r="H512" s="625"/>
      <c r="I512" s="625"/>
      <c r="J512" s="16"/>
    </row>
    <row r="513" spans="1:10" ht="15.75" customHeight="1">
      <c r="A513" s="344"/>
      <c r="B513" s="344"/>
      <c r="C513" s="344"/>
      <c r="D513" s="344"/>
      <c r="E513" s="344"/>
      <c r="F513" s="344"/>
      <c r="G513" s="344"/>
      <c r="H513" s="625"/>
      <c r="I513" s="625"/>
      <c r="J513" s="16"/>
    </row>
    <row r="514" spans="1:10" ht="15.75" customHeight="1">
      <c r="A514" s="344"/>
      <c r="B514" s="344"/>
      <c r="C514" s="344"/>
      <c r="D514" s="344"/>
      <c r="E514" s="344"/>
      <c r="F514" s="344"/>
      <c r="G514" s="344"/>
      <c r="H514" s="625"/>
      <c r="I514" s="625"/>
      <c r="J514" s="16"/>
    </row>
    <row r="515" spans="1:10" ht="15.75" customHeight="1">
      <c r="A515" s="344"/>
      <c r="B515" s="344"/>
      <c r="C515" s="344"/>
      <c r="D515" s="344"/>
      <c r="E515" s="344"/>
      <c r="F515" s="344"/>
      <c r="G515" s="344"/>
      <c r="H515" s="625"/>
      <c r="I515" s="625"/>
      <c r="J515" s="16"/>
    </row>
    <row r="516" spans="1:10" ht="15.75" customHeight="1">
      <c r="A516" s="344"/>
      <c r="B516" s="344"/>
      <c r="C516" s="344"/>
      <c r="D516" s="344"/>
      <c r="E516" s="344"/>
      <c r="F516" s="344"/>
      <c r="G516" s="344"/>
      <c r="H516" s="625"/>
      <c r="I516" s="625"/>
      <c r="J516" s="16"/>
    </row>
    <row r="517" spans="1:10" ht="15.75" customHeight="1">
      <c r="A517" s="344"/>
      <c r="B517" s="344"/>
      <c r="C517" s="344"/>
      <c r="D517" s="344"/>
      <c r="E517" s="344"/>
      <c r="F517" s="344"/>
      <c r="G517" s="344"/>
      <c r="H517" s="625"/>
      <c r="I517" s="625"/>
      <c r="J517" s="16"/>
    </row>
    <row r="518" spans="1:10" ht="15.75" customHeight="1">
      <c r="A518" s="344"/>
      <c r="B518" s="344"/>
      <c r="C518" s="344"/>
      <c r="D518" s="344"/>
      <c r="E518" s="344"/>
      <c r="F518" s="344"/>
      <c r="G518" s="344"/>
      <c r="H518" s="625"/>
      <c r="I518" s="625"/>
      <c r="J518" s="16"/>
    </row>
    <row r="519" spans="1:10" ht="15.75" customHeight="1">
      <c r="A519" s="344"/>
      <c r="B519" s="344"/>
      <c r="C519" s="344"/>
      <c r="D519" s="344"/>
      <c r="E519" s="344"/>
      <c r="F519" s="344"/>
      <c r="G519" s="344"/>
      <c r="H519" s="625"/>
      <c r="I519" s="625"/>
      <c r="J519" s="16"/>
    </row>
    <row r="520" spans="1:10" ht="15.75" customHeight="1">
      <c r="A520" s="344"/>
      <c r="B520" s="344"/>
      <c r="C520" s="344"/>
      <c r="D520" s="344"/>
      <c r="E520" s="344"/>
      <c r="F520" s="344"/>
      <c r="G520" s="344"/>
      <c r="H520" s="625"/>
      <c r="I520" s="625"/>
      <c r="J520" s="16"/>
    </row>
    <row r="521" spans="1:10" ht="15.75" customHeight="1">
      <c r="A521" s="344"/>
      <c r="B521" s="344"/>
      <c r="C521" s="344"/>
      <c r="D521" s="344"/>
      <c r="E521" s="344"/>
      <c r="F521" s="344"/>
      <c r="G521" s="344"/>
      <c r="H521" s="625"/>
      <c r="I521" s="625"/>
      <c r="J521" s="16"/>
    </row>
    <row r="522" spans="1:10" ht="15.75" customHeight="1">
      <c r="A522" s="344"/>
      <c r="B522" s="344"/>
      <c r="C522" s="344"/>
      <c r="D522" s="344"/>
      <c r="E522" s="344"/>
      <c r="F522" s="344"/>
      <c r="G522" s="344"/>
      <c r="H522" s="625"/>
      <c r="I522" s="625"/>
      <c r="J522" s="16"/>
    </row>
    <row r="523" spans="1:10" ht="15.75" customHeight="1">
      <c r="A523" s="344"/>
      <c r="B523" s="344"/>
      <c r="C523" s="344"/>
      <c r="D523" s="344"/>
      <c r="E523" s="344"/>
      <c r="F523" s="344"/>
      <c r="G523" s="344"/>
      <c r="H523" s="625"/>
      <c r="I523" s="625"/>
      <c r="J523" s="16"/>
    </row>
    <row r="524" spans="1:10" ht="15.75" customHeight="1">
      <c r="A524" s="344"/>
      <c r="B524" s="344"/>
      <c r="C524" s="344"/>
      <c r="D524" s="344"/>
      <c r="E524" s="344"/>
      <c r="F524" s="344"/>
      <c r="G524" s="344"/>
      <c r="H524" s="625"/>
      <c r="I524" s="625"/>
      <c r="J524" s="16"/>
    </row>
    <row r="525" spans="1:10" ht="15.75" customHeight="1">
      <c r="A525" s="344"/>
      <c r="B525" s="344"/>
      <c r="C525" s="344"/>
      <c r="D525" s="344"/>
      <c r="E525" s="344"/>
      <c r="F525" s="344"/>
      <c r="G525" s="344"/>
      <c r="H525" s="625"/>
      <c r="I525" s="625"/>
      <c r="J525" s="16"/>
    </row>
    <row r="526" spans="1:10" ht="15.75" customHeight="1">
      <c r="A526" s="344"/>
      <c r="B526" s="344"/>
      <c r="C526" s="344"/>
      <c r="D526" s="344"/>
      <c r="E526" s="344"/>
      <c r="F526" s="344"/>
      <c r="G526" s="344"/>
      <c r="H526" s="625"/>
      <c r="I526" s="625"/>
      <c r="J526" s="16"/>
    </row>
    <row r="527" spans="1:10" ht="15.75" customHeight="1">
      <c r="A527" s="344"/>
      <c r="B527" s="344"/>
      <c r="C527" s="344"/>
      <c r="D527" s="344"/>
      <c r="E527" s="344"/>
      <c r="F527" s="344"/>
      <c r="G527" s="344"/>
      <c r="H527" s="625"/>
      <c r="I527" s="625"/>
      <c r="J527" s="16"/>
    </row>
    <row r="528" spans="1:10" ht="15.75" customHeight="1">
      <c r="A528" s="344"/>
      <c r="B528" s="344"/>
      <c r="C528" s="344"/>
      <c r="D528" s="344"/>
      <c r="E528" s="344"/>
      <c r="F528" s="344"/>
      <c r="G528" s="344"/>
      <c r="H528" s="625"/>
      <c r="I528" s="625"/>
      <c r="J528" s="16"/>
    </row>
    <row r="529" spans="1:10" ht="15.75" customHeight="1">
      <c r="A529" s="344"/>
      <c r="B529" s="344"/>
      <c r="C529" s="344"/>
      <c r="D529" s="344"/>
      <c r="E529" s="344"/>
      <c r="F529" s="344"/>
      <c r="G529" s="344"/>
      <c r="H529" s="625"/>
      <c r="I529" s="625"/>
      <c r="J529" s="16"/>
    </row>
    <row r="530" spans="1:10" ht="15.75" customHeight="1">
      <c r="A530" s="344"/>
      <c r="B530" s="344"/>
      <c r="C530" s="344"/>
      <c r="D530" s="344"/>
      <c r="E530" s="344"/>
      <c r="F530" s="344"/>
      <c r="G530" s="344"/>
      <c r="H530" s="625"/>
      <c r="I530" s="625"/>
      <c r="J530" s="16"/>
    </row>
    <row r="531" spans="1:10" ht="15.75" customHeight="1">
      <c r="A531" s="344"/>
      <c r="B531" s="344"/>
      <c r="C531" s="344"/>
      <c r="D531" s="344"/>
      <c r="E531" s="344"/>
      <c r="F531" s="344"/>
      <c r="G531" s="344"/>
      <c r="H531" s="625"/>
      <c r="I531" s="625"/>
      <c r="J531" s="16"/>
    </row>
    <row r="532" spans="1:10" ht="15.75" customHeight="1">
      <c r="A532" s="344"/>
      <c r="B532" s="344"/>
      <c r="C532" s="344"/>
      <c r="D532" s="344"/>
      <c r="E532" s="344"/>
      <c r="F532" s="344"/>
      <c r="G532" s="344"/>
      <c r="H532" s="625"/>
      <c r="I532" s="625"/>
      <c r="J532" s="16"/>
    </row>
    <row r="533" spans="1:10" ht="15.75" customHeight="1">
      <c r="A533" s="344"/>
      <c r="B533" s="344"/>
      <c r="C533" s="344"/>
      <c r="D533" s="344"/>
      <c r="E533" s="344"/>
      <c r="F533" s="344"/>
      <c r="G533" s="344"/>
      <c r="H533" s="625"/>
      <c r="I533" s="625"/>
      <c r="J533" s="16"/>
    </row>
    <row r="534" spans="1:10" ht="15.75" customHeight="1">
      <c r="A534" s="344"/>
      <c r="B534" s="344"/>
      <c r="C534" s="344"/>
      <c r="D534" s="344"/>
      <c r="E534" s="344"/>
      <c r="F534" s="344"/>
      <c r="G534" s="344"/>
      <c r="H534" s="625"/>
      <c r="I534" s="625"/>
      <c r="J534" s="16"/>
    </row>
    <row r="535" spans="1:10" ht="15.75" customHeight="1">
      <c r="A535" s="344"/>
      <c r="B535" s="344"/>
      <c r="C535" s="344"/>
      <c r="D535" s="344"/>
      <c r="E535" s="344"/>
      <c r="F535" s="344"/>
      <c r="G535" s="344"/>
      <c r="H535" s="625"/>
      <c r="I535" s="625"/>
      <c r="J535" s="16"/>
    </row>
    <row r="536" spans="1:10" ht="15.75" customHeight="1">
      <c r="A536" s="344"/>
      <c r="B536" s="344"/>
      <c r="C536" s="344"/>
      <c r="D536" s="344"/>
      <c r="E536" s="344"/>
      <c r="F536" s="344"/>
      <c r="G536" s="344"/>
      <c r="H536" s="625"/>
      <c r="I536" s="625"/>
      <c r="J536" s="16"/>
    </row>
    <row r="537" spans="1:10" ht="15.75" customHeight="1">
      <c r="A537" s="344"/>
      <c r="B537" s="344"/>
      <c r="C537" s="344"/>
      <c r="D537" s="344"/>
      <c r="E537" s="344"/>
      <c r="F537" s="344"/>
      <c r="G537" s="344"/>
      <c r="H537" s="625"/>
      <c r="I537" s="625"/>
      <c r="J537" s="16"/>
    </row>
    <row r="538" spans="1:10" ht="15.75" customHeight="1">
      <c r="A538" s="344"/>
      <c r="B538" s="344"/>
      <c r="C538" s="344"/>
      <c r="D538" s="344"/>
      <c r="E538" s="344"/>
      <c r="F538" s="344"/>
      <c r="G538" s="344"/>
      <c r="H538" s="625"/>
      <c r="I538" s="625"/>
      <c r="J538" s="16"/>
    </row>
    <row r="539" spans="1:10" ht="15.75" customHeight="1">
      <c r="A539" s="344"/>
      <c r="B539" s="344"/>
      <c r="C539" s="344"/>
      <c r="D539" s="344"/>
      <c r="E539" s="344"/>
      <c r="F539" s="344"/>
      <c r="G539" s="344"/>
      <c r="H539" s="625"/>
      <c r="I539" s="625"/>
      <c r="J539" s="16"/>
    </row>
    <row r="540" spans="1:10" ht="15.75" customHeight="1">
      <c r="A540" s="344"/>
      <c r="B540" s="344"/>
      <c r="C540" s="344"/>
      <c r="D540" s="344"/>
      <c r="E540" s="344"/>
      <c r="F540" s="344"/>
      <c r="G540" s="344"/>
      <c r="H540" s="625"/>
      <c r="I540" s="625"/>
      <c r="J540" s="16"/>
    </row>
    <row r="541" spans="1:10" ht="15.75" customHeight="1">
      <c r="A541" s="344"/>
      <c r="B541" s="344"/>
      <c r="C541" s="344"/>
      <c r="D541" s="344"/>
      <c r="E541" s="344"/>
      <c r="F541" s="344"/>
      <c r="G541" s="344"/>
      <c r="H541" s="625"/>
      <c r="I541" s="625"/>
      <c r="J541" s="16"/>
    </row>
    <row r="542" spans="1:10" ht="15.75" customHeight="1">
      <c r="A542" s="344"/>
      <c r="B542" s="344"/>
      <c r="C542" s="344"/>
      <c r="D542" s="344"/>
      <c r="E542" s="344"/>
      <c r="F542" s="344"/>
      <c r="G542" s="344"/>
      <c r="H542" s="625"/>
      <c r="I542" s="625"/>
      <c r="J542" s="16"/>
    </row>
    <row r="543" spans="1:10" ht="15.75" customHeight="1">
      <c r="A543" s="344"/>
      <c r="B543" s="344"/>
      <c r="C543" s="344"/>
      <c r="D543" s="344"/>
      <c r="E543" s="344"/>
      <c r="F543" s="344"/>
      <c r="G543" s="344"/>
      <c r="H543" s="625"/>
      <c r="I543" s="625"/>
      <c r="J543" s="16"/>
    </row>
    <row r="544" spans="1:10" ht="15.75" customHeight="1">
      <c r="A544" s="344"/>
      <c r="B544" s="344"/>
      <c r="C544" s="344"/>
      <c r="D544" s="344"/>
      <c r="E544" s="344"/>
      <c r="F544" s="344"/>
      <c r="G544" s="344"/>
      <c r="H544" s="625"/>
      <c r="I544" s="625"/>
      <c r="J544" s="16"/>
    </row>
    <row r="545" spans="1:10" ht="15.75" customHeight="1">
      <c r="A545" s="344"/>
      <c r="B545" s="344"/>
      <c r="C545" s="344"/>
      <c r="D545" s="344"/>
      <c r="E545" s="344"/>
      <c r="F545" s="344"/>
      <c r="G545" s="344"/>
      <c r="H545" s="625"/>
      <c r="I545" s="625"/>
      <c r="J545" s="16"/>
    </row>
    <row r="546" spans="1:10" ht="15.75" customHeight="1">
      <c r="A546" s="344"/>
      <c r="B546" s="344"/>
      <c r="C546" s="344"/>
      <c r="D546" s="344"/>
      <c r="E546" s="344"/>
      <c r="F546" s="344"/>
      <c r="G546" s="344"/>
      <c r="H546" s="625"/>
      <c r="I546" s="625"/>
      <c r="J546" s="16"/>
    </row>
    <row r="547" spans="1:10" ht="15.75" customHeight="1">
      <c r="A547" s="344"/>
      <c r="B547" s="344"/>
      <c r="C547" s="344"/>
      <c r="D547" s="344"/>
      <c r="E547" s="344"/>
      <c r="F547" s="344"/>
      <c r="G547" s="344"/>
      <c r="H547" s="625"/>
      <c r="I547" s="625"/>
      <c r="J547" s="16"/>
    </row>
    <row r="548" spans="1:10" ht="15.75" customHeight="1">
      <c r="A548" s="344"/>
      <c r="B548" s="344"/>
      <c r="C548" s="344"/>
      <c r="D548" s="344"/>
      <c r="E548" s="344"/>
      <c r="F548" s="344"/>
      <c r="G548" s="344"/>
      <c r="H548" s="625"/>
      <c r="I548" s="625"/>
      <c r="J548" s="16"/>
    </row>
    <row r="549" spans="1:10" ht="15.75" customHeight="1">
      <c r="A549" s="344"/>
      <c r="B549" s="344"/>
      <c r="C549" s="344"/>
      <c r="D549" s="344"/>
      <c r="E549" s="344"/>
      <c r="F549" s="344"/>
      <c r="G549" s="344"/>
      <c r="H549" s="625"/>
      <c r="I549" s="625"/>
      <c r="J549" s="16"/>
    </row>
    <row r="550" spans="1:10" ht="15.75" customHeight="1">
      <c r="A550" s="344"/>
      <c r="B550" s="344"/>
      <c r="C550" s="344"/>
      <c r="D550" s="344"/>
      <c r="E550" s="344"/>
      <c r="F550" s="344"/>
      <c r="G550" s="344"/>
      <c r="H550" s="625"/>
      <c r="I550" s="625"/>
      <c r="J550" s="16"/>
    </row>
    <row r="551" spans="1:10" ht="15.75" customHeight="1">
      <c r="A551" s="344"/>
      <c r="B551" s="344"/>
      <c r="C551" s="344"/>
      <c r="D551" s="344"/>
      <c r="E551" s="344"/>
      <c r="F551" s="344"/>
      <c r="G551" s="344"/>
      <c r="H551" s="625"/>
      <c r="I551" s="625"/>
      <c r="J551" s="16"/>
    </row>
    <row r="552" spans="1:10" ht="15.75" customHeight="1">
      <c r="A552" s="344"/>
      <c r="B552" s="344"/>
      <c r="C552" s="344"/>
      <c r="D552" s="344"/>
      <c r="E552" s="344"/>
      <c r="F552" s="344"/>
      <c r="G552" s="344"/>
      <c r="H552" s="625"/>
      <c r="I552" s="625"/>
      <c r="J552" s="16"/>
    </row>
    <row r="553" spans="1:10" ht="15.75" customHeight="1">
      <c r="A553" s="344"/>
      <c r="B553" s="344"/>
      <c r="C553" s="344"/>
      <c r="D553" s="344"/>
      <c r="E553" s="344"/>
      <c r="F553" s="344"/>
      <c r="G553" s="344"/>
      <c r="H553" s="625"/>
      <c r="I553" s="625"/>
      <c r="J553" s="16"/>
    </row>
    <row r="554" spans="1:10" ht="15.75" customHeight="1">
      <c r="A554" s="344"/>
      <c r="B554" s="344"/>
      <c r="C554" s="344"/>
      <c r="D554" s="344"/>
      <c r="E554" s="344"/>
      <c r="F554" s="344"/>
      <c r="G554" s="344"/>
      <c r="H554" s="625"/>
      <c r="I554" s="625"/>
      <c r="J554" s="16"/>
    </row>
    <row r="555" spans="1:10" ht="15.75" customHeight="1">
      <c r="A555" s="344"/>
      <c r="B555" s="344"/>
      <c r="C555" s="344"/>
      <c r="D555" s="344"/>
      <c r="E555" s="344"/>
      <c r="F555" s="344"/>
      <c r="G555" s="344"/>
      <c r="H555" s="625"/>
      <c r="I555" s="625"/>
      <c r="J555" s="16"/>
    </row>
    <row r="556" spans="1:10" ht="15.75" customHeight="1">
      <c r="A556" s="344"/>
      <c r="B556" s="344"/>
      <c r="C556" s="344"/>
      <c r="D556" s="344"/>
      <c r="E556" s="344"/>
      <c r="F556" s="344"/>
      <c r="G556" s="344"/>
      <c r="H556" s="625"/>
      <c r="I556" s="625"/>
      <c r="J556" s="16"/>
    </row>
    <row r="557" spans="1:10" ht="15.75" customHeight="1">
      <c r="A557" s="344"/>
      <c r="B557" s="344"/>
      <c r="C557" s="344"/>
      <c r="D557" s="344"/>
      <c r="E557" s="344"/>
      <c r="F557" s="344"/>
      <c r="G557" s="344"/>
      <c r="H557" s="625"/>
      <c r="I557" s="625"/>
      <c r="J557" s="16"/>
    </row>
    <row r="558" spans="1:10" ht="15.75" customHeight="1">
      <c r="A558" s="344"/>
      <c r="B558" s="344"/>
      <c r="C558" s="344"/>
      <c r="D558" s="344"/>
      <c r="E558" s="344"/>
      <c r="F558" s="344"/>
      <c r="G558" s="344"/>
      <c r="H558" s="625"/>
      <c r="I558" s="625"/>
      <c r="J558" s="16"/>
    </row>
    <row r="559" spans="1:10" ht="15.75" customHeight="1">
      <c r="A559" s="344"/>
      <c r="B559" s="344"/>
      <c r="C559" s="344"/>
      <c r="D559" s="344"/>
      <c r="E559" s="344"/>
      <c r="F559" s="344"/>
      <c r="G559" s="344"/>
      <c r="H559" s="625"/>
      <c r="I559" s="625"/>
      <c r="J559" s="16"/>
    </row>
    <row r="560" spans="1:10" ht="15.75" customHeight="1">
      <c r="A560" s="344"/>
      <c r="B560" s="344"/>
      <c r="C560" s="344"/>
      <c r="D560" s="344"/>
      <c r="E560" s="344"/>
      <c r="F560" s="344"/>
      <c r="G560" s="344"/>
      <c r="H560" s="625"/>
      <c r="I560" s="625"/>
      <c r="J560" s="16"/>
    </row>
    <row r="561" spans="1:10" ht="15.75" customHeight="1">
      <c r="A561" s="344"/>
      <c r="B561" s="344"/>
      <c r="C561" s="344"/>
      <c r="D561" s="344"/>
      <c r="E561" s="344"/>
      <c r="F561" s="344"/>
      <c r="G561" s="344"/>
      <c r="H561" s="625"/>
      <c r="I561" s="625"/>
      <c r="J561" s="16"/>
    </row>
    <row r="562" spans="1:10" ht="15.75" customHeight="1">
      <c r="A562" s="344"/>
      <c r="B562" s="344"/>
      <c r="C562" s="344"/>
      <c r="D562" s="344"/>
      <c r="E562" s="344"/>
      <c r="F562" s="344"/>
      <c r="G562" s="344"/>
      <c r="H562" s="625"/>
      <c r="I562" s="625"/>
      <c r="J562" s="16"/>
    </row>
    <row r="563" spans="1:10" ht="15.75" customHeight="1">
      <c r="A563" s="344"/>
      <c r="B563" s="344"/>
      <c r="C563" s="344"/>
      <c r="D563" s="344"/>
      <c r="E563" s="344"/>
      <c r="F563" s="344"/>
      <c r="G563" s="344"/>
      <c r="H563" s="625"/>
      <c r="I563" s="625"/>
      <c r="J563" s="16"/>
    </row>
    <row r="564" spans="1:10" ht="15.75" customHeight="1">
      <c r="A564" s="344"/>
      <c r="B564" s="344"/>
      <c r="C564" s="344"/>
      <c r="D564" s="344"/>
      <c r="E564" s="344"/>
      <c r="F564" s="344"/>
      <c r="G564" s="344"/>
      <c r="H564" s="625"/>
      <c r="I564" s="625"/>
      <c r="J564" s="16"/>
    </row>
    <row r="565" spans="1:10" ht="15.75" customHeight="1">
      <c r="A565" s="344"/>
      <c r="B565" s="344"/>
      <c r="C565" s="344"/>
      <c r="D565" s="344"/>
      <c r="E565" s="344"/>
      <c r="F565" s="344"/>
      <c r="G565" s="344"/>
      <c r="H565" s="625"/>
      <c r="I565" s="625"/>
      <c r="J565" s="16"/>
    </row>
    <row r="566" spans="1:10" ht="15.75" customHeight="1">
      <c r="A566" s="344"/>
      <c r="B566" s="344"/>
      <c r="C566" s="344"/>
      <c r="D566" s="344"/>
      <c r="E566" s="344"/>
      <c r="F566" s="344"/>
      <c r="G566" s="344"/>
      <c r="H566" s="625"/>
      <c r="I566" s="625"/>
      <c r="J566" s="16"/>
    </row>
    <row r="567" spans="1:10" ht="15.75" customHeight="1">
      <c r="A567" s="344"/>
      <c r="B567" s="344"/>
      <c r="C567" s="344"/>
      <c r="D567" s="344"/>
      <c r="E567" s="344"/>
      <c r="F567" s="344"/>
      <c r="G567" s="344"/>
      <c r="H567" s="625"/>
      <c r="I567" s="625"/>
      <c r="J567" s="16"/>
    </row>
    <row r="568" spans="1:10" ht="15.75" customHeight="1">
      <c r="A568" s="344"/>
      <c r="B568" s="344"/>
      <c r="C568" s="344"/>
      <c r="D568" s="344"/>
      <c r="E568" s="344"/>
      <c r="F568" s="344"/>
      <c r="G568" s="344"/>
      <c r="H568" s="625"/>
      <c r="I568" s="625"/>
      <c r="J568" s="16"/>
    </row>
    <row r="569" spans="1:10" ht="15.75" customHeight="1">
      <c r="A569" s="344"/>
      <c r="B569" s="344"/>
      <c r="C569" s="344"/>
      <c r="D569" s="344"/>
      <c r="E569" s="344"/>
      <c r="F569" s="344"/>
      <c r="G569" s="344"/>
      <c r="H569" s="625"/>
      <c r="I569" s="625"/>
      <c r="J569" s="16"/>
    </row>
    <row r="570" spans="1:10" ht="15.75" customHeight="1">
      <c r="A570" s="344"/>
      <c r="B570" s="344"/>
      <c r="C570" s="344"/>
      <c r="D570" s="344"/>
      <c r="E570" s="344"/>
      <c r="F570" s="344"/>
      <c r="G570" s="344"/>
      <c r="H570" s="625"/>
      <c r="I570" s="625"/>
      <c r="J570" s="16"/>
    </row>
    <row r="571" spans="1:10" ht="15.75" customHeight="1">
      <c r="A571" s="344"/>
      <c r="B571" s="344"/>
      <c r="C571" s="344"/>
      <c r="D571" s="344"/>
      <c r="E571" s="344"/>
      <c r="F571" s="344"/>
      <c r="G571" s="344"/>
      <c r="H571" s="625"/>
      <c r="I571" s="625"/>
      <c r="J571" s="16"/>
    </row>
    <row r="572" spans="1:10" ht="15.75" customHeight="1">
      <c r="A572" s="344"/>
      <c r="B572" s="344"/>
      <c r="C572" s="344"/>
      <c r="D572" s="344"/>
      <c r="E572" s="344"/>
      <c r="F572" s="344"/>
      <c r="G572" s="344"/>
      <c r="H572" s="625"/>
      <c r="I572" s="625"/>
      <c r="J572" s="16"/>
    </row>
    <row r="573" spans="1:10" ht="15.75" customHeight="1">
      <c r="A573" s="344"/>
      <c r="B573" s="344"/>
      <c r="C573" s="344"/>
      <c r="D573" s="344"/>
      <c r="E573" s="344"/>
      <c r="F573" s="344"/>
      <c r="G573" s="344"/>
      <c r="H573" s="625"/>
      <c r="I573" s="625"/>
      <c r="J573" s="16"/>
    </row>
    <row r="574" spans="1:10" ht="15.75" customHeight="1">
      <c r="A574" s="344"/>
      <c r="B574" s="344"/>
      <c r="C574" s="344"/>
      <c r="D574" s="344"/>
      <c r="E574" s="344"/>
      <c r="F574" s="344"/>
      <c r="G574" s="344"/>
      <c r="H574" s="625"/>
      <c r="I574" s="625"/>
      <c r="J574" s="16"/>
    </row>
    <row r="575" spans="1:10" ht="15.75" customHeight="1">
      <c r="A575" s="344"/>
      <c r="B575" s="344"/>
      <c r="C575" s="344"/>
      <c r="D575" s="344"/>
      <c r="E575" s="344"/>
      <c r="F575" s="344"/>
      <c r="G575" s="344"/>
      <c r="H575" s="625"/>
      <c r="I575" s="625"/>
      <c r="J575" s="16"/>
    </row>
    <row r="576" spans="1:10" ht="15.75" customHeight="1">
      <c r="A576" s="344"/>
      <c r="B576" s="344"/>
      <c r="C576" s="344"/>
      <c r="D576" s="344"/>
      <c r="E576" s="344"/>
      <c r="F576" s="344"/>
      <c r="G576" s="344"/>
      <c r="H576" s="625"/>
      <c r="I576" s="625"/>
      <c r="J576" s="16"/>
    </row>
    <row r="577" spans="1:10" ht="15.75" customHeight="1">
      <c r="A577" s="344"/>
      <c r="B577" s="344"/>
      <c r="C577" s="344"/>
      <c r="D577" s="344"/>
      <c r="E577" s="344"/>
      <c r="F577" s="344"/>
      <c r="G577" s="344"/>
      <c r="H577" s="625"/>
      <c r="I577" s="625"/>
      <c r="J577" s="16"/>
    </row>
    <row r="578" spans="1:10" ht="15.75" customHeight="1">
      <c r="A578" s="344"/>
      <c r="B578" s="344"/>
      <c r="C578" s="344"/>
      <c r="D578" s="344"/>
      <c r="E578" s="344"/>
      <c r="F578" s="344"/>
      <c r="G578" s="344"/>
      <c r="H578" s="625"/>
      <c r="I578" s="625"/>
      <c r="J578" s="16"/>
    </row>
    <row r="579" spans="1:10" ht="15.75" customHeight="1">
      <c r="A579" s="344"/>
      <c r="B579" s="344"/>
      <c r="C579" s="344"/>
      <c r="D579" s="344"/>
      <c r="E579" s="344"/>
      <c r="F579" s="344"/>
      <c r="G579" s="344"/>
      <c r="H579" s="625"/>
      <c r="I579" s="625"/>
      <c r="J579" s="16"/>
    </row>
    <row r="580" spans="1:10" ht="15.75" customHeight="1">
      <c r="A580" s="344"/>
      <c r="B580" s="344"/>
      <c r="C580" s="344"/>
      <c r="D580" s="344"/>
      <c r="E580" s="344"/>
      <c r="F580" s="344"/>
      <c r="G580" s="344"/>
      <c r="H580" s="625"/>
      <c r="I580" s="625"/>
      <c r="J580" s="16"/>
    </row>
    <row r="581" spans="1:10" ht="15.75" customHeight="1">
      <c r="A581" s="344"/>
      <c r="B581" s="344"/>
      <c r="C581" s="344"/>
      <c r="D581" s="344"/>
      <c r="E581" s="344"/>
      <c r="F581" s="344"/>
      <c r="G581" s="344"/>
      <c r="H581" s="625"/>
      <c r="I581" s="625"/>
      <c r="J581" s="16"/>
    </row>
    <row r="582" spans="1:10" ht="15.75" customHeight="1">
      <c r="A582" s="344"/>
      <c r="B582" s="344"/>
      <c r="C582" s="344"/>
      <c r="D582" s="344"/>
      <c r="E582" s="344"/>
      <c r="F582" s="344"/>
      <c r="G582" s="344"/>
      <c r="H582" s="625"/>
      <c r="I582" s="625"/>
      <c r="J582" s="16"/>
    </row>
    <row r="583" spans="1:10" ht="15.75" customHeight="1">
      <c r="A583" s="344"/>
      <c r="B583" s="344"/>
      <c r="C583" s="344"/>
      <c r="D583" s="344"/>
      <c r="E583" s="344"/>
      <c r="F583" s="344"/>
      <c r="G583" s="344"/>
      <c r="H583" s="625"/>
      <c r="I583" s="625"/>
      <c r="J583" s="16"/>
    </row>
    <row r="584" spans="1:10" ht="15.75" customHeight="1">
      <c r="A584" s="344"/>
      <c r="B584" s="344"/>
      <c r="C584" s="344"/>
      <c r="D584" s="344"/>
      <c r="E584" s="344"/>
      <c r="F584" s="344"/>
      <c r="G584" s="344"/>
      <c r="H584" s="625"/>
      <c r="I584" s="625"/>
      <c r="J584" s="16"/>
    </row>
    <row r="585" spans="1:10" ht="15.75" customHeight="1">
      <c r="A585" s="344"/>
      <c r="B585" s="344"/>
      <c r="C585" s="344"/>
      <c r="D585" s="344"/>
      <c r="E585" s="344"/>
      <c r="F585" s="344"/>
      <c r="G585" s="344"/>
      <c r="H585" s="625"/>
      <c r="I585" s="625"/>
      <c r="J585" s="16"/>
    </row>
    <row r="586" spans="1:10" ht="15.75" customHeight="1">
      <c r="A586" s="344"/>
      <c r="B586" s="344"/>
      <c r="C586" s="344"/>
      <c r="D586" s="344"/>
      <c r="E586" s="344"/>
      <c r="F586" s="344"/>
      <c r="G586" s="344"/>
      <c r="H586" s="625"/>
      <c r="I586" s="625"/>
      <c r="J586" s="16"/>
    </row>
    <row r="587" spans="1:10" ht="15.75" customHeight="1">
      <c r="A587" s="344"/>
      <c r="B587" s="344"/>
      <c r="C587" s="344"/>
      <c r="D587" s="344"/>
      <c r="E587" s="344"/>
      <c r="F587" s="344"/>
      <c r="G587" s="344"/>
      <c r="H587" s="625"/>
      <c r="I587" s="625"/>
      <c r="J587" s="16"/>
    </row>
    <row r="588" spans="1:10" ht="15.75" customHeight="1">
      <c r="A588" s="344"/>
      <c r="B588" s="344"/>
      <c r="C588" s="344"/>
      <c r="D588" s="344"/>
      <c r="E588" s="344"/>
      <c r="F588" s="344"/>
      <c r="G588" s="344"/>
      <c r="H588" s="625"/>
      <c r="I588" s="625"/>
      <c r="J588" s="16"/>
    </row>
    <row r="589" spans="1:10" ht="15.75" customHeight="1">
      <c r="A589" s="344"/>
      <c r="B589" s="344"/>
      <c r="C589" s="344"/>
      <c r="D589" s="344"/>
      <c r="E589" s="344"/>
      <c r="F589" s="344"/>
      <c r="G589" s="344"/>
      <c r="H589" s="625"/>
      <c r="I589" s="625"/>
      <c r="J589" s="16"/>
    </row>
    <row r="590" spans="1:10" ht="15.75" customHeight="1">
      <c r="A590" s="344"/>
      <c r="B590" s="344"/>
      <c r="C590" s="344"/>
      <c r="D590" s="344"/>
      <c r="E590" s="344"/>
      <c r="F590" s="344"/>
      <c r="G590" s="344"/>
      <c r="H590" s="625"/>
      <c r="I590" s="625"/>
      <c r="J590" s="16"/>
    </row>
    <row r="591" spans="1:10" ht="15.75" customHeight="1">
      <c r="A591" s="344"/>
      <c r="B591" s="344"/>
      <c r="C591" s="344"/>
      <c r="D591" s="344"/>
      <c r="E591" s="344"/>
      <c r="F591" s="344"/>
      <c r="G591" s="344"/>
      <c r="H591" s="625"/>
      <c r="I591" s="625"/>
      <c r="J591" s="16"/>
    </row>
    <row r="592" spans="1:10" ht="15.75" customHeight="1">
      <c r="A592" s="344"/>
      <c r="B592" s="344"/>
      <c r="C592" s="344"/>
      <c r="D592" s="344"/>
      <c r="E592" s="344"/>
      <c r="F592" s="344"/>
      <c r="G592" s="344"/>
      <c r="H592" s="625"/>
      <c r="I592" s="625"/>
      <c r="J592" s="16"/>
    </row>
    <row r="593" spans="1:10" ht="15.75" customHeight="1">
      <c r="A593" s="344"/>
      <c r="B593" s="344"/>
      <c r="C593" s="344"/>
      <c r="D593" s="344"/>
      <c r="E593" s="344"/>
      <c r="F593" s="344"/>
      <c r="G593" s="344"/>
      <c r="H593" s="625"/>
      <c r="I593" s="625"/>
      <c r="J593" s="16"/>
    </row>
    <row r="594" spans="1:10" ht="15.75" customHeight="1">
      <c r="A594" s="344"/>
      <c r="B594" s="344"/>
      <c r="C594" s="344"/>
      <c r="D594" s="344"/>
      <c r="E594" s="344"/>
      <c r="F594" s="344"/>
      <c r="G594" s="344"/>
      <c r="H594" s="625"/>
      <c r="I594" s="625"/>
      <c r="J594" s="16"/>
    </row>
    <row r="595" spans="1:10" ht="15.75" customHeight="1">
      <c r="A595" s="344"/>
      <c r="B595" s="344"/>
      <c r="C595" s="344"/>
      <c r="D595" s="344"/>
      <c r="E595" s="344"/>
      <c r="F595" s="344"/>
      <c r="G595" s="344"/>
      <c r="H595" s="625"/>
      <c r="I595" s="625"/>
      <c r="J595" s="16"/>
    </row>
    <row r="596" spans="1:10" ht="15.75" customHeight="1">
      <c r="A596" s="344"/>
      <c r="B596" s="344"/>
      <c r="C596" s="344"/>
      <c r="D596" s="344"/>
      <c r="E596" s="344"/>
      <c r="F596" s="344"/>
      <c r="G596" s="344"/>
      <c r="H596" s="625"/>
      <c r="I596" s="625"/>
      <c r="J596" s="16"/>
    </row>
    <row r="597" spans="1:10" ht="15.75" customHeight="1">
      <c r="A597" s="344"/>
      <c r="B597" s="344"/>
      <c r="C597" s="344"/>
      <c r="D597" s="344"/>
      <c r="E597" s="344"/>
      <c r="F597" s="344"/>
      <c r="G597" s="344"/>
      <c r="H597" s="625"/>
      <c r="I597" s="625"/>
      <c r="J597" s="16"/>
    </row>
    <row r="598" spans="1:10" ht="15.75" customHeight="1">
      <c r="A598" s="344"/>
      <c r="B598" s="344"/>
      <c r="C598" s="344"/>
      <c r="D598" s="344"/>
      <c r="E598" s="344"/>
      <c r="F598" s="344"/>
      <c r="G598" s="344"/>
      <c r="H598" s="625"/>
      <c r="I598" s="625"/>
      <c r="J598" s="16"/>
    </row>
    <row r="599" spans="1:10" ht="15.75" customHeight="1">
      <c r="A599" s="344"/>
      <c r="B599" s="344"/>
      <c r="C599" s="344"/>
      <c r="D599" s="344"/>
      <c r="E599" s="344"/>
      <c r="F599" s="344"/>
      <c r="G599" s="344"/>
      <c r="H599" s="625"/>
      <c r="I599" s="625"/>
      <c r="J599" s="16"/>
    </row>
    <row r="600" spans="1:10" ht="15.75" customHeight="1">
      <c r="A600" s="344"/>
      <c r="B600" s="344"/>
      <c r="C600" s="344"/>
      <c r="D600" s="344"/>
      <c r="E600" s="344"/>
      <c r="F600" s="344"/>
      <c r="G600" s="344"/>
      <c r="H600" s="625"/>
      <c r="I600" s="625"/>
      <c r="J600" s="16"/>
    </row>
    <row r="601" spans="1:10" ht="15.75" customHeight="1">
      <c r="A601" s="344"/>
      <c r="B601" s="344"/>
      <c r="C601" s="344"/>
      <c r="D601" s="344"/>
      <c r="E601" s="344"/>
      <c r="F601" s="344"/>
      <c r="G601" s="344"/>
      <c r="H601" s="625"/>
      <c r="I601" s="625"/>
      <c r="J601" s="16"/>
    </row>
    <row r="602" spans="1:10" ht="15.75" customHeight="1">
      <c r="A602" s="344"/>
      <c r="B602" s="344"/>
      <c r="C602" s="344"/>
      <c r="D602" s="344"/>
      <c r="E602" s="344"/>
      <c r="F602" s="344"/>
      <c r="G602" s="344"/>
      <c r="H602" s="625"/>
      <c r="I602" s="625"/>
      <c r="J602" s="16"/>
    </row>
    <row r="603" spans="1:10" ht="15.75" customHeight="1">
      <c r="A603" s="344"/>
      <c r="B603" s="344"/>
      <c r="C603" s="344"/>
      <c r="D603" s="344"/>
      <c r="E603" s="344"/>
      <c r="F603" s="344"/>
      <c r="G603" s="344"/>
      <c r="H603" s="625"/>
      <c r="I603" s="625"/>
      <c r="J603" s="16"/>
    </row>
    <row r="604" spans="1:10" ht="15.75" customHeight="1">
      <c r="A604" s="344"/>
      <c r="B604" s="344"/>
      <c r="C604" s="344"/>
      <c r="D604" s="344"/>
      <c r="E604" s="344"/>
      <c r="F604" s="344"/>
      <c r="G604" s="344"/>
      <c r="H604" s="625"/>
      <c r="I604" s="625"/>
      <c r="J604" s="16"/>
    </row>
    <row r="605" spans="1:10" ht="15.75" customHeight="1">
      <c r="A605" s="344"/>
      <c r="B605" s="344"/>
      <c r="C605" s="344"/>
      <c r="D605" s="344"/>
      <c r="E605" s="344"/>
      <c r="F605" s="344"/>
      <c r="G605" s="344"/>
      <c r="H605" s="625"/>
      <c r="I605" s="625"/>
      <c r="J605" s="16"/>
    </row>
    <row r="606" spans="1:10" ht="15.75" customHeight="1">
      <c r="A606" s="344"/>
      <c r="B606" s="344"/>
      <c r="C606" s="344"/>
      <c r="D606" s="344"/>
      <c r="E606" s="344"/>
      <c r="F606" s="344"/>
      <c r="G606" s="344"/>
      <c r="H606" s="625"/>
      <c r="I606" s="625"/>
      <c r="J606" s="16"/>
    </row>
    <row r="607" spans="1:10" ht="15.75" customHeight="1">
      <c r="A607" s="344"/>
      <c r="B607" s="344"/>
      <c r="C607" s="344"/>
      <c r="D607" s="344"/>
      <c r="E607" s="344"/>
      <c r="F607" s="344"/>
      <c r="G607" s="344"/>
      <c r="H607" s="625"/>
      <c r="I607" s="625"/>
      <c r="J607" s="16"/>
    </row>
    <row r="608" spans="1:10" ht="15.75" customHeight="1">
      <c r="A608" s="344"/>
      <c r="B608" s="344"/>
      <c r="C608" s="344"/>
      <c r="D608" s="344"/>
      <c r="E608" s="344"/>
      <c r="F608" s="344"/>
      <c r="G608" s="344"/>
      <c r="H608" s="625"/>
      <c r="I608" s="625"/>
      <c r="J608" s="16"/>
    </row>
    <row r="609" spans="1:10" ht="15.75" customHeight="1">
      <c r="A609" s="344"/>
      <c r="B609" s="344"/>
      <c r="C609" s="344"/>
      <c r="D609" s="344"/>
      <c r="E609" s="344"/>
      <c r="F609" s="344"/>
      <c r="G609" s="344"/>
      <c r="H609" s="625"/>
      <c r="I609" s="625"/>
      <c r="J609" s="16"/>
    </row>
    <row r="610" spans="1:10" ht="15.75" customHeight="1">
      <c r="A610" s="344"/>
      <c r="B610" s="344"/>
      <c r="C610" s="344"/>
      <c r="D610" s="344"/>
      <c r="E610" s="344"/>
      <c r="F610" s="344"/>
      <c r="G610" s="344"/>
      <c r="H610" s="625"/>
      <c r="I610" s="625"/>
      <c r="J610" s="16"/>
    </row>
    <row r="611" spans="1:10" ht="15.75" customHeight="1">
      <c r="A611" s="344"/>
      <c r="B611" s="344"/>
      <c r="C611" s="344"/>
      <c r="D611" s="344"/>
      <c r="E611" s="344"/>
      <c r="F611" s="344"/>
      <c r="G611" s="344"/>
      <c r="H611" s="625"/>
      <c r="I611" s="625"/>
      <c r="J611" s="16"/>
    </row>
    <row r="612" spans="1:10" ht="15.75" customHeight="1">
      <c r="A612" s="344"/>
      <c r="B612" s="344"/>
      <c r="C612" s="344"/>
      <c r="D612" s="344"/>
      <c r="E612" s="344"/>
      <c r="F612" s="344"/>
      <c r="G612" s="344"/>
      <c r="H612" s="625"/>
      <c r="I612" s="625"/>
      <c r="J612" s="16"/>
    </row>
    <row r="613" spans="1:10" ht="15.75" customHeight="1">
      <c r="A613" s="344"/>
      <c r="B613" s="344"/>
      <c r="C613" s="344"/>
      <c r="D613" s="344"/>
      <c r="E613" s="344"/>
      <c r="F613" s="344"/>
      <c r="G613" s="344"/>
      <c r="H613" s="625"/>
      <c r="I613" s="625"/>
      <c r="J613" s="16"/>
    </row>
    <row r="614" spans="1:10" ht="15.75" customHeight="1">
      <c r="A614" s="344"/>
      <c r="B614" s="344"/>
      <c r="C614" s="344"/>
      <c r="D614" s="344"/>
      <c r="E614" s="344"/>
      <c r="F614" s="344"/>
      <c r="G614" s="344"/>
      <c r="H614" s="625"/>
      <c r="I614" s="625"/>
      <c r="J614" s="16"/>
    </row>
    <row r="615" spans="1:10" ht="15.75" customHeight="1">
      <c r="A615" s="344"/>
      <c r="B615" s="344"/>
      <c r="C615" s="344"/>
      <c r="D615" s="344"/>
      <c r="E615" s="344"/>
      <c r="F615" s="344"/>
      <c r="G615" s="344"/>
      <c r="H615" s="625"/>
      <c r="I615" s="625"/>
      <c r="J615" s="16"/>
    </row>
    <row r="616" spans="1:10" ht="15.75" customHeight="1">
      <c r="A616" s="344"/>
      <c r="B616" s="344"/>
      <c r="C616" s="344"/>
      <c r="D616" s="344"/>
      <c r="E616" s="344"/>
      <c r="F616" s="344"/>
      <c r="G616" s="344"/>
      <c r="H616" s="625"/>
      <c r="I616" s="625"/>
      <c r="J616" s="16"/>
    </row>
    <row r="617" spans="1:10" ht="15.75" customHeight="1">
      <c r="A617" s="344"/>
      <c r="B617" s="344"/>
      <c r="C617" s="344"/>
      <c r="D617" s="344"/>
      <c r="E617" s="344"/>
      <c r="F617" s="344"/>
      <c r="G617" s="344"/>
      <c r="H617" s="625"/>
      <c r="I617" s="625"/>
      <c r="J617" s="16"/>
    </row>
    <row r="618" spans="1:10" ht="15.75" customHeight="1">
      <c r="A618" s="344"/>
      <c r="B618" s="344"/>
      <c r="C618" s="344"/>
      <c r="D618" s="344"/>
      <c r="E618" s="344"/>
      <c r="F618" s="344"/>
      <c r="G618" s="344"/>
      <c r="H618" s="625"/>
      <c r="I618" s="625"/>
      <c r="J618" s="16"/>
    </row>
    <row r="619" spans="1:10" ht="15.75" customHeight="1">
      <c r="A619" s="344"/>
      <c r="B619" s="344"/>
      <c r="C619" s="344"/>
      <c r="D619" s="344"/>
      <c r="E619" s="344"/>
      <c r="F619" s="344"/>
      <c r="G619" s="344"/>
      <c r="H619" s="625"/>
      <c r="I619" s="625"/>
      <c r="J619" s="16"/>
    </row>
    <row r="620" spans="1:10" ht="15.75" customHeight="1">
      <c r="A620" s="344"/>
      <c r="B620" s="344"/>
      <c r="C620" s="344"/>
      <c r="D620" s="344"/>
      <c r="E620" s="344"/>
      <c r="F620" s="344"/>
      <c r="G620" s="344"/>
      <c r="H620" s="625"/>
      <c r="I620" s="625"/>
      <c r="J620" s="16"/>
    </row>
    <row r="621" spans="1:10" ht="15.75" customHeight="1">
      <c r="A621" s="344"/>
      <c r="B621" s="344"/>
      <c r="C621" s="344"/>
      <c r="D621" s="344"/>
      <c r="E621" s="344"/>
      <c r="F621" s="344"/>
      <c r="G621" s="344"/>
      <c r="H621" s="625"/>
      <c r="I621" s="625"/>
      <c r="J621" s="16"/>
    </row>
    <row r="622" spans="1:10" ht="15.75" customHeight="1">
      <c r="A622" s="344"/>
      <c r="B622" s="344"/>
      <c r="C622" s="344"/>
      <c r="D622" s="344"/>
      <c r="E622" s="344"/>
      <c r="F622" s="344"/>
      <c r="G622" s="344"/>
      <c r="H622" s="625"/>
      <c r="I622" s="625"/>
      <c r="J622" s="16"/>
    </row>
    <row r="623" spans="1:10" ht="15.75" customHeight="1">
      <c r="A623" s="344"/>
      <c r="B623" s="344"/>
      <c r="C623" s="344"/>
      <c r="D623" s="344"/>
      <c r="E623" s="344"/>
      <c r="F623" s="344"/>
      <c r="G623" s="344"/>
      <c r="H623" s="625"/>
      <c r="I623" s="625"/>
      <c r="J623" s="16"/>
    </row>
    <row r="624" spans="1:10" ht="15.75" customHeight="1">
      <c r="A624" s="344"/>
      <c r="B624" s="344"/>
      <c r="C624" s="344"/>
      <c r="D624" s="344"/>
      <c r="E624" s="344"/>
      <c r="F624" s="344"/>
      <c r="G624" s="344"/>
      <c r="H624" s="625"/>
      <c r="I624" s="625"/>
      <c r="J624" s="16"/>
    </row>
    <row r="625" spans="1:10" ht="15.75" customHeight="1">
      <c r="A625" s="344"/>
      <c r="B625" s="344"/>
      <c r="C625" s="344"/>
      <c r="D625" s="344"/>
      <c r="E625" s="344"/>
      <c r="F625" s="344"/>
      <c r="G625" s="344"/>
      <c r="H625" s="625"/>
      <c r="I625" s="625"/>
      <c r="J625" s="16"/>
    </row>
    <row r="626" spans="1:10" ht="15.75" customHeight="1">
      <c r="A626" s="344"/>
      <c r="B626" s="344"/>
      <c r="C626" s="344"/>
      <c r="D626" s="344"/>
      <c r="E626" s="344"/>
      <c r="F626" s="344"/>
      <c r="G626" s="344"/>
      <c r="H626" s="625"/>
      <c r="I626" s="625"/>
      <c r="J626" s="16"/>
    </row>
    <row r="627" spans="1:10" ht="15.75" customHeight="1">
      <c r="A627" s="344"/>
      <c r="B627" s="344"/>
      <c r="C627" s="344"/>
      <c r="D627" s="344"/>
      <c r="E627" s="344"/>
      <c r="F627" s="344"/>
      <c r="G627" s="344"/>
      <c r="H627" s="625"/>
      <c r="I627" s="625"/>
      <c r="J627" s="16"/>
    </row>
    <row r="628" spans="1:10" ht="15.75" customHeight="1">
      <c r="A628" s="344"/>
      <c r="B628" s="344"/>
      <c r="C628" s="344"/>
      <c r="D628" s="344"/>
      <c r="E628" s="344"/>
      <c r="F628" s="344"/>
      <c r="G628" s="344"/>
      <c r="H628" s="625"/>
      <c r="I628" s="625"/>
      <c r="J628" s="16"/>
    </row>
    <row r="629" spans="1:10" ht="15.75" customHeight="1">
      <c r="A629" s="344"/>
      <c r="B629" s="344"/>
      <c r="C629" s="344"/>
      <c r="D629" s="344"/>
      <c r="E629" s="344"/>
      <c r="F629" s="344"/>
      <c r="G629" s="344"/>
      <c r="H629" s="625"/>
      <c r="I629" s="625"/>
      <c r="J629" s="16"/>
    </row>
    <row r="630" spans="1:10" ht="15.75" customHeight="1">
      <c r="A630" s="344"/>
      <c r="B630" s="344"/>
      <c r="C630" s="344"/>
      <c r="D630" s="344"/>
      <c r="E630" s="344"/>
      <c r="F630" s="344"/>
      <c r="G630" s="344"/>
      <c r="H630" s="625"/>
      <c r="I630" s="625"/>
      <c r="J630" s="16"/>
    </row>
    <row r="631" spans="1:10" ht="15.75" customHeight="1">
      <c r="A631" s="344"/>
      <c r="B631" s="344"/>
      <c r="C631" s="344"/>
      <c r="D631" s="344"/>
      <c r="E631" s="344"/>
      <c r="F631" s="344"/>
      <c r="G631" s="344"/>
      <c r="H631" s="625"/>
      <c r="I631" s="625"/>
      <c r="J631" s="16"/>
    </row>
    <row r="632" spans="1:10" ht="15.75" customHeight="1">
      <c r="A632" s="344"/>
      <c r="B632" s="344"/>
      <c r="C632" s="344"/>
      <c r="D632" s="344"/>
      <c r="E632" s="344"/>
      <c r="F632" s="344"/>
      <c r="G632" s="344"/>
      <c r="H632" s="625"/>
      <c r="I632" s="625"/>
      <c r="J632" s="16"/>
    </row>
    <row r="633" spans="1:10" ht="15.75" customHeight="1">
      <c r="A633" s="344"/>
      <c r="B633" s="344"/>
      <c r="C633" s="344"/>
      <c r="D633" s="344"/>
      <c r="E633" s="344"/>
      <c r="F633" s="344"/>
      <c r="G633" s="344"/>
      <c r="H633" s="625"/>
      <c r="I633" s="625"/>
      <c r="J633" s="16"/>
    </row>
    <row r="634" spans="1:10" ht="15.75" customHeight="1">
      <c r="A634" s="344"/>
      <c r="B634" s="344"/>
      <c r="C634" s="344"/>
      <c r="D634" s="344"/>
      <c r="E634" s="344"/>
      <c r="F634" s="344"/>
      <c r="G634" s="344"/>
      <c r="H634" s="625"/>
      <c r="I634" s="625"/>
      <c r="J634" s="16"/>
    </row>
    <row r="635" spans="1:10" ht="15.75" customHeight="1">
      <c r="A635" s="344"/>
      <c r="B635" s="344"/>
      <c r="C635" s="344"/>
      <c r="D635" s="344"/>
      <c r="E635" s="344"/>
      <c r="F635" s="344"/>
      <c r="G635" s="344"/>
      <c r="H635" s="625"/>
      <c r="I635" s="625"/>
      <c r="J635" s="16"/>
    </row>
    <row r="636" spans="1:10" ht="15.75" customHeight="1">
      <c r="A636" s="344"/>
      <c r="B636" s="344"/>
      <c r="C636" s="344"/>
      <c r="D636" s="344"/>
      <c r="E636" s="344"/>
      <c r="F636" s="344"/>
      <c r="G636" s="344"/>
      <c r="H636" s="625"/>
      <c r="I636" s="625"/>
      <c r="J636" s="16"/>
    </row>
    <row r="637" spans="1:10" ht="15.75" customHeight="1">
      <c r="A637" s="344"/>
      <c r="B637" s="344"/>
      <c r="C637" s="344"/>
      <c r="D637" s="344"/>
      <c r="E637" s="344"/>
      <c r="F637" s="344"/>
      <c r="G637" s="344"/>
      <c r="H637" s="625"/>
      <c r="I637" s="625"/>
      <c r="J637" s="16"/>
    </row>
    <row r="638" spans="1:10" ht="15.75" customHeight="1">
      <c r="A638" s="344"/>
      <c r="B638" s="344"/>
      <c r="C638" s="344"/>
      <c r="D638" s="344"/>
      <c r="E638" s="344"/>
      <c r="F638" s="344"/>
      <c r="G638" s="344"/>
      <c r="H638" s="625"/>
      <c r="I638" s="625"/>
      <c r="J638" s="16"/>
    </row>
    <row r="639" spans="1:10" ht="15.75" customHeight="1">
      <c r="A639" s="344"/>
      <c r="B639" s="344"/>
      <c r="C639" s="344"/>
      <c r="D639" s="344"/>
      <c r="E639" s="344"/>
      <c r="F639" s="344"/>
      <c r="G639" s="344"/>
      <c r="H639" s="625"/>
      <c r="I639" s="625"/>
      <c r="J639" s="16"/>
    </row>
    <row r="640" spans="1:10" ht="15.75" customHeight="1">
      <c r="A640" s="344"/>
      <c r="B640" s="344"/>
      <c r="C640" s="344"/>
      <c r="D640" s="344"/>
      <c r="E640" s="344"/>
      <c r="F640" s="344"/>
      <c r="G640" s="344"/>
      <c r="H640" s="625"/>
      <c r="I640" s="625"/>
      <c r="J640" s="16"/>
    </row>
    <row r="641" spans="1:10" ht="15.75" customHeight="1">
      <c r="A641" s="344"/>
      <c r="B641" s="344"/>
      <c r="C641" s="344"/>
      <c r="D641" s="344"/>
      <c r="E641" s="344"/>
      <c r="F641" s="344"/>
      <c r="G641" s="344"/>
      <c r="H641" s="625"/>
      <c r="I641" s="625"/>
      <c r="J641" s="16"/>
    </row>
    <row r="642" spans="1:10" ht="15.75" customHeight="1">
      <c r="A642" s="344"/>
      <c r="B642" s="344"/>
      <c r="C642" s="344"/>
      <c r="D642" s="344"/>
      <c r="E642" s="344"/>
      <c r="F642" s="344"/>
      <c r="G642" s="344"/>
      <c r="H642" s="625"/>
      <c r="I642" s="625"/>
      <c r="J642" s="16"/>
    </row>
    <row r="643" spans="1:10" ht="15.75" customHeight="1">
      <c r="A643" s="344"/>
      <c r="B643" s="344"/>
      <c r="C643" s="344"/>
      <c r="D643" s="344"/>
      <c r="E643" s="344"/>
      <c r="F643" s="344"/>
      <c r="G643" s="344"/>
      <c r="H643" s="625"/>
      <c r="I643" s="625"/>
      <c r="J643" s="16"/>
    </row>
    <row r="644" spans="1:10" ht="15.75" customHeight="1">
      <c r="A644" s="344"/>
      <c r="B644" s="344"/>
      <c r="C644" s="344"/>
      <c r="D644" s="344"/>
      <c r="E644" s="344"/>
      <c r="F644" s="344"/>
      <c r="G644" s="344"/>
      <c r="H644" s="625"/>
      <c r="I644" s="625"/>
      <c r="J644" s="16"/>
    </row>
    <row r="645" spans="1:10" ht="15.75" customHeight="1">
      <c r="A645" s="344"/>
      <c r="B645" s="344"/>
      <c r="C645" s="344"/>
      <c r="D645" s="344"/>
      <c r="E645" s="344"/>
      <c r="F645" s="344"/>
      <c r="G645" s="344"/>
      <c r="H645" s="625"/>
      <c r="I645" s="625"/>
      <c r="J645" s="16"/>
    </row>
    <row r="646" spans="1:10" ht="15.75" customHeight="1">
      <c r="A646" s="344"/>
      <c r="B646" s="344"/>
      <c r="C646" s="344"/>
      <c r="D646" s="344"/>
      <c r="E646" s="344"/>
      <c r="F646" s="344"/>
      <c r="G646" s="344"/>
      <c r="H646" s="625"/>
      <c r="I646" s="625"/>
      <c r="J646" s="16"/>
    </row>
    <row r="647" spans="1:10" ht="15.75" customHeight="1">
      <c r="A647" s="344"/>
      <c r="B647" s="344"/>
      <c r="C647" s="344"/>
      <c r="D647" s="344"/>
      <c r="E647" s="344"/>
      <c r="F647" s="344"/>
      <c r="G647" s="344"/>
      <c r="H647" s="625"/>
      <c r="I647" s="625"/>
      <c r="J647" s="16"/>
    </row>
    <row r="648" spans="1:10" ht="15.75" customHeight="1">
      <c r="A648" s="344"/>
      <c r="B648" s="344"/>
      <c r="C648" s="344"/>
      <c r="D648" s="344"/>
      <c r="E648" s="344"/>
      <c r="F648" s="344"/>
      <c r="G648" s="344"/>
      <c r="H648" s="625"/>
      <c r="I648" s="625"/>
      <c r="J648" s="16"/>
    </row>
    <row r="649" spans="1:10" ht="15.75" customHeight="1">
      <c r="A649" s="344"/>
      <c r="B649" s="344"/>
      <c r="C649" s="344"/>
      <c r="D649" s="344"/>
      <c r="E649" s="344"/>
      <c r="F649" s="344"/>
      <c r="G649" s="344"/>
      <c r="H649" s="625"/>
      <c r="I649" s="625"/>
      <c r="J649" s="16"/>
    </row>
    <row r="650" spans="1:10" ht="15.75" customHeight="1">
      <c r="A650" s="344"/>
      <c r="B650" s="344"/>
      <c r="C650" s="344"/>
      <c r="D650" s="344"/>
      <c r="E650" s="344"/>
      <c r="F650" s="344"/>
      <c r="G650" s="344"/>
      <c r="H650" s="625"/>
      <c r="I650" s="625"/>
      <c r="J650" s="16"/>
    </row>
    <row r="651" spans="1:10" ht="15.75" customHeight="1">
      <c r="A651" s="344"/>
      <c r="B651" s="344"/>
      <c r="C651" s="344"/>
      <c r="D651" s="344"/>
      <c r="E651" s="344"/>
      <c r="F651" s="344"/>
      <c r="G651" s="344"/>
      <c r="H651" s="625"/>
      <c r="I651" s="625"/>
      <c r="J651" s="16"/>
    </row>
    <row r="652" spans="1:10" ht="15.75" customHeight="1">
      <c r="A652" s="344"/>
      <c r="B652" s="344"/>
      <c r="C652" s="344"/>
      <c r="D652" s="344"/>
      <c r="E652" s="344"/>
      <c r="F652" s="344"/>
      <c r="G652" s="344"/>
      <c r="H652" s="625"/>
      <c r="I652" s="625"/>
      <c r="J652" s="16"/>
    </row>
    <row r="653" spans="1:10" ht="15.75" customHeight="1">
      <c r="A653" s="344"/>
      <c r="B653" s="344"/>
      <c r="C653" s="344"/>
      <c r="D653" s="344"/>
      <c r="E653" s="344"/>
      <c r="F653" s="344"/>
      <c r="G653" s="344"/>
      <c r="H653" s="625"/>
      <c r="I653" s="625"/>
      <c r="J653" s="16"/>
    </row>
    <row r="654" spans="1:10" ht="15.75" customHeight="1">
      <c r="A654" s="344"/>
      <c r="B654" s="344"/>
      <c r="C654" s="344"/>
      <c r="D654" s="344"/>
      <c r="E654" s="344"/>
      <c r="F654" s="344"/>
      <c r="G654" s="344"/>
      <c r="H654" s="625"/>
      <c r="I654" s="625"/>
      <c r="J654" s="16"/>
    </row>
    <row r="655" spans="1:10" ht="15.75" customHeight="1">
      <c r="A655" s="344"/>
      <c r="B655" s="344"/>
      <c r="C655" s="344"/>
      <c r="D655" s="344"/>
      <c r="E655" s="344"/>
      <c r="F655" s="344"/>
      <c r="G655" s="344"/>
      <c r="H655" s="625"/>
      <c r="I655" s="625"/>
      <c r="J655" s="16"/>
    </row>
    <row r="656" spans="1:10" ht="15.75" customHeight="1">
      <c r="A656" s="344"/>
      <c r="B656" s="344"/>
      <c r="C656" s="344"/>
      <c r="D656" s="344"/>
      <c r="E656" s="344"/>
      <c r="F656" s="344"/>
      <c r="G656" s="344"/>
      <c r="H656" s="625"/>
      <c r="I656" s="625"/>
      <c r="J656" s="16"/>
    </row>
    <row r="657" spans="1:10" ht="15.75" customHeight="1">
      <c r="A657" s="344"/>
      <c r="B657" s="344"/>
      <c r="C657" s="344"/>
      <c r="D657" s="344"/>
      <c r="E657" s="344"/>
      <c r="F657" s="344"/>
      <c r="G657" s="344"/>
      <c r="H657" s="625"/>
      <c r="I657" s="625"/>
      <c r="J657" s="16"/>
    </row>
    <row r="658" spans="1:10" ht="15.75" customHeight="1">
      <c r="A658" s="344"/>
      <c r="B658" s="344"/>
      <c r="C658" s="344"/>
      <c r="D658" s="344"/>
      <c r="E658" s="344"/>
      <c r="F658" s="344"/>
      <c r="G658" s="344"/>
      <c r="H658" s="625"/>
      <c r="I658" s="625"/>
      <c r="J658" s="16"/>
    </row>
    <row r="659" spans="1:10" ht="15.75" customHeight="1">
      <c r="A659" s="344"/>
      <c r="B659" s="344"/>
      <c r="C659" s="344"/>
      <c r="D659" s="344"/>
      <c r="E659" s="344"/>
      <c r="F659" s="344"/>
      <c r="G659" s="344"/>
      <c r="H659" s="625"/>
      <c r="I659" s="625"/>
      <c r="J659" s="16"/>
    </row>
    <row r="660" spans="1:10" ht="15.75" customHeight="1">
      <c r="A660" s="344"/>
      <c r="B660" s="344"/>
      <c r="C660" s="344"/>
      <c r="D660" s="344"/>
      <c r="E660" s="344"/>
      <c r="F660" s="344"/>
      <c r="G660" s="344"/>
      <c r="H660" s="625"/>
      <c r="I660" s="625"/>
      <c r="J660" s="16"/>
    </row>
    <row r="661" spans="1:10" ht="15.75" customHeight="1">
      <c r="A661" s="344"/>
      <c r="B661" s="344"/>
      <c r="C661" s="344"/>
      <c r="D661" s="344"/>
      <c r="E661" s="344"/>
      <c r="F661" s="344"/>
      <c r="G661" s="344"/>
      <c r="H661" s="625"/>
      <c r="I661" s="625"/>
      <c r="J661" s="16"/>
    </row>
    <row r="662" spans="1:10" ht="15.75" customHeight="1">
      <c r="A662" s="344"/>
      <c r="B662" s="344"/>
      <c r="C662" s="344"/>
      <c r="D662" s="344"/>
      <c r="E662" s="344"/>
      <c r="F662" s="344"/>
      <c r="G662" s="344"/>
      <c r="H662" s="625"/>
      <c r="I662" s="625"/>
      <c r="J662" s="16"/>
    </row>
    <row r="663" spans="1:10" ht="15.75" customHeight="1">
      <c r="A663" s="344"/>
      <c r="B663" s="344"/>
      <c r="C663" s="344"/>
      <c r="D663" s="344"/>
      <c r="E663" s="344"/>
      <c r="F663" s="344"/>
      <c r="G663" s="344"/>
      <c r="H663" s="625"/>
      <c r="I663" s="625"/>
      <c r="J663" s="16"/>
    </row>
    <row r="664" spans="1:10" ht="15.75" customHeight="1">
      <c r="A664" s="344"/>
      <c r="B664" s="344"/>
      <c r="C664" s="344"/>
      <c r="D664" s="344"/>
      <c r="E664" s="344"/>
      <c r="F664" s="344"/>
      <c r="G664" s="344"/>
      <c r="H664" s="625"/>
      <c r="I664" s="625"/>
      <c r="J664" s="16"/>
    </row>
    <row r="665" spans="1:10" ht="15.75" customHeight="1">
      <c r="A665" s="344"/>
      <c r="B665" s="344"/>
      <c r="C665" s="344"/>
      <c r="D665" s="344"/>
      <c r="E665" s="344"/>
      <c r="F665" s="344"/>
      <c r="G665" s="344"/>
      <c r="H665" s="625"/>
      <c r="I665" s="625"/>
      <c r="J665" s="16"/>
    </row>
    <row r="666" spans="1:10" ht="15.75" customHeight="1">
      <c r="A666" s="344"/>
      <c r="B666" s="344"/>
      <c r="C666" s="344"/>
      <c r="D666" s="344"/>
      <c r="E666" s="344"/>
      <c r="F666" s="344"/>
      <c r="G666" s="344"/>
      <c r="H666" s="625"/>
      <c r="I666" s="625"/>
      <c r="J666" s="16"/>
    </row>
    <row r="667" spans="1:10" ht="15.75" customHeight="1">
      <c r="A667" s="344"/>
      <c r="B667" s="344"/>
      <c r="C667" s="344"/>
      <c r="D667" s="344"/>
      <c r="E667" s="344"/>
      <c r="F667" s="344"/>
      <c r="G667" s="344"/>
      <c r="H667" s="625"/>
      <c r="I667" s="625"/>
      <c r="J667" s="16"/>
    </row>
    <row r="668" spans="1:10" ht="15.75" customHeight="1">
      <c r="A668" s="344"/>
      <c r="B668" s="344"/>
      <c r="C668" s="344"/>
      <c r="D668" s="344"/>
      <c r="E668" s="344"/>
      <c r="F668" s="344"/>
      <c r="G668" s="344"/>
      <c r="H668" s="625"/>
      <c r="I668" s="625"/>
      <c r="J668" s="16"/>
    </row>
    <row r="669" spans="1:10" ht="15.75" customHeight="1">
      <c r="A669" s="344"/>
      <c r="B669" s="344"/>
      <c r="C669" s="344"/>
      <c r="D669" s="344"/>
      <c r="E669" s="344"/>
      <c r="F669" s="344"/>
      <c r="G669" s="344"/>
      <c r="H669" s="625"/>
      <c r="I669" s="625"/>
      <c r="J669" s="16"/>
    </row>
    <row r="670" spans="1:10" ht="15.75" customHeight="1">
      <c r="A670" s="344"/>
      <c r="B670" s="344"/>
      <c r="C670" s="344"/>
      <c r="D670" s="344"/>
      <c r="E670" s="344"/>
      <c r="F670" s="344"/>
      <c r="G670" s="344"/>
      <c r="H670" s="625"/>
      <c r="I670" s="625"/>
      <c r="J670" s="16"/>
    </row>
    <row r="671" spans="1:10" ht="15.75" customHeight="1">
      <c r="A671" s="344"/>
      <c r="B671" s="344"/>
      <c r="C671" s="344"/>
      <c r="D671" s="344"/>
      <c r="E671" s="344"/>
      <c r="F671" s="344"/>
      <c r="G671" s="344"/>
      <c r="H671" s="625"/>
      <c r="I671" s="625"/>
      <c r="J671" s="16"/>
    </row>
    <row r="672" spans="1:10" ht="15.75" customHeight="1">
      <c r="A672" s="344"/>
      <c r="B672" s="344"/>
      <c r="C672" s="344"/>
      <c r="D672" s="344"/>
      <c r="E672" s="344"/>
      <c r="F672" s="344"/>
      <c r="G672" s="344"/>
      <c r="H672" s="625"/>
      <c r="I672" s="625"/>
      <c r="J672" s="16"/>
    </row>
    <row r="673" spans="1:10" ht="15.75" customHeight="1">
      <c r="A673" s="344"/>
      <c r="B673" s="344"/>
      <c r="C673" s="344"/>
      <c r="D673" s="344"/>
      <c r="E673" s="344"/>
      <c r="F673" s="344"/>
      <c r="G673" s="344"/>
      <c r="H673" s="625"/>
      <c r="I673" s="625"/>
      <c r="J673" s="16"/>
    </row>
    <row r="674" spans="1:10" ht="15.75" customHeight="1">
      <c r="A674" s="344"/>
      <c r="B674" s="344"/>
      <c r="C674" s="344"/>
      <c r="D674" s="344"/>
      <c r="E674" s="344"/>
      <c r="F674" s="344"/>
      <c r="G674" s="344"/>
      <c r="H674" s="625"/>
      <c r="I674" s="625"/>
      <c r="J674" s="16"/>
    </row>
    <row r="675" spans="1:10" ht="15.75" customHeight="1">
      <c r="A675" s="344"/>
      <c r="B675" s="344"/>
      <c r="C675" s="344"/>
      <c r="D675" s="344"/>
      <c r="E675" s="344"/>
      <c r="F675" s="344"/>
      <c r="G675" s="344"/>
      <c r="H675" s="625"/>
      <c r="I675" s="625"/>
      <c r="J675" s="16"/>
    </row>
    <row r="676" spans="1:10" ht="15.75" customHeight="1">
      <c r="A676" s="344"/>
      <c r="B676" s="344"/>
      <c r="C676" s="344"/>
      <c r="D676" s="344"/>
      <c r="E676" s="344"/>
      <c r="F676" s="344"/>
      <c r="G676" s="344"/>
      <c r="H676" s="625"/>
      <c r="I676" s="625"/>
      <c r="J676" s="16"/>
    </row>
    <row r="677" spans="1:10" ht="15.75" customHeight="1">
      <c r="A677" s="344"/>
      <c r="B677" s="344"/>
      <c r="C677" s="344"/>
      <c r="D677" s="344"/>
      <c r="E677" s="344"/>
      <c r="F677" s="344"/>
      <c r="G677" s="344"/>
      <c r="H677" s="625"/>
      <c r="I677" s="625"/>
      <c r="J677" s="16"/>
    </row>
    <row r="678" spans="1:10" ht="15.75" customHeight="1">
      <c r="A678" s="344"/>
      <c r="B678" s="344"/>
      <c r="C678" s="344"/>
      <c r="D678" s="344"/>
      <c r="E678" s="344"/>
      <c r="F678" s="344"/>
      <c r="G678" s="344"/>
      <c r="H678" s="625"/>
      <c r="I678" s="625"/>
      <c r="J678" s="16"/>
    </row>
    <row r="679" spans="1:10" ht="15.75" customHeight="1">
      <c r="A679" s="344"/>
      <c r="B679" s="344"/>
      <c r="C679" s="344"/>
      <c r="D679" s="344"/>
      <c r="E679" s="344"/>
      <c r="F679" s="344"/>
      <c r="G679" s="344"/>
      <c r="H679" s="625"/>
      <c r="I679" s="625"/>
      <c r="J679" s="16"/>
    </row>
    <row r="680" spans="1:10" ht="15.75" customHeight="1">
      <c r="A680" s="344"/>
      <c r="B680" s="344"/>
      <c r="C680" s="344"/>
      <c r="D680" s="344"/>
      <c r="E680" s="344"/>
      <c r="F680" s="344"/>
      <c r="G680" s="344"/>
      <c r="H680" s="625"/>
      <c r="I680" s="625"/>
      <c r="J680" s="16"/>
    </row>
    <row r="681" spans="1:10" ht="15.75" customHeight="1">
      <c r="A681" s="344"/>
      <c r="B681" s="344"/>
      <c r="C681" s="344"/>
      <c r="D681" s="344"/>
      <c r="E681" s="344"/>
      <c r="F681" s="344"/>
      <c r="G681" s="344"/>
      <c r="H681" s="625"/>
      <c r="I681" s="625"/>
      <c r="J681" s="16"/>
    </row>
    <row r="682" spans="1:10" ht="15.75" customHeight="1">
      <c r="A682" s="344"/>
      <c r="B682" s="344"/>
      <c r="C682" s="344"/>
      <c r="D682" s="344"/>
      <c r="E682" s="344"/>
      <c r="F682" s="344"/>
      <c r="G682" s="344"/>
      <c r="H682" s="625"/>
      <c r="I682" s="625"/>
      <c r="J682" s="16"/>
    </row>
    <row r="683" spans="1:10" ht="15.75" customHeight="1">
      <c r="A683" s="344"/>
      <c r="B683" s="344"/>
      <c r="C683" s="344"/>
      <c r="D683" s="344"/>
      <c r="E683" s="344"/>
      <c r="F683" s="344"/>
      <c r="G683" s="344"/>
      <c r="H683" s="625"/>
      <c r="I683" s="625"/>
      <c r="J683" s="16"/>
    </row>
    <row r="684" spans="1:10" ht="15.75" customHeight="1">
      <c r="A684" s="344"/>
      <c r="B684" s="344"/>
      <c r="C684" s="344"/>
      <c r="D684" s="344"/>
      <c r="E684" s="344"/>
      <c r="F684" s="344"/>
      <c r="G684" s="344"/>
      <c r="H684" s="625"/>
      <c r="I684" s="625"/>
      <c r="J684" s="16"/>
    </row>
    <row r="685" spans="1:10" ht="15.75" customHeight="1">
      <c r="A685" s="344"/>
      <c r="B685" s="344"/>
      <c r="C685" s="344"/>
      <c r="D685" s="344"/>
      <c r="E685" s="344"/>
      <c r="F685" s="344"/>
      <c r="G685" s="344"/>
      <c r="H685" s="625"/>
      <c r="I685" s="625"/>
      <c r="J685" s="16"/>
    </row>
    <row r="686" spans="1:10" ht="15.75" customHeight="1">
      <c r="A686" s="344"/>
      <c r="B686" s="344"/>
      <c r="C686" s="344"/>
      <c r="D686" s="344"/>
      <c r="E686" s="344"/>
      <c r="F686" s="344"/>
      <c r="G686" s="344"/>
      <c r="H686" s="625"/>
      <c r="I686" s="625"/>
      <c r="J686" s="16"/>
    </row>
    <row r="687" spans="1:10" ht="15.75" customHeight="1">
      <c r="A687" s="344"/>
      <c r="B687" s="344"/>
      <c r="C687" s="344"/>
      <c r="D687" s="344"/>
      <c r="E687" s="344"/>
      <c r="F687" s="344"/>
      <c r="G687" s="344"/>
      <c r="H687" s="625"/>
      <c r="I687" s="625"/>
      <c r="J687" s="16"/>
    </row>
    <row r="688" spans="1:10" ht="15.75" customHeight="1">
      <c r="A688" s="344"/>
      <c r="B688" s="344"/>
      <c r="C688" s="344"/>
      <c r="D688" s="344"/>
      <c r="E688" s="344"/>
      <c r="F688" s="344"/>
      <c r="G688" s="344"/>
      <c r="H688" s="625"/>
      <c r="I688" s="625"/>
      <c r="J688" s="16"/>
    </row>
    <row r="689" spans="1:10" ht="15.75" customHeight="1">
      <c r="A689" s="344"/>
      <c r="B689" s="344"/>
      <c r="C689" s="344"/>
      <c r="D689" s="344"/>
      <c r="E689" s="344"/>
      <c r="F689" s="344"/>
      <c r="G689" s="344"/>
      <c r="H689" s="625"/>
      <c r="I689" s="625"/>
      <c r="J689" s="16"/>
    </row>
    <row r="690" spans="1:10" ht="15.75" customHeight="1">
      <c r="A690" s="344"/>
      <c r="B690" s="344"/>
      <c r="C690" s="344"/>
      <c r="D690" s="344"/>
      <c r="E690" s="344"/>
      <c r="F690" s="344"/>
      <c r="G690" s="344"/>
      <c r="H690" s="625"/>
      <c r="I690" s="625"/>
      <c r="J690" s="16"/>
    </row>
    <row r="691" spans="1:10" ht="15.75" customHeight="1">
      <c r="A691" s="344"/>
      <c r="B691" s="344"/>
      <c r="C691" s="344"/>
      <c r="D691" s="344"/>
      <c r="E691" s="344"/>
      <c r="F691" s="344"/>
      <c r="G691" s="344"/>
      <c r="H691" s="625"/>
      <c r="I691" s="625"/>
      <c r="J691" s="16"/>
    </row>
    <row r="692" spans="1:10" ht="15.75" customHeight="1">
      <c r="A692" s="344"/>
      <c r="B692" s="344"/>
      <c r="C692" s="344"/>
      <c r="D692" s="344"/>
      <c r="E692" s="344"/>
      <c r="F692" s="344"/>
      <c r="G692" s="344"/>
      <c r="H692" s="625"/>
      <c r="I692" s="625"/>
      <c r="J692" s="16"/>
    </row>
    <row r="693" spans="1:10" ht="15.75" customHeight="1">
      <c r="A693" s="344"/>
      <c r="B693" s="344"/>
      <c r="C693" s="344"/>
      <c r="D693" s="344"/>
      <c r="E693" s="344"/>
      <c r="F693" s="344"/>
      <c r="G693" s="344"/>
      <c r="H693" s="625"/>
      <c r="I693" s="625"/>
      <c r="J693" s="16"/>
    </row>
    <row r="694" spans="1:10" ht="15.75" customHeight="1">
      <c r="A694" s="344"/>
      <c r="B694" s="344"/>
      <c r="C694" s="344"/>
      <c r="D694" s="344"/>
      <c r="E694" s="344"/>
      <c r="F694" s="344"/>
      <c r="G694" s="344"/>
      <c r="H694" s="625"/>
      <c r="I694" s="625"/>
      <c r="J694" s="16"/>
    </row>
    <row r="695" spans="1:10" ht="15.75" customHeight="1">
      <c r="A695" s="344"/>
      <c r="B695" s="344"/>
      <c r="C695" s="344"/>
      <c r="D695" s="344"/>
      <c r="E695" s="344"/>
      <c r="F695" s="344"/>
      <c r="G695" s="344"/>
      <c r="H695" s="625"/>
      <c r="I695" s="625"/>
      <c r="J695" s="16"/>
    </row>
    <row r="696" spans="1:10" ht="15.75" customHeight="1">
      <c r="A696" s="344"/>
      <c r="B696" s="344"/>
      <c r="C696" s="344"/>
      <c r="D696" s="344"/>
      <c r="E696" s="344"/>
      <c r="F696" s="344"/>
      <c r="G696" s="344"/>
      <c r="H696" s="625"/>
      <c r="I696" s="625"/>
      <c r="J696" s="16"/>
    </row>
    <row r="697" spans="1:10" ht="15.75" customHeight="1">
      <c r="A697" s="344"/>
      <c r="B697" s="344"/>
      <c r="C697" s="344"/>
      <c r="D697" s="344"/>
      <c r="E697" s="344"/>
      <c r="F697" s="344"/>
      <c r="G697" s="344"/>
      <c r="H697" s="625"/>
      <c r="I697" s="625"/>
      <c r="J697" s="16"/>
    </row>
    <row r="698" spans="1:10" ht="15.75" customHeight="1">
      <c r="A698" s="344"/>
      <c r="B698" s="344"/>
      <c r="C698" s="344"/>
      <c r="D698" s="344"/>
      <c r="E698" s="344"/>
      <c r="F698" s="344"/>
      <c r="G698" s="344"/>
      <c r="H698" s="625"/>
      <c r="I698" s="625"/>
      <c r="J698" s="16"/>
    </row>
    <row r="699" spans="1:10" ht="15.75" customHeight="1">
      <c r="A699" s="344"/>
      <c r="B699" s="344"/>
      <c r="C699" s="344"/>
      <c r="D699" s="344"/>
      <c r="E699" s="344"/>
      <c r="F699" s="344"/>
      <c r="G699" s="344"/>
      <c r="H699" s="625"/>
      <c r="I699" s="625"/>
      <c r="J699" s="16"/>
    </row>
    <row r="700" spans="1:10" ht="15.75" customHeight="1">
      <c r="A700" s="344"/>
      <c r="B700" s="344"/>
      <c r="C700" s="344"/>
      <c r="D700" s="344"/>
      <c r="E700" s="344"/>
      <c r="F700" s="344"/>
      <c r="G700" s="344"/>
      <c r="H700" s="625"/>
      <c r="I700" s="625"/>
      <c r="J700" s="16"/>
    </row>
    <row r="701" spans="1:10" ht="15.75" customHeight="1">
      <c r="A701" s="344"/>
      <c r="B701" s="344"/>
      <c r="C701" s="344"/>
      <c r="D701" s="344"/>
      <c r="E701" s="344"/>
      <c r="F701" s="344"/>
      <c r="G701" s="344"/>
      <c r="H701" s="625"/>
      <c r="I701" s="625"/>
      <c r="J701" s="16"/>
    </row>
    <row r="702" spans="1:10" ht="15.75" customHeight="1">
      <c r="A702" s="344"/>
      <c r="B702" s="344"/>
      <c r="C702" s="344"/>
      <c r="D702" s="344"/>
      <c r="E702" s="344"/>
      <c r="F702" s="344"/>
      <c r="G702" s="344"/>
      <c r="H702" s="625"/>
      <c r="I702" s="625"/>
      <c r="J702" s="16"/>
    </row>
    <row r="703" spans="1:10" ht="15.75" customHeight="1">
      <c r="A703" s="344"/>
      <c r="B703" s="344"/>
      <c r="C703" s="344"/>
      <c r="D703" s="344"/>
      <c r="E703" s="344"/>
      <c r="F703" s="344"/>
      <c r="G703" s="344"/>
      <c r="H703" s="625"/>
      <c r="I703" s="625"/>
      <c r="J703" s="16"/>
    </row>
    <row r="704" spans="1:10" ht="15.75" customHeight="1">
      <c r="A704" s="344"/>
      <c r="B704" s="344"/>
      <c r="C704" s="344"/>
      <c r="D704" s="344"/>
      <c r="E704" s="344"/>
      <c r="F704" s="344"/>
      <c r="G704" s="344"/>
      <c r="H704" s="625"/>
      <c r="I704" s="625"/>
      <c r="J704" s="16"/>
    </row>
    <row r="705" spans="1:10" ht="15.75" customHeight="1">
      <c r="A705" s="344"/>
      <c r="B705" s="344"/>
      <c r="C705" s="344"/>
      <c r="D705" s="344"/>
      <c r="E705" s="344"/>
      <c r="F705" s="344"/>
      <c r="G705" s="344"/>
      <c r="H705" s="625"/>
      <c r="I705" s="625"/>
      <c r="J705" s="16"/>
    </row>
    <row r="706" spans="1:10" ht="15.75" customHeight="1">
      <c r="A706" s="344"/>
      <c r="B706" s="344"/>
      <c r="C706" s="344"/>
      <c r="D706" s="344"/>
      <c r="E706" s="344"/>
      <c r="F706" s="344"/>
      <c r="G706" s="344"/>
      <c r="H706" s="625"/>
      <c r="I706" s="625"/>
      <c r="J706" s="16"/>
    </row>
    <row r="707" spans="1:10" ht="15.75" customHeight="1">
      <c r="A707" s="344"/>
      <c r="B707" s="344"/>
      <c r="C707" s="344"/>
      <c r="D707" s="344"/>
      <c r="E707" s="344"/>
      <c r="F707" s="344"/>
      <c r="G707" s="344"/>
      <c r="H707" s="625"/>
      <c r="I707" s="625"/>
      <c r="J707" s="16"/>
    </row>
    <row r="708" spans="1:10" ht="15.75" customHeight="1">
      <c r="A708" s="344"/>
      <c r="B708" s="344"/>
      <c r="C708" s="344"/>
      <c r="D708" s="344"/>
      <c r="E708" s="344"/>
      <c r="F708" s="344"/>
      <c r="G708" s="344"/>
      <c r="H708" s="625"/>
      <c r="I708" s="625"/>
      <c r="J708" s="16"/>
    </row>
    <row r="709" spans="1:10" ht="15.75" customHeight="1">
      <c r="A709" s="344"/>
      <c r="B709" s="344"/>
      <c r="C709" s="344"/>
      <c r="D709" s="344"/>
      <c r="E709" s="344"/>
      <c r="F709" s="344"/>
      <c r="G709" s="344"/>
      <c r="H709" s="625"/>
      <c r="I709" s="625"/>
      <c r="J709" s="16"/>
    </row>
    <row r="710" spans="1:10" ht="15.75" customHeight="1">
      <c r="A710" s="344"/>
      <c r="B710" s="344"/>
      <c r="C710" s="344"/>
      <c r="D710" s="344"/>
      <c r="E710" s="344"/>
      <c r="F710" s="344"/>
      <c r="G710" s="344"/>
      <c r="H710" s="625"/>
      <c r="I710" s="625"/>
      <c r="J710" s="16"/>
    </row>
    <row r="711" spans="1:10" ht="15.75" customHeight="1">
      <c r="A711" s="344"/>
      <c r="B711" s="344"/>
      <c r="C711" s="344"/>
      <c r="D711" s="344"/>
      <c r="E711" s="344"/>
      <c r="F711" s="344"/>
      <c r="G711" s="344"/>
      <c r="H711" s="625"/>
      <c r="I711" s="625"/>
      <c r="J711" s="16"/>
    </row>
    <row r="712" spans="1:10" ht="15.75" customHeight="1">
      <c r="A712" s="344"/>
      <c r="B712" s="344"/>
      <c r="C712" s="344"/>
      <c r="D712" s="344"/>
      <c r="E712" s="344"/>
      <c r="F712" s="344"/>
      <c r="G712" s="344"/>
      <c r="H712" s="625"/>
      <c r="I712" s="625"/>
      <c r="J712" s="16"/>
    </row>
    <row r="713" spans="1:10" ht="15.75" customHeight="1">
      <c r="A713" s="344"/>
      <c r="B713" s="344"/>
      <c r="C713" s="344"/>
      <c r="D713" s="344"/>
      <c r="E713" s="344"/>
      <c r="F713" s="344"/>
      <c r="G713" s="344"/>
      <c r="H713" s="625"/>
      <c r="I713" s="625"/>
      <c r="J713" s="16"/>
    </row>
    <row r="714" spans="1:10" ht="15.75" customHeight="1">
      <c r="A714" s="344"/>
      <c r="B714" s="344"/>
      <c r="C714" s="344"/>
      <c r="D714" s="344"/>
      <c r="E714" s="344"/>
      <c r="F714" s="344"/>
      <c r="G714" s="344"/>
      <c r="H714" s="625"/>
      <c r="I714" s="625"/>
      <c r="J714" s="16"/>
    </row>
    <row r="715" spans="1:10" ht="15.75" customHeight="1">
      <c r="A715" s="344"/>
      <c r="B715" s="344"/>
      <c r="C715" s="344"/>
      <c r="D715" s="344"/>
      <c r="E715" s="344"/>
      <c r="F715" s="344"/>
      <c r="G715" s="344"/>
      <c r="H715" s="625"/>
      <c r="I715" s="625"/>
      <c r="J715" s="16"/>
    </row>
    <row r="716" spans="1:10" ht="15.75" customHeight="1">
      <c r="A716" s="344"/>
      <c r="B716" s="344"/>
      <c r="C716" s="344"/>
      <c r="D716" s="344"/>
      <c r="E716" s="344"/>
      <c r="F716" s="344"/>
      <c r="G716" s="344"/>
      <c r="H716" s="625"/>
      <c r="I716" s="625"/>
      <c r="J716" s="16"/>
    </row>
    <row r="717" spans="1:10" ht="15.75" customHeight="1">
      <c r="A717" s="344"/>
      <c r="B717" s="344"/>
      <c r="C717" s="344"/>
      <c r="D717" s="344"/>
      <c r="E717" s="344"/>
      <c r="F717" s="344"/>
      <c r="G717" s="344"/>
      <c r="H717" s="625"/>
      <c r="I717" s="625"/>
      <c r="J717" s="16"/>
    </row>
    <row r="718" spans="1:10" ht="15.75" customHeight="1">
      <c r="A718" s="344"/>
      <c r="B718" s="344"/>
      <c r="C718" s="344"/>
      <c r="D718" s="344"/>
      <c r="E718" s="344"/>
      <c r="F718" s="344"/>
      <c r="G718" s="344"/>
      <c r="H718" s="625"/>
      <c r="I718" s="625"/>
      <c r="J718" s="16"/>
    </row>
    <row r="719" spans="1:10" ht="15.75" customHeight="1">
      <c r="A719" s="344"/>
      <c r="B719" s="344"/>
      <c r="C719" s="344"/>
      <c r="D719" s="344"/>
      <c r="E719" s="344"/>
      <c r="F719" s="344"/>
      <c r="G719" s="344"/>
      <c r="H719" s="625"/>
      <c r="I719" s="625"/>
      <c r="J719" s="16"/>
    </row>
    <row r="720" spans="1:10" ht="15.75" customHeight="1">
      <c r="A720" s="344"/>
      <c r="B720" s="344"/>
      <c r="C720" s="344"/>
      <c r="D720" s="344"/>
      <c r="E720" s="344"/>
      <c r="F720" s="344"/>
      <c r="G720" s="344"/>
      <c r="H720" s="625"/>
      <c r="I720" s="625"/>
      <c r="J720" s="16"/>
    </row>
    <row r="721" spans="1:10" ht="15.75" customHeight="1">
      <c r="A721" s="344"/>
      <c r="B721" s="344"/>
      <c r="C721" s="344"/>
      <c r="D721" s="344"/>
      <c r="E721" s="344"/>
      <c r="F721" s="344"/>
      <c r="G721" s="344"/>
      <c r="H721" s="625"/>
      <c r="I721" s="625"/>
      <c r="J721" s="16"/>
    </row>
    <row r="722" spans="1:10" ht="15.75" customHeight="1">
      <c r="A722" s="344"/>
      <c r="B722" s="344"/>
      <c r="C722" s="344"/>
      <c r="D722" s="344"/>
      <c r="E722" s="344"/>
      <c r="F722" s="344"/>
      <c r="G722" s="344"/>
      <c r="H722" s="625"/>
      <c r="I722" s="625"/>
      <c r="J722" s="16"/>
    </row>
    <row r="723" spans="1:10" ht="15.75" customHeight="1">
      <c r="A723" s="344"/>
      <c r="B723" s="344"/>
      <c r="C723" s="344"/>
      <c r="D723" s="344"/>
      <c r="E723" s="344"/>
      <c r="F723" s="344"/>
      <c r="G723" s="344"/>
      <c r="H723" s="625"/>
      <c r="I723" s="625"/>
      <c r="J723" s="16"/>
    </row>
    <row r="724" spans="1:10" ht="15.75" customHeight="1">
      <c r="A724" s="344"/>
      <c r="B724" s="344"/>
      <c r="C724" s="344"/>
      <c r="D724" s="344"/>
      <c r="E724" s="344"/>
      <c r="F724" s="344"/>
      <c r="G724" s="344"/>
      <c r="H724" s="625"/>
      <c r="I724" s="625"/>
      <c r="J724" s="16"/>
    </row>
    <row r="725" spans="1:10" ht="15.75" customHeight="1">
      <c r="A725" s="344"/>
      <c r="B725" s="344"/>
      <c r="C725" s="344"/>
      <c r="D725" s="344"/>
      <c r="E725" s="344"/>
      <c r="F725" s="344"/>
      <c r="G725" s="344"/>
      <c r="H725" s="625"/>
      <c r="I725" s="625"/>
      <c r="J725" s="16"/>
    </row>
    <row r="726" spans="1:10" ht="15.75" customHeight="1">
      <c r="A726" s="344"/>
      <c r="B726" s="344"/>
      <c r="C726" s="344"/>
      <c r="D726" s="344"/>
      <c r="E726" s="344"/>
      <c r="F726" s="344"/>
      <c r="G726" s="344"/>
      <c r="H726" s="625"/>
      <c r="I726" s="625"/>
      <c r="J726" s="16"/>
    </row>
    <row r="727" spans="1:10" ht="15.75" customHeight="1">
      <c r="A727" s="344"/>
      <c r="B727" s="344"/>
      <c r="C727" s="344"/>
      <c r="D727" s="344"/>
      <c r="E727" s="344"/>
      <c r="F727" s="344"/>
      <c r="G727" s="344"/>
      <c r="H727" s="625"/>
      <c r="I727" s="625"/>
      <c r="J727" s="16"/>
    </row>
    <row r="728" spans="1:10" ht="15.75" customHeight="1">
      <c r="A728" s="344"/>
      <c r="B728" s="344"/>
      <c r="C728" s="344"/>
      <c r="D728" s="344"/>
      <c r="E728" s="344"/>
      <c r="F728" s="344"/>
      <c r="G728" s="344"/>
      <c r="H728" s="625"/>
      <c r="I728" s="625"/>
      <c r="J728" s="16"/>
    </row>
    <row r="729" spans="1:10" ht="15.75" customHeight="1">
      <c r="A729" s="344"/>
      <c r="B729" s="344"/>
      <c r="C729" s="344"/>
      <c r="D729" s="344"/>
      <c r="E729" s="344"/>
      <c r="F729" s="344"/>
      <c r="G729" s="344"/>
      <c r="H729" s="625"/>
      <c r="I729" s="625"/>
      <c r="J729" s="16"/>
    </row>
    <row r="730" spans="1:10" ht="15.75" customHeight="1">
      <c r="A730" s="344"/>
      <c r="B730" s="344"/>
      <c r="C730" s="344"/>
      <c r="D730" s="344"/>
      <c r="E730" s="344"/>
      <c r="F730" s="344"/>
      <c r="G730" s="344"/>
      <c r="H730" s="625"/>
      <c r="I730" s="625"/>
      <c r="J730" s="16"/>
    </row>
    <row r="731" spans="1:10" ht="15.75" customHeight="1">
      <c r="A731" s="344"/>
      <c r="B731" s="344"/>
      <c r="C731" s="344"/>
      <c r="D731" s="344"/>
      <c r="E731" s="344"/>
      <c r="F731" s="344"/>
      <c r="G731" s="344"/>
      <c r="H731" s="625"/>
      <c r="I731" s="625"/>
      <c r="J731" s="16"/>
    </row>
    <row r="732" spans="1:10" ht="15.75" customHeight="1">
      <c r="A732" s="344"/>
      <c r="B732" s="344"/>
      <c r="C732" s="344"/>
      <c r="D732" s="344"/>
      <c r="E732" s="344"/>
      <c r="F732" s="344"/>
      <c r="G732" s="344"/>
      <c r="H732" s="625"/>
      <c r="I732" s="625"/>
      <c r="J732" s="16"/>
    </row>
    <row r="733" spans="1:10" ht="15.75" customHeight="1">
      <c r="A733" s="344"/>
      <c r="B733" s="344"/>
      <c r="C733" s="344"/>
      <c r="D733" s="344"/>
      <c r="E733" s="344"/>
      <c r="F733" s="344"/>
      <c r="G733" s="344"/>
      <c r="H733" s="625"/>
      <c r="I733" s="625"/>
      <c r="J733" s="16"/>
    </row>
    <row r="734" spans="1:10" ht="15.75" customHeight="1">
      <c r="A734" s="344"/>
      <c r="B734" s="344"/>
      <c r="C734" s="344"/>
      <c r="D734" s="344"/>
      <c r="E734" s="344"/>
      <c r="F734" s="344"/>
      <c r="G734" s="344"/>
      <c r="H734" s="625"/>
      <c r="I734" s="625"/>
      <c r="J734" s="16"/>
    </row>
    <row r="735" spans="1:10" ht="15.75" customHeight="1">
      <c r="A735" s="344"/>
      <c r="B735" s="344"/>
      <c r="C735" s="344"/>
      <c r="D735" s="344"/>
      <c r="E735" s="344"/>
      <c r="F735" s="344"/>
      <c r="G735" s="344"/>
      <c r="H735" s="625"/>
      <c r="I735" s="625"/>
      <c r="J735" s="16"/>
    </row>
    <row r="736" spans="1:10" ht="15.75" customHeight="1">
      <c r="A736" s="344"/>
      <c r="B736" s="344"/>
      <c r="C736" s="344"/>
      <c r="D736" s="344"/>
      <c r="E736" s="344"/>
      <c r="F736" s="344"/>
      <c r="G736" s="344"/>
      <c r="H736" s="625"/>
      <c r="I736" s="625"/>
      <c r="J736" s="16"/>
    </row>
    <row r="737" spans="1:10" ht="15.75" customHeight="1">
      <c r="A737" s="344"/>
      <c r="B737" s="344"/>
      <c r="C737" s="344"/>
      <c r="D737" s="344"/>
      <c r="E737" s="344"/>
      <c r="F737" s="344"/>
      <c r="G737" s="344"/>
      <c r="H737" s="625"/>
      <c r="I737" s="625"/>
      <c r="J737" s="16"/>
    </row>
    <row r="738" spans="1:10" ht="15.75" customHeight="1">
      <c r="A738" s="344"/>
      <c r="B738" s="344"/>
      <c r="C738" s="344"/>
      <c r="D738" s="344"/>
      <c r="E738" s="344"/>
      <c r="F738" s="344"/>
      <c r="G738" s="344"/>
      <c r="H738" s="625"/>
      <c r="I738" s="625"/>
      <c r="J738" s="16"/>
    </row>
    <row r="739" spans="1:10" ht="15.75" customHeight="1">
      <c r="A739" s="344"/>
      <c r="B739" s="344"/>
      <c r="C739" s="344"/>
      <c r="D739" s="344"/>
      <c r="E739" s="344"/>
      <c r="F739" s="344"/>
      <c r="G739" s="344"/>
      <c r="H739" s="625"/>
      <c r="I739" s="625"/>
      <c r="J739" s="16"/>
    </row>
    <row r="740" spans="1:10" ht="15.75" customHeight="1">
      <c r="A740" s="344"/>
      <c r="B740" s="344"/>
      <c r="C740" s="344"/>
      <c r="D740" s="344"/>
      <c r="E740" s="344"/>
      <c r="F740" s="344"/>
      <c r="G740" s="344"/>
      <c r="H740" s="625"/>
      <c r="I740" s="625"/>
      <c r="J740" s="16"/>
    </row>
    <row r="741" spans="1:10" ht="15.75" customHeight="1">
      <c r="A741" s="344"/>
      <c r="B741" s="344"/>
      <c r="C741" s="344"/>
      <c r="D741" s="344"/>
      <c r="E741" s="344"/>
      <c r="F741" s="344"/>
      <c r="G741" s="344"/>
      <c r="H741" s="625"/>
      <c r="I741" s="625"/>
      <c r="J741" s="16"/>
    </row>
    <row r="742" spans="1:10" ht="15.75" customHeight="1">
      <c r="A742" s="344"/>
      <c r="B742" s="344"/>
      <c r="C742" s="344"/>
      <c r="D742" s="344"/>
      <c r="E742" s="344"/>
      <c r="F742" s="344"/>
      <c r="G742" s="344"/>
      <c r="H742" s="625"/>
      <c r="I742" s="625"/>
      <c r="J742" s="16"/>
    </row>
    <row r="743" spans="1:10" ht="15.75" customHeight="1">
      <c r="A743" s="344"/>
      <c r="B743" s="344"/>
      <c r="C743" s="344"/>
      <c r="D743" s="344"/>
      <c r="E743" s="344"/>
      <c r="F743" s="344"/>
      <c r="G743" s="344"/>
      <c r="H743" s="625"/>
      <c r="I743" s="625"/>
      <c r="J743" s="16"/>
    </row>
    <row r="744" spans="1:10" ht="15.75" customHeight="1">
      <c r="A744" s="344"/>
      <c r="B744" s="344"/>
      <c r="C744" s="344"/>
      <c r="D744" s="344"/>
      <c r="E744" s="344"/>
      <c r="F744" s="344"/>
      <c r="G744" s="344"/>
      <c r="H744" s="625"/>
      <c r="I744" s="625"/>
      <c r="J744" s="16"/>
    </row>
    <row r="745" spans="1:10" ht="15.75" customHeight="1">
      <c r="A745" s="344"/>
      <c r="B745" s="344"/>
      <c r="C745" s="344"/>
      <c r="D745" s="344"/>
      <c r="E745" s="344"/>
      <c r="F745" s="344"/>
      <c r="G745" s="344"/>
      <c r="H745" s="625"/>
      <c r="I745" s="625"/>
      <c r="J745" s="16"/>
    </row>
    <row r="746" spans="1:10" ht="15.75" customHeight="1">
      <c r="A746" s="344"/>
      <c r="B746" s="344"/>
      <c r="C746" s="344"/>
      <c r="D746" s="344"/>
      <c r="E746" s="344"/>
      <c r="F746" s="344"/>
      <c r="G746" s="344"/>
      <c r="H746" s="625"/>
      <c r="I746" s="625"/>
      <c r="J746" s="16"/>
    </row>
    <row r="747" spans="1:10" ht="15.75" customHeight="1">
      <c r="A747" s="344"/>
      <c r="B747" s="344"/>
      <c r="C747" s="344"/>
      <c r="D747" s="344"/>
      <c r="E747" s="344"/>
      <c r="F747" s="344"/>
      <c r="G747" s="344"/>
      <c r="H747" s="625"/>
      <c r="I747" s="625"/>
      <c r="J747" s="16"/>
    </row>
    <row r="748" spans="1:10" ht="15.75" customHeight="1">
      <c r="A748" s="344"/>
      <c r="B748" s="344"/>
      <c r="C748" s="344"/>
      <c r="D748" s="344"/>
      <c r="E748" s="344"/>
      <c r="F748" s="344"/>
      <c r="G748" s="344"/>
      <c r="H748" s="625"/>
      <c r="I748" s="625"/>
      <c r="J748" s="16"/>
    </row>
    <row r="749" spans="1:10" ht="15.75" customHeight="1">
      <c r="A749" s="344"/>
      <c r="B749" s="344"/>
      <c r="C749" s="344"/>
      <c r="D749" s="344"/>
      <c r="E749" s="344"/>
      <c r="F749" s="344"/>
      <c r="G749" s="344"/>
      <c r="H749" s="625"/>
      <c r="I749" s="625"/>
      <c r="J749" s="16"/>
    </row>
    <row r="750" spans="1:10" ht="15.75" customHeight="1">
      <c r="A750" s="344"/>
      <c r="B750" s="344"/>
      <c r="C750" s="344"/>
      <c r="D750" s="344"/>
      <c r="E750" s="344"/>
      <c r="F750" s="344"/>
      <c r="G750" s="344"/>
      <c r="H750" s="625"/>
      <c r="I750" s="625"/>
      <c r="J750" s="16"/>
    </row>
    <row r="751" spans="1:10" ht="15.75" customHeight="1">
      <c r="A751" s="344"/>
      <c r="B751" s="344"/>
      <c r="C751" s="344"/>
      <c r="D751" s="344"/>
      <c r="E751" s="344"/>
      <c r="F751" s="344"/>
      <c r="G751" s="344"/>
      <c r="H751" s="625"/>
      <c r="I751" s="625"/>
      <c r="J751" s="16"/>
    </row>
    <row r="752" spans="1:10" ht="15.75" customHeight="1">
      <c r="A752" s="344"/>
      <c r="B752" s="344"/>
      <c r="C752" s="344"/>
      <c r="D752" s="344"/>
      <c r="E752" s="344"/>
      <c r="F752" s="344"/>
      <c r="G752" s="344"/>
      <c r="H752" s="625"/>
      <c r="I752" s="625"/>
      <c r="J752" s="16"/>
    </row>
    <row r="753" spans="1:10" ht="15.75" customHeight="1">
      <c r="A753" s="344"/>
      <c r="B753" s="344"/>
      <c r="C753" s="344"/>
      <c r="D753" s="344"/>
      <c r="E753" s="344"/>
      <c r="F753" s="344"/>
      <c r="G753" s="344"/>
      <c r="H753" s="625"/>
      <c r="I753" s="625"/>
      <c r="J753" s="16"/>
    </row>
    <row r="754" spans="1:10" ht="15.75" customHeight="1">
      <c r="A754" s="344"/>
      <c r="B754" s="344"/>
      <c r="C754" s="344"/>
      <c r="D754" s="344"/>
      <c r="E754" s="344"/>
      <c r="F754" s="344"/>
      <c r="G754" s="344"/>
      <c r="H754" s="625"/>
      <c r="I754" s="625"/>
      <c r="J754" s="16"/>
    </row>
    <row r="755" spans="1:10" ht="15.75" customHeight="1">
      <c r="A755" s="344"/>
      <c r="B755" s="344"/>
      <c r="C755" s="344"/>
      <c r="D755" s="344"/>
      <c r="E755" s="344"/>
      <c r="F755" s="344"/>
      <c r="G755" s="344"/>
      <c r="H755" s="625"/>
      <c r="I755" s="625"/>
      <c r="J755" s="16"/>
    </row>
    <row r="756" spans="1:10" ht="15.75" customHeight="1">
      <c r="A756" s="344"/>
      <c r="B756" s="344"/>
      <c r="C756" s="344"/>
      <c r="D756" s="344"/>
      <c r="E756" s="344"/>
      <c r="F756" s="344"/>
      <c r="G756" s="344"/>
      <c r="H756" s="625"/>
      <c r="I756" s="625"/>
      <c r="J756" s="16"/>
    </row>
    <row r="757" spans="1:10" ht="15.75" customHeight="1">
      <c r="A757" s="344"/>
      <c r="B757" s="344"/>
      <c r="C757" s="344"/>
      <c r="D757" s="344"/>
      <c r="E757" s="344"/>
      <c r="F757" s="344"/>
      <c r="G757" s="344"/>
      <c r="H757" s="625"/>
      <c r="I757" s="625"/>
      <c r="J757" s="16"/>
    </row>
    <row r="758" spans="1:10" ht="15.75" customHeight="1">
      <c r="A758" s="344"/>
      <c r="B758" s="344"/>
      <c r="C758" s="344"/>
      <c r="D758" s="344"/>
      <c r="E758" s="344"/>
      <c r="F758" s="344"/>
      <c r="G758" s="344"/>
      <c r="H758" s="625"/>
      <c r="I758" s="625"/>
      <c r="J758" s="16"/>
    </row>
    <row r="759" spans="1:10" ht="15.75" customHeight="1">
      <c r="A759" s="344"/>
      <c r="B759" s="344"/>
      <c r="C759" s="344"/>
      <c r="D759" s="344"/>
      <c r="E759" s="344"/>
      <c r="F759" s="344"/>
      <c r="G759" s="344"/>
      <c r="H759" s="625"/>
      <c r="I759" s="625"/>
      <c r="J759" s="16"/>
    </row>
    <row r="760" spans="1:10" ht="15.75" customHeight="1">
      <c r="A760" s="344"/>
      <c r="B760" s="344"/>
      <c r="C760" s="344"/>
      <c r="D760" s="344"/>
      <c r="E760" s="344"/>
      <c r="F760" s="344"/>
      <c r="G760" s="344"/>
      <c r="H760" s="625"/>
      <c r="I760" s="625"/>
      <c r="J760" s="16"/>
    </row>
    <row r="761" spans="1:10" ht="15.75" customHeight="1">
      <c r="A761" s="344"/>
      <c r="B761" s="344"/>
      <c r="C761" s="344"/>
      <c r="D761" s="344"/>
      <c r="E761" s="344"/>
      <c r="F761" s="344"/>
      <c r="G761" s="344"/>
      <c r="H761" s="625"/>
      <c r="I761" s="625"/>
      <c r="J761" s="16"/>
    </row>
    <row r="762" spans="1:10" ht="15.75" customHeight="1">
      <c r="A762" s="344"/>
      <c r="B762" s="344"/>
      <c r="C762" s="344"/>
      <c r="D762" s="344"/>
      <c r="E762" s="344"/>
      <c r="F762" s="344"/>
      <c r="G762" s="344"/>
      <c r="H762" s="625"/>
      <c r="I762" s="625"/>
      <c r="J762" s="16"/>
    </row>
    <row r="763" spans="1:10" ht="15.75" customHeight="1">
      <c r="A763" s="344"/>
      <c r="B763" s="344"/>
      <c r="C763" s="344"/>
      <c r="D763" s="344"/>
      <c r="E763" s="344"/>
      <c r="F763" s="344"/>
      <c r="G763" s="344"/>
      <c r="H763" s="625"/>
      <c r="I763" s="625"/>
      <c r="J763" s="16"/>
    </row>
    <row r="764" spans="1:10" ht="15.75" customHeight="1">
      <c r="A764" s="344"/>
      <c r="B764" s="344"/>
      <c r="C764" s="344"/>
      <c r="D764" s="344"/>
      <c r="E764" s="344"/>
      <c r="F764" s="344"/>
      <c r="G764" s="344"/>
      <c r="H764" s="625"/>
      <c r="I764" s="625"/>
      <c r="J764" s="16"/>
    </row>
    <row r="765" spans="1:10" ht="15.75" customHeight="1">
      <c r="A765" s="344"/>
      <c r="B765" s="344"/>
      <c r="C765" s="344"/>
      <c r="D765" s="344"/>
      <c r="E765" s="344"/>
      <c r="F765" s="344"/>
      <c r="G765" s="344"/>
      <c r="H765" s="625"/>
      <c r="I765" s="625"/>
      <c r="J765" s="16"/>
    </row>
    <row r="766" spans="1:10" ht="15.75" customHeight="1">
      <c r="A766" s="344"/>
      <c r="B766" s="344"/>
      <c r="C766" s="344"/>
      <c r="D766" s="344"/>
      <c r="E766" s="344"/>
      <c r="F766" s="344"/>
      <c r="G766" s="344"/>
      <c r="H766" s="625"/>
      <c r="I766" s="625"/>
      <c r="J766" s="16"/>
    </row>
    <row r="767" spans="1:10" ht="15.75" customHeight="1">
      <c r="A767" s="344"/>
      <c r="B767" s="344"/>
      <c r="C767" s="344"/>
      <c r="D767" s="344"/>
      <c r="E767" s="344"/>
      <c r="F767" s="344"/>
      <c r="G767" s="344"/>
      <c r="H767" s="625"/>
      <c r="I767" s="625"/>
      <c r="J767" s="16"/>
    </row>
    <row r="768" spans="1:10" ht="15.75" customHeight="1">
      <c r="A768" s="344"/>
      <c r="B768" s="344"/>
      <c r="C768" s="344"/>
      <c r="D768" s="344"/>
      <c r="E768" s="344"/>
      <c r="F768" s="344"/>
      <c r="G768" s="344"/>
      <c r="H768" s="625"/>
      <c r="I768" s="625"/>
      <c r="J768" s="16"/>
    </row>
    <row r="769" spans="1:10" ht="15.75" customHeight="1">
      <c r="A769" s="344"/>
      <c r="B769" s="344"/>
      <c r="C769" s="344"/>
      <c r="D769" s="344"/>
      <c r="E769" s="344"/>
      <c r="F769" s="344"/>
      <c r="G769" s="344"/>
      <c r="H769" s="625"/>
      <c r="I769" s="625"/>
      <c r="J769" s="16"/>
    </row>
    <row r="770" spans="1:10" ht="15.75" customHeight="1">
      <c r="A770" s="344"/>
      <c r="B770" s="344"/>
      <c r="C770" s="344"/>
      <c r="D770" s="344"/>
      <c r="E770" s="344"/>
      <c r="F770" s="344"/>
      <c r="G770" s="344"/>
      <c r="H770" s="625"/>
      <c r="I770" s="625"/>
      <c r="J770" s="16"/>
    </row>
    <row r="771" spans="1:10" ht="15.75" customHeight="1">
      <c r="A771" s="344"/>
      <c r="B771" s="344"/>
      <c r="C771" s="344"/>
      <c r="D771" s="344"/>
      <c r="E771" s="344"/>
      <c r="F771" s="344"/>
      <c r="G771" s="344"/>
      <c r="H771" s="625"/>
      <c r="I771" s="625"/>
      <c r="J771" s="16"/>
    </row>
    <row r="772" spans="1:10" ht="15.75" customHeight="1">
      <c r="A772" s="344"/>
      <c r="B772" s="344"/>
      <c r="C772" s="344"/>
      <c r="D772" s="344"/>
      <c r="E772" s="344"/>
      <c r="F772" s="344"/>
      <c r="G772" s="344"/>
      <c r="H772" s="625"/>
      <c r="I772" s="625"/>
      <c r="J772" s="16"/>
    </row>
    <row r="773" spans="1:10" ht="15.75" customHeight="1">
      <c r="A773" s="344"/>
      <c r="B773" s="344"/>
      <c r="C773" s="344"/>
      <c r="D773" s="344"/>
      <c r="E773" s="344"/>
      <c r="F773" s="344"/>
      <c r="G773" s="344"/>
      <c r="H773" s="625"/>
      <c r="I773" s="625"/>
      <c r="J773" s="16"/>
    </row>
    <row r="774" spans="1:10" ht="15.75" customHeight="1">
      <c r="A774" s="344"/>
      <c r="B774" s="344"/>
      <c r="C774" s="344"/>
      <c r="D774" s="344"/>
      <c r="E774" s="344"/>
      <c r="F774" s="344"/>
      <c r="G774" s="344"/>
      <c r="H774" s="625"/>
      <c r="I774" s="625"/>
      <c r="J774" s="16"/>
    </row>
    <row r="775" spans="1:10" ht="15.75" customHeight="1">
      <c r="A775" s="344"/>
      <c r="B775" s="344"/>
      <c r="C775" s="344"/>
      <c r="D775" s="344"/>
      <c r="E775" s="344"/>
      <c r="F775" s="344"/>
      <c r="G775" s="344"/>
      <c r="H775" s="625"/>
      <c r="I775" s="625"/>
      <c r="J775" s="16"/>
    </row>
    <row r="776" spans="1:10" ht="15.75" customHeight="1">
      <c r="A776" s="344"/>
      <c r="B776" s="344"/>
      <c r="C776" s="344"/>
      <c r="D776" s="344"/>
      <c r="E776" s="344"/>
      <c r="F776" s="344"/>
      <c r="G776" s="344"/>
      <c r="H776" s="625"/>
      <c r="I776" s="625"/>
      <c r="J776" s="16"/>
    </row>
    <row r="777" spans="1:10" ht="15.75" customHeight="1">
      <c r="A777" s="344"/>
      <c r="B777" s="344"/>
      <c r="C777" s="344"/>
      <c r="D777" s="344"/>
      <c r="E777" s="344"/>
      <c r="F777" s="344"/>
      <c r="G777" s="344"/>
      <c r="H777" s="625"/>
      <c r="I777" s="625"/>
      <c r="J777" s="16"/>
    </row>
    <row r="778" spans="1:10" ht="15.75" customHeight="1">
      <c r="A778" s="344"/>
      <c r="B778" s="344"/>
      <c r="C778" s="344"/>
      <c r="D778" s="344"/>
      <c r="E778" s="344"/>
      <c r="F778" s="344"/>
      <c r="G778" s="344"/>
      <c r="H778" s="625"/>
      <c r="I778" s="625"/>
      <c r="J778" s="16"/>
    </row>
    <row r="779" spans="1:10" ht="15.75" customHeight="1">
      <c r="A779" s="344"/>
      <c r="B779" s="344"/>
      <c r="C779" s="344"/>
      <c r="D779" s="344"/>
      <c r="E779" s="344"/>
      <c r="F779" s="344"/>
      <c r="G779" s="344"/>
      <c r="H779" s="625"/>
      <c r="I779" s="625"/>
      <c r="J779" s="16"/>
    </row>
    <row r="780" spans="1:10" ht="15.75" customHeight="1">
      <c r="A780" s="344"/>
      <c r="B780" s="344"/>
      <c r="C780" s="344"/>
      <c r="D780" s="344"/>
      <c r="E780" s="344"/>
      <c r="F780" s="344"/>
      <c r="G780" s="344"/>
      <c r="H780" s="625"/>
      <c r="I780" s="625"/>
      <c r="J780" s="16"/>
    </row>
    <row r="781" spans="1:10" ht="15.75" customHeight="1">
      <c r="A781" s="344"/>
      <c r="B781" s="344"/>
      <c r="C781" s="344"/>
      <c r="D781" s="344"/>
      <c r="E781" s="344"/>
      <c r="F781" s="344"/>
      <c r="G781" s="344"/>
      <c r="H781" s="625"/>
      <c r="I781" s="625"/>
      <c r="J781" s="16"/>
    </row>
    <row r="782" spans="1:10" ht="15.75" customHeight="1">
      <c r="A782" s="344"/>
      <c r="B782" s="344"/>
      <c r="C782" s="344"/>
      <c r="D782" s="344"/>
      <c r="E782" s="344"/>
      <c r="F782" s="344"/>
      <c r="G782" s="344"/>
      <c r="H782" s="625"/>
      <c r="I782" s="625"/>
      <c r="J782" s="16"/>
    </row>
    <row r="783" spans="1:10" ht="15.75" customHeight="1">
      <c r="A783" s="344"/>
      <c r="B783" s="344"/>
      <c r="C783" s="344"/>
      <c r="D783" s="344"/>
      <c r="E783" s="344"/>
      <c r="F783" s="344"/>
      <c r="G783" s="344"/>
      <c r="H783" s="625"/>
      <c r="I783" s="625"/>
      <c r="J783" s="16"/>
    </row>
    <row r="784" spans="1:10" ht="15.75" customHeight="1">
      <c r="A784" s="344"/>
      <c r="B784" s="344"/>
      <c r="C784" s="344"/>
      <c r="D784" s="344"/>
      <c r="E784" s="344"/>
      <c r="F784" s="344"/>
      <c r="G784" s="344"/>
      <c r="H784" s="625"/>
      <c r="I784" s="625"/>
      <c r="J784" s="16"/>
    </row>
    <row r="785" spans="1:10" ht="15.75" customHeight="1">
      <c r="A785" s="344"/>
      <c r="B785" s="344"/>
      <c r="C785" s="344"/>
      <c r="D785" s="344"/>
      <c r="E785" s="344"/>
      <c r="F785" s="344"/>
      <c r="G785" s="344"/>
      <c r="H785" s="625"/>
      <c r="I785" s="625"/>
      <c r="J785" s="16"/>
    </row>
    <row r="786" spans="1:10" ht="15.75" customHeight="1">
      <c r="A786" s="344"/>
      <c r="B786" s="344"/>
      <c r="C786" s="344"/>
      <c r="D786" s="344"/>
      <c r="E786" s="344"/>
      <c r="F786" s="344"/>
      <c r="G786" s="344"/>
      <c r="H786" s="625"/>
      <c r="I786" s="625"/>
      <c r="J786" s="16"/>
    </row>
    <row r="787" spans="1:10" ht="15.75" customHeight="1">
      <c r="A787" s="344"/>
      <c r="B787" s="344"/>
      <c r="C787" s="344"/>
      <c r="D787" s="344"/>
      <c r="E787" s="344"/>
      <c r="F787" s="344"/>
      <c r="G787" s="344"/>
      <c r="H787" s="625"/>
      <c r="I787" s="625"/>
      <c r="J787" s="16"/>
    </row>
    <row r="788" spans="1:10" ht="15.75" customHeight="1">
      <c r="A788" s="344"/>
      <c r="B788" s="344"/>
      <c r="C788" s="344"/>
      <c r="D788" s="344"/>
      <c r="E788" s="344"/>
      <c r="F788" s="344"/>
      <c r="G788" s="344"/>
      <c r="H788" s="625"/>
      <c r="I788" s="625"/>
      <c r="J788" s="16"/>
    </row>
    <row r="789" spans="1:10" ht="15.75" customHeight="1">
      <c r="A789" s="344"/>
      <c r="B789" s="344"/>
      <c r="C789" s="344"/>
      <c r="D789" s="344"/>
      <c r="E789" s="344"/>
      <c r="F789" s="344"/>
      <c r="G789" s="344"/>
      <c r="H789" s="625"/>
      <c r="I789" s="625"/>
      <c r="J789" s="16"/>
    </row>
    <row r="790" spans="1:10" ht="15.75" customHeight="1">
      <c r="A790" s="344"/>
      <c r="B790" s="344"/>
      <c r="C790" s="344"/>
      <c r="D790" s="344"/>
      <c r="E790" s="344"/>
      <c r="F790" s="344"/>
      <c r="G790" s="344"/>
      <c r="H790" s="625"/>
      <c r="I790" s="625"/>
      <c r="J790" s="16"/>
    </row>
    <row r="791" spans="1:10" ht="15.75" customHeight="1">
      <c r="A791" s="344"/>
      <c r="B791" s="344"/>
      <c r="C791" s="344"/>
      <c r="D791" s="344"/>
      <c r="E791" s="344"/>
      <c r="F791" s="344"/>
      <c r="G791" s="344"/>
      <c r="H791" s="625"/>
      <c r="I791" s="625"/>
      <c r="J791" s="16"/>
    </row>
    <row r="792" spans="1:10" ht="15.75" customHeight="1">
      <c r="A792" s="344"/>
      <c r="B792" s="344"/>
      <c r="C792" s="344"/>
      <c r="D792" s="344"/>
      <c r="E792" s="344"/>
      <c r="F792" s="344"/>
      <c r="G792" s="344"/>
      <c r="H792" s="625"/>
      <c r="I792" s="625"/>
      <c r="J792" s="16"/>
    </row>
    <row r="793" spans="1:10" ht="15.75" customHeight="1">
      <c r="A793" s="344"/>
      <c r="B793" s="344"/>
      <c r="C793" s="344"/>
      <c r="D793" s="344"/>
      <c r="E793" s="344"/>
      <c r="F793" s="344"/>
      <c r="G793" s="344"/>
      <c r="H793" s="625"/>
      <c r="I793" s="625"/>
      <c r="J793" s="16"/>
    </row>
    <row r="794" spans="1:10" ht="15.75" customHeight="1">
      <c r="A794" s="344"/>
      <c r="B794" s="344"/>
      <c r="C794" s="344"/>
      <c r="D794" s="344"/>
      <c r="E794" s="344"/>
      <c r="F794" s="344"/>
      <c r="G794" s="344"/>
      <c r="H794" s="625"/>
      <c r="I794" s="625"/>
      <c r="J794" s="16"/>
    </row>
    <row r="795" spans="1:10" ht="15.75" customHeight="1">
      <c r="A795" s="344"/>
      <c r="B795" s="344"/>
      <c r="C795" s="344"/>
      <c r="D795" s="344"/>
      <c r="E795" s="344"/>
      <c r="F795" s="344"/>
      <c r="G795" s="344"/>
      <c r="H795" s="625"/>
      <c r="I795" s="625"/>
      <c r="J795" s="16"/>
    </row>
    <row r="796" spans="1:10" ht="15.75" customHeight="1">
      <c r="A796" s="344"/>
      <c r="B796" s="344"/>
      <c r="C796" s="344"/>
      <c r="D796" s="344"/>
      <c r="E796" s="344"/>
      <c r="F796" s="344"/>
      <c r="G796" s="344"/>
      <c r="H796" s="625"/>
      <c r="I796" s="625"/>
      <c r="J796" s="16"/>
    </row>
    <row r="797" spans="1:10" ht="15.75" customHeight="1">
      <c r="A797" s="344"/>
      <c r="B797" s="344"/>
      <c r="C797" s="344"/>
      <c r="D797" s="344"/>
      <c r="E797" s="344"/>
      <c r="F797" s="344"/>
      <c r="G797" s="344"/>
      <c r="H797" s="625"/>
      <c r="I797" s="625"/>
      <c r="J797" s="16"/>
    </row>
    <row r="798" spans="1:10" ht="15.75" customHeight="1">
      <c r="A798" s="344"/>
      <c r="B798" s="344"/>
      <c r="C798" s="344"/>
      <c r="D798" s="344"/>
      <c r="E798" s="344"/>
      <c r="F798" s="344"/>
      <c r="G798" s="344"/>
      <c r="H798" s="625"/>
      <c r="I798" s="625"/>
      <c r="J798" s="16"/>
    </row>
    <row r="799" spans="1:10" ht="15.75" customHeight="1">
      <c r="A799" s="344"/>
      <c r="B799" s="344"/>
      <c r="C799" s="344"/>
      <c r="D799" s="344"/>
      <c r="E799" s="344"/>
      <c r="F799" s="344"/>
      <c r="G799" s="344"/>
      <c r="H799" s="625"/>
      <c r="I799" s="625"/>
      <c r="J799" s="16"/>
    </row>
    <row r="800" spans="1:10" ht="15.75" customHeight="1">
      <c r="A800" s="344"/>
      <c r="B800" s="344"/>
      <c r="C800" s="344"/>
      <c r="D800" s="344"/>
      <c r="E800" s="344"/>
      <c r="F800" s="344"/>
      <c r="G800" s="344"/>
      <c r="H800" s="625"/>
      <c r="I800" s="625"/>
      <c r="J800" s="16"/>
    </row>
    <row r="801" spans="1:10" ht="15.75" customHeight="1">
      <c r="A801" s="344"/>
      <c r="B801" s="344"/>
      <c r="C801" s="344"/>
      <c r="D801" s="344"/>
      <c r="E801" s="344"/>
      <c r="F801" s="344"/>
      <c r="G801" s="344"/>
      <c r="H801" s="625"/>
      <c r="I801" s="625"/>
      <c r="J801" s="16"/>
    </row>
    <row r="802" spans="1:10" ht="15.75" customHeight="1">
      <c r="A802" s="344"/>
      <c r="B802" s="344"/>
      <c r="C802" s="344"/>
      <c r="D802" s="344"/>
      <c r="E802" s="344"/>
      <c r="F802" s="344"/>
      <c r="G802" s="344"/>
      <c r="H802" s="625"/>
      <c r="I802" s="625"/>
      <c r="J802" s="16"/>
    </row>
    <row r="803" spans="1:10" ht="15.75" customHeight="1">
      <c r="A803" s="344"/>
      <c r="B803" s="344"/>
      <c r="C803" s="344"/>
      <c r="D803" s="344"/>
      <c r="E803" s="344"/>
      <c r="F803" s="344"/>
      <c r="G803" s="344"/>
      <c r="H803" s="625"/>
      <c r="I803" s="625"/>
      <c r="J803" s="16"/>
    </row>
    <row r="804" spans="1:10" ht="15.75" customHeight="1">
      <c r="A804" s="344"/>
      <c r="B804" s="344"/>
      <c r="C804" s="344"/>
      <c r="D804" s="344"/>
      <c r="E804" s="344"/>
      <c r="F804" s="344"/>
      <c r="G804" s="344"/>
      <c r="H804" s="625"/>
      <c r="I804" s="625"/>
      <c r="J804" s="16"/>
    </row>
    <row r="805" spans="1:10" ht="15.75" customHeight="1">
      <c r="A805" s="344"/>
      <c r="B805" s="344"/>
      <c r="C805" s="344"/>
      <c r="D805" s="344"/>
      <c r="E805" s="344"/>
      <c r="F805" s="344"/>
      <c r="G805" s="344"/>
      <c r="H805" s="625"/>
      <c r="I805" s="625"/>
      <c r="J805" s="16"/>
    </row>
    <row r="806" spans="1:10" ht="15.75" customHeight="1">
      <c r="A806" s="344"/>
      <c r="B806" s="344"/>
      <c r="C806" s="344"/>
      <c r="D806" s="344"/>
      <c r="E806" s="344"/>
      <c r="F806" s="344"/>
      <c r="G806" s="344"/>
      <c r="H806" s="625"/>
      <c r="I806" s="625"/>
      <c r="J806" s="16"/>
    </row>
    <row r="807" spans="1:10" ht="15.75" customHeight="1">
      <c r="A807" s="344"/>
      <c r="B807" s="344"/>
      <c r="C807" s="344"/>
      <c r="D807" s="344"/>
      <c r="E807" s="344"/>
      <c r="F807" s="344"/>
      <c r="G807" s="344"/>
      <c r="H807" s="625"/>
      <c r="I807" s="625"/>
      <c r="J807" s="16"/>
    </row>
    <row r="808" spans="1:10" ht="15.75" customHeight="1">
      <c r="A808" s="344"/>
      <c r="B808" s="344"/>
      <c r="C808" s="344"/>
      <c r="D808" s="344"/>
      <c r="E808" s="344"/>
      <c r="F808" s="344"/>
      <c r="G808" s="344"/>
      <c r="H808" s="625"/>
      <c r="I808" s="625"/>
      <c r="J808" s="16"/>
    </row>
    <row r="809" spans="1:10" ht="15.75" customHeight="1">
      <c r="A809" s="344"/>
      <c r="B809" s="344"/>
      <c r="C809" s="344"/>
      <c r="D809" s="344"/>
      <c r="E809" s="344"/>
      <c r="F809" s="344"/>
      <c r="G809" s="344"/>
      <c r="H809" s="625"/>
      <c r="I809" s="625"/>
      <c r="J809" s="16"/>
    </row>
    <row r="810" spans="1:10" ht="15.75" customHeight="1">
      <c r="A810" s="344"/>
      <c r="B810" s="344"/>
      <c r="C810" s="344"/>
      <c r="D810" s="344"/>
      <c r="E810" s="344"/>
      <c r="F810" s="344"/>
      <c r="G810" s="344"/>
      <c r="H810" s="625"/>
      <c r="I810" s="625"/>
      <c r="J810" s="16"/>
    </row>
    <row r="811" spans="1:10" ht="15.75" customHeight="1">
      <c r="A811" s="344"/>
      <c r="B811" s="344"/>
      <c r="C811" s="344"/>
      <c r="D811" s="344"/>
      <c r="E811" s="344"/>
      <c r="F811" s="344"/>
      <c r="G811" s="344"/>
      <c r="H811" s="625"/>
      <c r="I811" s="625"/>
      <c r="J811" s="16"/>
    </row>
    <row r="812" spans="1:10" ht="15.75" customHeight="1">
      <c r="A812" s="344"/>
      <c r="B812" s="344"/>
      <c r="C812" s="344"/>
      <c r="D812" s="344"/>
      <c r="E812" s="344"/>
      <c r="F812" s="344"/>
      <c r="G812" s="344"/>
      <c r="H812" s="625"/>
      <c r="I812" s="625"/>
      <c r="J812" s="16"/>
    </row>
    <row r="813" spans="1:10" ht="15.75" customHeight="1">
      <c r="A813" s="344"/>
      <c r="B813" s="344"/>
      <c r="C813" s="344"/>
      <c r="D813" s="344"/>
      <c r="E813" s="344"/>
      <c r="F813" s="344"/>
      <c r="G813" s="344"/>
      <c r="H813" s="625"/>
      <c r="I813" s="625"/>
      <c r="J813" s="16"/>
    </row>
    <row r="814" spans="1:10" ht="15.75" customHeight="1">
      <c r="A814" s="344"/>
      <c r="B814" s="344"/>
      <c r="C814" s="344"/>
      <c r="D814" s="344"/>
      <c r="E814" s="344"/>
      <c r="F814" s="344"/>
      <c r="G814" s="344"/>
      <c r="H814" s="625"/>
      <c r="I814" s="625"/>
      <c r="J814" s="16"/>
    </row>
    <row r="815" spans="1:10" ht="15.75" customHeight="1">
      <c r="A815" s="344"/>
      <c r="B815" s="344"/>
      <c r="C815" s="344"/>
      <c r="D815" s="344"/>
      <c r="E815" s="344"/>
      <c r="F815" s="344"/>
      <c r="G815" s="344"/>
      <c r="H815" s="625"/>
      <c r="I815" s="625"/>
      <c r="J815" s="16"/>
    </row>
    <row r="816" spans="1:10" ht="15.75" customHeight="1">
      <c r="A816" s="344"/>
      <c r="B816" s="344"/>
      <c r="C816" s="344"/>
      <c r="D816" s="344"/>
      <c r="E816" s="344"/>
      <c r="F816" s="344"/>
      <c r="G816" s="344"/>
      <c r="H816" s="625"/>
      <c r="I816" s="625"/>
      <c r="J816" s="16"/>
    </row>
    <row r="817" spans="1:10" ht="15.75" customHeight="1">
      <c r="A817" s="344"/>
      <c r="B817" s="344"/>
      <c r="C817" s="344"/>
      <c r="D817" s="344"/>
      <c r="E817" s="344"/>
      <c r="F817" s="344"/>
      <c r="G817" s="344"/>
      <c r="H817" s="625"/>
      <c r="I817" s="625"/>
      <c r="J817" s="16"/>
    </row>
    <row r="818" spans="1:10" ht="15.75" customHeight="1">
      <c r="A818" s="344"/>
      <c r="B818" s="344"/>
      <c r="C818" s="344"/>
      <c r="D818" s="344"/>
      <c r="E818" s="344"/>
      <c r="F818" s="344"/>
      <c r="G818" s="344"/>
      <c r="H818" s="625"/>
      <c r="I818" s="625"/>
      <c r="J818" s="16"/>
    </row>
    <row r="819" spans="1:10" ht="15.75" customHeight="1">
      <c r="A819" s="344"/>
      <c r="B819" s="344"/>
      <c r="C819" s="344"/>
      <c r="D819" s="344"/>
      <c r="E819" s="344"/>
      <c r="F819" s="344"/>
      <c r="G819" s="344"/>
      <c r="H819" s="625"/>
      <c r="I819" s="625"/>
      <c r="J819" s="16"/>
    </row>
    <row r="820" spans="1:10" ht="15.75" customHeight="1">
      <c r="A820" s="344"/>
      <c r="B820" s="344"/>
      <c r="C820" s="344"/>
      <c r="D820" s="344"/>
      <c r="E820" s="344"/>
      <c r="F820" s="344"/>
      <c r="G820" s="344"/>
      <c r="H820" s="625"/>
      <c r="I820" s="625"/>
      <c r="J820" s="16"/>
    </row>
    <row r="821" spans="1:10" ht="15.75" customHeight="1">
      <c r="A821" s="344"/>
      <c r="B821" s="344"/>
      <c r="C821" s="344"/>
      <c r="D821" s="344"/>
      <c r="E821" s="344"/>
      <c r="F821" s="344"/>
      <c r="G821" s="344"/>
      <c r="H821" s="625"/>
      <c r="I821" s="625"/>
      <c r="J821" s="16"/>
    </row>
    <row r="822" spans="1:10" ht="15.75" customHeight="1">
      <c r="A822" s="344"/>
      <c r="B822" s="344"/>
      <c r="C822" s="344"/>
      <c r="D822" s="344"/>
      <c r="E822" s="344"/>
      <c r="F822" s="344"/>
      <c r="G822" s="344"/>
      <c r="H822" s="625"/>
      <c r="I822" s="625"/>
      <c r="J822" s="16"/>
    </row>
    <row r="823" spans="1:10" ht="15.75" customHeight="1">
      <c r="A823" s="344"/>
      <c r="B823" s="344"/>
      <c r="C823" s="344"/>
      <c r="D823" s="344"/>
      <c r="E823" s="344"/>
      <c r="F823" s="344"/>
      <c r="G823" s="344"/>
      <c r="H823" s="625"/>
      <c r="I823" s="625"/>
      <c r="J823" s="16"/>
    </row>
    <row r="824" spans="1:10" ht="15.75" customHeight="1">
      <c r="A824" s="344"/>
      <c r="B824" s="344"/>
      <c r="C824" s="344"/>
      <c r="D824" s="344"/>
      <c r="E824" s="344"/>
      <c r="F824" s="344"/>
      <c r="G824" s="344"/>
      <c r="H824" s="625"/>
      <c r="I824" s="625"/>
      <c r="J824" s="16"/>
    </row>
    <row r="825" spans="1:10" ht="15.75" customHeight="1">
      <c r="A825" s="344"/>
      <c r="B825" s="344"/>
      <c r="C825" s="344"/>
      <c r="D825" s="344"/>
      <c r="E825" s="344"/>
      <c r="F825" s="344"/>
      <c r="G825" s="344"/>
      <c r="H825" s="625"/>
      <c r="I825" s="625"/>
      <c r="J825" s="16"/>
    </row>
    <row r="826" spans="1:10" ht="15.75" customHeight="1">
      <c r="A826" s="344"/>
      <c r="B826" s="344"/>
      <c r="C826" s="344"/>
      <c r="D826" s="344"/>
      <c r="E826" s="344"/>
      <c r="F826" s="344"/>
      <c r="G826" s="344"/>
      <c r="H826" s="625"/>
      <c r="I826" s="625"/>
      <c r="J826" s="16"/>
    </row>
    <row r="827" spans="1:10" ht="15.75" customHeight="1">
      <c r="A827" s="344"/>
      <c r="B827" s="344"/>
      <c r="C827" s="344"/>
      <c r="D827" s="344"/>
      <c r="E827" s="344"/>
      <c r="F827" s="344"/>
      <c r="G827" s="344"/>
      <c r="H827" s="625"/>
      <c r="I827" s="625"/>
      <c r="J827" s="16"/>
    </row>
    <row r="828" spans="1:10" ht="15.75" customHeight="1">
      <c r="A828" s="344"/>
      <c r="B828" s="344"/>
      <c r="C828" s="344"/>
      <c r="D828" s="344"/>
      <c r="E828" s="344"/>
      <c r="F828" s="344"/>
      <c r="G828" s="344"/>
      <c r="H828" s="625"/>
      <c r="I828" s="625"/>
      <c r="J828" s="16"/>
    </row>
    <row r="829" spans="1:10" ht="15.75" customHeight="1">
      <c r="A829" s="344"/>
      <c r="B829" s="344"/>
      <c r="C829" s="344"/>
      <c r="D829" s="344"/>
      <c r="E829" s="344"/>
      <c r="F829" s="344"/>
      <c r="G829" s="344"/>
      <c r="H829" s="625"/>
      <c r="I829" s="625"/>
      <c r="J829" s="16"/>
    </row>
    <row r="830" spans="1:10" ht="15.75" customHeight="1">
      <c r="A830" s="344"/>
      <c r="B830" s="344"/>
      <c r="C830" s="344"/>
      <c r="D830" s="344"/>
      <c r="E830" s="344"/>
      <c r="F830" s="344"/>
      <c r="G830" s="344"/>
      <c r="H830" s="625"/>
      <c r="I830" s="625"/>
      <c r="J830" s="16"/>
    </row>
    <row r="831" spans="1:10" ht="15.75" customHeight="1">
      <c r="A831" s="344"/>
      <c r="B831" s="344"/>
      <c r="C831" s="344"/>
      <c r="D831" s="344"/>
      <c r="E831" s="344"/>
      <c r="F831" s="344"/>
      <c r="G831" s="344"/>
      <c r="H831" s="625"/>
      <c r="I831" s="625"/>
      <c r="J831" s="16"/>
    </row>
    <row r="832" spans="1:10" ht="15.75" customHeight="1">
      <c r="A832" s="344"/>
      <c r="B832" s="344"/>
      <c r="C832" s="344"/>
      <c r="D832" s="344"/>
      <c r="E832" s="344"/>
      <c r="F832" s="344"/>
      <c r="G832" s="344"/>
      <c r="H832" s="625"/>
      <c r="I832" s="625"/>
      <c r="J832" s="16"/>
    </row>
    <row r="833" spans="1:10" ht="15.75" customHeight="1">
      <c r="A833" s="344"/>
      <c r="B833" s="344"/>
      <c r="C833" s="344"/>
      <c r="D833" s="344"/>
      <c r="E833" s="344"/>
      <c r="F833" s="344"/>
      <c r="G833" s="344"/>
      <c r="H833" s="625"/>
      <c r="I833" s="625"/>
      <c r="J833" s="16"/>
    </row>
    <row r="834" spans="1:10" ht="15.75" customHeight="1">
      <c r="A834" s="344"/>
      <c r="B834" s="344"/>
      <c r="C834" s="344"/>
      <c r="D834" s="344"/>
      <c r="E834" s="344"/>
      <c r="F834" s="344"/>
      <c r="G834" s="344"/>
      <c r="H834" s="625"/>
      <c r="I834" s="625"/>
      <c r="J834" s="16"/>
    </row>
    <row r="835" spans="1:10" ht="15.75" customHeight="1">
      <c r="A835" s="344"/>
      <c r="B835" s="344"/>
      <c r="C835" s="344"/>
      <c r="D835" s="344"/>
      <c r="E835" s="344"/>
      <c r="F835" s="344"/>
      <c r="G835" s="344"/>
      <c r="H835" s="625"/>
      <c r="I835" s="625"/>
      <c r="J835" s="16"/>
    </row>
    <row r="836" spans="1:10" ht="15.75" customHeight="1">
      <c r="A836" s="344"/>
      <c r="B836" s="344"/>
      <c r="C836" s="344"/>
      <c r="D836" s="344"/>
      <c r="E836" s="344"/>
      <c r="F836" s="344"/>
      <c r="G836" s="344"/>
      <c r="H836" s="625"/>
      <c r="I836" s="625"/>
      <c r="J836" s="16"/>
    </row>
    <row r="837" spans="1:10" ht="15.75" customHeight="1">
      <c r="A837" s="344"/>
      <c r="B837" s="344"/>
      <c r="C837" s="344"/>
      <c r="D837" s="344"/>
      <c r="E837" s="344"/>
      <c r="F837" s="344"/>
      <c r="G837" s="344"/>
      <c r="H837" s="625"/>
      <c r="I837" s="625"/>
      <c r="J837" s="16"/>
    </row>
    <row r="838" spans="1:10" ht="15.75" customHeight="1">
      <c r="A838" s="344"/>
      <c r="B838" s="344"/>
      <c r="C838" s="344"/>
      <c r="D838" s="344"/>
      <c r="E838" s="344"/>
      <c r="F838" s="344"/>
      <c r="G838" s="344"/>
      <c r="H838" s="625"/>
      <c r="I838" s="625"/>
      <c r="J838" s="16"/>
    </row>
    <row r="839" spans="1:10" ht="15.75" customHeight="1">
      <c r="A839" s="344"/>
      <c r="B839" s="344"/>
      <c r="C839" s="344"/>
      <c r="D839" s="344"/>
      <c r="E839" s="344"/>
      <c r="F839" s="344"/>
      <c r="G839" s="344"/>
      <c r="H839" s="625"/>
      <c r="I839" s="625"/>
      <c r="J839" s="16"/>
    </row>
    <row r="840" spans="1:10" ht="15.75" customHeight="1">
      <c r="A840" s="344"/>
      <c r="B840" s="344"/>
      <c r="C840" s="344"/>
      <c r="D840" s="344"/>
      <c r="E840" s="344"/>
      <c r="F840" s="344"/>
      <c r="G840" s="344"/>
      <c r="H840" s="625"/>
      <c r="I840" s="625"/>
      <c r="J840" s="16"/>
    </row>
    <row r="841" spans="1:10" ht="15.75" customHeight="1">
      <c r="A841" s="344"/>
      <c r="B841" s="344"/>
      <c r="C841" s="344"/>
      <c r="D841" s="344"/>
      <c r="E841" s="344"/>
      <c r="F841" s="344"/>
      <c r="G841" s="344"/>
      <c r="H841" s="625"/>
      <c r="I841" s="625"/>
      <c r="J841" s="16"/>
    </row>
    <row r="842" spans="1:10" ht="15.75" customHeight="1">
      <c r="A842" s="344"/>
      <c r="B842" s="344"/>
      <c r="C842" s="344"/>
      <c r="D842" s="344"/>
      <c r="E842" s="344"/>
      <c r="F842" s="344"/>
      <c r="G842" s="344"/>
      <c r="H842" s="625"/>
      <c r="I842" s="625"/>
      <c r="J842" s="16"/>
    </row>
    <row r="843" spans="1:10" ht="15.75" customHeight="1">
      <c r="A843" s="344"/>
      <c r="B843" s="344"/>
      <c r="C843" s="344"/>
      <c r="D843" s="344"/>
      <c r="E843" s="344"/>
      <c r="F843" s="344"/>
      <c r="G843" s="344"/>
      <c r="H843" s="625"/>
      <c r="I843" s="625"/>
      <c r="J843" s="16"/>
    </row>
    <row r="844" spans="1:10" ht="15.75" customHeight="1">
      <c r="A844" s="344"/>
      <c r="B844" s="344"/>
      <c r="C844" s="344"/>
      <c r="D844" s="344"/>
      <c r="E844" s="344"/>
      <c r="F844" s="344"/>
      <c r="G844" s="344"/>
      <c r="H844" s="625"/>
      <c r="I844" s="625"/>
      <c r="J844" s="16"/>
    </row>
    <row r="845" spans="1:10" ht="15.75" customHeight="1">
      <c r="A845" s="344"/>
      <c r="B845" s="344"/>
      <c r="C845" s="344"/>
      <c r="D845" s="344"/>
      <c r="E845" s="344"/>
      <c r="F845" s="344"/>
      <c r="G845" s="344"/>
      <c r="H845" s="625"/>
      <c r="I845" s="625"/>
      <c r="J845" s="16"/>
    </row>
    <row r="846" spans="1:10" ht="15.75" customHeight="1">
      <c r="A846" s="344"/>
      <c r="B846" s="344"/>
      <c r="C846" s="344"/>
      <c r="D846" s="344"/>
      <c r="E846" s="344"/>
      <c r="F846" s="344"/>
      <c r="G846" s="344"/>
      <c r="H846" s="625"/>
      <c r="I846" s="625"/>
      <c r="J846" s="16"/>
    </row>
    <row r="847" spans="1:10" ht="15.75" customHeight="1">
      <c r="A847" s="344"/>
      <c r="B847" s="344"/>
      <c r="C847" s="344"/>
      <c r="D847" s="344"/>
      <c r="E847" s="344"/>
      <c r="F847" s="344"/>
      <c r="G847" s="344"/>
      <c r="H847" s="625"/>
      <c r="I847" s="625"/>
      <c r="J847" s="16"/>
    </row>
    <row r="848" spans="1:10" ht="15.75" customHeight="1">
      <c r="A848" s="344"/>
      <c r="B848" s="344"/>
      <c r="C848" s="344"/>
      <c r="D848" s="344"/>
      <c r="E848" s="344"/>
      <c r="F848" s="344"/>
      <c r="G848" s="344"/>
      <c r="H848" s="625"/>
      <c r="I848" s="625"/>
      <c r="J848" s="16"/>
    </row>
    <row r="849" spans="1:10" ht="15.75" customHeight="1">
      <c r="A849" s="344"/>
      <c r="B849" s="344"/>
      <c r="C849" s="344"/>
      <c r="D849" s="344"/>
      <c r="E849" s="344"/>
      <c r="F849" s="344"/>
      <c r="G849" s="344"/>
      <c r="H849" s="625"/>
      <c r="I849" s="625"/>
      <c r="J849" s="16"/>
    </row>
    <row r="850" spans="1:10" ht="15.75" customHeight="1">
      <c r="A850" s="344"/>
      <c r="B850" s="344"/>
      <c r="C850" s="344"/>
      <c r="D850" s="344"/>
      <c r="E850" s="344"/>
      <c r="F850" s="344"/>
      <c r="G850" s="344"/>
      <c r="H850" s="625"/>
      <c r="I850" s="625"/>
      <c r="J850" s="16"/>
    </row>
    <row r="851" spans="1:10" ht="15.75" customHeight="1">
      <c r="A851" s="344"/>
      <c r="B851" s="344"/>
      <c r="C851" s="344"/>
      <c r="D851" s="344"/>
      <c r="E851" s="344"/>
      <c r="F851" s="344"/>
      <c r="G851" s="344"/>
      <c r="H851" s="625"/>
      <c r="I851" s="625"/>
      <c r="J851" s="16"/>
    </row>
    <row r="852" spans="1:10" ht="15.75" customHeight="1">
      <c r="A852" s="344"/>
      <c r="B852" s="344"/>
      <c r="C852" s="344"/>
      <c r="D852" s="344"/>
      <c r="E852" s="344"/>
      <c r="F852" s="344"/>
      <c r="G852" s="344"/>
      <c r="H852" s="625"/>
      <c r="I852" s="625"/>
      <c r="J852" s="16"/>
    </row>
    <row r="853" spans="1:10" ht="15.75" customHeight="1">
      <c r="A853" s="344"/>
      <c r="B853" s="344"/>
      <c r="C853" s="344"/>
      <c r="D853" s="344"/>
      <c r="E853" s="344"/>
      <c r="F853" s="344"/>
      <c r="G853" s="344"/>
      <c r="H853" s="625"/>
      <c r="I853" s="625"/>
      <c r="J853" s="16"/>
    </row>
    <row r="854" spans="1:10" ht="15.75" customHeight="1">
      <c r="A854" s="344"/>
      <c r="B854" s="344"/>
      <c r="C854" s="344"/>
      <c r="D854" s="344"/>
      <c r="E854" s="344"/>
      <c r="F854" s="344"/>
      <c r="G854" s="344"/>
      <c r="H854" s="625"/>
      <c r="I854" s="625"/>
      <c r="J854" s="16"/>
    </row>
    <row r="855" spans="1:10" ht="15.75" customHeight="1">
      <c r="A855" s="344"/>
      <c r="B855" s="344"/>
      <c r="C855" s="344"/>
      <c r="D855" s="344"/>
      <c r="E855" s="344"/>
      <c r="F855" s="344"/>
      <c r="G855" s="344"/>
      <c r="H855" s="625"/>
      <c r="I855" s="625"/>
      <c r="J855" s="16"/>
    </row>
    <row r="856" spans="1:10" ht="15.75" customHeight="1">
      <c r="A856" s="344"/>
      <c r="B856" s="344"/>
      <c r="C856" s="344"/>
      <c r="D856" s="344"/>
      <c r="E856" s="344"/>
      <c r="F856" s="344"/>
      <c r="G856" s="344"/>
      <c r="H856" s="625"/>
      <c r="I856" s="625"/>
      <c r="J856" s="16"/>
    </row>
    <row r="857" spans="1:10" ht="15.75" customHeight="1">
      <c r="A857" s="344"/>
      <c r="B857" s="344"/>
      <c r="C857" s="344"/>
      <c r="D857" s="344"/>
      <c r="E857" s="344"/>
      <c r="F857" s="344"/>
      <c r="G857" s="344"/>
      <c r="H857" s="625"/>
      <c r="I857" s="625"/>
      <c r="J857" s="16"/>
    </row>
    <row r="858" spans="1:10" ht="15.75" customHeight="1">
      <c r="A858" s="344"/>
      <c r="B858" s="344"/>
      <c r="C858" s="344"/>
      <c r="D858" s="344"/>
      <c r="E858" s="344"/>
      <c r="F858" s="344"/>
      <c r="G858" s="344"/>
      <c r="H858" s="625"/>
      <c r="I858" s="625"/>
      <c r="J858" s="16"/>
    </row>
    <row r="859" spans="1:10" ht="15.75" customHeight="1">
      <c r="A859" s="344"/>
      <c r="B859" s="344"/>
      <c r="C859" s="344"/>
      <c r="D859" s="344"/>
      <c r="E859" s="344"/>
      <c r="F859" s="344"/>
      <c r="G859" s="344"/>
      <c r="H859" s="625"/>
      <c r="I859" s="625"/>
      <c r="J859" s="16"/>
    </row>
    <row r="860" spans="1:10" ht="15.75" customHeight="1">
      <c r="A860" s="344"/>
      <c r="B860" s="344"/>
      <c r="C860" s="344"/>
      <c r="D860" s="344"/>
      <c r="E860" s="344"/>
      <c r="F860" s="344"/>
      <c r="G860" s="344"/>
      <c r="H860" s="625"/>
      <c r="I860" s="625"/>
      <c r="J860" s="16"/>
    </row>
    <row r="861" spans="1:10" ht="15.75" customHeight="1">
      <c r="A861" s="344"/>
      <c r="B861" s="344"/>
      <c r="C861" s="344"/>
      <c r="D861" s="344"/>
      <c r="E861" s="344"/>
      <c r="F861" s="344"/>
      <c r="G861" s="344"/>
      <c r="H861" s="625"/>
      <c r="I861" s="625"/>
      <c r="J861" s="16"/>
    </row>
    <row r="862" spans="1:10" ht="15.75" customHeight="1">
      <c r="A862" s="344"/>
      <c r="B862" s="344"/>
      <c r="C862" s="344"/>
      <c r="D862" s="344"/>
      <c r="E862" s="344"/>
      <c r="F862" s="344"/>
      <c r="G862" s="344"/>
      <c r="H862" s="625"/>
      <c r="I862" s="625"/>
      <c r="J862" s="16"/>
    </row>
    <row r="863" spans="1:10" ht="15.75" customHeight="1">
      <c r="A863" s="344"/>
      <c r="B863" s="344"/>
      <c r="C863" s="344"/>
      <c r="D863" s="344"/>
      <c r="E863" s="344"/>
      <c r="F863" s="344"/>
      <c r="G863" s="344"/>
      <c r="H863" s="625"/>
      <c r="I863" s="625"/>
      <c r="J863" s="16"/>
    </row>
    <row r="864" spans="1:10" ht="15.75" customHeight="1">
      <c r="A864" s="344"/>
      <c r="B864" s="344"/>
      <c r="C864" s="344"/>
      <c r="D864" s="344"/>
      <c r="E864" s="344"/>
      <c r="F864" s="344"/>
      <c r="G864" s="344"/>
      <c r="H864" s="625"/>
      <c r="I864" s="625"/>
      <c r="J864" s="16"/>
    </row>
    <row r="865" spans="1:10" ht="15.75" customHeight="1">
      <c r="A865" s="344"/>
      <c r="B865" s="344"/>
      <c r="C865" s="344"/>
      <c r="D865" s="344"/>
      <c r="E865" s="344"/>
      <c r="F865" s="344"/>
      <c r="G865" s="344"/>
      <c r="H865" s="625"/>
      <c r="I865" s="625"/>
      <c r="J865" s="16"/>
    </row>
    <row r="866" spans="1:10" ht="15.75" customHeight="1">
      <c r="A866" s="344"/>
      <c r="B866" s="344"/>
      <c r="C866" s="344"/>
      <c r="D866" s="344"/>
      <c r="E866" s="344"/>
      <c r="F866" s="344"/>
      <c r="G866" s="344"/>
      <c r="H866" s="625"/>
      <c r="I866" s="625"/>
      <c r="J866" s="16"/>
    </row>
    <row r="867" spans="1:10" ht="15.75" customHeight="1">
      <c r="A867" s="344"/>
      <c r="B867" s="344"/>
      <c r="C867" s="344"/>
      <c r="D867" s="344"/>
      <c r="E867" s="344"/>
      <c r="F867" s="344"/>
      <c r="G867" s="344"/>
      <c r="H867" s="625"/>
      <c r="I867" s="625"/>
      <c r="J867" s="16"/>
    </row>
    <row r="868" spans="1:10" ht="15.75" customHeight="1">
      <c r="A868" s="344"/>
      <c r="B868" s="344"/>
      <c r="C868" s="344"/>
      <c r="D868" s="344"/>
      <c r="E868" s="344"/>
      <c r="F868" s="344"/>
      <c r="G868" s="344"/>
      <c r="H868" s="625"/>
      <c r="I868" s="625"/>
      <c r="J868" s="16"/>
    </row>
    <row r="869" spans="1:10" ht="15.75" customHeight="1">
      <c r="A869" s="344"/>
      <c r="B869" s="344"/>
      <c r="C869" s="344"/>
      <c r="D869" s="344"/>
      <c r="E869" s="344"/>
      <c r="F869" s="344"/>
      <c r="G869" s="344"/>
      <c r="H869" s="625"/>
      <c r="I869" s="625"/>
      <c r="J869" s="16"/>
    </row>
    <row r="870" spans="1:10" ht="15.75" customHeight="1">
      <c r="A870" s="344"/>
      <c r="B870" s="344"/>
      <c r="C870" s="344"/>
      <c r="D870" s="344"/>
      <c r="E870" s="344"/>
      <c r="F870" s="344"/>
      <c r="G870" s="344"/>
      <c r="H870" s="625"/>
      <c r="I870" s="625"/>
      <c r="J870" s="16"/>
    </row>
    <row r="871" spans="1:10" ht="15.75" customHeight="1">
      <c r="A871" s="344"/>
      <c r="B871" s="344"/>
      <c r="C871" s="344"/>
      <c r="D871" s="344"/>
      <c r="E871" s="344"/>
      <c r="F871" s="344"/>
      <c r="G871" s="344"/>
      <c r="H871" s="625"/>
      <c r="I871" s="625"/>
      <c r="J871" s="16"/>
    </row>
    <row r="872" spans="1:10" ht="15.75" customHeight="1">
      <c r="A872" s="344"/>
      <c r="B872" s="344"/>
      <c r="C872" s="344"/>
      <c r="D872" s="344"/>
      <c r="E872" s="344"/>
      <c r="F872" s="344"/>
      <c r="G872" s="344"/>
      <c r="H872" s="625"/>
      <c r="I872" s="625"/>
      <c r="J872" s="16"/>
    </row>
    <row r="873" spans="1:10" ht="15.75" customHeight="1">
      <c r="A873" s="344"/>
      <c r="B873" s="344"/>
      <c r="C873" s="344"/>
      <c r="D873" s="344"/>
      <c r="E873" s="344"/>
      <c r="F873" s="344"/>
      <c r="G873" s="344"/>
      <c r="H873" s="625"/>
      <c r="I873" s="625"/>
      <c r="J873" s="16"/>
    </row>
    <row r="874" spans="1:10" ht="15.75" customHeight="1">
      <c r="A874" s="344"/>
      <c r="B874" s="344"/>
      <c r="C874" s="344"/>
      <c r="D874" s="344"/>
      <c r="E874" s="344"/>
      <c r="F874" s="344"/>
      <c r="G874" s="344"/>
      <c r="H874" s="625"/>
      <c r="I874" s="625"/>
      <c r="J874" s="16"/>
    </row>
    <row r="875" spans="1:10" ht="15.75" customHeight="1">
      <c r="A875" s="344"/>
      <c r="B875" s="344"/>
      <c r="C875" s="344"/>
      <c r="D875" s="344"/>
      <c r="E875" s="344"/>
      <c r="F875" s="344"/>
      <c r="G875" s="344"/>
      <c r="H875" s="625"/>
      <c r="I875" s="625"/>
      <c r="J875" s="16"/>
    </row>
    <row r="876" spans="1:10" ht="15.75" customHeight="1">
      <c r="A876" s="344"/>
      <c r="B876" s="344"/>
      <c r="C876" s="344"/>
      <c r="D876" s="344"/>
      <c r="E876" s="344"/>
      <c r="F876" s="344"/>
      <c r="G876" s="344"/>
      <c r="H876" s="625"/>
      <c r="I876" s="625"/>
      <c r="J876" s="16"/>
    </row>
    <row r="877" spans="1:10" ht="15.75" customHeight="1">
      <c r="A877" s="344"/>
      <c r="B877" s="344"/>
      <c r="C877" s="344"/>
      <c r="D877" s="344"/>
      <c r="E877" s="344"/>
      <c r="F877" s="344"/>
      <c r="G877" s="344"/>
      <c r="H877" s="625"/>
      <c r="I877" s="625"/>
      <c r="J877" s="16"/>
    </row>
    <row r="878" spans="1:10" ht="15.75" customHeight="1">
      <c r="A878" s="344"/>
      <c r="B878" s="344"/>
      <c r="C878" s="344"/>
      <c r="D878" s="344"/>
      <c r="E878" s="344"/>
      <c r="F878" s="344"/>
      <c r="G878" s="344"/>
      <c r="H878" s="625"/>
      <c r="I878" s="625"/>
      <c r="J878" s="16"/>
    </row>
    <row r="879" spans="1:10" ht="15.75" customHeight="1">
      <c r="A879" s="344"/>
      <c r="B879" s="344"/>
      <c r="C879" s="344"/>
      <c r="D879" s="344"/>
      <c r="E879" s="344"/>
      <c r="F879" s="344"/>
      <c r="G879" s="344"/>
      <c r="H879" s="625"/>
      <c r="I879" s="625"/>
      <c r="J879" s="16"/>
    </row>
    <row r="880" spans="1:10" ht="15.75" customHeight="1">
      <c r="A880" s="344"/>
      <c r="B880" s="344"/>
      <c r="C880" s="344"/>
      <c r="D880" s="344"/>
      <c r="E880" s="344"/>
      <c r="F880" s="344"/>
      <c r="G880" s="344"/>
      <c r="H880" s="625"/>
      <c r="I880" s="625"/>
      <c r="J880" s="16"/>
    </row>
    <row r="881" spans="1:10" ht="15.75" customHeight="1">
      <c r="A881" s="344"/>
      <c r="B881" s="344"/>
      <c r="C881" s="344"/>
      <c r="D881" s="344"/>
      <c r="E881" s="344"/>
      <c r="F881" s="344"/>
      <c r="G881" s="344"/>
      <c r="H881" s="625"/>
      <c r="I881" s="625"/>
      <c r="J881" s="16"/>
    </row>
    <row r="882" spans="1:10" ht="15.75" customHeight="1">
      <c r="A882" s="344"/>
      <c r="B882" s="344"/>
      <c r="C882" s="344"/>
      <c r="D882" s="344"/>
      <c r="E882" s="344"/>
      <c r="F882" s="344"/>
      <c r="G882" s="344"/>
      <c r="H882" s="625"/>
      <c r="I882" s="625"/>
      <c r="J882" s="16"/>
    </row>
    <row r="883" spans="1:10" ht="15.75" customHeight="1">
      <c r="A883" s="344"/>
      <c r="B883" s="344"/>
      <c r="C883" s="344"/>
      <c r="D883" s="344"/>
      <c r="E883" s="344"/>
      <c r="F883" s="344"/>
      <c r="G883" s="344"/>
      <c r="H883" s="625"/>
      <c r="I883" s="625"/>
      <c r="J883" s="16"/>
    </row>
    <row r="884" spans="1:10" ht="15.75" customHeight="1">
      <c r="A884" s="344"/>
      <c r="B884" s="344"/>
      <c r="C884" s="344"/>
      <c r="D884" s="344"/>
      <c r="E884" s="344"/>
      <c r="F884" s="344"/>
      <c r="G884" s="344"/>
      <c r="H884" s="625"/>
      <c r="I884" s="625"/>
      <c r="J884" s="16"/>
    </row>
    <row r="885" spans="1:10" ht="15.75" customHeight="1">
      <c r="A885" s="344"/>
      <c r="B885" s="344"/>
      <c r="C885" s="344"/>
      <c r="D885" s="344"/>
      <c r="E885" s="344"/>
      <c r="F885" s="344"/>
      <c r="G885" s="344"/>
      <c r="H885" s="625"/>
      <c r="I885" s="625"/>
      <c r="J885" s="16"/>
    </row>
    <row r="886" spans="1:10" ht="15.75" customHeight="1">
      <c r="A886" s="344"/>
      <c r="B886" s="344"/>
      <c r="C886" s="344"/>
      <c r="D886" s="344"/>
      <c r="E886" s="344"/>
      <c r="F886" s="344"/>
      <c r="G886" s="344"/>
      <c r="H886" s="625"/>
      <c r="I886" s="625"/>
      <c r="J886" s="16"/>
    </row>
    <row r="887" spans="1:10" ht="15.75" customHeight="1">
      <c r="A887" s="344"/>
      <c r="B887" s="344"/>
      <c r="C887" s="344"/>
      <c r="D887" s="344"/>
      <c r="E887" s="344"/>
      <c r="F887" s="344"/>
      <c r="G887" s="344"/>
      <c r="H887" s="625"/>
      <c r="I887" s="625"/>
      <c r="J887" s="16"/>
    </row>
    <row r="888" spans="1:10" ht="15.75" customHeight="1">
      <c r="A888" s="344"/>
      <c r="B888" s="344"/>
      <c r="C888" s="344"/>
      <c r="D888" s="344"/>
      <c r="E888" s="344"/>
      <c r="F888" s="344"/>
      <c r="G888" s="344"/>
      <c r="H888" s="625"/>
      <c r="I888" s="625"/>
      <c r="J888" s="16"/>
    </row>
    <row r="889" spans="1:10" ht="15.75" customHeight="1">
      <c r="A889" s="344"/>
      <c r="B889" s="344"/>
      <c r="C889" s="344"/>
      <c r="D889" s="344"/>
      <c r="E889" s="344"/>
      <c r="F889" s="344"/>
      <c r="G889" s="344"/>
      <c r="H889" s="625"/>
      <c r="I889" s="625"/>
      <c r="J889" s="16"/>
    </row>
    <row r="890" spans="1:10" ht="15.75" customHeight="1">
      <c r="A890" s="344"/>
      <c r="B890" s="344"/>
      <c r="C890" s="344"/>
      <c r="D890" s="344"/>
      <c r="E890" s="344"/>
      <c r="F890" s="344"/>
      <c r="G890" s="344"/>
      <c r="H890" s="625"/>
      <c r="I890" s="625"/>
      <c r="J890" s="16"/>
    </row>
    <row r="891" spans="1:10" ht="15.75" customHeight="1">
      <c r="A891" s="344"/>
      <c r="B891" s="344"/>
      <c r="C891" s="344"/>
      <c r="D891" s="344"/>
      <c r="E891" s="344"/>
      <c r="F891" s="344"/>
      <c r="G891" s="344"/>
      <c r="H891" s="625"/>
      <c r="I891" s="625"/>
      <c r="J891" s="16"/>
    </row>
    <row r="892" spans="1:10" ht="15.75" customHeight="1">
      <c r="A892" s="344"/>
      <c r="B892" s="344"/>
      <c r="C892" s="344"/>
      <c r="D892" s="344"/>
      <c r="E892" s="344"/>
      <c r="F892" s="344"/>
      <c r="G892" s="344"/>
      <c r="H892" s="625"/>
      <c r="I892" s="625"/>
      <c r="J892" s="16"/>
    </row>
    <row r="893" spans="1:10" ht="15.75" customHeight="1">
      <c r="A893" s="344"/>
      <c r="B893" s="344"/>
      <c r="C893" s="344"/>
      <c r="D893" s="344"/>
      <c r="E893" s="344"/>
      <c r="F893" s="344"/>
      <c r="G893" s="344"/>
      <c r="H893" s="625"/>
      <c r="I893" s="625"/>
      <c r="J893" s="16"/>
    </row>
    <row r="894" spans="1:10" ht="15.75" customHeight="1">
      <c r="A894" s="344"/>
      <c r="B894" s="344"/>
      <c r="C894" s="344"/>
      <c r="D894" s="344"/>
      <c r="E894" s="344"/>
      <c r="F894" s="344"/>
      <c r="G894" s="344"/>
      <c r="H894" s="625"/>
      <c r="I894" s="625"/>
      <c r="J894" s="16"/>
    </row>
    <row r="895" spans="1:10" ht="15.75" customHeight="1">
      <c r="A895" s="344"/>
      <c r="B895" s="344"/>
      <c r="C895" s="344"/>
      <c r="D895" s="344"/>
      <c r="E895" s="344"/>
      <c r="F895" s="344"/>
      <c r="G895" s="344"/>
      <c r="H895" s="625"/>
      <c r="I895" s="625"/>
      <c r="J895" s="16"/>
    </row>
    <row r="896" spans="1:10" ht="15.75" customHeight="1">
      <c r="A896" s="344"/>
      <c r="B896" s="344"/>
      <c r="C896" s="344"/>
      <c r="D896" s="344"/>
      <c r="E896" s="344"/>
      <c r="F896" s="344"/>
      <c r="G896" s="344"/>
      <c r="H896" s="625"/>
      <c r="I896" s="625"/>
      <c r="J896" s="16"/>
    </row>
    <row r="897" spans="1:10" ht="15.75" customHeight="1">
      <c r="A897" s="344"/>
      <c r="B897" s="344"/>
      <c r="C897" s="344"/>
      <c r="D897" s="344"/>
      <c r="E897" s="344"/>
      <c r="F897" s="344"/>
      <c r="G897" s="344"/>
      <c r="H897" s="625"/>
      <c r="I897" s="625"/>
      <c r="J897" s="16"/>
    </row>
    <row r="898" spans="1:10" ht="15.75" customHeight="1">
      <c r="A898" s="344"/>
      <c r="B898" s="344"/>
      <c r="C898" s="344"/>
      <c r="D898" s="344"/>
      <c r="E898" s="344"/>
      <c r="F898" s="344"/>
      <c r="G898" s="344"/>
      <c r="H898" s="625"/>
      <c r="I898" s="625"/>
      <c r="J898" s="16"/>
    </row>
    <row r="899" spans="1:10" ht="15.75" customHeight="1">
      <c r="A899" s="344"/>
      <c r="B899" s="344"/>
      <c r="C899" s="344"/>
      <c r="D899" s="344"/>
      <c r="E899" s="344"/>
      <c r="F899" s="344"/>
      <c r="G899" s="344"/>
      <c r="H899" s="625"/>
      <c r="I899" s="625"/>
      <c r="J899" s="16"/>
    </row>
    <row r="900" spans="1:10" ht="15.75" customHeight="1">
      <c r="A900" s="344"/>
      <c r="B900" s="344"/>
      <c r="C900" s="344"/>
      <c r="D900" s="344"/>
      <c r="E900" s="344"/>
      <c r="F900" s="344"/>
      <c r="G900" s="344"/>
      <c r="H900" s="625"/>
      <c r="I900" s="625"/>
      <c r="J900" s="16"/>
    </row>
    <row r="901" spans="1:10" ht="15.75" customHeight="1">
      <c r="A901" s="344"/>
      <c r="B901" s="344"/>
      <c r="C901" s="344"/>
      <c r="D901" s="344"/>
      <c r="E901" s="344"/>
      <c r="F901" s="344"/>
      <c r="G901" s="344"/>
      <c r="H901" s="625"/>
      <c r="I901" s="625"/>
      <c r="J901" s="16"/>
    </row>
    <row r="902" spans="1:10" ht="15.75" customHeight="1">
      <c r="A902" s="344"/>
      <c r="B902" s="344"/>
      <c r="C902" s="344"/>
      <c r="D902" s="344"/>
      <c r="E902" s="344"/>
      <c r="F902" s="344"/>
      <c r="G902" s="344"/>
      <c r="H902" s="625"/>
      <c r="I902" s="625"/>
      <c r="J902" s="16"/>
    </row>
    <row r="903" spans="1:10" ht="15.75" customHeight="1">
      <c r="A903" s="344"/>
      <c r="B903" s="344"/>
      <c r="C903" s="344"/>
      <c r="D903" s="344"/>
      <c r="E903" s="344"/>
      <c r="F903" s="344"/>
      <c r="G903" s="344"/>
      <c r="H903" s="625"/>
      <c r="I903" s="625"/>
      <c r="J903" s="16"/>
    </row>
    <row r="904" spans="1:10" ht="15.75" customHeight="1">
      <c r="A904" s="344"/>
      <c r="B904" s="344"/>
      <c r="C904" s="344"/>
      <c r="D904" s="344"/>
      <c r="E904" s="344"/>
      <c r="F904" s="344"/>
      <c r="G904" s="344"/>
      <c r="H904" s="625"/>
      <c r="I904" s="625"/>
      <c r="J904" s="16"/>
    </row>
    <row r="905" spans="1:10" ht="15.75" customHeight="1">
      <c r="A905" s="344"/>
      <c r="B905" s="344"/>
      <c r="C905" s="344"/>
      <c r="D905" s="344"/>
      <c r="E905" s="344"/>
      <c r="F905" s="344"/>
      <c r="G905" s="344"/>
      <c r="H905" s="625"/>
      <c r="I905" s="625"/>
      <c r="J905" s="16"/>
    </row>
    <row r="906" spans="1:10" ht="15.75" customHeight="1">
      <c r="A906" s="344"/>
      <c r="B906" s="344"/>
      <c r="C906" s="344"/>
      <c r="D906" s="344"/>
      <c r="E906" s="344"/>
      <c r="F906" s="344"/>
      <c r="G906" s="344"/>
      <c r="H906" s="625"/>
      <c r="I906" s="625"/>
      <c r="J906" s="16"/>
    </row>
    <row r="907" spans="1:10" ht="15.75" customHeight="1">
      <c r="A907" s="344"/>
      <c r="B907" s="344"/>
      <c r="C907" s="344"/>
      <c r="D907" s="344"/>
      <c r="E907" s="344"/>
      <c r="F907" s="344"/>
      <c r="G907" s="344"/>
      <c r="H907" s="625"/>
      <c r="I907" s="625"/>
      <c r="J907" s="16"/>
    </row>
    <row r="908" spans="1:10" ht="15.75" customHeight="1">
      <c r="A908" s="344"/>
      <c r="B908" s="344"/>
      <c r="C908" s="344"/>
      <c r="D908" s="344"/>
      <c r="E908" s="344"/>
      <c r="F908" s="344"/>
      <c r="G908" s="344"/>
      <c r="H908" s="625"/>
      <c r="I908" s="625"/>
      <c r="J908" s="16"/>
    </row>
    <row r="909" spans="1:10" ht="15.75" customHeight="1">
      <c r="A909" s="344"/>
      <c r="B909" s="344"/>
      <c r="C909" s="344"/>
      <c r="D909" s="344"/>
      <c r="E909" s="344"/>
      <c r="F909" s="344"/>
      <c r="G909" s="344"/>
      <c r="H909" s="625"/>
      <c r="I909" s="625"/>
      <c r="J909" s="16"/>
    </row>
    <row r="910" spans="1:10" ht="15.75" customHeight="1">
      <c r="A910" s="344"/>
      <c r="B910" s="344"/>
      <c r="C910" s="344"/>
      <c r="D910" s="344"/>
      <c r="E910" s="344"/>
      <c r="F910" s="344"/>
      <c r="G910" s="344"/>
      <c r="H910" s="625"/>
      <c r="I910" s="625"/>
      <c r="J910" s="16"/>
    </row>
    <row r="911" spans="1:10" ht="15.75" customHeight="1">
      <c r="A911" s="344"/>
      <c r="B911" s="344"/>
      <c r="C911" s="344"/>
      <c r="D911" s="344"/>
      <c r="E911" s="344"/>
      <c r="F911" s="344"/>
      <c r="G911" s="344"/>
      <c r="H911" s="625"/>
      <c r="I911" s="625"/>
      <c r="J911" s="16"/>
    </row>
    <row r="912" spans="1:10" ht="15.75" customHeight="1">
      <c r="A912" s="344"/>
      <c r="B912" s="344"/>
      <c r="C912" s="344"/>
      <c r="D912" s="344"/>
      <c r="E912" s="344"/>
      <c r="F912" s="344"/>
      <c r="G912" s="344"/>
      <c r="H912" s="625"/>
      <c r="I912" s="625"/>
      <c r="J912" s="16"/>
    </row>
    <row r="913" spans="1:10" ht="15.75" customHeight="1">
      <c r="A913" s="344"/>
      <c r="B913" s="344"/>
      <c r="C913" s="344"/>
      <c r="D913" s="344"/>
      <c r="E913" s="344"/>
      <c r="F913" s="344"/>
      <c r="G913" s="344"/>
      <c r="H913" s="625"/>
      <c r="I913" s="625"/>
      <c r="J913" s="16"/>
    </row>
    <row r="914" spans="1:10" ht="15.75" customHeight="1">
      <c r="A914" s="344"/>
      <c r="B914" s="344"/>
      <c r="C914" s="344"/>
      <c r="D914" s="344"/>
      <c r="E914" s="344"/>
      <c r="F914" s="344"/>
      <c r="G914" s="344"/>
      <c r="H914" s="625"/>
      <c r="I914" s="625"/>
      <c r="J914" s="16"/>
    </row>
    <row r="915" spans="1:10" ht="15.75" customHeight="1">
      <c r="A915" s="344"/>
      <c r="B915" s="344"/>
      <c r="C915" s="344"/>
      <c r="D915" s="344"/>
      <c r="E915" s="344"/>
      <c r="F915" s="344"/>
      <c r="G915" s="344"/>
      <c r="H915" s="625"/>
      <c r="I915" s="625"/>
      <c r="J915" s="16"/>
    </row>
    <row r="916" spans="1:10" ht="15.75" customHeight="1">
      <c r="A916" s="344"/>
      <c r="B916" s="344"/>
      <c r="C916" s="344"/>
      <c r="D916" s="344"/>
      <c r="E916" s="344"/>
      <c r="F916" s="344"/>
      <c r="G916" s="344"/>
      <c r="H916" s="625"/>
      <c r="I916" s="625"/>
      <c r="J916" s="16"/>
    </row>
    <row r="917" spans="1:10" ht="15.75" customHeight="1">
      <c r="A917" s="344"/>
      <c r="B917" s="344"/>
      <c r="C917" s="344"/>
      <c r="D917" s="344"/>
      <c r="E917" s="344"/>
      <c r="F917" s="344"/>
      <c r="G917" s="344"/>
      <c r="H917" s="625"/>
      <c r="I917" s="625"/>
      <c r="J917" s="16"/>
    </row>
    <row r="918" spans="1:10" ht="15.75" customHeight="1">
      <c r="A918" s="344"/>
      <c r="B918" s="344"/>
      <c r="C918" s="344"/>
      <c r="D918" s="344"/>
      <c r="E918" s="344"/>
      <c r="F918" s="344"/>
      <c r="G918" s="344"/>
      <c r="H918" s="625"/>
      <c r="I918" s="625"/>
      <c r="J918" s="16"/>
    </row>
    <row r="919" spans="1:10" ht="15.75" customHeight="1">
      <c r="A919" s="344"/>
      <c r="B919" s="344"/>
      <c r="C919" s="344"/>
      <c r="D919" s="344"/>
      <c r="E919" s="344"/>
      <c r="F919" s="344"/>
      <c r="G919" s="344"/>
      <c r="H919" s="625"/>
      <c r="I919" s="625"/>
      <c r="J919" s="16"/>
    </row>
    <row r="920" spans="1:10" ht="15.75" customHeight="1">
      <c r="A920" s="344"/>
      <c r="B920" s="344"/>
      <c r="C920" s="344"/>
      <c r="D920" s="344"/>
      <c r="E920" s="344"/>
      <c r="F920" s="344"/>
      <c r="G920" s="344"/>
      <c r="H920" s="625"/>
      <c r="I920" s="625"/>
      <c r="J920" s="16"/>
    </row>
    <row r="921" spans="1:10" ht="15.75" customHeight="1">
      <c r="A921" s="344"/>
      <c r="B921" s="344"/>
      <c r="C921" s="344"/>
      <c r="D921" s="344"/>
      <c r="E921" s="344"/>
      <c r="F921" s="344"/>
      <c r="G921" s="344"/>
      <c r="H921" s="625"/>
      <c r="I921" s="625"/>
      <c r="J921" s="16"/>
    </row>
    <row r="922" spans="1:10" ht="15.75" customHeight="1">
      <c r="A922" s="344"/>
      <c r="B922" s="344"/>
      <c r="C922" s="344"/>
      <c r="D922" s="344"/>
      <c r="E922" s="344"/>
      <c r="F922" s="344"/>
      <c r="G922" s="344"/>
      <c r="H922" s="625"/>
      <c r="I922" s="625"/>
      <c r="J922" s="16"/>
    </row>
    <row r="923" spans="1:10" ht="15.75" customHeight="1">
      <c r="A923" s="344"/>
      <c r="B923" s="344"/>
      <c r="C923" s="344"/>
      <c r="D923" s="344"/>
      <c r="E923" s="344"/>
      <c r="F923" s="344"/>
      <c r="G923" s="344"/>
      <c r="H923" s="625"/>
      <c r="I923" s="625"/>
      <c r="J923" s="16"/>
    </row>
    <row r="924" spans="1:10" ht="15.75" customHeight="1">
      <c r="A924" s="344"/>
      <c r="B924" s="344"/>
      <c r="C924" s="344"/>
      <c r="D924" s="344"/>
      <c r="E924" s="344"/>
      <c r="F924" s="344"/>
      <c r="G924" s="344"/>
      <c r="H924" s="625"/>
      <c r="I924" s="625"/>
      <c r="J924" s="16"/>
    </row>
    <row r="925" spans="1:10" ht="15.75" customHeight="1">
      <c r="A925" s="344"/>
      <c r="B925" s="344"/>
      <c r="C925" s="344"/>
      <c r="D925" s="344"/>
      <c r="E925" s="344"/>
      <c r="F925" s="344"/>
      <c r="G925" s="344"/>
      <c r="H925" s="625"/>
      <c r="I925" s="625"/>
      <c r="J925" s="16"/>
    </row>
    <row r="926" spans="1:10" ht="15.75" customHeight="1">
      <c r="A926" s="344"/>
      <c r="B926" s="344"/>
      <c r="C926" s="344"/>
      <c r="D926" s="344"/>
      <c r="E926" s="344"/>
      <c r="F926" s="344"/>
      <c r="G926" s="344"/>
      <c r="H926" s="625"/>
      <c r="I926" s="625"/>
      <c r="J926" s="16"/>
    </row>
    <row r="927" spans="1:10" ht="15.75" customHeight="1">
      <c r="A927" s="344"/>
      <c r="B927" s="344"/>
      <c r="C927" s="344"/>
      <c r="D927" s="344"/>
      <c r="E927" s="344"/>
      <c r="F927" s="344"/>
      <c r="G927" s="344"/>
      <c r="H927" s="625"/>
      <c r="I927" s="625"/>
      <c r="J927" s="16"/>
    </row>
    <row r="928" spans="1:10" ht="15.75" customHeight="1">
      <c r="A928" s="344"/>
      <c r="B928" s="344"/>
      <c r="C928" s="344"/>
      <c r="D928" s="344"/>
      <c r="E928" s="344"/>
      <c r="F928" s="344"/>
      <c r="G928" s="344"/>
      <c r="H928" s="625"/>
      <c r="I928" s="625"/>
      <c r="J928" s="16"/>
    </row>
    <row r="929" spans="1:10" ht="15.75" customHeight="1">
      <c r="A929" s="344"/>
      <c r="B929" s="344"/>
      <c r="C929" s="344"/>
      <c r="D929" s="344"/>
      <c r="E929" s="344"/>
      <c r="F929" s="344"/>
      <c r="G929" s="344"/>
      <c r="H929" s="625"/>
      <c r="I929" s="625"/>
      <c r="J929" s="16"/>
    </row>
    <row r="930" spans="1:10" ht="15.75" customHeight="1">
      <c r="A930" s="344"/>
      <c r="B930" s="344"/>
      <c r="C930" s="344"/>
      <c r="D930" s="344"/>
      <c r="E930" s="344"/>
      <c r="F930" s="344"/>
      <c r="G930" s="344"/>
      <c r="H930" s="625"/>
      <c r="I930" s="625"/>
      <c r="J930" s="16"/>
    </row>
    <row r="931" spans="1:10" ht="15.75" customHeight="1">
      <c r="A931" s="344"/>
      <c r="B931" s="344"/>
      <c r="C931" s="344"/>
      <c r="D931" s="344"/>
      <c r="E931" s="344"/>
      <c r="F931" s="344"/>
      <c r="G931" s="344"/>
      <c r="H931" s="625"/>
      <c r="I931" s="625"/>
      <c r="J931" s="16"/>
    </row>
    <row r="932" spans="1:10" ht="15.75" customHeight="1">
      <c r="A932" s="344"/>
      <c r="B932" s="344"/>
      <c r="C932" s="344"/>
      <c r="D932" s="344"/>
      <c r="E932" s="344"/>
      <c r="F932" s="344"/>
      <c r="G932" s="344"/>
      <c r="H932" s="625"/>
      <c r="I932" s="625"/>
      <c r="J932" s="16"/>
    </row>
    <row r="933" spans="1:10" ht="15.75" customHeight="1">
      <c r="A933" s="344"/>
      <c r="B933" s="344"/>
      <c r="C933" s="344"/>
      <c r="D933" s="344"/>
      <c r="E933" s="344"/>
      <c r="F933" s="344"/>
      <c r="G933" s="344"/>
      <c r="H933" s="625"/>
      <c r="I933" s="625"/>
      <c r="J933" s="16"/>
    </row>
    <row r="934" spans="1:10" ht="15.75" customHeight="1">
      <c r="A934" s="344"/>
      <c r="B934" s="344"/>
      <c r="C934" s="344"/>
      <c r="D934" s="344"/>
      <c r="E934" s="344"/>
      <c r="F934" s="344"/>
      <c r="G934" s="344"/>
      <c r="H934" s="625"/>
      <c r="I934" s="625"/>
      <c r="J934" s="16"/>
    </row>
    <row r="935" spans="1:10" ht="15.75" customHeight="1">
      <c r="A935" s="344"/>
      <c r="B935" s="344"/>
      <c r="C935" s="344"/>
      <c r="D935" s="344"/>
      <c r="E935" s="344"/>
      <c r="F935" s="344"/>
      <c r="G935" s="344"/>
      <c r="H935" s="625"/>
      <c r="I935" s="625"/>
      <c r="J935" s="16"/>
    </row>
    <row r="936" spans="1:10" ht="15.75" customHeight="1">
      <c r="A936" s="344"/>
      <c r="B936" s="344"/>
      <c r="C936" s="344"/>
      <c r="D936" s="344"/>
      <c r="E936" s="344"/>
      <c r="F936" s="344"/>
      <c r="G936" s="344"/>
      <c r="H936" s="625"/>
      <c r="I936" s="625"/>
      <c r="J936" s="16"/>
    </row>
    <row r="937" spans="1:10" ht="15.75" customHeight="1">
      <c r="A937" s="344"/>
      <c r="B937" s="344"/>
      <c r="C937" s="344"/>
      <c r="D937" s="344"/>
      <c r="E937" s="344"/>
      <c r="F937" s="344"/>
      <c r="G937" s="344"/>
      <c r="H937" s="625"/>
      <c r="I937" s="625"/>
      <c r="J937" s="16"/>
    </row>
    <row r="938" spans="1:10" ht="15.75" customHeight="1">
      <c r="A938" s="344"/>
      <c r="B938" s="344"/>
      <c r="C938" s="344"/>
      <c r="D938" s="344"/>
      <c r="E938" s="344"/>
      <c r="F938" s="344"/>
      <c r="G938" s="344"/>
      <c r="H938" s="625"/>
      <c r="I938" s="625"/>
      <c r="J938" s="16"/>
    </row>
    <row r="939" spans="1:10" ht="15.75" customHeight="1">
      <c r="A939" s="344"/>
      <c r="B939" s="344"/>
      <c r="C939" s="344"/>
      <c r="D939" s="344"/>
      <c r="E939" s="344"/>
      <c r="F939" s="344"/>
      <c r="G939" s="344"/>
      <c r="H939" s="625"/>
      <c r="I939" s="625"/>
      <c r="J939" s="16"/>
    </row>
    <row r="940" spans="1:10" ht="15.75" customHeight="1">
      <c r="A940" s="344"/>
      <c r="B940" s="344"/>
      <c r="C940" s="344"/>
      <c r="D940" s="344"/>
      <c r="E940" s="344"/>
      <c r="F940" s="344"/>
      <c r="G940" s="344"/>
      <c r="H940" s="625"/>
      <c r="I940" s="625"/>
      <c r="J940" s="16"/>
    </row>
    <row r="941" spans="1:10" ht="15.75" customHeight="1">
      <c r="A941" s="344"/>
      <c r="B941" s="344"/>
      <c r="C941" s="344"/>
      <c r="D941" s="344"/>
      <c r="E941" s="344"/>
      <c r="F941" s="344"/>
      <c r="G941" s="344"/>
      <c r="H941" s="625"/>
      <c r="I941" s="625"/>
      <c r="J941" s="16"/>
    </row>
    <row r="942" spans="1:10" ht="15.75" customHeight="1">
      <c r="A942" s="344"/>
      <c r="B942" s="344"/>
      <c r="C942" s="344"/>
      <c r="D942" s="344"/>
      <c r="E942" s="344"/>
      <c r="F942" s="344"/>
      <c r="G942" s="344"/>
      <c r="H942" s="625"/>
      <c r="I942" s="625"/>
      <c r="J942" s="16"/>
    </row>
    <row r="943" spans="1:10" ht="15.75" customHeight="1">
      <c r="A943" s="344"/>
      <c r="B943" s="344"/>
      <c r="C943" s="344"/>
      <c r="D943" s="344"/>
      <c r="E943" s="344"/>
      <c r="F943" s="344"/>
      <c r="G943" s="344"/>
      <c r="H943" s="625"/>
      <c r="I943" s="625"/>
      <c r="J943" s="16"/>
    </row>
    <row r="944" spans="1:10" ht="15.75" customHeight="1">
      <c r="A944" s="344"/>
      <c r="B944" s="344"/>
      <c r="C944" s="344"/>
      <c r="D944" s="344"/>
      <c r="E944" s="344"/>
      <c r="F944" s="344"/>
      <c r="G944" s="344"/>
      <c r="H944" s="625"/>
      <c r="I944" s="625"/>
      <c r="J944" s="16"/>
    </row>
    <row r="945" spans="1:10" ht="15.75" customHeight="1">
      <c r="A945" s="344"/>
      <c r="B945" s="344"/>
      <c r="C945" s="344"/>
      <c r="D945" s="344"/>
      <c r="E945" s="344"/>
      <c r="F945" s="344"/>
      <c r="G945" s="344"/>
      <c r="H945" s="625"/>
      <c r="I945" s="625"/>
      <c r="J945" s="16"/>
    </row>
    <row r="946" spans="1:10" ht="15.75" customHeight="1">
      <c r="A946" s="344"/>
      <c r="B946" s="344"/>
      <c r="C946" s="344"/>
      <c r="D946" s="344"/>
      <c r="E946" s="344"/>
      <c r="F946" s="344"/>
      <c r="G946" s="344"/>
      <c r="H946" s="625"/>
      <c r="I946" s="625"/>
      <c r="J946" s="16"/>
    </row>
    <row r="947" spans="1:10" ht="15.75" customHeight="1">
      <c r="A947" s="344"/>
      <c r="B947" s="344"/>
      <c r="C947" s="344"/>
      <c r="D947" s="344"/>
      <c r="E947" s="344"/>
      <c r="F947" s="344"/>
      <c r="G947" s="344"/>
      <c r="H947" s="625"/>
      <c r="I947" s="625"/>
      <c r="J947" s="16"/>
    </row>
    <row r="948" spans="1:10" ht="15.75" customHeight="1">
      <c r="A948" s="344"/>
      <c r="B948" s="344"/>
      <c r="C948" s="344"/>
      <c r="D948" s="344"/>
      <c r="E948" s="344"/>
      <c r="F948" s="344"/>
      <c r="G948" s="344"/>
      <c r="H948" s="625"/>
      <c r="I948" s="625"/>
      <c r="J948" s="16"/>
    </row>
    <row r="949" spans="1:10" ht="15.75" customHeight="1">
      <c r="A949" s="344"/>
      <c r="B949" s="344"/>
      <c r="C949" s="344"/>
      <c r="D949" s="344"/>
      <c r="E949" s="344"/>
      <c r="F949" s="344"/>
      <c r="G949" s="344"/>
      <c r="H949" s="625"/>
      <c r="I949" s="625"/>
      <c r="J949" s="16"/>
    </row>
    <row r="950" spans="1:10" ht="15.75" customHeight="1">
      <c r="A950" s="344"/>
      <c r="B950" s="344"/>
      <c r="C950" s="344"/>
      <c r="D950" s="344"/>
      <c r="E950" s="344"/>
      <c r="F950" s="344"/>
      <c r="G950" s="344"/>
      <c r="H950" s="625"/>
      <c r="I950" s="625"/>
      <c r="J950" s="16"/>
    </row>
    <row r="951" spans="1:10" ht="15.75" customHeight="1">
      <c r="A951" s="344"/>
      <c r="B951" s="344"/>
      <c r="C951" s="344"/>
      <c r="D951" s="344"/>
      <c r="E951" s="344"/>
      <c r="F951" s="344"/>
      <c r="G951" s="344"/>
      <c r="H951" s="625"/>
      <c r="I951" s="625"/>
      <c r="J951" s="16"/>
    </row>
    <row r="952" spans="1:10" ht="15.75" customHeight="1">
      <c r="A952" s="344"/>
      <c r="B952" s="344"/>
      <c r="C952" s="344"/>
      <c r="D952" s="344"/>
      <c r="E952" s="344"/>
      <c r="F952" s="344"/>
      <c r="G952" s="344"/>
      <c r="H952" s="625"/>
      <c r="I952" s="625"/>
      <c r="J952" s="16"/>
    </row>
    <row r="953" spans="1:10" ht="15.75" customHeight="1">
      <c r="A953" s="344"/>
      <c r="B953" s="344"/>
      <c r="C953" s="344"/>
      <c r="D953" s="344"/>
      <c r="E953" s="344"/>
      <c r="F953" s="344"/>
      <c r="G953" s="344"/>
      <c r="H953" s="625"/>
      <c r="I953" s="625"/>
      <c r="J953" s="16"/>
    </row>
    <row r="954" spans="1:10" ht="15.75" customHeight="1">
      <c r="A954" s="344"/>
      <c r="B954" s="344"/>
      <c r="C954" s="344"/>
      <c r="D954" s="344"/>
      <c r="E954" s="344"/>
      <c r="F954" s="344"/>
      <c r="G954" s="344"/>
      <c r="H954" s="625"/>
      <c r="I954" s="625"/>
      <c r="J954" s="16"/>
    </row>
    <row r="955" spans="1:10" ht="15.75" customHeight="1">
      <c r="A955" s="344"/>
      <c r="B955" s="344"/>
      <c r="C955" s="344"/>
      <c r="D955" s="344"/>
      <c r="E955" s="344"/>
      <c r="F955" s="344"/>
      <c r="G955" s="344"/>
      <c r="H955" s="625"/>
      <c r="I955" s="625"/>
      <c r="J955" s="16"/>
    </row>
    <row r="956" spans="1:10" ht="15.75" customHeight="1">
      <c r="A956" s="344"/>
      <c r="B956" s="344"/>
      <c r="C956" s="344"/>
      <c r="D956" s="344"/>
      <c r="E956" s="344"/>
      <c r="F956" s="344"/>
      <c r="G956" s="344"/>
      <c r="H956" s="625"/>
      <c r="I956" s="625"/>
      <c r="J956" s="16"/>
    </row>
    <row r="957" spans="1:10" ht="15.75" customHeight="1">
      <c r="A957" s="344"/>
      <c r="B957" s="344"/>
      <c r="C957" s="344"/>
      <c r="D957" s="344"/>
      <c r="E957" s="344"/>
      <c r="F957" s="344"/>
      <c r="G957" s="344"/>
      <c r="H957" s="625"/>
      <c r="I957" s="625"/>
      <c r="J957" s="16"/>
    </row>
    <row r="958" spans="1:10" ht="15.75" customHeight="1">
      <c r="A958" s="344"/>
      <c r="B958" s="344"/>
      <c r="C958" s="344"/>
      <c r="D958" s="344"/>
      <c r="E958" s="344"/>
      <c r="F958" s="344"/>
      <c r="G958" s="344"/>
      <c r="H958" s="625"/>
      <c r="I958" s="625"/>
      <c r="J958" s="16"/>
    </row>
    <row r="959" spans="1:10" ht="15.75" customHeight="1">
      <c r="A959" s="344"/>
      <c r="B959" s="344"/>
      <c r="C959" s="344"/>
      <c r="D959" s="344"/>
      <c r="E959" s="344"/>
      <c r="F959" s="344"/>
      <c r="G959" s="344"/>
      <c r="H959" s="625"/>
      <c r="I959" s="625"/>
      <c r="J959" s="16"/>
    </row>
    <row r="960" spans="1:10" ht="15.75" customHeight="1">
      <c r="A960" s="344"/>
      <c r="B960" s="344"/>
      <c r="C960" s="344"/>
      <c r="D960" s="344"/>
      <c r="E960" s="344"/>
      <c r="F960" s="344"/>
      <c r="G960" s="344"/>
      <c r="H960" s="625"/>
      <c r="I960" s="625"/>
      <c r="J960" s="16"/>
    </row>
    <row r="961" spans="1:10" ht="15.75" customHeight="1">
      <c r="A961" s="344"/>
      <c r="B961" s="344"/>
      <c r="C961" s="344"/>
      <c r="D961" s="344"/>
      <c r="E961" s="344"/>
      <c r="F961" s="344"/>
      <c r="G961" s="344"/>
      <c r="H961" s="625"/>
      <c r="I961" s="625"/>
      <c r="J961" s="16"/>
    </row>
    <row r="962" spans="1:10" ht="15.75" customHeight="1">
      <c r="A962" s="344"/>
      <c r="B962" s="344"/>
      <c r="C962" s="344"/>
      <c r="D962" s="344"/>
      <c r="E962" s="344"/>
      <c r="F962" s="344"/>
      <c r="G962" s="344"/>
      <c r="H962" s="625"/>
      <c r="I962" s="625"/>
      <c r="J962" s="16"/>
    </row>
    <row r="963" spans="1:10" ht="15.75" customHeight="1">
      <c r="A963" s="344"/>
      <c r="B963" s="344"/>
      <c r="C963" s="344"/>
      <c r="D963" s="344"/>
      <c r="E963" s="344"/>
      <c r="F963" s="344"/>
      <c r="G963" s="344"/>
      <c r="H963" s="625"/>
      <c r="I963" s="625"/>
      <c r="J963" s="16"/>
    </row>
    <row r="964" spans="1:10" ht="15.75" customHeight="1">
      <c r="A964" s="344"/>
      <c r="B964" s="344"/>
      <c r="C964" s="344"/>
      <c r="D964" s="344"/>
      <c r="E964" s="344"/>
      <c r="F964" s="344"/>
      <c r="G964" s="344"/>
      <c r="H964" s="625"/>
      <c r="I964" s="625"/>
      <c r="J964" s="16"/>
    </row>
    <row r="965" spans="1:10" ht="15.75" customHeight="1">
      <c r="A965" s="344"/>
      <c r="B965" s="344"/>
      <c r="C965" s="344"/>
      <c r="D965" s="344"/>
      <c r="E965" s="344"/>
      <c r="F965" s="344"/>
      <c r="G965" s="344"/>
      <c r="H965" s="625"/>
      <c r="I965" s="625"/>
      <c r="J965" s="16"/>
    </row>
    <row r="966" spans="1:10" ht="15.75" customHeight="1">
      <c r="A966" s="344"/>
      <c r="B966" s="344"/>
      <c r="C966" s="344"/>
      <c r="D966" s="344"/>
      <c r="E966" s="344"/>
      <c r="F966" s="344"/>
      <c r="G966" s="344"/>
      <c r="H966" s="625"/>
      <c r="I966" s="625"/>
      <c r="J966" s="16"/>
    </row>
    <row r="967" spans="1:10" ht="15.75" customHeight="1">
      <c r="A967" s="344"/>
      <c r="B967" s="344"/>
      <c r="C967" s="344"/>
      <c r="D967" s="344"/>
      <c r="E967" s="344"/>
      <c r="F967" s="344"/>
      <c r="G967" s="344"/>
      <c r="H967" s="625"/>
      <c r="I967" s="625"/>
      <c r="J967" s="16"/>
    </row>
    <row r="968" spans="1:10" ht="15.75" customHeight="1">
      <c r="A968" s="344"/>
      <c r="B968" s="344"/>
      <c r="C968" s="344"/>
      <c r="D968" s="344"/>
      <c r="E968" s="344"/>
      <c r="F968" s="344"/>
      <c r="G968" s="344"/>
      <c r="H968" s="625"/>
      <c r="I968" s="625"/>
      <c r="J968" s="16"/>
    </row>
    <row r="969" spans="1:10" ht="15.75" customHeight="1">
      <c r="A969" s="344"/>
      <c r="B969" s="344"/>
      <c r="C969" s="344"/>
      <c r="D969" s="344"/>
      <c r="E969" s="344"/>
      <c r="F969" s="344"/>
      <c r="G969" s="344"/>
      <c r="H969" s="625"/>
      <c r="I969" s="625"/>
      <c r="J969" s="16"/>
    </row>
    <row r="970" spans="1:10" ht="15.75" customHeight="1">
      <c r="A970" s="344"/>
      <c r="B970" s="344"/>
      <c r="C970" s="344"/>
      <c r="D970" s="344"/>
      <c r="E970" s="344"/>
      <c r="F970" s="344"/>
      <c r="G970" s="344"/>
      <c r="H970" s="625"/>
      <c r="I970" s="625"/>
      <c r="J970" s="16"/>
    </row>
    <row r="971" spans="1:10" ht="15.75" customHeight="1">
      <c r="A971" s="344"/>
      <c r="B971" s="344"/>
      <c r="C971" s="344"/>
      <c r="D971" s="344"/>
      <c r="E971" s="344"/>
      <c r="F971" s="344"/>
      <c r="G971" s="344"/>
      <c r="H971" s="625"/>
      <c r="I971" s="625"/>
      <c r="J971" s="16"/>
    </row>
    <row r="972" spans="1:10" ht="15.75" customHeight="1">
      <c r="A972" s="344"/>
      <c r="B972" s="344"/>
      <c r="C972" s="344"/>
      <c r="D972" s="344"/>
      <c r="E972" s="344"/>
      <c r="F972" s="344"/>
      <c r="G972" s="344"/>
      <c r="H972" s="625"/>
      <c r="I972" s="625"/>
      <c r="J972" s="16"/>
    </row>
    <row r="973" spans="1:10" ht="15.75" customHeight="1">
      <c r="A973" s="344"/>
      <c r="B973" s="344"/>
      <c r="C973" s="344"/>
      <c r="D973" s="344"/>
      <c r="E973" s="344"/>
      <c r="F973" s="344"/>
      <c r="G973" s="344"/>
      <c r="H973" s="625"/>
      <c r="I973" s="625"/>
      <c r="J973" s="16"/>
    </row>
    <row r="974" spans="1:10" ht="15.75" customHeight="1">
      <c r="A974" s="344"/>
      <c r="B974" s="344"/>
      <c r="C974" s="344"/>
      <c r="D974" s="344"/>
      <c r="E974" s="344"/>
      <c r="F974" s="344"/>
      <c r="G974" s="344"/>
      <c r="H974" s="625"/>
      <c r="I974" s="625"/>
      <c r="J974" s="16"/>
    </row>
    <row r="975" spans="1:10" ht="15.75" customHeight="1">
      <c r="A975" s="344"/>
      <c r="B975" s="344"/>
      <c r="C975" s="344"/>
      <c r="D975" s="344"/>
      <c r="E975" s="344"/>
      <c r="F975" s="344"/>
      <c r="G975" s="344"/>
      <c r="H975" s="625"/>
      <c r="I975" s="625"/>
      <c r="J975" s="16"/>
    </row>
    <row r="976" spans="1:10" ht="15.75" customHeight="1">
      <c r="A976" s="344"/>
      <c r="B976" s="344"/>
      <c r="C976" s="344"/>
      <c r="D976" s="344"/>
      <c r="E976" s="344"/>
      <c r="F976" s="344"/>
      <c r="G976" s="344"/>
      <c r="H976" s="625"/>
      <c r="I976" s="625"/>
      <c r="J976" s="16"/>
    </row>
    <row r="977" spans="1:10" ht="15.75" customHeight="1">
      <c r="A977" s="344"/>
      <c r="B977" s="344"/>
      <c r="C977" s="344"/>
      <c r="D977" s="344"/>
      <c r="E977" s="344"/>
      <c r="F977" s="344"/>
      <c r="G977" s="344"/>
      <c r="H977" s="625"/>
      <c r="I977" s="625"/>
      <c r="J977" s="16"/>
    </row>
    <row r="978" spans="1:10" ht="15.75" customHeight="1">
      <c r="A978" s="344"/>
      <c r="B978" s="344"/>
      <c r="C978" s="344"/>
      <c r="D978" s="344"/>
      <c r="E978" s="344"/>
      <c r="F978" s="344"/>
      <c r="G978" s="344"/>
      <c r="H978" s="625"/>
      <c r="I978" s="625"/>
      <c r="J978" s="16"/>
    </row>
    <row r="979" spans="1:10" ht="15.75" customHeight="1">
      <c r="A979" s="344"/>
      <c r="B979" s="344"/>
      <c r="C979" s="344"/>
      <c r="D979" s="344"/>
      <c r="E979" s="344"/>
      <c r="F979" s="344"/>
      <c r="G979" s="344"/>
      <c r="H979" s="625"/>
      <c r="I979" s="625"/>
      <c r="J979" s="16"/>
    </row>
    <row r="980" spans="1:10" ht="15.75" customHeight="1">
      <c r="A980" s="344"/>
      <c r="B980" s="344"/>
      <c r="C980" s="344"/>
      <c r="D980" s="344"/>
      <c r="E980" s="344"/>
      <c r="F980" s="344"/>
      <c r="G980" s="344"/>
      <c r="H980" s="625"/>
      <c r="I980" s="625"/>
      <c r="J980" s="16"/>
    </row>
    <row r="981" spans="1:10" ht="15.75" customHeight="1">
      <c r="A981" s="344"/>
      <c r="B981" s="344"/>
      <c r="C981" s="344"/>
      <c r="D981" s="344"/>
      <c r="E981" s="344"/>
      <c r="F981" s="344"/>
      <c r="G981" s="344"/>
      <c r="H981" s="625"/>
      <c r="I981" s="625"/>
      <c r="J981" s="16"/>
    </row>
    <row r="982" spans="1:10" ht="15.75" customHeight="1">
      <c r="A982" s="344"/>
      <c r="B982" s="344"/>
      <c r="C982" s="344"/>
      <c r="D982" s="344"/>
      <c r="E982" s="344"/>
      <c r="F982" s="344"/>
      <c r="G982" s="344"/>
      <c r="H982" s="625"/>
      <c r="I982" s="625"/>
      <c r="J982" s="16"/>
    </row>
    <row r="983" spans="1:10" ht="15.75" customHeight="1">
      <c r="A983" s="344"/>
      <c r="B983" s="344"/>
      <c r="C983" s="344"/>
      <c r="D983" s="344"/>
      <c r="E983" s="344"/>
      <c r="F983" s="344"/>
      <c r="G983" s="344"/>
      <c r="H983" s="625"/>
      <c r="I983" s="625"/>
      <c r="J983" s="16"/>
    </row>
    <row r="984" spans="1:10" ht="15.75" customHeight="1">
      <c r="A984" s="344"/>
      <c r="B984" s="344"/>
      <c r="C984" s="344"/>
      <c r="D984" s="344"/>
      <c r="E984" s="344"/>
      <c r="F984" s="344"/>
      <c r="G984" s="344"/>
      <c r="H984" s="625"/>
      <c r="I984" s="625"/>
      <c r="J984" s="16"/>
    </row>
    <row r="985" spans="1:10" ht="15.75" customHeight="1">
      <c r="A985" s="344"/>
      <c r="B985" s="344"/>
      <c r="C985" s="344"/>
      <c r="D985" s="344"/>
      <c r="E985" s="344"/>
      <c r="F985" s="344"/>
      <c r="G985" s="344"/>
      <c r="H985" s="625"/>
      <c r="I985" s="625"/>
      <c r="J985" s="16"/>
    </row>
    <row r="986" spans="1:10" ht="15.75" customHeight="1">
      <c r="A986" s="344"/>
      <c r="B986" s="344"/>
      <c r="C986" s="344"/>
      <c r="D986" s="344"/>
      <c r="E986" s="344"/>
      <c r="F986" s="344"/>
      <c r="G986" s="344"/>
      <c r="H986" s="625"/>
      <c r="I986" s="625"/>
      <c r="J986" s="16"/>
    </row>
    <row r="987" spans="1:10" ht="15.75" customHeight="1">
      <c r="A987" s="344"/>
      <c r="B987" s="344"/>
      <c r="C987" s="344"/>
      <c r="D987" s="344"/>
      <c r="E987" s="344"/>
      <c r="F987" s="344"/>
      <c r="G987" s="344"/>
      <c r="H987" s="625"/>
      <c r="I987" s="625"/>
      <c r="J987" s="16"/>
    </row>
    <row r="988" spans="1:10" ht="15.75" customHeight="1">
      <c r="A988" s="344"/>
      <c r="B988" s="344"/>
      <c r="C988" s="344"/>
      <c r="D988" s="344"/>
      <c r="E988" s="344"/>
      <c r="F988" s="344"/>
      <c r="G988" s="344"/>
      <c r="H988" s="625"/>
      <c r="I988" s="625"/>
      <c r="J988" s="16"/>
    </row>
    <row r="989" spans="1:10" ht="15.75" customHeight="1">
      <c r="A989" s="344"/>
      <c r="B989" s="344"/>
      <c r="C989" s="344"/>
      <c r="D989" s="344"/>
      <c r="E989" s="344"/>
      <c r="F989" s="344"/>
      <c r="G989" s="344"/>
      <c r="H989" s="625"/>
      <c r="I989" s="625"/>
      <c r="J989" s="16"/>
    </row>
    <row r="990" spans="1:10" ht="15.75" customHeight="1">
      <c r="A990" s="344"/>
      <c r="B990" s="344"/>
      <c r="C990" s="344"/>
      <c r="D990" s="344"/>
      <c r="E990" s="344"/>
      <c r="F990" s="344"/>
      <c r="G990" s="344"/>
      <c r="H990" s="625"/>
      <c r="I990" s="625"/>
      <c r="J990" s="16"/>
    </row>
    <row r="991" spans="1:10" ht="15.75" customHeight="1">
      <c r="A991" s="344"/>
      <c r="B991" s="344"/>
      <c r="C991" s="344"/>
      <c r="D991" s="344"/>
      <c r="E991" s="344"/>
      <c r="F991" s="344"/>
      <c r="G991" s="344"/>
      <c r="H991" s="625"/>
      <c r="I991" s="625"/>
      <c r="J991" s="16"/>
    </row>
    <row r="992" spans="1:10" ht="15.75" customHeight="1">
      <c r="A992" s="344"/>
      <c r="B992" s="344"/>
      <c r="C992" s="344"/>
      <c r="D992" s="344"/>
      <c r="E992" s="344"/>
      <c r="F992" s="344"/>
      <c r="G992" s="344"/>
      <c r="H992" s="625"/>
      <c r="I992" s="625"/>
      <c r="J992" s="16"/>
    </row>
    <row r="993" spans="1:10" ht="15.75" customHeight="1">
      <c r="A993" s="344"/>
      <c r="B993" s="344"/>
      <c r="C993" s="344"/>
      <c r="D993" s="344"/>
      <c r="E993" s="344"/>
      <c r="F993" s="344"/>
      <c r="G993" s="344"/>
      <c r="H993" s="625"/>
      <c r="I993" s="625"/>
      <c r="J993" s="16"/>
    </row>
    <row r="994" spans="1:10" ht="15.75" customHeight="1">
      <c r="A994" s="344"/>
      <c r="B994" s="344"/>
      <c r="C994" s="344"/>
      <c r="D994" s="344"/>
      <c r="E994" s="344"/>
      <c r="F994" s="344"/>
      <c r="G994" s="344"/>
      <c r="H994" s="625"/>
      <c r="I994" s="625"/>
      <c r="J994" s="16"/>
    </row>
    <row r="995" spans="1:10" ht="15.75" customHeight="1">
      <c r="A995" s="344"/>
      <c r="B995" s="344"/>
      <c r="C995" s="344"/>
      <c r="D995" s="344"/>
      <c r="E995" s="344"/>
      <c r="F995" s="344"/>
      <c r="G995" s="344"/>
      <c r="H995" s="625"/>
      <c r="I995" s="625"/>
      <c r="J995" s="16"/>
    </row>
    <row r="996" spans="1:10" ht="15.75" customHeight="1">
      <c r="A996" s="344"/>
      <c r="B996" s="344"/>
      <c r="C996" s="344"/>
      <c r="D996" s="344"/>
      <c r="E996" s="344"/>
      <c r="F996" s="344"/>
      <c r="G996" s="344"/>
      <c r="H996" s="625"/>
      <c r="I996" s="625"/>
      <c r="J996" s="16"/>
    </row>
    <row r="997" spans="1:10" ht="15.75" customHeight="1">
      <c r="A997" s="344"/>
      <c r="B997" s="344"/>
      <c r="C997" s="344"/>
      <c r="D997" s="344"/>
      <c r="E997" s="344"/>
      <c r="F997" s="344"/>
      <c r="G997" s="344"/>
      <c r="H997" s="625"/>
      <c r="I997" s="625"/>
      <c r="J997" s="16"/>
    </row>
    <row r="998" spans="1:10" ht="15.75" customHeight="1">
      <c r="A998" s="344"/>
      <c r="B998" s="344"/>
      <c r="C998" s="344"/>
      <c r="D998" s="344"/>
      <c r="E998" s="344"/>
      <c r="F998" s="344"/>
      <c r="G998" s="344"/>
      <c r="H998" s="625"/>
      <c r="I998" s="625"/>
      <c r="J998" s="16"/>
    </row>
    <row r="999" spans="1:10" ht="15.75" customHeight="1">
      <c r="A999" s="344"/>
      <c r="B999" s="344"/>
      <c r="C999" s="344"/>
      <c r="D999" s="344"/>
      <c r="E999" s="344"/>
      <c r="F999" s="344"/>
      <c r="G999" s="344"/>
      <c r="H999" s="625"/>
      <c r="I999" s="625"/>
      <c r="J999" s="16"/>
    </row>
  </sheetData>
  <autoFilter ref="A1:J60" xr:uid="{00000000-0009-0000-0000-00000A000000}">
    <filterColumn colId="1">
      <filters>
        <filter val="Aamir Dalvi"/>
        <filter val="Amir Khan"/>
        <filter val="Amir Shaikh"/>
      </filters>
    </filterColumn>
  </autoFilter>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xSplit="1" ySplit="1" topLeftCell="B33" activePane="bottomRight" state="frozen"/>
      <selection pane="topRight"/>
      <selection pane="bottomLeft"/>
      <selection pane="bottomRight" activeCell="B2" sqref="B2"/>
    </sheetView>
  </sheetViews>
  <sheetFormatPr defaultColWidth="12.59765625" defaultRowHeight="15" customHeight="1"/>
  <cols>
    <col min="1" max="1" width="14.59765625" customWidth="1"/>
    <col min="2" max="2" width="17.09765625" customWidth="1"/>
    <col min="3" max="3" width="30.69921875" customWidth="1"/>
    <col min="4" max="4" width="15.5" customWidth="1"/>
    <col min="5" max="5" width="16" customWidth="1"/>
    <col min="6" max="26" width="8.59765625" customWidth="1"/>
  </cols>
  <sheetData>
    <row r="1" spans="1:11" ht="13.5" customHeight="1">
      <c r="A1" s="444"/>
      <c r="B1" s="445"/>
      <c r="C1" s="600" t="s">
        <v>518</v>
      </c>
      <c r="D1" s="445"/>
      <c r="E1" s="445"/>
      <c r="F1" s="445"/>
      <c r="G1" s="445"/>
      <c r="H1" s="445"/>
      <c r="I1" s="445"/>
    </row>
    <row r="2" spans="1:11" ht="13.5" customHeight="1">
      <c r="A2" s="445"/>
      <c r="B2" s="445"/>
      <c r="C2" s="445"/>
      <c r="D2" s="445"/>
      <c r="E2" s="445"/>
      <c r="F2" s="445"/>
      <c r="G2" s="445"/>
      <c r="H2" s="445"/>
      <c r="I2" s="445"/>
    </row>
    <row r="3" spans="1:11" ht="13.5" customHeight="1">
      <c r="A3" s="464" t="s">
        <v>519</v>
      </c>
      <c r="B3" s="464" t="s">
        <v>520</v>
      </c>
      <c r="C3" s="464" t="s">
        <v>509</v>
      </c>
      <c r="D3" s="464" t="s">
        <v>521</v>
      </c>
      <c r="E3" s="464" t="s">
        <v>301</v>
      </c>
      <c r="F3" s="445"/>
      <c r="G3" s="445"/>
      <c r="H3" s="445"/>
      <c r="I3" s="445"/>
    </row>
    <row r="4" spans="1:11" ht="13.5" customHeight="1">
      <c r="A4" s="465" t="s">
        <v>228</v>
      </c>
      <c r="B4" s="466">
        <v>0.75</v>
      </c>
      <c r="C4" s="466">
        <v>0.5</v>
      </c>
      <c r="D4" s="466">
        <v>0.5</v>
      </c>
      <c r="E4" s="466">
        <v>0.8</v>
      </c>
      <c r="F4" s="445"/>
      <c r="G4" s="445"/>
      <c r="H4" s="445"/>
      <c r="I4" s="445"/>
    </row>
    <row r="5" spans="1:11" ht="13.5" customHeight="1">
      <c r="A5" s="465" t="s">
        <v>522</v>
      </c>
      <c r="B5" s="466">
        <v>0.3</v>
      </c>
      <c r="C5" s="466">
        <v>0.3</v>
      </c>
      <c r="D5" s="466">
        <v>0.7</v>
      </c>
      <c r="E5" s="466">
        <v>0.5</v>
      </c>
      <c r="F5" s="445"/>
      <c r="G5" s="445"/>
      <c r="H5" s="445"/>
      <c r="I5" s="445"/>
    </row>
    <row r="6" spans="1:11" ht="13.5" customHeight="1">
      <c r="A6" s="465" t="s">
        <v>303</v>
      </c>
      <c r="B6" s="466">
        <v>0.3</v>
      </c>
      <c r="C6" s="317">
        <v>0.7</v>
      </c>
      <c r="D6" s="466">
        <v>0.4</v>
      </c>
      <c r="E6" s="466">
        <v>0.4</v>
      </c>
      <c r="F6" s="445"/>
      <c r="G6" s="445"/>
      <c r="H6" s="445"/>
      <c r="I6" s="445"/>
    </row>
    <row r="7" spans="1:11" ht="13.5" customHeight="1">
      <c r="A7" s="465" t="s">
        <v>523</v>
      </c>
      <c r="B7" s="466">
        <v>0.8</v>
      </c>
      <c r="C7" s="466">
        <v>0.4</v>
      </c>
      <c r="D7" s="466">
        <v>0.5</v>
      </c>
      <c r="E7" s="466">
        <v>0.85</v>
      </c>
      <c r="F7" s="445"/>
      <c r="G7" s="445"/>
      <c r="H7" s="445"/>
      <c r="I7" s="445"/>
    </row>
    <row r="8" spans="1:11" ht="13.5" customHeight="1">
      <c r="A8" s="486" t="s">
        <v>259</v>
      </c>
      <c r="B8" s="487">
        <v>0.3</v>
      </c>
      <c r="C8" s="487">
        <v>0.3</v>
      </c>
      <c r="D8" s="487">
        <v>0.3</v>
      </c>
      <c r="E8" s="487">
        <v>0.3</v>
      </c>
      <c r="F8" s="445"/>
      <c r="G8" s="445"/>
      <c r="H8" s="445"/>
      <c r="I8" s="445"/>
    </row>
    <row r="9" spans="1:11" ht="13.5" customHeight="1">
      <c r="A9" s="465" t="s">
        <v>233</v>
      </c>
      <c r="B9" s="466">
        <v>0.7</v>
      </c>
      <c r="C9" s="466">
        <v>0.2</v>
      </c>
      <c r="D9" s="466">
        <v>0.3</v>
      </c>
      <c r="E9" s="466">
        <v>0.4</v>
      </c>
      <c r="F9" s="445"/>
      <c r="G9" s="445"/>
      <c r="H9" s="445"/>
      <c r="I9" s="445"/>
    </row>
    <row r="10" spans="1:11" ht="13.5" customHeight="1">
      <c r="A10" s="465" t="s">
        <v>524</v>
      </c>
      <c r="B10" s="466">
        <v>0.2</v>
      </c>
      <c r="C10" s="466">
        <v>0.2</v>
      </c>
      <c r="D10" s="466">
        <v>0.2</v>
      </c>
      <c r="E10" s="466">
        <v>0.3</v>
      </c>
      <c r="F10" s="445"/>
      <c r="G10" s="445"/>
      <c r="H10" s="445"/>
      <c r="I10" s="445"/>
    </row>
    <row r="11" spans="1:11" ht="13.5" customHeight="1">
      <c r="A11" s="465" t="s">
        <v>525</v>
      </c>
      <c r="B11" s="466">
        <v>0.2</v>
      </c>
      <c r="C11" s="466">
        <v>0.2</v>
      </c>
      <c r="D11" s="466">
        <v>0.2</v>
      </c>
      <c r="E11" s="466">
        <v>0.2</v>
      </c>
      <c r="F11" s="445"/>
      <c r="G11" s="445"/>
      <c r="H11" s="445"/>
      <c r="I11" s="445"/>
    </row>
    <row r="12" spans="1:11" ht="13.5" customHeight="1">
      <c r="A12" s="465" t="s">
        <v>526</v>
      </c>
      <c r="B12" s="466">
        <v>0</v>
      </c>
      <c r="C12" s="466">
        <v>0</v>
      </c>
      <c r="D12" s="466">
        <v>0.25</v>
      </c>
      <c r="E12" s="466">
        <v>0</v>
      </c>
      <c r="F12" s="445"/>
      <c r="G12" s="445"/>
      <c r="H12" s="445"/>
      <c r="I12" s="445"/>
    </row>
    <row r="13" spans="1:11" ht="13.5" customHeight="1">
      <c r="A13" s="465" t="s">
        <v>527</v>
      </c>
      <c r="B13" s="466">
        <v>0</v>
      </c>
      <c r="C13" s="466">
        <v>0.4</v>
      </c>
      <c r="D13" s="466">
        <v>0</v>
      </c>
      <c r="E13" s="466">
        <v>0</v>
      </c>
      <c r="F13" s="445"/>
      <c r="G13" s="445"/>
      <c r="H13" s="445"/>
      <c r="I13" s="445"/>
    </row>
    <row r="14" spans="1:11" ht="13.5" customHeight="1">
      <c r="A14" s="465" t="s">
        <v>528</v>
      </c>
      <c r="B14" s="466">
        <v>0.3</v>
      </c>
      <c r="C14" s="466">
        <v>0.2</v>
      </c>
      <c r="D14" s="466">
        <v>0.2</v>
      </c>
      <c r="E14" s="466">
        <v>0.2</v>
      </c>
      <c r="F14" s="445"/>
      <c r="G14" s="445"/>
      <c r="H14" s="445"/>
      <c r="I14" s="445"/>
    </row>
    <row r="15" spans="1:11" ht="13.5" customHeight="1"/>
    <row r="16" spans="1:11" ht="13.5" customHeight="1">
      <c r="A16" s="444"/>
      <c r="B16" s="445"/>
      <c r="C16" s="462" t="s">
        <v>529</v>
      </c>
      <c r="D16" s="445"/>
      <c r="E16" s="445"/>
      <c r="F16" s="445"/>
      <c r="G16" s="485"/>
      <c r="H16" s="445"/>
      <c r="I16" s="445"/>
      <c r="K16" s="445"/>
    </row>
    <row r="17" spans="1:12" ht="13.5" customHeight="1">
      <c r="A17" s="445"/>
      <c r="B17" s="445"/>
      <c r="C17" s="445"/>
      <c r="D17" s="445"/>
      <c r="E17" s="445"/>
      <c r="F17" s="445"/>
      <c r="G17" s="485"/>
      <c r="H17" s="445"/>
      <c r="I17" s="445"/>
      <c r="K17" s="445"/>
    </row>
    <row r="18" spans="1:12" ht="13.5" customHeight="1">
      <c r="A18" s="464" t="s">
        <v>519</v>
      </c>
      <c r="B18" s="464" t="s">
        <v>520</v>
      </c>
      <c r="C18" s="464" t="s">
        <v>509</v>
      </c>
      <c r="D18" s="464" t="s">
        <v>521</v>
      </c>
      <c r="E18" s="464" t="s">
        <v>301</v>
      </c>
      <c r="F18" s="445"/>
      <c r="G18" s="485"/>
      <c r="H18" s="445"/>
      <c r="I18" s="445"/>
      <c r="K18" s="445"/>
    </row>
    <row r="19" spans="1:12" ht="13.5" customHeight="1">
      <c r="A19" s="465" t="s">
        <v>228</v>
      </c>
      <c r="B19" s="466">
        <v>0.75</v>
      </c>
      <c r="C19" s="466">
        <v>0.5</v>
      </c>
      <c r="D19" s="466">
        <v>0.5</v>
      </c>
      <c r="E19" s="466">
        <v>0.9</v>
      </c>
      <c r="F19" s="445"/>
      <c r="G19" s="485"/>
      <c r="H19" s="445"/>
      <c r="I19" s="445"/>
      <c r="K19" s="445"/>
    </row>
    <row r="20" spans="1:12" ht="13.5" customHeight="1">
      <c r="A20" s="465" t="s">
        <v>522</v>
      </c>
      <c r="B20" s="466">
        <v>0.3</v>
      </c>
      <c r="C20" s="466">
        <v>0.3</v>
      </c>
      <c r="D20" s="466">
        <v>0.7</v>
      </c>
      <c r="E20" s="466">
        <v>0.5</v>
      </c>
      <c r="F20" s="445"/>
      <c r="G20" s="485"/>
      <c r="H20" s="445"/>
      <c r="I20" s="445"/>
      <c r="K20" s="445"/>
    </row>
    <row r="21" spans="1:12" ht="13.5" customHeight="1">
      <c r="A21" s="465" t="s">
        <v>303</v>
      </c>
      <c r="B21" s="466">
        <v>0.3</v>
      </c>
      <c r="C21" s="317">
        <v>0.7</v>
      </c>
      <c r="D21" s="466">
        <v>0.5</v>
      </c>
      <c r="E21" s="466">
        <v>0.4</v>
      </c>
      <c r="F21" s="445"/>
      <c r="G21" s="485"/>
      <c r="H21" s="445"/>
      <c r="I21" s="445"/>
      <c r="K21" s="445"/>
    </row>
    <row r="22" spans="1:12" ht="13.5" customHeight="1">
      <c r="A22" s="465" t="s">
        <v>523</v>
      </c>
      <c r="B22" s="466">
        <v>0.8</v>
      </c>
      <c r="C22" s="466">
        <v>0.4</v>
      </c>
      <c r="D22" s="466">
        <v>0.5</v>
      </c>
      <c r="E22" s="466">
        <v>0.85</v>
      </c>
      <c r="F22" s="445"/>
      <c r="G22" s="485"/>
      <c r="H22" s="445"/>
      <c r="I22" s="445"/>
      <c r="K22" s="445"/>
    </row>
    <row r="23" spans="1:12" ht="13.5" customHeight="1">
      <c r="A23" s="465" t="s">
        <v>233</v>
      </c>
      <c r="B23" s="466">
        <v>0.7</v>
      </c>
      <c r="C23" s="466">
        <v>0.65</v>
      </c>
      <c r="D23" s="466">
        <v>0.3</v>
      </c>
      <c r="E23" s="466">
        <v>0.4</v>
      </c>
      <c r="F23" s="445"/>
      <c r="G23" s="485"/>
      <c r="H23" s="445"/>
      <c r="I23" s="445"/>
      <c r="K23" s="445"/>
    </row>
    <row r="24" spans="1:12" ht="13.5" customHeight="1">
      <c r="A24" s="465" t="s">
        <v>524</v>
      </c>
      <c r="B24" s="466">
        <v>0.2</v>
      </c>
      <c r="C24" s="466">
        <v>0.2</v>
      </c>
      <c r="D24" s="466">
        <v>0.2</v>
      </c>
      <c r="E24" s="466">
        <v>0.6</v>
      </c>
      <c r="F24" s="445"/>
      <c r="G24" s="485"/>
      <c r="H24" s="445"/>
      <c r="I24" s="445"/>
      <c r="K24" s="445"/>
    </row>
    <row r="25" spans="1:12" ht="13.5" customHeight="1">
      <c r="A25" s="465" t="s">
        <v>525</v>
      </c>
      <c r="B25" s="466">
        <v>0.5</v>
      </c>
      <c r="C25" s="466">
        <v>0.2</v>
      </c>
      <c r="D25" s="466">
        <v>0.2</v>
      </c>
      <c r="E25" s="466">
        <v>0.4</v>
      </c>
      <c r="F25" s="445"/>
      <c r="G25" s="485"/>
      <c r="H25" s="445"/>
      <c r="I25" s="445"/>
      <c r="K25" s="445"/>
    </row>
    <row r="26" spans="1:12" ht="13.5" customHeight="1">
      <c r="A26" s="465" t="s">
        <v>526</v>
      </c>
      <c r="B26" s="466">
        <v>0.25</v>
      </c>
      <c r="C26" s="466">
        <v>0.25</v>
      </c>
      <c r="D26" s="466">
        <v>0.25</v>
      </c>
      <c r="E26" s="466">
        <v>0.25</v>
      </c>
      <c r="F26" s="445"/>
      <c r="G26" s="485"/>
      <c r="H26" s="445"/>
      <c r="I26" s="445"/>
      <c r="K26" s="445"/>
    </row>
    <row r="27" spans="1:12" ht="13.5" customHeight="1">
      <c r="A27" s="465" t="s">
        <v>527</v>
      </c>
      <c r="B27" s="466">
        <v>0.3</v>
      </c>
      <c r="C27" s="466">
        <v>0.7</v>
      </c>
      <c r="D27" s="466">
        <v>0.3</v>
      </c>
      <c r="E27" s="466">
        <v>0.3</v>
      </c>
      <c r="F27" s="445"/>
      <c r="G27" s="485"/>
      <c r="H27" s="445"/>
      <c r="I27" s="445"/>
      <c r="K27" s="445"/>
    </row>
    <row r="28" spans="1:12" ht="13.5" customHeight="1">
      <c r="A28" s="465" t="s">
        <v>528</v>
      </c>
      <c r="B28" s="466">
        <v>0.6</v>
      </c>
      <c r="C28" s="466">
        <v>0.3</v>
      </c>
      <c r="D28" s="466">
        <v>0.3</v>
      </c>
      <c r="E28" s="466">
        <v>0.3</v>
      </c>
      <c r="F28" s="445"/>
      <c r="G28" s="485"/>
      <c r="H28" s="445"/>
      <c r="I28" s="445"/>
      <c r="K28" s="445"/>
    </row>
    <row r="29" spans="1:12" ht="13.5" customHeight="1"/>
    <row r="30" spans="1:12" ht="13.5" customHeight="1">
      <c r="A30" s="444"/>
      <c r="B30" s="445"/>
      <c r="C30" s="462" t="s">
        <v>530</v>
      </c>
      <c r="D30" s="445"/>
      <c r="E30" s="445"/>
      <c r="F30" s="445"/>
      <c r="G30" s="445"/>
      <c r="H30" s="445"/>
      <c r="I30" s="445"/>
      <c r="J30" s="16"/>
      <c r="K30" s="445"/>
      <c r="L30" s="16"/>
    </row>
    <row r="31" spans="1:12" ht="13.5" customHeight="1">
      <c r="A31" s="445"/>
      <c r="B31" s="445"/>
      <c r="C31" s="445"/>
      <c r="D31" s="445"/>
      <c r="E31" s="445"/>
      <c r="F31" s="445"/>
      <c r="G31" s="445"/>
      <c r="H31" s="445"/>
      <c r="I31" s="445"/>
      <c r="J31" s="16"/>
      <c r="K31" s="445"/>
      <c r="L31" s="16"/>
    </row>
    <row r="32" spans="1:12" ht="13.5" customHeight="1">
      <c r="A32" s="464" t="s">
        <v>519</v>
      </c>
      <c r="B32" s="464" t="s">
        <v>520</v>
      </c>
      <c r="C32" s="464" t="s">
        <v>509</v>
      </c>
      <c r="D32" s="464" t="s">
        <v>521</v>
      </c>
      <c r="E32" s="464" t="s">
        <v>301</v>
      </c>
      <c r="F32" s="445"/>
      <c r="G32" s="445"/>
      <c r="H32" s="445"/>
      <c r="I32" s="445"/>
      <c r="J32" s="16"/>
      <c r="K32" s="445"/>
      <c r="L32" s="16"/>
    </row>
    <row r="33" spans="1:12" ht="13.5" customHeight="1">
      <c r="A33" s="465" t="s">
        <v>228</v>
      </c>
      <c r="B33" s="466">
        <v>0.75</v>
      </c>
      <c r="C33" s="466">
        <v>0.5</v>
      </c>
      <c r="D33" s="466">
        <v>0.5</v>
      </c>
      <c r="E33" s="466">
        <v>0.9</v>
      </c>
      <c r="F33" s="445"/>
      <c r="G33" s="445"/>
      <c r="H33" s="445"/>
      <c r="I33" s="445"/>
      <c r="J33" s="16"/>
      <c r="K33" s="445"/>
      <c r="L33" s="16"/>
    </row>
    <row r="34" spans="1:12" ht="13.5" customHeight="1">
      <c r="A34" s="465" t="s">
        <v>303</v>
      </c>
      <c r="B34" s="466">
        <v>0.3</v>
      </c>
      <c r="C34" s="317">
        <v>0.7</v>
      </c>
      <c r="D34" s="466">
        <v>0.5</v>
      </c>
      <c r="E34" s="466">
        <v>0.4</v>
      </c>
      <c r="F34" s="445"/>
      <c r="G34" s="445"/>
      <c r="H34" s="445"/>
      <c r="I34" s="445"/>
      <c r="J34" s="16"/>
      <c r="K34" s="445"/>
      <c r="L34" s="16"/>
    </row>
    <row r="35" spans="1:12" ht="13.5" customHeight="1">
      <c r="A35" s="465" t="s">
        <v>523</v>
      </c>
      <c r="B35" s="466">
        <v>0.8</v>
      </c>
      <c r="C35" s="466">
        <v>0.4</v>
      </c>
      <c r="D35" s="466">
        <v>0.5</v>
      </c>
      <c r="E35" s="466">
        <v>0.85</v>
      </c>
      <c r="F35" s="445"/>
      <c r="G35" s="445"/>
      <c r="H35" s="445"/>
      <c r="I35" s="445"/>
      <c r="J35" s="16"/>
      <c r="K35" s="445"/>
      <c r="L35" s="16"/>
    </row>
    <row r="36" spans="1:12" ht="13.5" customHeight="1">
      <c r="A36" s="465" t="s">
        <v>525</v>
      </c>
      <c r="B36" s="466">
        <v>0.5</v>
      </c>
      <c r="C36" s="466">
        <v>0.2</v>
      </c>
      <c r="D36" s="466">
        <v>0.2</v>
      </c>
      <c r="E36" s="466">
        <v>0.4</v>
      </c>
      <c r="F36" s="445"/>
      <c r="G36" s="445"/>
      <c r="H36" s="445"/>
      <c r="I36" s="445"/>
      <c r="J36" s="16"/>
      <c r="K36" s="445"/>
      <c r="L36" s="16"/>
    </row>
    <row r="37" spans="1:12" ht="13.5" customHeight="1">
      <c r="A37" s="465" t="s">
        <v>526</v>
      </c>
      <c r="B37" s="466">
        <v>0.3</v>
      </c>
      <c r="C37" s="466">
        <v>0.25</v>
      </c>
      <c r="D37" s="466">
        <v>0.25</v>
      </c>
      <c r="E37" s="466">
        <v>0.25</v>
      </c>
      <c r="F37" s="445"/>
      <c r="G37" s="445"/>
      <c r="H37" s="445"/>
      <c r="I37" s="445"/>
      <c r="J37" s="16"/>
      <c r="K37" s="445"/>
      <c r="L37" s="16"/>
    </row>
    <row r="38" spans="1:12" ht="13.5" customHeight="1">
      <c r="A38" s="465" t="s">
        <v>527</v>
      </c>
      <c r="B38" s="466">
        <v>0.4</v>
      </c>
      <c r="C38" s="466">
        <v>0.7</v>
      </c>
      <c r="D38" s="466">
        <v>0.4</v>
      </c>
      <c r="E38" s="466">
        <v>0.4</v>
      </c>
      <c r="F38" s="445"/>
      <c r="G38" s="445"/>
      <c r="H38" s="445"/>
      <c r="I38" s="445"/>
      <c r="J38" s="16"/>
      <c r="K38" s="445"/>
      <c r="L38" s="16"/>
    </row>
    <row r="39" spans="1:12" ht="13.5" customHeight="1">
      <c r="A39" s="465" t="s">
        <v>528</v>
      </c>
      <c r="B39" s="466">
        <v>0.6</v>
      </c>
      <c r="C39" s="466">
        <v>0.4</v>
      </c>
      <c r="D39" s="466">
        <v>0.4</v>
      </c>
      <c r="E39" s="466">
        <v>0.4</v>
      </c>
      <c r="F39" s="445"/>
      <c r="G39" s="445"/>
      <c r="H39" s="445"/>
      <c r="I39" s="445"/>
      <c r="J39" s="16"/>
      <c r="K39" s="445"/>
      <c r="L39" s="16"/>
    </row>
    <row r="40" spans="1:12" ht="13.5" customHeight="1"/>
    <row r="41" spans="1:12" ht="13.5" customHeight="1">
      <c r="A41" s="444"/>
      <c r="B41" s="445"/>
      <c r="C41" s="462" t="s">
        <v>531</v>
      </c>
      <c r="D41" s="445"/>
      <c r="E41" s="445"/>
      <c r="F41" s="445"/>
      <c r="G41" s="445"/>
      <c r="H41" s="445"/>
      <c r="I41" s="445"/>
      <c r="J41" s="16"/>
      <c r="K41" s="445"/>
      <c r="L41" s="16"/>
    </row>
    <row r="42" spans="1:12" ht="13.5" customHeight="1">
      <c r="A42" s="445"/>
      <c r="B42" s="445"/>
      <c r="C42" s="445"/>
      <c r="D42" s="445"/>
      <c r="E42" s="445"/>
      <c r="F42" s="445"/>
      <c r="G42" s="445"/>
      <c r="H42" s="445"/>
      <c r="I42" s="445"/>
      <c r="J42" s="16"/>
      <c r="K42" s="445"/>
      <c r="L42" s="16"/>
    </row>
    <row r="43" spans="1:12" ht="13.5" customHeight="1">
      <c r="A43" s="464" t="s">
        <v>519</v>
      </c>
      <c r="B43" s="464" t="s">
        <v>520</v>
      </c>
      <c r="C43" s="464" t="s">
        <v>509</v>
      </c>
      <c r="D43" s="464" t="s">
        <v>521</v>
      </c>
      <c r="E43" s="464" t="s">
        <v>301</v>
      </c>
      <c r="F43" s="445"/>
      <c r="G43" s="445"/>
      <c r="H43" s="445"/>
      <c r="I43" s="445"/>
      <c r="J43" s="16"/>
      <c r="K43" s="445"/>
      <c r="L43" s="16"/>
    </row>
    <row r="44" spans="1:12" ht="13.5" customHeight="1">
      <c r="A44" s="465" t="s">
        <v>525</v>
      </c>
      <c r="B44" s="466">
        <v>0.5</v>
      </c>
      <c r="C44" s="466">
        <v>0.2</v>
      </c>
      <c r="D44" s="466">
        <v>0.2</v>
      </c>
      <c r="E44" s="466">
        <v>0.5</v>
      </c>
      <c r="F44" s="445"/>
      <c r="G44" s="445"/>
      <c r="H44" s="445"/>
      <c r="I44" s="445"/>
      <c r="J44" s="16"/>
      <c r="K44" s="445"/>
      <c r="L44" s="16"/>
    </row>
    <row r="45" spans="1:12" ht="13.5" customHeight="1">
      <c r="A45" s="465" t="s">
        <v>526</v>
      </c>
      <c r="B45" s="466">
        <v>0.3</v>
      </c>
      <c r="C45" s="466">
        <v>0.25</v>
      </c>
      <c r="D45" s="466">
        <v>0.6</v>
      </c>
      <c r="E45" s="466">
        <v>0.25</v>
      </c>
      <c r="F45" s="445"/>
      <c r="G45" s="445"/>
      <c r="H45" s="445"/>
      <c r="I45" s="445"/>
      <c r="J45" s="16"/>
      <c r="K45" s="445"/>
      <c r="L45" s="16"/>
    </row>
    <row r="46" spans="1:12" ht="13.5" customHeight="1">
      <c r="A46" s="465" t="s">
        <v>527</v>
      </c>
      <c r="B46" s="466">
        <v>0.7</v>
      </c>
      <c r="C46" s="466">
        <v>0.7</v>
      </c>
      <c r="D46" s="466">
        <v>0.6</v>
      </c>
      <c r="E46" s="466">
        <v>0.7</v>
      </c>
      <c r="F46" s="445"/>
      <c r="G46" s="445"/>
      <c r="H46" s="445"/>
      <c r="I46" s="445"/>
      <c r="J46" s="16"/>
      <c r="K46" s="445"/>
      <c r="L46" s="16"/>
    </row>
    <row r="47" spans="1:12" ht="13.5" customHeight="1"/>
    <row r="48" spans="1:12" ht="13.5" customHeight="1">
      <c r="A48" s="444"/>
      <c r="B48" s="445"/>
      <c r="C48" s="462" t="s">
        <v>532</v>
      </c>
      <c r="D48" s="445"/>
      <c r="E48" s="445"/>
      <c r="F48" s="445"/>
      <c r="G48" s="445"/>
      <c r="H48" s="445"/>
      <c r="I48" s="445"/>
      <c r="J48" s="16"/>
      <c r="K48" s="445"/>
      <c r="L48" s="16"/>
    </row>
    <row r="49" spans="1:12" ht="13.5" customHeight="1">
      <c r="A49" s="445"/>
      <c r="B49" s="445"/>
      <c r="C49" s="445"/>
      <c r="D49" s="445"/>
      <c r="E49" s="445"/>
      <c r="F49" s="445"/>
      <c r="G49" s="445"/>
      <c r="H49" s="445"/>
      <c r="I49" s="445"/>
      <c r="J49" s="16"/>
      <c r="K49" s="445"/>
      <c r="L49" s="16"/>
    </row>
    <row r="50" spans="1:12" ht="13.5" customHeight="1">
      <c r="A50" s="464" t="s">
        <v>519</v>
      </c>
      <c r="B50" s="464" t="s">
        <v>520</v>
      </c>
      <c r="C50" s="464" t="s">
        <v>509</v>
      </c>
      <c r="D50" s="464" t="s">
        <v>521</v>
      </c>
      <c r="E50" s="464" t="s">
        <v>301</v>
      </c>
      <c r="F50" s="445"/>
      <c r="G50" s="445"/>
      <c r="H50" s="445"/>
      <c r="I50" s="445"/>
      <c r="J50" s="16"/>
      <c r="K50" s="445"/>
      <c r="L50" s="16"/>
    </row>
    <row r="51" spans="1:12" ht="13.5" customHeight="1">
      <c r="A51" s="486" t="s">
        <v>525</v>
      </c>
      <c r="B51" s="487">
        <v>0.5</v>
      </c>
      <c r="C51" s="487">
        <v>0.2</v>
      </c>
      <c r="D51" s="487">
        <v>0.2</v>
      </c>
      <c r="E51" s="487">
        <v>0.5</v>
      </c>
      <c r="F51" s="445"/>
      <c r="G51" s="445"/>
      <c r="H51" s="445"/>
      <c r="I51" s="445"/>
      <c r="J51" s="16"/>
      <c r="K51" s="445"/>
      <c r="L51" s="16"/>
    </row>
    <row r="52" spans="1:12" ht="13.5" customHeight="1">
      <c r="A52" s="465" t="s">
        <v>526</v>
      </c>
      <c r="B52" s="466">
        <v>0.3</v>
      </c>
      <c r="C52" s="466">
        <v>0.25</v>
      </c>
      <c r="D52" s="466">
        <v>0.7</v>
      </c>
      <c r="E52" s="466">
        <v>0.5</v>
      </c>
      <c r="F52" s="445"/>
      <c r="G52" s="445"/>
      <c r="H52" s="445"/>
      <c r="I52" s="445"/>
      <c r="J52" s="16"/>
      <c r="K52" s="445"/>
      <c r="L52" s="16"/>
    </row>
    <row r="53" spans="1:12" ht="13.5" customHeight="1">
      <c r="A53" s="465" t="s">
        <v>527</v>
      </c>
      <c r="B53" s="466">
        <v>0.8</v>
      </c>
      <c r="C53" s="466">
        <v>0.7</v>
      </c>
      <c r="D53" s="466">
        <v>0.7</v>
      </c>
      <c r="E53" s="466">
        <v>0.7</v>
      </c>
      <c r="F53" s="445"/>
      <c r="G53" s="445"/>
      <c r="H53" s="445"/>
      <c r="I53" s="445"/>
      <c r="J53" s="16"/>
      <c r="K53" s="445"/>
      <c r="L53" s="16"/>
    </row>
    <row r="54" spans="1:12" ht="13.5" customHeight="1"/>
    <row r="55" spans="1:12" ht="13.5" customHeight="1">
      <c r="A55" s="444"/>
      <c r="B55" s="445"/>
      <c r="C55" s="462" t="s">
        <v>533</v>
      </c>
      <c r="D55" s="445"/>
      <c r="E55" s="445"/>
    </row>
    <row r="56" spans="1:12" ht="13.5" customHeight="1">
      <c r="A56" s="445"/>
      <c r="B56" s="445"/>
      <c r="C56" s="445"/>
      <c r="D56" s="445"/>
      <c r="E56" s="445"/>
    </row>
    <row r="57" spans="1:12" ht="13.5" customHeight="1">
      <c r="A57" s="464" t="s">
        <v>519</v>
      </c>
      <c r="B57" s="464" t="s">
        <v>520</v>
      </c>
      <c r="C57" s="464" t="s">
        <v>509</v>
      </c>
      <c r="D57" s="464" t="s">
        <v>521</v>
      </c>
      <c r="E57" s="464" t="s">
        <v>301</v>
      </c>
    </row>
    <row r="58" spans="1:12" ht="13.5" customHeight="1">
      <c r="A58" s="465" t="s">
        <v>526</v>
      </c>
      <c r="B58" s="466">
        <v>0.7</v>
      </c>
      <c r="C58" s="466">
        <v>0.7</v>
      </c>
      <c r="D58" s="466">
        <v>0.8</v>
      </c>
      <c r="E58" s="466">
        <v>0.7</v>
      </c>
    </row>
    <row r="59" spans="1:12" ht="13.5" customHeight="1">
      <c r="A59" s="465" t="s">
        <v>527</v>
      </c>
      <c r="B59" s="466">
        <v>0.9</v>
      </c>
      <c r="C59" s="466">
        <v>0.8</v>
      </c>
      <c r="D59" s="466">
        <v>0.8</v>
      </c>
      <c r="E59" s="466">
        <v>0.8</v>
      </c>
    </row>
    <row r="60" spans="1:12" ht="13.5" customHeight="1"/>
    <row r="61" spans="1:12" ht="13.5" customHeight="1">
      <c r="A61" s="444"/>
      <c r="B61" s="445"/>
      <c r="C61" s="462" t="s">
        <v>534</v>
      </c>
      <c r="D61" s="445"/>
      <c r="E61" s="445"/>
    </row>
    <row r="62" spans="1:12" ht="13.5" customHeight="1">
      <c r="A62" s="445"/>
      <c r="B62" s="445"/>
      <c r="C62" s="445"/>
      <c r="D62" s="445"/>
      <c r="E62" s="445"/>
    </row>
    <row r="63" spans="1:12" ht="13.5" customHeight="1">
      <c r="A63" s="464" t="s">
        <v>519</v>
      </c>
      <c r="B63" s="464" t="s">
        <v>520</v>
      </c>
      <c r="C63" s="464" t="s">
        <v>509</v>
      </c>
      <c r="D63" s="464" t="s">
        <v>521</v>
      </c>
      <c r="E63" s="464" t="s">
        <v>301</v>
      </c>
    </row>
    <row r="64" spans="1:12" ht="13.5" customHeight="1">
      <c r="A64" s="465" t="s">
        <v>527</v>
      </c>
      <c r="B64" s="466">
        <v>0.9</v>
      </c>
      <c r="C64" s="466">
        <v>0.8</v>
      </c>
      <c r="D64" s="466">
        <v>0.8</v>
      </c>
      <c r="E64" s="466">
        <v>0.8</v>
      </c>
    </row>
    <row r="65" spans="1:12" ht="13.5" customHeight="1"/>
    <row r="66" spans="1:12" ht="13.5" customHeight="1">
      <c r="A66" s="444"/>
      <c r="B66" s="445"/>
      <c r="C66" s="462" t="s">
        <v>535</v>
      </c>
      <c r="D66" s="462"/>
      <c r="E66" s="445"/>
      <c r="F66" s="445"/>
      <c r="G66" s="445"/>
      <c r="H66" s="445"/>
      <c r="I66" s="445"/>
      <c r="J66" s="16"/>
      <c r="K66" s="445"/>
      <c r="L66" s="16"/>
    </row>
    <row r="67" spans="1:12" ht="13.5" customHeight="1">
      <c r="A67" s="445"/>
      <c r="B67" s="445"/>
      <c r="C67" s="445"/>
      <c r="D67" s="445"/>
      <c r="E67" s="445"/>
      <c r="F67" s="445"/>
      <c r="G67" s="445"/>
      <c r="H67" s="445"/>
      <c r="I67" s="16"/>
      <c r="J67" s="445"/>
      <c r="K67" s="16"/>
    </row>
    <row r="68" spans="1:12" ht="27.75" customHeight="1">
      <c r="A68" s="599" t="s">
        <v>519</v>
      </c>
      <c r="B68" s="599" t="s">
        <v>509</v>
      </c>
      <c r="C68" s="599" t="s">
        <v>521</v>
      </c>
      <c r="D68" s="599" t="s">
        <v>301</v>
      </c>
      <c r="E68" s="445"/>
      <c r="F68" s="445"/>
      <c r="G68" s="445"/>
      <c r="H68" s="445"/>
      <c r="I68" s="16"/>
      <c r="J68" s="445"/>
      <c r="K68" s="16"/>
    </row>
    <row r="69" spans="1:12" ht="13.5" customHeight="1">
      <c r="A69" s="465" t="s">
        <v>527</v>
      </c>
      <c r="B69" s="466">
        <v>0.8</v>
      </c>
      <c r="C69" s="466">
        <v>0.8</v>
      </c>
      <c r="D69" s="466">
        <v>0.8</v>
      </c>
      <c r="E69" s="445"/>
      <c r="F69" s="445"/>
      <c r="G69" s="445"/>
      <c r="H69" s="445"/>
      <c r="I69" s="16"/>
      <c r="J69" s="445"/>
      <c r="K69" s="16"/>
    </row>
    <row r="70" spans="1:12" ht="13.5" customHeight="1"/>
    <row r="71" spans="1:12" ht="13.5" customHeight="1">
      <c r="A71" s="444"/>
      <c r="B71" s="445"/>
      <c r="C71" s="462" t="s">
        <v>536</v>
      </c>
      <c r="D71" s="445"/>
      <c r="E71" s="445"/>
      <c r="F71" s="445"/>
      <c r="G71" s="445"/>
      <c r="H71" s="445"/>
      <c r="I71" s="445"/>
      <c r="J71" s="16"/>
      <c r="K71" s="445"/>
      <c r="L71" s="16"/>
    </row>
    <row r="72" spans="1:12" ht="13.5" customHeight="1">
      <c r="A72" s="445"/>
      <c r="B72" s="445"/>
      <c r="C72" s="445"/>
      <c r="D72" s="445"/>
      <c r="E72" s="445"/>
      <c r="F72" s="445"/>
      <c r="G72" s="445"/>
      <c r="H72" s="445"/>
      <c r="I72" s="16"/>
      <c r="J72" s="445"/>
      <c r="K72" s="16"/>
    </row>
    <row r="73" spans="1:12" ht="29.25" customHeight="1">
      <c r="A73" s="464" t="s">
        <v>519</v>
      </c>
      <c r="B73" s="599" t="s">
        <v>509</v>
      </c>
      <c r="C73" s="601" t="s">
        <v>521</v>
      </c>
      <c r="D73" s="601" t="s">
        <v>301</v>
      </c>
      <c r="E73" s="445"/>
      <c r="F73" s="445"/>
      <c r="G73" s="445"/>
      <c r="H73" s="445"/>
      <c r="I73" s="16"/>
      <c r="J73" s="445"/>
      <c r="K73" s="16"/>
    </row>
    <row r="74" spans="1:12" ht="13.5" customHeight="1">
      <c r="A74" s="465" t="s">
        <v>307</v>
      </c>
      <c r="B74" s="466">
        <v>0.8</v>
      </c>
      <c r="C74" s="466"/>
      <c r="D74" s="466"/>
      <c r="E74" s="445"/>
      <c r="F74" s="445"/>
      <c r="G74" s="445"/>
      <c r="H74" s="445"/>
      <c r="I74" s="16"/>
      <c r="J74" s="445"/>
      <c r="K74" s="16"/>
    </row>
    <row r="75" spans="1:12" ht="13.5" customHeight="1"/>
    <row r="76" spans="1:12" ht="13.5" customHeight="1"/>
    <row r="77" spans="1:12" ht="13.5" customHeight="1"/>
    <row r="78" spans="1:12" ht="13.5" customHeight="1"/>
    <row r="79" spans="1:12" ht="13.5" customHeight="1"/>
    <row r="80" spans="1:12"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4.5" customWidth="1"/>
    <col min="2" max="2" width="17.59765625" customWidth="1"/>
    <col min="3" max="3" width="14" customWidth="1"/>
    <col min="4" max="4" width="13.5" customWidth="1"/>
    <col min="5" max="26" width="10.3984375" customWidth="1"/>
  </cols>
  <sheetData>
    <row r="1" spans="1:26" ht="65.25" customHeight="1">
      <c r="A1" s="355" t="s">
        <v>537</v>
      </c>
      <c r="B1" s="355" t="s">
        <v>538</v>
      </c>
      <c r="C1" s="355" t="s">
        <v>539</v>
      </c>
      <c r="D1" s="355" t="s">
        <v>540</v>
      </c>
      <c r="E1" s="355" t="s">
        <v>541</v>
      </c>
      <c r="F1" s="355" t="s">
        <v>542</v>
      </c>
      <c r="G1" s="355" t="s">
        <v>542</v>
      </c>
      <c r="H1" s="355" t="s">
        <v>543</v>
      </c>
      <c r="I1" s="355" t="s">
        <v>544</v>
      </c>
      <c r="J1" s="355" t="s">
        <v>318</v>
      </c>
      <c r="K1" s="355" t="s">
        <v>3</v>
      </c>
      <c r="L1" s="355" t="s">
        <v>545</v>
      </c>
      <c r="M1" s="447"/>
      <c r="N1" s="447"/>
      <c r="O1" s="447"/>
      <c r="P1" s="447"/>
      <c r="Q1" s="447"/>
      <c r="R1" s="447"/>
      <c r="S1" s="447"/>
      <c r="T1" s="447"/>
      <c r="U1" s="447"/>
      <c r="V1" s="447"/>
      <c r="W1" s="447"/>
      <c r="X1" s="447"/>
      <c r="Y1" s="447"/>
      <c r="Z1" s="447"/>
    </row>
    <row r="2" spans="1:26" ht="13.5" customHeight="1">
      <c r="A2" s="453" t="s">
        <v>307</v>
      </c>
      <c r="B2" s="453" t="s">
        <v>95</v>
      </c>
      <c r="C2" s="453"/>
      <c r="D2" s="454"/>
      <c r="E2" s="455"/>
      <c r="F2" s="453" t="s">
        <v>546</v>
      </c>
      <c r="G2" s="456"/>
      <c r="H2" s="457"/>
      <c r="I2" s="457"/>
      <c r="J2" s="460"/>
      <c r="K2" s="453">
        <v>6000</v>
      </c>
      <c r="L2" s="460">
        <v>6000</v>
      </c>
    </row>
    <row r="3" spans="1:26" ht="13.5" customHeight="1">
      <c r="A3" s="458" t="s">
        <v>169</v>
      </c>
      <c r="B3" s="459"/>
      <c r="C3" s="459"/>
      <c r="D3" s="460"/>
      <c r="E3" s="460"/>
      <c r="F3" s="453"/>
      <c r="G3" s="456"/>
      <c r="H3" s="460"/>
      <c r="I3" s="457"/>
      <c r="J3" s="460"/>
      <c r="K3" s="453">
        <v>5000</v>
      </c>
      <c r="L3" s="460">
        <v>5000</v>
      </c>
    </row>
    <row r="4" spans="1:26" ht="13.5" customHeight="1">
      <c r="A4" s="461" t="s">
        <v>449</v>
      </c>
      <c r="B4" s="459"/>
      <c r="C4" s="459"/>
      <c r="D4" s="460"/>
      <c r="E4" s="460"/>
      <c r="F4" s="453"/>
      <c r="G4" s="456"/>
      <c r="H4" s="460"/>
      <c r="I4" s="457"/>
      <c r="J4" s="460"/>
      <c r="K4" s="453">
        <v>5000</v>
      </c>
      <c r="L4" s="460">
        <v>5000</v>
      </c>
    </row>
    <row r="5" spans="1:26" ht="13.5" customHeight="1">
      <c r="A5" s="458" t="s">
        <v>95</v>
      </c>
      <c r="B5" s="453"/>
      <c r="C5" s="453"/>
      <c r="D5" s="460"/>
      <c r="E5" s="460"/>
      <c r="F5" s="453"/>
      <c r="G5" s="457"/>
      <c r="H5" s="460"/>
      <c r="I5" s="460"/>
      <c r="J5" s="460"/>
      <c r="K5" s="458"/>
      <c r="L5" s="460"/>
    </row>
    <row r="6" spans="1:26" ht="13.5" customHeight="1">
      <c r="A6" s="443"/>
      <c r="B6" s="357"/>
      <c r="C6" s="357"/>
      <c r="D6" s="131"/>
      <c r="E6" s="131"/>
      <c r="F6" s="131"/>
      <c r="G6" s="131"/>
      <c r="H6" s="131"/>
      <c r="I6" s="131"/>
      <c r="J6" s="131"/>
      <c r="K6" s="443"/>
      <c r="L6" s="131"/>
    </row>
    <row r="7" spans="1:26" ht="13.5" customHeight="1">
      <c r="A7" s="443"/>
      <c r="B7" s="357"/>
      <c r="C7" s="357"/>
      <c r="D7" s="131"/>
      <c r="E7" s="131"/>
      <c r="F7" s="131"/>
      <c r="G7" s="131"/>
      <c r="H7" s="131"/>
      <c r="I7" s="131"/>
      <c r="J7" s="131"/>
      <c r="K7" s="443"/>
      <c r="L7" s="131"/>
    </row>
    <row r="8" spans="1:26" ht="13.5" customHeight="1">
      <c r="A8" s="444"/>
      <c r="B8" s="445"/>
      <c r="C8" s="445"/>
      <c r="D8" s="445"/>
      <c r="E8" s="445"/>
      <c r="F8" s="445"/>
      <c r="G8" s="445"/>
      <c r="H8" s="445"/>
      <c r="I8" s="445"/>
      <c r="J8" s="16"/>
      <c r="K8" s="445"/>
      <c r="L8" s="16"/>
    </row>
    <row r="9" spans="1:26" ht="13.5" customHeight="1">
      <c r="A9" s="444"/>
      <c r="B9" s="445"/>
      <c r="C9" s="462" t="s">
        <v>536</v>
      </c>
      <c r="D9" s="462"/>
      <c r="E9" s="445"/>
      <c r="F9" s="445"/>
      <c r="G9" s="445"/>
      <c r="H9" s="445"/>
      <c r="I9" s="445"/>
      <c r="J9" s="16"/>
      <c r="K9" s="445"/>
      <c r="L9" s="16"/>
    </row>
    <row r="10" spans="1:26" ht="13.5" customHeight="1">
      <c r="A10" s="445"/>
      <c r="B10" s="445"/>
      <c r="C10" s="445"/>
      <c r="D10" s="445"/>
      <c r="E10" s="445"/>
      <c r="F10" s="445"/>
      <c r="G10" s="445"/>
      <c r="H10" s="445"/>
      <c r="I10" s="16"/>
      <c r="J10" s="445"/>
      <c r="K10" s="16"/>
    </row>
    <row r="11" spans="1:26" ht="13.5" customHeight="1">
      <c r="A11" s="464" t="s">
        <v>519</v>
      </c>
      <c r="B11" s="464" t="s">
        <v>509</v>
      </c>
      <c r="C11" s="464" t="s">
        <v>521</v>
      </c>
      <c r="D11" s="464" t="s">
        <v>301</v>
      </c>
      <c r="E11" s="445"/>
      <c r="F11" s="445"/>
      <c r="G11" s="445"/>
      <c r="H11" s="445"/>
      <c r="I11" s="16"/>
      <c r="J11" s="445"/>
      <c r="K11" s="16"/>
    </row>
    <row r="12" spans="1:26" ht="13.5" customHeight="1">
      <c r="A12" s="465" t="s">
        <v>307</v>
      </c>
      <c r="B12" s="466">
        <v>0.8</v>
      </c>
      <c r="C12" s="466"/>
      <c r="D12" s="466"/>
      <c r="E12" s="445"/>
      <c r="F12" s="445"/>
      <c r="G12" s="445"/>
      <c r="H12" s="445"/>
      <c r="I12" s="16"/>
      <c r="J12" s="445"/>
      <c r="K12" s="16"/>
    </row>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pane xSplit="1" topLeftCell="B1" activePane="topRight" state="frozen"/>
      <selection pane="topRight" activeCell="C2" sqref="C2"/>
    </sheetView>
  </sheetViews>
  <sheetFormatPr defaultColWidth="12.59765625" defaultRowHeight="15" customHeight="1"/>
  <cols>
    <col min="1" max="1" width="14.3984375" customWidth="1"/>
    <col min="2" max="2" width="13.19921875" customWidth="1"/>
    <col min="3" max="3" width="13.69921875" customWidth="1"/>
    <col min="4" max="4" width="18.69921875" customWidth="1"/>
    <col min="5" max="5" width="15.3984375" customWidth="1"/>
    <col min="6" max="7" width="12.19921875" customWidth="1"/>
    <col min="8" max="8" width="15.5" customWidth="1"/>
    <col min="9" max="9" width="12" customWidth="1"/>
    <col min="10" max="10" width="6.5" customWidth="1"/>
    <col min="11" max="11" width="12.09765625" customWidth="1"/>
    <col min="12" max="12" width="17.59765625" customWidth="1"/>
    <col min="13" max="26" width="8.59765625" customWidth="1"/>
  </cols>
  <sheetData>
    <row r="1" spans="1:26" ht="30" customHeight="1">
      <c r="A1" s="355" t="s">
        <v>537</v>
      </c>
      <c r="B1" s="355" t="s">
        <v>538</v>
      </c>
      <c r="C1" s="355" t="s">
        <v>539</v>
      </c>
      <c r="D1" s="355" t="s">
        <v>540</v>
      </c>
      <c r="E1" s="355" t="s">
        <v>541</v>
      </c>
      <c r="F1" s="355" t="s">
        <v>542</v>
      </c>
      <c r="G1" s="355" t="s">
        <v>542</v>
      </c>
      <c r="H1" s="355" t="s">
        <v>543</v>
      </c>
      <c r="I1" s="355" t="s">
        <v>544</v>
      </c>
      <c r="J1" s="355" t="s">
        <v>318</v>
      </c>
      <c r="K1" s="355" t="s">
        <v>3</v>
      </c>
      <c r="L1" s="355" t="s">
        <v>545</v>
      </c>
      <c r="M1" s="447"/>
      <c r="N1" s="447"/>
      <c r="O1" s="447"/>
      <c r="P1" s="447"/>
      <c r="Q1" s="447"/>
      <c r="R1" s="447"/>
      <c r="S1" s="447"/>
      <c r="T1" s="447"/>
      <c r="U1" s="447"/>
      <c r="V1" s="447"/>
      <c r="W1" s="447"/>
      <c r="X1" s="447"/>
      <c r="Y1" s="447"/>
      <c r="Z1" s="447"/>
    </row>
    <row r="2" spans="1:26" ht="13.5" customHeight="1">
      <c r="A2" s="453" t="s">
        <v>527</v>
      </c>
      <c r="B2" s="453"/>
      <c r="C2" s="453"/>
      <c r="D2" s="454"/>
      <c r="E2" s="455"/>
      <c r="F2" s="453" t="s">
        <v>546</v>
      </c>
      <c r="G2" s="456"/>
      <c r="H2" s="457"/>
      <c r="I2" s="457"/>
      <c r="J2" s="131"/>
      <c r="K2" s="453">
        <v>6000</v>
      </c>
      <c r="L2" s="460">
        <v>6000</v>
      </c>
    </row>
    <row r="3" spans="1:26" ht="13.5" customHeight="1">
      <c r="A3" s="458" t="s">
        <v>169</v>
      </c>
      <c r="B3" s="459"/>
      <c r="C3" s="459"/>
      <c r="D3" s="460"/>
      <c r="E3" s="460"/>
      <c r="F3" s="453"/>
      <c r="G3" s="456"/>
      <c r="H3" s="460"/>
      <c r="I3" s="457"/>
      <c r="J3" s="460"/>
      <c r="K3" s="453">
        <v>5000</v>
      </c>
      <c r="L3" s="460">
        <v>5000</v>
      </c>
    </row>
    <row r="4" spans="1:26" ht="13.5" customHeight="1">
      <c r="A4" s="461" t="s">
        <v>449</v>
      </c>
      <c r="B4" s="459"/>
      <c r="C4" s="459"/>
      <c r="D4" s="460"/>
      <c r="E4" s="460"/>
      <c r="F4" s="453"/>
      <c r="G4" s="456"/>
      <c r="H4" s="460"/>
      <c r="I4" s="457"/>
      <c r="J4" s="460"/>
      <c r="K4" s="453">
        <v>5000</v>
      </c>
      <c r="L4" s="460">
        <v>5000</v>
      </c>
    </row>
    <row r="5" spans="1:26" ht="13.5" customHeight="1">
      <c r="A5" s="458" t="s">
        <v>95</v>
      </c>
      <c r="B5" s="453"/>
      <c r="C5" s="453"/>
      <c r="D5" s="460"/>
      <c r="E5" s="460"/>
      <c r="F5" s="453"/>
      <c r="G5" s="457"/>
      <c r="H5" s="460"/>
      <c r="I5" s="460"/>
      <c r="J5" s="460"/>
      <c r="K5" s="458"/>
      <c r="L5" s="460"/>
    </row>
    <row r="6" spans="1:26" ht="13.5" customHeight="1">
      <c r="A6" s="443"/>
      <c r="B6" s="357"/>
      <c r="C6" s="357"/>
      <c r="D6" s="131"/>
      <c r="E6" s="131"/>
      <c r="F6" s="131"/>
      <c r="G6" s="131"/>
      <c r="H6" s="131"/>
      <c r="I6" s="131"/>
      <c r="J6" s="131"/>
      <c r="K6" s="443"/>
      <c r="L6" s="131"/>
    </row>
    <row r="7" spans="1:26" ht="13.5" customHeight="1">
      <c r="A7" s="443"/>
      <c r="B7" s="357"/>
      <c r="C7" s="357"/>
      <c r="D7" s="131"/>
      <c r="E7" s="131"/>
      <c r="F7" s="131"/>
      <c r="G7" s="131"/>
      <c r="H7" s="131"/>
      <c r="I7" s="131"/>
      <c r="J7" s="131"/>
      <c r="K7" s="443"/>
      <c r="L7" s="131"/>
    </row>
    <row r="8" spans="1:26" ht="13.5" customHeight="1">
      <c r="A8" s="444"/>
      <c r="B8" s="445"/>
      <c r="C8" s="445"/>
      <c r="D8" s="445"/>
      <c r="E8" s="445"/>
      <c r="F8" s="445"/>
      <c r="G8" s="445"/>
      <c r="H8" s="445"/>
      <c r="I8" s="445"/>
      <c r="J8" s="16"/>
      <c r="K8" s="445"/>
      <c r="L8" s="16"/>
    </row>
    <row r="9" spans="1:26" ht="13.5" customHeight="1">
      <c r="A9" s="444"/>
      <c r="B9" s="445"/>
      <c r="C9" s="462" t="s">
        <v>535</v>
      </c>
      <c r="D9" s="462"/>
      <c r="E9" s="445"/>
      <c r="F9" s="445"/>
      <c r="G9" s="445"/>
      <c r="H9" s="445"/>
      <c r="I9" s="445"/>
      <c r="J9" s="16"/>
      <c r="K9" s="445"/>
      <c r="L9" s="16"/>
    </row>
    <row r="10" spans="1:26" ht="13.5" customHeight="1">
      <c r="A10" s="445"/>
      <c r="B10" s="445"/>
      <c r="C10" s="445"/>
      <c r="D10" s="445"/>
      <c r="E10" s="445"/>
      <c r="F10" s="445"/>
      <c r="G10" s="445"/>
      <c r="H10" s="445"/>
      <c r="I10" s="16"/>
      <c r="J10" s="445"/>
      <c r="K10" s="16"/>
    </row>
    <row r="11" spans="1:26" ht="32.25" customHeight="1">
      <c r="A11" s="599" t="s">
        <v>519</v>
      </c>
      <c r="B11" s="599" t="s">
        <v>509</v>
      </c>
      <c r="C11" s="599" t="s">
        <v>521</v>
      </c>
      <c r="D11" s="599" t="s">
        <v>301</v>
      </c>
      <c r="E11" s="445"/>
      <c r="F11" s="445"/>
      <c r="G11" s="445"/>
      <c r="H11" s="445"/>
      <c r="I11" s="16"/>
      <c r="J11" s="445"/>
      <c r="K11" s="16"/>
    </row>
    <row r="12" spans="1:26" ht="13.5" customHeight="1">
      <c r="A12" s="465" t="s">
        <v>527</v>
      </c>
      <c r="B12" s="466">
        <v>0.8</v>
      </c>
      <c r="C12" s="466">
        <v>0.8</v>
      </c>
      <c r="D12" s="466">
        <v>0.8</v>
      </c>
      <c r="E12" s="445"/>
      <c r="F12" s="445"/>
      <c r="G12" s="445"/>
      <c r="H12" s="445"/>
      <c r="I12" s="16"/>
      <c r="J12" s="445"/>
      <c r="K12" s="16"/>
    </row>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00"/>
  <sheetViews>
    <sheetView workbookViewId="0">
      <pane xSplit="1" ySplit="1" topLeftCell="B2" activePane="bottomRight" state="frozen"/>
      <selection pane="topRight"/>
      <selection pane="bottomLeft"/>
      <selection pane="bottomRight" activeCell="B11" sqref="B11"/>
    </sheetView>
  </sheetViews>
  <sheetFormatPr defaultColWidth="12.59765625" defaultRowHeight="15" customHeight="1"/>
  <cols>
    <col min="1" max="1" width="61.69921875" customWidth="1"/>
    <col min="2" max="2" width="16.19921875" customWidth="1"/>
    <col min="3" max="3" width="42.69921875" customWidth="1"/>
    <col min="4" max="26" width="8.59765625" customWidth="1"/>
  </cols>
  <sheetData>
    <row r="1" spans="1:3" ht="14.25" customHeight="1">
      <c r="A1" s="598" t="s">
        <v>547</v>
      </c>
      <c r="B1" s="25"/>
      <c r="C1" s="25"/>
    </row>
    <row r="2" spans="1:3" ht="14.25" customHeight="1">
      <c r="A2" s="25" t="s">
        <v>548</v>
      </c>
      <c r="B2" s="25" t="s">
        <v>549</v>
      </c>
      <c r="C2" s="25"/>
    </row>
    <row r="3" spans="1:3" ht="14.25" customHeight="1">
      <c r="A3" s="25" t="s">
        <v>550</v>
      </c>
      <c r="B3" s="25" t="s">
        <v>551</v>
      </c>
      <c r="C3" s="25"/>
    </row>
    <row r="4" spans="1:3" ht="14.25" customHeight="1">
      <c r="A4" s="25"/>
      <c r="B4" s="25"/>
      <c r="C4" s="25"/>
    </row>
    <row r="5" spans="1:3" ht="14.25" customHeight="1">
      <c r="A5" s="25" t="s">
        <v>552</v>
      </c>
      <c r="B5" s="497">
        <v>550</v>
      </c>
      <c r="C5" s="25" t="s">
        <v>553</v>
      </c>
    </row>
    <row r="6" spans="1:3" ht="14.25" customHeight="1">
      <c r="A6" s="25" t="s">
        <v>554</v>
      </c>
      <c r="B6" s="497">
        <v>6000</v>
      </c>
      <c r="C6" s="25"/>
    </row>
    <row r="7" spans="1:3" ht="14.25" customHeight="1">
      <c r="A7" s="25" t="s">
        <v>555</v>
      </c>
      <c r="B7" s="25"/>
      <c r="C7" s="25"/>
    </row>
    <row r="8" spans="1:3" ht="14.25" customHeight="1">
      <c r="A8" s="25" t="s">
        <v>556</v>
      </c>
      <c r="B8" s="25"/>
      <c r="C8" s="25"/>
    </row>
    <row r="9" spans="1:3" ht="85.5" customHeight="1">
      <c r="A9" s="377" t="s">
        <v>557</v>
      </c>
      <c r="B9" s="25"/>
      <c r="C9" s="25"/>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1000"/>
  <sheetViews>
    <sheetView workbookViewId="0">
      <pane xSplit="5" ySplit="1" topLeftCell="L3" activePane="bottomRight" state="frozen"/>
      <selection pane="topRight"/>
      <selection pane="bottomLeft"/>
      <selection pane="bottomRight" activeCell="P5" sqref="P5:R5"/>
    </sheetView>
  </sheetViews>
  <sheetFormatPr defaultColWidth="12.59765625" defaultRowHeight="15" customHeight="1"/>
  <cols>
    <col min="1" max="1" width="19.59765625" customWidth="1"/>
    <col min="2" max="2" width="19.19921875" customWidth="1"/>
    <col min="3" max="3" width="8.69921875" customWidth="1"/>
    <col min="4" max="4" width="10.69921875" customWidth="1"/>
    <col min="5" max="5" width="10" customWidth="1"/>
    <col min="6" max="6" width="12.69921875" customWidth="1"/>
    <col min="7" max="10" width="8.59765625" customWidth="1"/>
    <col min="11" max="11" width="10.19921875" customWidth="1"/>
    <col min="12" max="12" width="9.5" customWidth="1"/>
    <col min="13" max="13" width="10.3984375" customWidth="1"/>
    <col min="14" max="16" width="8.59765625" customWidth="1"/>
    <col min="17" max="17" width="14" customWidth="1"/>
    <col min="18" max="18" width="13.19921875" customWidth="1"/>
    <col min="19" max="19" width="40.19921875" customWidth="1"/>
    <col min="20" max="20" width="8.59765625" customWidth="1"/>
  </cols>
  <sheetData>
    <row r="1" spans="1:20" ht="27" customHeight="1">
      <c r="A1" s="1" t="s">
        <v>356</v>
      </c>
      <c r="B1" s="1" t="s">
        <v>48</v>
      </c>
      <c r="C1" s="1" t="s">
        <v>2</v>
      </c>
      <c r="D1" s="1" t="s">
        <v>357</v>
      </c>
      <c r="E1" s="2" t="s">
        <v>358</v>
      </c>
      <c r="F1" s="2" t="s">
        <v>558</v>
      </c>
      <c r="G1" s="3">
        <v>44927</v>
      </c>
      <c r="H1" s="3">
        <v>44958</v>
      </c>
      <c r="I1" s="3">
        <v>44986</v>
      </c>
      <c r="J1" s="3">
        <v>45017</v>
      </c>
      <c r="K1" s="3">
        <v>45047</v>
      </c>
      <c r="L1" s="3">
        <v>45078</v>
      </c>
      <c r="M1" s="3">
        <v>45108</v>
      </c>
      <c r="N1" s="3">
        <v>45139</v>
      </c>
      <c r="O1" s="3">
        <v>45170</v>
      </c>
      <c r="P1" s="3">
        <v>45200</v>
      </c>
      <c r="Q1" s="3">
        <v>45231</v>
      </c>
      <c r="R1" s="3">
        <v>45261</v>
      </c>
      <c r="S1" s="590" t="s">
        <v>318</v>
      </c>
      <c r="T1" s="20" t="s">
        <v>360</v>
      </c>
    </row>
    <row r="2" spans="1:20" ht="36.75" customHeight="1">
      <c r="A2" s="575" t="s">
        <v>361</v>
      </c>
      <c r="B2" s="576" t="s">
        <v>362</v>
      </c>
      <c r="C2" s="577">
        <v>17000</v>
      </c>
      <c r="D2" s="577">
        <v>10000</v>
      </c>
      <c r="E2" s="152">
        <v>15000</v>
      </c>
      <c r="F2" s="576" t="s">
        <v>559</v>
      </c>
      <c r="G2" s="578">
        <v>15000</v>
      </c>
      <c r="H2" s="578">
        <v>15000</v>
      </c>
      <c r="I2" s="578">
        <v>15000</v>
      </c>
      <c r="J2" s="578">
        <v>5000</v>
      </c>
      <c r="K2" s="577">
        <v>0</v>
      </c>
      <c r="L2" s="577">
        <v>0</v>
      </c>
      <c r="M2" s="577">
        <v>0</v>
      </c>
      <c r="N2" s="584" t="s">
        <v>30</v>
      </c>
      <c r="O2" s="584" t="s">
        <v>30</v>
      </c>
      <c r="P2" s="583">
        <f>E2/168*44</f>
        <v>3928.5714285714289</v>
      </c>
      <c r="Q2" s="583">
        <f t="shared" ref="Q2:Q3" si="0">E2/184*44</f>
        <v>3586.9565217391305</v>
      </c>
      <c r="R2" s="583">
        <f>E2/160*33</f>
        <v>3093.75</v>
      </c>
      <c r="S2" s="131" t="s">
        <v>560</v>
      </c>
      <c r="T2" s="543">
        <f t="shared" ref="T2:T7" si="1">SUM(G2:R2)</f>
        <v>60609.277950310556</v>
      </c>
    </row>
    <row r="3" spans="1:20" ht="54" customHeight="1">
      <c r="A3" s="135" t="s">
        <v>302</v>
      </c>
      <c r="B3" s="135" t="s">
        <v>224</v>
      </c>
      <c r="C3" s="579">
        <v>15000</v>
      </c>
      <c r="D3" s="579">
        <v>6000</v>
      </c>
      <c r="E3" s="580">
        <v>15000</v>
      </c>
      <c r="F3" s="119">
        <v>45519</v>
      </c>
      <c r="G3" s="581" t="s">
        <v>30</v>
      </c>
      <c r="H3" s="581" t="s">
        <v>30</v>
      </c>
      <c r="I3" s="581" t="s">
        <v>30</v>
      </c>
      <c r="J3" s="581" t="s">
        <v>30</v>
      </c>
      <c r="K3" s="581" t="s">
        <v>30</v>
      </c>
      <c r="L3" s="581" t="s">
        <v>30</v>
      </c>
      <c r="M3" s="581" t="s">
        <v>30</v>
      </c>
      <c r="N3" s="581" t="s">
        <v>30</v>
      </c>
      <c r="O3" s="589">
        <f>E3/168*44</f>
        <v>3928.5714285714289</v>
      </c>
      <c r="P3" s="152">
        <f>E3/176*44</f>
        <v>3750.0000000000005</v>
      </c>
      <c r="Q3" s="152">
        <f t="shared" si="0"/>
        <v>3586.9565217391305</v>
      </c>
      <c r="R3" s="589">
        <f>E3/160*44</f>
        <v>4125</v>
      </c>
      <c r="S3" s="591"/>
      <c r="T3" s="543">
        <f t="shared" si="1"/>
        <v>15390.527950310559</v>
      </c>
    </row>
    <row r="4" spans="1:20" ht="54" customHeight="1">
      <c r="A4" s="135" t="s">
        <v>312</v>
      </c>
      <c r="B4" s="135" t="s">
        <v>79</v>
      </c>
      <c r="C4" s="579">
        <v>30000</v>
      </c>
      <c r="D4" s="579">
        <v>5000</v>
      </c>
      <c r="E4" s="580">
        <v>9000</v>
      </c>
      <c r="F4" s="119">
        <v>45171</v>
      </c>
      <c r="G4" s="581" t="s">
        <v>30</v>
      </c>
      <c r="H4" s="581" t="s">
        <v>30</v>
      </c>
      <c r="I4" s="581" t="s">
        <v>30</v>
      </c>
      <c r="J4" s="581" t="s">
        <v>30</v>
      </c>
      <c r="K4" s="581" t="s">
        <v>30</v>
      </c>
      <c r="L4" s="581" t="s">
        <v>30</v>
      </c>
      <c r="M4" s="581" t="s">
        <v>30</v>
      </c>
      <c r="N4" s="581" t="s">
        <v>30</v>
      </c>
      <c r="O4" s="581" t="s">
        <v>30</v>
      </c>
      <c r="P4" s="589">
        <f>E4/31*20</f>
        <v>5806.4516129032254</v>
      </c>
      <c r="Q4" s="589">
        <v>0</v>
      </c>
      <c r="R4" s="592">
        <f>E4/20*14</f>
        <v>6300</v>
      </c>
      <c r="S4" s="593" t="s">
        <v>561</v>
      </c>
      <c r="T4" s="543">
        <f t="shared" si="1"/>
        <v>12106.451612903225</v>
      </c>
    </row>
    <row r="5" spans="1:20" ht="54" customHeight="1">
      <c r="A5" s="135" t="s">
        <v>306</v>
      </c>
      <c r="B5" s="135" t="s">
        <v>224</v>
      </c>
      <c r="C5" s="579">
        <v>25000</v>
      </c>
      <c r="D5" s="579">
        <v>10000</v>
      </c>
      <c r="E5" s="580">
        <v>9000</v>
      </c>
      <c r="F5" s="582"/>
      <c r="G5" s="581"/>
      <c r="H5" s="581"/>
      <c r="I5" s="581"/>
      <c r="J5" s="581"/>
      <c r="K5" s="581"/>
      <c r="L5" s="581"/>
      <c r="M5" s="581"/>
      <c r="N5" s="581" t="s">
        <v>30</v>
      </c>
      <c r="O5" s="581" t="s">
        <v>30</v>
      </c>
      <c r="P5" s="583">
        <f>E5/31*31</f>
        <v>9000</v>
      </c>
      <c r="Q5" s="583">
        <f>E5/30*30</f>
        <v>9000</v>
      </c>
      <c r="R5" s="583">
        <v>9000</v>
      </c>
      <c r="S5" s="593"/>
      <c r="T5" s="543">
        <f t="shared" si="1"/>
        <v>27000</v>
      </c>
    </row>
    <row r="6" spans="1:20" ht="27" customHeight="1">
      <c r="A6" s="131" t="s">
        <v>366</v>
      </c>
      <c r="B6" s="131" t="s">
        <v>235</v>
      </c>
      <c r="C6" s="152">
        <v>25000</v>
      </c>
      <c r="D6" s="152">
        <v>5000</v>
      </c>
      <c r="E6" s="152">
        <v>9000</v>
      </c>
      <c r="F6" s="133">
        <v>45112</v>
      </c>
      <c r="G6" s="583">
        <v>9000</v>
      </c>
      <c r="H6" s="583">
        <v>9000</v>
      </c>
      <c r="I6" s="583">
        <v>9000</v>
      </c>
      <c r="J6" s="152">
        <v>15000</v>
      </c>
      <c r="K6" s="152">
        <v>9000</v>
      </c>
      <c r="L6" s="152">
        <v>9000</v>
      </c>
      <c r="M6" s="152">
        <v>9000</v>
      </c>
      <c r="N6" s="584" t="s">
        <v>30</v>
      </c>
      <c r="O6" s="584" t="s">
        <v>30</v>
      </c>
      <c r="P6" s="584" t="s">
        <v>30</v>
      </c>
      <c r="Q6" s="584" t="s">
        <v>30</v>
      </c>
      <c r="R6" s="583">
        <f>E6/20*14</f>
        <v>6300</v>
      </c>
      <c r="S6" s="593" t="s">
        <v>562</v>
      </c>
      <c r="T6" s="543">
        <f t="shared" si="1"/>
        <v>75300</v>
      </c>
    </row>
    <row r="7" spans="1:20" ht="32.25" customHeight="1">
      <c r="A7" s="131" t="s">
        <v>311</v>
      </c>
      <c r="B7" s="131" t="s">
        <v>79</v>
      </c>
      <c r="C7" s="152">
        <v>38000</v>
      </c>
      <c r="D7" s="152">
        <v>5000</v>
      </c>
      <c r="E7" s="152">
        <v>15000</v>
      </c>
      <c r="F7" s="133"/>
      <c r="G7" s="584" t="s">
        <v>30</v>
      </c>
      <c r="H7" s="584" t="s">
        <v>30</v>
      </c>
      <c r="I7" s="584" t="s">
        <v>30</v>
      </c>
      <c r="J7" s="584" t="s">
        <v>30</v>
      </c>
      <c r="K7" s="584" t="s">
        <v>30</v>
      </c>
      <c r="L7" s="584" t="s">
        <v>30</v>
      </c>
      <c r="M7" s="584" t="s">
        <v>30</v>
      </c>
      <c r="N7" s="584" t="s">
        <v>30</v>
      </c>
      <c r="O7" s="584" t="s">
        <v>30</v>
      </c>
      <c r="P7" s="584" t="s">
        <v>30</v>
      </c>
      <c r="Q7" s="584" t="s">
        <v>30</v>
      </c>
      <c r="R7" s="592"/>
      <c r="S7" s="593" t="s">
        <v>563</v>
      </c>
      <c r="T7" s="543">
        <f t="shared" si="1"/>
        <v>0</v>
      </c>
    </row>
    <row r="8" spans="1:20" ht="32.25" customHeight="1">
      <c r="A8" s="135" t="s">
        <v>228</v>
      </c>
      <c r="B8" s="135" t="s">
        <v>224</v>
      </c>
      <c r="C8" s="579">
        <v>6000</v>
      </c>
      <c r="D8" s="579">
        <v>10000</v>
      </c>
      <c r="E8" s="579">
        <v>9000</v>
      </c>
      <c r="F8" s="585" t="s">
        <v>564</v>
      </c>
      <c r="G8" s="581"/>
      <c r="H8" s="581"/>
      <c r="I8" s="581"/>
      <c r="J8" s="581"/>
      <c r="K8" s="581"/>
      <c r="L8" s="581"/>
      <c r="M8" s="581"/>
      <c r="N8" s="581"/>
      <c r="O8" s="581"/>
      <c r="P8" s="581"/>
      <c r="Q8" s="594">
        <f>E8/184*44</f>
        <v>2152.173913043478</v>
      </c>
      <c r="R8" s="595">
        <f>E8/160*44</f>
        <v>2475</v>
      </c>
      <c r="S8" s="593"/>
      <c r="T8" s="596"/>
    </row>
    <row r="9" spans="1:20" ht="27" customHeight="1">
      <c r="A9" s="586" t="s">
        <v>378</v>
      </c>
      <c r="B9" s="586"/>
      <c r="C9" s="587">
        <f t="shared" ref="C9:Q9" si="2">SUM(C2:C6)</f>
        <v>112000</v>
      </c>
      <c r="D9" s="587">
        <f t="shared" si="2"/>
        <v>36000</v>
      </c>
      <c r="E9" s="587">
        <f t="shared" si="2"/>
        <v>57000</v>
      </c>
      <c r="F9" s="586">
        <f t="shared" si="2"/>
        <v>135802</v>
      </c>
      <c r="G9" s="587">
        <f t="shared" si="2"/>
        <v>24000</v>
      </c>
      <c r="H9" s="587">
        <f t="shared" si="2"/>
        <v>24000</v>
      </c>
      <c r="I9" s="587">
        <f t="shared" si="2"/>
        <v>24000</v>
      </c>
      <c r="J9" s="587">
        <f t="shared" si="2"/>
        <v>20000</v>
      </c>
      <c r="K9" s="587">
        <f t="shared" si="2"/>
        <v>9000</v>
      </c>
      <c r="L9" s="587">
        <f t="shared" si="2"/>
        <v>9000</v>
      </c>
      <c r="M9" s="587">
        <f t="shared" si="2"/>
        <v>9000</v>
      </c>
      <c r="N9" s="587">
        <f t="shared" si="2"/>
        <v>0</v>
      </c>
      <c r="O9" s="587">
        <f t="shared" si="2"/>
        <v>3928.5714285714289</v>
      </c>
      <c r="P9" s="587">
        <f t="shared" si="2"/>
        <v>22485.023041474655</v>
      </c>
      <c r="Q9" s="587">
        <f t="shared" si="2"/>
        <v>16173.91304347826</v>
      </c>
      <c r="R9" s="587">
        <f>SUM(R2:R7)</f>
        <v>28818.75</v>
      </c>
      <c r="S9" s="586"/>
      <c r="T9" s="597">
        <f>SUM(T2:T7)</f>
        <v>190406.25751352432</v>
      </c>
    </row>
    <row r="10" spans="1:20" ht="27" customHeight="1">
      <c r="A10" s="16"/>
      <c r="B10" s="16"/>
      <c r="C10" s="16"/>
      <c r="D10" s="16"/>
      <c r="E10" s="16"/>
      <c r="F10" s="16"/>
      <c r="G10" s="16"/>
      <c r="H10" s="16"/>
      <c r="I10" s="16"/>
      <c r="J10" s="16"/>
      <c r="K10" s="16"/>
      <c r="L10" s="16"/>
      <c r="M10" s="16"/>
      <c r="N10" s="16"/>
      <c r="O10" s="16"/>
      <c r="P10" s="16"/>
      <c r="Q10" s="16"/>
      <c r="R10" s="16"/>
      <c r="S10" s="16"/>
      <c r="T10" s="16"/>
    </row>
    <row r="11" spans="1:20" ht="27" customHeight="1">
      <c r="A11" s="16"/>
      <c r="B11" s="16"/>
      <c r="C11" s="16"/>
      <c r="D11" s="16"/>
      <c r="E11" s="16"/>
      <c r="F11" s="16"/>
      <c r="G11" s="16"/>
      <c r="H11" s="16"/>
      <c r="I11" s="16"/>
      <c r="J11" s="16"/>
      <c r="K11" s="16"/>
      <c r="L11" s="16"/>
      <c r="M11" s="98"/>
      <c r="O11" s="16"/>
      <c r="P11" s="16"/>
      <c r="Q11" s="16"/>
      <c r="R11" s="16"/>
      <c r="S11" s="16"/>
      <c r="T11" s="16"/>
    </row>
    <row r="12" spans="1:20" ht="27" customHeight="1">
      <c r="A12" s="16"/>
      <c r="B12" s="17"/>
      <c r="C12" s="16" t="s">
        <v>379</v>
      </c>
      <c r="D12" s="16"/>
      <c r="E12" s="16"/>
      <c r="F12" s="16"/>
      <c r="G12" s="16"/>
      <c r="H12" s="16"/>
      <c r="I12" s="16"/>
      <c r="J12" s="16"/>
      <c r="K12" s="16"/>
      <c r="L12" s="16"/>
      <c r="M12" s="16"/>
      <c r="N12" s="16"/>
      <c r="O12" s="16"/>
      <c r="P12" s="16"/>
      <c r="Q12" s="16"/>
      <c r="R12" s="16"/>
      <c r="S12" s="16"/>
      <c r="T12" s="16"/>
    </row>
    <row r="13" spans="1:20" ht="27" customHeight="1">
      <c r="A13" s="16"/>
      <c r="B13" s="588"/>
      <c r="C13" s="16" t="s">
        <v>380</v>
      </c>
      <c r="D13" s="16"/>
      <c r="E13" s="16"/>
      <c r="F13" s="16"/>
      <c r="G13" s="16"/>
      <c r="H13" s="16"/>
      <c r="I13" s="16"/>
      <c r="J13" s="16"/>
      <c r="K13" s="16"/>
      <c r="L13" s="16"/>
      <c r="M13" s="16"/>
      <c r="N13" s="16"/>
      <c r="O13" s="16"/>
      <c r="P13" s="16"/>
      <c r="Q13" s="16"/>
      <c r="R13" s="16"/>
      <c r="S13" s="16"/>
      <c r="T13" s="16"/>
    </row>
    <row r="14" spans="1:20" ht="27" customHeight="1">
      <c r="A14" s="16"/>
      <c r="B14" s="16"/>
      <c r="C14" s="16"/>
      <c r="D14" s="16"/>
      <c r="E14" s="16"/>
      <c r="F14" s="16"/>
      <c r="G14" s="16"/>
      <c r="H14" s="16"/>
      <c r="I14" s="16"/>
      <c r="J14" s="16"/>
      <c r="K14" s="16"/>
      <c r="L14" s="16"/>
      <c r="M14" s="16"/>
      <c r="N14" s="16"/>
      <c r="O14" s="16"/>
      <c r="P14" s="16"/>
      <c r="Q14" s="16"/>
      <c r="R14" s="16"/>
      <c r="S14" s="16"/>
      <c r="T14" s="16"/>
    </row>
    <row r="15" spans="1:20" ht="27" customHeight="1">
      <c r="A15" s="16"/>
      <c r="B15" s="16"/>
      <c r="C15" s="16"/>
      <c r="D15" s="16"/>
      <c r="E15" s="16"/>
      <c r="F15" s="16"/>
      <c r="G15" s="16"/>
      <c r="H15" s="16"/>
      <c r="I15" s="16"/>
      <c r="J15" s="16"/>
      <c r="K15" s="16"/>
      <c r="L15" s="16"/>
      <c r="M15" s="16"/>
      <c r="N15" s="16"/>
      <c r="O15" s="16"/>
      <c r="P15" s="16"/>
      <c r="Q15" s="16"/>
      <c r="R15" s="16"/>
      <c r="S15" s="16"/>
      <c r="T15" s="16"/>
    </row>
    <row r="16" spans="1:20" ht="27" customHeight="1">
      <c r="A16" s="16"/>
      <c r="B16" s="16"/>
      <c r="C16" s="16"/>
      <c r="D16" s="16"/>
      <c r="E16" s="16"/>
      <c r="F16" s="16"/>
      <c r="G16" s="16"/>
      <c r="H16" s="16"/>
      <c r="I16" s="16"/>
      <c r="J16" s="16"/>
      <c r="K16" s="16"/>
      <c r="L16" s="16"/>
      <c r="M16" s="16"/>
      <c r="N16" s="16"/>
      <c r="O16" s="16"/>
      <c r="P16" s="16"/>
      <c r="Q16" s="16"/>
      <c r="R16" s="16"/>
      <c r="S16" s="16"/>
      <c r="T16" s="16"/>
    </row>
    <row r="17" spans="1:20" ht="27" customHeight="1">
      <c r="A17" s="16"/>
      <c r="B17" s="16"/>
      <c r="C17" s="16"/>
      <c r="D17" s="16"/>
      <c r="E17" s="16"/>
      <c r="F17" s="16"/>
      <c r="G17" s="16"/>
      <c r="H17" s="16"/>
      <c r="I17" s="16"/>
      <c r="J17" s="16"/>
      <c r="K17" s="16"/>
      <c r="L17" s="16"/>
      <c r="M17" s="16"/>
      <c r="N17" s="16"/>
      <c r="O17" s="16"/>
      <c r="P17" s="16"/>
      <c r="Q17" s="16"/>
      <c r="R17" s="16"/>
      <c r="S17" s="16"/>
      <c r="T17" s="16"/>
    </row>
    <row r="19" spans="1:20" ht="27" customHeight="1">
      <c r="A19" s="16"/>
      <c r="B19" s="16"/>
      <c r="C19" s="16"/>
      <c r="D19" s="16"/>
      <c r="E19" s="16"/>
      <c r="F19" s="16"/>
      <c r="G19" s="16"/>
      <c r="H19" s="16"/>
      <c r="I19" s="16"/>
      <c r="J19" s="16"/>
      <c r="K19" s="16"/>
      <c r="L19" s="16"/>
      <c r="M19" s="16"/>
      <c r="N19" s="16"/>
      <c r="O19" s="16"/>
      <c r="P19" s="16"/>
      <c r="Q19" s="16"/>
      <c r="R19" s="16"/>
      <c r="S19" s="16"/>
      <c r="T19" s="16"/>
    </row>
    <row r="20" spans="1:20" ht="27" customHeight="1">
      <c r="A20" s="16"/>
      <c r="B20" s="16"/>
      <c r="C20" s="16"/>
      <c r="D20" s="16"/>
      <c r="E20" s="16"/>
      <c r="F20" s="16"/>
      <c r="G20" s="16"/>
      <c r="H20" s="16"/>
      <c r="I20" s="16"/>
      <c r="J20" s="16"/>
      <c r="K20" s="16"/>
      <c r="L20" s="16"/>
      <c r="M20" s="16"/>
      <c r="N20" s="16"/>
      <c r="O20" s="16"/>
      <c r="P20" s="16"/>
      <c r="Q20" s="16"/>
      <c r="R20" s="16"/>
      <c r="S20" s="16"/>
      <c r="T20" s="16"/>
    </row>
    <row r="21" spans="1:20" ht="27" customHeight="1">
      <c r="A21" s="16"/>
      <c r="B21" s="16"/>
      <c r="C21" s="16"/>
      <c r="D21" s="16"/>
      <c r="E21" s="16"/>
      <c r="F21" s="16"/>
      <c r="G21" s="16"/>
      <c r="H21" s="16"/>
      <c r="I21" s="16"/>
      <c r="J21" s="16"/>
      <c r="K21" s="16"/>
      <c r="L21" s="16"/>
      <c r="M21" s="16"/>
      <c r="N21" s="16"/>
      <c r="O21" s="16"/>
      <c r="P21" s="16"/>
      <c r="Q21" s="16"/>
      <c r="R21" s="16"/>
      <c r="S21" s="16"/>
      <c r="T21" s="16"/>
    </row>
    <row r="22" spans="1:20" ht="27" customHeight="1">
      <c r="A22" s="16"/>
      <c r="B22" s="16"/>
      <c r="C22" s="16"/>
      <c r="D22" s="16"/>
      <c r="E22" s="16"/>
      <c r="F22" s="16"/>
      <c r="G22" s="16"/>
      <c r="H22" s="16"/>
      <c r="I22" s="16"/>
      <c r="J22" s="16"/>
      <c r="K22" s="16"/>
      <c r="L22" s="16"/>
      <c r="M22" s="16"/>
      <c r="N22" s="16"/>
      <c r="O22" s="16"/>
      <c r="P22" s="16"/>
      <c r="Q22" s="16"/>
      <c r="R22" s="16"/>
      <c r="S22" s="16"/>
      <c r="T22" s="16"/>
    </row>
    <row r="23" spans="1:20" ht="27" customHeight="1">
      <c r="A23" s="16"/>
      <c r="B23" s="16"/>
      <c r="C23" s="16"/>
      <c r="D23" s="16"/>
      <c r="E23" s="16"/>
      <c r="F23" s="16"/>
      <c r="G23" s="16"/>
      <c r="H23" s="16"/>
      <c r="I23" s="16"/>
      <c r="J23" s="16"/>
      <c r="K23" s="16"/>
      <c r="L23" s="16"/>
      <c r="M23" s="16"/>
      <c r="N23" s="16"/>
      <c r="O23" s="16"/>
      <c r="P23" s="16"/>
      <c r="Q23" s="16"/>
      <c r="R23" s="16"/>
      <c r="S23" s="16"/>
      <c r="T23" s="16"/>
    </row>
    <row r="24" spans="1:20" ht="27" customHeight="1">
      <c r="A24" s="16"/>
      <c r="B24" s="16"/>
      <c r="C24" s="16"/>
      <c r="D24" s="16"/>
      <c r="E24" s="16"/>
      <c r="F24" s="16"/>
      <c r="G24" s="16"/>
      <c r="H24" s="16"/>
      <c r="I24" s="16"/>
      <c r="J24" s="16"/>
      <c r="K24" s="16"/>
      <c r="L24" s="16"/>
      <c r="M24" s="16"/>
      <c r="N24" s="16"/>
      <c r="O24" s="16"/>
      <c r="P24" s="16"/>
      <c r="Q24" s="16"/>
      <c r="R24" s="16"/>
      <c r="S24" s="16"/>
      <c r="T24" s="16"/>
    </row>
    <row r="25" spans="1:20" ht="27" customHeight="1">
      <c r="A25" s="16"/>
      <c r="B25" s="16"/>
      <c r="C25" s="16"/>
      <c r="D25" s="16"/>
      <c r="E25" s="16"/>
      <c r="F25" s="16"/>
      <c r="G25" s="16"/>
      <c r="H25" s="16"/>
      <c r="I25" s="16"/>
      <c r="J25" s="16"/>
      <c r="K25" s="16"/>
      <c r="L25" s="16"/>
      <c r="M25" s="16"/>
      <c r="N25" s="16"/>
      <c r="O25" s="16"/>
      <c r="P25" s="16"/>
      <c r="Q25" s="16"/>
      <c r="R25" s="16"/>
      <c r="S25" s="16"/>
      <c r="T25" s="16"/>
    </row>
    <row r="26" spans="1:20" ht="27" customHeight="1">
      <c r="A26" s="16"/>
      <c r="B26" s="16"/>
      <c r="C26" s="16"/>
      <c r="D26" s="16"/>
      <c r="E26" s="16"/>
      <c r="F26" s="16"/>
      <c r="G26" s="16"/>
      <c r="H26" s="16"/>
      <c r="I26" s="16"/>
      <c r="J26" s="16"/>
      <c r="K26" s="16"/>
      <c r="L26" s="16"/>
      <c r="M26" s="16"/>
      <c r="N26" s="16"/>
      <c r="O26" s="16"/>
      <c r="P26" s="16"/>
      <c r="Q26" s="16"/>
      <c r="R26" s="16"/>
      <c r="S26" s="16"/>
      <c r="T26" s="16"/>
    </row>
    <row r="27" spans="1:20" ht="27" customHeight="1">
      <c r="A27" s="16"/>
      <c r="B27" s="16"/>
      <c r="C27" s="16"/>
      <c r="D27" s="16"/>
      <c r="E27" s="16"/>
      <c r="F27" s="16"/>
      <c r="G27" s="16"/>
      <c r="H27" s="16"/>
      <c r="I27" s="16"/>
      <c r="J27" s="16"/>
      <c r="K27" s="16"/>
      <c r="L27" s="16"/>
      <c r="M27" s="16"/>
      <c r="N27" s="16"/>
      <c r="O27" s="16"/>
      <c r="P27" s="16"/>
      <c r="Q27" s="16"/>
      <c r="R27" s="16"/>
      <c r="S27" s="16"/>
      <c r="T27" s="16"/>
    </row>
    <row r="28" spans="1:20" ht="27" customHeight="1">
      <c r="A28" s="16"/>
      <c r="B28" s="16"/>
      <c r="C28" s="16"/>
      <c r="D28" s="16"/>
      <c r="E28" s="16"/>
      <c r="F28" s="16"/>
      <c r="G28" s="16"/>
      <c r="H28" s="16"/>
      <c r="I28" s="16"/>
      <c r="J28" s="16"/>
      <c r="K28" s="16"/>
      <c r="L28" s="16"/>
      <c r="M28" s="16"/>
      <c r="N28" s="16"/>
      <c r="O28" s="16"/>
      <c r="P28" s="16"/>
      <c r="Q28" s="16"/>
      <c r="R28" s="16"/>
      <c r="S28" s="16"/>
      <c r="T28" s="16"/>
    </row>
    <row r="29" spans="1:20" ht="27" customHeight="1">
      <c r="A29" s="16"/>
      <c r="B29" s="16"/>
      <c r="C29" s="16"/>
      <c r="D29" s="16"/>
      <c r="E29" s="16"/>
      <c r="F29" s="16"/>
      <c r="G29" s="16"/>
      <c r="H29" s="16"/>
      <c r="I29" s="16"/>
      <c r="J29" s="16"/>
      <c r="K29" s="16"/>
      <c r="L29" s="16"/>
      <c r="M29" s="16"/>
      <c r="N29" s="16"/>
      <c r="O29" s="16"/>
      <c r="P29" s="16"/>
      <c r="Q29" s="16"/>
      <c r="R29" s="16"/>
      <c r="S29" s="16"/>
      <c r="T29" s="16"/>
    </row>
    <row r="30" spans="1:20" ht="27" customHeight="1">
      <c r="A30" s="16"/>
      <c r="B30" s="16"/>
      <c r="C30" s="16"/>
      <c r="D30" s="16"/>
      <c r="E30" s="16"/>
      <c r="F30" s="16"/>
      <c r="G30" s="16"/>
      <c r="H30" s="16"/>
      <c r="I30" s="16"/>
      <c r="J30" s="16"/>
      <c r="K30" s="16"/>
      <c r="L30" s="16"/>
      <c r="M30" s="16"/>
      <c r="N30" s="16"/>
      <c r="O30" s="16"/>
      <c r="P30" s="16"/>
      <c r="Q30" s="16"/>
      <c r="R30" s="16"/>
      <c r="S30" s="16"/>
      <c r="T30" s="16"/>
    </row>
    <row r="31" spans="1:20" ht="27" customHeight="1">
      <c r="A31" s="16"/>
      <c r="B31" s="16"/>
      <c r="C31" s="16"/>
      <c r="D31" s="16"/>
      <c r="E31" s="16"/>
      <c r="F31" s="16"/>
      <c r="G31" s="16"/>
      <c r="H31" s="16"/>
      <c r="I31" s="16"/>
      <c r="J31" s="16"/>
      <c r="K31" s="16"/>
      <c r="L31" s="16"/>
      <c r="M31" s="16"/>
      <c r="N31" s="16"/>
      <c r="O31" s="16"/>
      <c r="P31" s="16"/>
      <c r="Q31" s="16"/>
      <c r="R31" s="16"/>
      <c r="S31" s="16"/>
      <c r="T31" s="16"/>
    </row>
    <row r="32" spans="1:20" ht="27" customHeight="1">
      <c r="A32" s="16"/>
      <c r="B32" s="16"/>
      <c r="C32" s="16"/>
      <c r="D32" s="16"/>
      <c r="E32" s="16"/>
      <c r="F32" s="16"/>
      <c r="G32" s="16"/>
      <c r="H32" s="16"/>
      <c r="I32" s="16"/>
      <c r="J32" s="16"/>
      <c r="K32" s="16"/>
      <c r="L32" s="16"/>
      <c r="M32" s="16"/>
      <c r="N32" s="16"/>
      <c r="O32" s="16"/>
      <c r="P32" s="16"/>
      <c r="Q32" s="16"/>
      <c r="R32" s="16"/>
      <c r="S32" s="16"/>
      <c r="T32" s="16"/>
    </row>
    <row r="33" spans="1:20" ht="27" customHeight="1">
      <c r="A33" s="16"/>
      <c r="B33" s="16"/>
      <c r="C33" s="16"/>
      <c r="D33" s="16"/>
      <c r="E33" s="16"/>
      <c r="F33" s="16"/>
      <c r="G33" s="16"/>
      <c r="H33" s="16"/>
      <c r="I33" s="16"/>
      <c r="J33" s="16"/>
      <c r="K33" s="16"/>
      <c r="L33" s="16"/>
      <c r="M33" s="16"/>
      <c r="N33" s="16"/>
      <c r="O33" s="16"/>
      <c r="P33" s="16"/>
      <c r="Q33" s="16"/>
      <c r="R33" s="16"/>
      <c r="S33" s="16"/>
      <c r="T33" s="16"/>
    </row>
    <row r="34" spans="1:20" ht="27" customHeight="1">
      <c r="A34" s="16"/>
      <c r="B34" s="16"/>
      <c r="C34" s="16"/>
      <c r="D34" s="16"/>
      <c r="E34" s="16"/>
      <c r="F34" s="16"/>
      <c r="G34" s="16"/>
      <c r="H34" s="16"/>
      <c r="I34" s="16"/>
      <c r="J34" s="16"/>
      <c r="K34" s="16"/>
      <c r="L34" s="16"/>
      <c r="M34" s="16"/>
      <c r="N34" s="16"/>
      <c r="O34" s="16"/>
      <c r="P34" s="16"/>
      <c r="Q34" s="16"/>
      <c r="R34" s="16"/>
      <c r="S34" s="16"/>
      <c r="T34" s="16"/>
    </row>
    <row r="35" spans="1:20" ht="27" customHeight="1">
      <c r="A35" s="16"/>
      <c r="B35" s="16"/>
      <c r="C35" s="16"/>
      <c r="D35" s="16"/>
      <c r="E35" s="16"/>
      <c r="F35" s="16"/>
      <c r="G35" s="16"/>
      <c r="H35" s="16"/>
      <c r="I35" s="16"/>
      <c r="J35" s="16"/>
      <c r="K35" s="16"/>
      <c r="L35" s="16"/>
      <c r="M35" s="16"/>
      <c r="N35" s="16"/>
      <c r="O35" s="16"/>
      <c r="P35" s="16"/>
      <c r="Q35" s="16"/>
      <c r="R35" s="16"/>
      <c r="S35" s="16"/>
      <c r="T35" s="16"/>
    </row>
    <row r="36" spans="1:20" ht="27" customHeight="1">
      <c r="A36" s="16"/>
      <c r="B36" s="16"/>
      <c r="C36" s="16"/>
      <c r="D36" s="16"/>
      <c r="E36" s="16"/>
      <c r="F36" s="16"/>
      <c r="G36" s="16"/>
      <c r="H36" s="16"/>
      <c r="I36" s="16"/>
      <c r="J36" s="16"/>
      <c r="K36" s="16"/>
      <c r="L36" s="16"/>
      <c r="M36" s="16"/>
      <c r="N36" s="16"/>
      <c r="O36" s="16"/>
      <c r="P36" s="16"/>
      <c r="Q36" s="16"/>
      <c r="R36" s="16"/>
      <c r="S36" s="16"/>
      <c r="T36" s="16"/>
    </row>
    <row r="37" spans="1:20" ht="27" customHeight="1">
      <c r="A37" s="16"/>
      <c r="B37" s="16"/>
      <c r="C37" s="16"/>
      <c r="D37" s="16"/>
      <c r="E37" s="16"/>
      <c r="F37" s="16"/>
      <c r="G37" s="16"/>
      <c r="H37" s="16"/>
      <c r="I37" s="16"/>
      <c r="J37" s="16"/>
      <c r="K37" s="16"/>
      <c r="L37" s="16"/>
      <c r="M37" s="16"/>
      <c r="N37" s="16"/>
      <c r="O37" s="16"/>
      <c r="P37" s="16"/>
      <c r="Q37" s="16"/>
      <c r="R37" s="16"/>
      <c r="S37" s="16"/>
      <c r="T37" s="16"/>
    </row>
    <row r="38" spans="1:20" ht="27" customHeight="1">
      <c r="A38" s="16"/>
      <c r="B38" s="16"/>
      <c r="C38" s="16"/>
      <c r="D38" s="16"/>
      <c r="E38" s="16"/>
      <c r="F38" s="16"/>
      <c r="G38" s="16"/>
      <c r="H38" s="16"/>
      <c r="I38" s="16"/>
      <c r="J38" s="16"/>
      <c r="K38" s="16"/>
      <c r="L38" s="16"/>
      <c r="M38" s="16"/>
      <c r="N38" s="16"/>
      <c r="O38" s="16"/>
      <c r="P38" s="16"/>
      <c r="Q38" s="16"/>
      <c r="R38" s="16"/>
      <c r="S38" s="16"/>
      <c r="T38" s="16"/>
    </row>
    <row r="39" spans="1:20" ht="27" customHeight="1">
      <c r="A39" s="16"/>
      <c r="B39" s="16"/>
      <c r="C39" s="16"/>
      <c r="D39" s="16"/>
      <c r="E39" s="16"/>
      <c r="F39" s="16"/>
      <c r="G39" s="16"/>
      <c r="H39" s="16"/>
      <c r="I39" s="16"/>
      <c r="J39" s="16"/>
      <c r="K39" s="16"/>
      <c r="L39" s="16"/>
      <c r="M39" s="16"/>
      <c r="N39" s="16"/>
      <c r="O39" s="16"/>
      <c r="P39" s="16"/>
      <c r="Q39" s="16"/>
      <c r="R39" s="16"/>
      <c r="S39" s="16"/>
      <c r="T39" s="16"/>
    </row>
    <row r="40" spans="1:20" ht="27" customHeight="1">
      <c r="A40" s="16"/>
      <c r="B40" s="16"/>
      <c r="C40" s="16"/>
      <c r="D40" s="16"/>
      <c r="E40" s="16"/>
      <c r="F40" s="16"/>
      <c r="G40" s="16"/>
      <c r="H40" s="16"/>
      <c r="I40" s="16"/>
      <c r="J40" s="16"/>
      <c r="K40" s="16"/>
      <c r="L40" s="16"/>
      <c r="M40" s="16"/>
      <c r="N40" s="16"/>
      <c r="O40" s="16"/>
      <c r="P40" s="16"/>
      <c r="Q40" s="16"/>
      <c r="R40" s="16"/>
      <c r="S40" s="16"/>
      <c r="T40" s="16"/>
    </row>
    <row r="41" spans="1:20" ht="27" customHeight="1">
      <c r="A41" s="16"/>
      <c r="B41" s="16"/>
      <c r="C41" s="16"/>
      <c r="D41" s="16"/>
      <c r="E41" s="16"/>
      <c r="F41" s="16"/>
      <c r="G41" s="16"/>
      <c r="H41" s="16"/>
      <c r="I41" s="16"/>
      <c r="J41" s="16"/>
      <c r="K41" s="16"/>
      <c r="L41" s="16"/>
      <c r="M41" s="16"/>
      <c r="N41" s="16"/>
      <c r="O41" s="16"/>
      <c r="P41" s="16"/>
      <c r="Q41" s="16"/>
      <c r="R41" s="16"/>
      <c r="S41" s="16"/>
      <c r="T41" s="16"/>
    </row>
    <row r="42" spans="1:20" ht="27" customHeight="1">
      <c r="A42" s="16"/>
      <c r="B42" s="16"/>
      <c r="C42" s="16"/>
      <c r="D42" s="16"/>
      <c r="E42" s="16"/>
      <c r="F42" s="16"/>
      <c r="G42" s="16"/>
      <c r="H42" s="16"/>
      <c r="I42" s="16"/>
      <c r="J42" s="16"/>
      <c r="K42" s="16"/>
      <c r="L42" s="16"/>
      <c r="M42" s="16"/>
      <c r="N42" s="16"/>
      <c r="O42" s="16"/>
      <c r="P42" s="16"/>
      <c r="Q42" s="16"/>
      <c r="R42" s="16"/>
      <c r="S42" s="16"/>
      <c r="T42" s="16"/>
    </row>
    <row r="43" spans="1:20" ht="27" customHeight="1">
      <c r="A43" s="16"/>
      <c r="B43" s="16"/>
      <c r="C43" s="16"/>
      <c r="D43" s="16"/>
      <c r="E43" s="16"/>
      <c r="F43" s="16"/>
      <c r="G43" s="16"/>
      <c r="H43" s="16"/>
      <c r="I43" s="16"/>
      <c r="J43" s="16"/>
      <c r="K43" s="16"/>
      <c r="L43" s="16"/>
      <c r="M43" s="16"/>
      <c r="N43" s="16"/>
      <c r="O43" s="16"/>
      <c r="P43" s="16"/>
      <c r="Q43" s="16"/>
      <c r="R43" s="16"/>
      <c r="S43" s="16"/>
      <c r="T43" s="16"/>
    </row>
    <row r="44" spans="1:20" ht="27" customHeight="1">
      <c r="A44" s="16"/>
      <c r="B44" s="16"/>
      <c r="C44" s="16"/>
      <c r="D44" s="16"/>
      <c r="E44" s="16"/>
      <c r="F44" s="16"/>
      <c r="G44" s="16"/>
      <c r="H44" s="16"/>
      <c r="I44" s="16"/>
      <c r="J44" s="16"/>
      <c r="K44" s="16"/>
      <c r="L44" s="16"/>
      <c r="M44" s="16"/>
      <c r="N44" s="16"/>
      <c r="O44" s="16"/>
      <c r="P44" s="16"/>
      <c r="Q44" s="16"/>
      <c r="R44" s="16"/>
      <c r="S44" s="16"/>
      <c r="T44" s="16"/>
    </row>
    <row r="45" spans="1:20" ht="27" customHeight="1">
      <c r="A45" s="16"/>
      <c r="B45" s="16"/>
      <c r="C45" s="16"/>
      <c r="D45" s="16"/>
      <c r="E45" s="16"/>
      <c r="F45" s="16"/>
      <c r="G45" s="16"/>
      <c r="H45" s="16"/>
      <c r="I45" s="16"/>
      <c r="J45" s="16"/>
      <c r="K45" s="16"/>
      <c r="L45" s="16"/>
      <c r="M45" s="16"/>
      <c r="N45" s="16"/>
      <c r="O45" s="16"/>
      <c r="P45" s="16"/>
      <c r="Q45" s="16"/>
      <c r="R45" s="16"/>
      <c r="S45" s="16"/>
      <c r="T45" s="16"/>
    </row>
    <row r="46" spans="1:20" ht="27" customHeight="1">
      <c r="A46" s="16"/>
      <c r="B46" s="16"/>
      <c r="C46" s="16"/>
      <c r="D46" s="16"/>
      <c r="E46" s="16"/>
      <c r="F46" s="16"/>
      <c r="G46" s="16"/>
      <c r="H46" s="16"/>
      <c r="I46" s="16"/>
      <c r="J46" s="16"/>
      <c r="K46" s="16"/>
      <c r="L46" s="16"/>
      <c r="M46" s="16"/>
      <c r="N46" s="16"/>
      <c r="O46" s="16"/>
      <c r="P46" s="16"/>
      <c r="Q46" s="16"/>
      <c r="R46" s="16"/>
      <c r="S46" s="16"/>
      <c r="T46" s="16"/>
    </row>
    <row r="47" spans="1:20" ht="27" customHeight="1">
      <c r="A47" s="16"/>
      <c r="B47" s="16"/>
      <c r="C47" s="16"/>
      <c r="D47" s="16"/>
      <c r="E47" s="16"/>
      <c r="F47" s="16"/>
      <c r="G47" s="16"/>
      <c r="H47" s="16"/>
      <c r="I47" s="16"/>
      <c r="J47" s="16"/>
      <c r="K47" s="16"/>
      <c r="L47" s="16"/>
      <c r="M47" s="16"/>
      <c r="N47" s="16"/>
      <c r="O47" s="16"/>
      <c r="P47" s="16"/>
      <c r="Q47" s="16"/>
      <c r="R47" s="16"/>
      <c r="S47" s="16"/>
      <c r="T47" s="16"/>
    </row>
    <row r="48" spans="1:20" ht="27" customHeight="1">
      <c r="A48" s="16"/>
      <c r="B48" s="16"/>
      <c r="C48" s="16"/>
      <c r="D48" s="16"/>
      <c r="E48" s="16"/>
      <c r="F48" s="16"/>
      <c r="G48" s="16"/>
      <c r="H48" s="16"/>
      <c r="I48" s="16"/>
      <c r="J48" s="16"/>
      <c r="K48" s="16"/>
      <c r="L48" s="16"/>
      <c r="M48" s="16"/>
      <c r="N48" s="16"/>
      <c r="O48" s="16"/>
      <c r="P48" s="16"/>
      <c r="Q48" s="16"/>
      <c r="R48" s="16"/>
      <c r="S48" s="16"/>
      <c r="T48" s="16"/>
    </row>
    <row r="49" spans="1:20" ht="27" customHeight="1">
      <c r="A49" s="16"/>
      <c r="B49" s="16"/>
      <c r="C49" s="16"/>
      <c r="D49" s="16"/>
      <c r="E49" s="16"/>
      <c r="F49" s="16"/>
      <c r="G49" s="16"/>
      <c r="H49" s="16"/>
      <c r="I49" s="16"/>
      <c r="J49" s="16"/>
      <c r="K49" s="16"/>
      <c r="L49" s="16"/>
      <c r="M49" s="16"/>
      <c r="N49" s="16"/>
      <c r="O49" s="16"/>
      <c r="P49" s="16"/>
      <c r="Q49" s="16"/>
      <c r="R49" s="16"/>
      <c r="S49" s="16"/>
      <c r="T49" s="16"/>
    </row>
    <row r="50" spans="1:20" ht="27" customHeight="1">
      <c r="A50" s="16"/>
      <c r="B50" s="16"/>
      <c r="C50" s="16"/>
      <c r="D50" s="16"/>
      <c r="E50" s="16"/>
      <c r="F50" s="16"/>
      <c r="G50" s="16"/>
      <c r="H50" s="16"/>
      <c r="I50" s="16"/>
      <c r="J50" s="16"/>
      <c r="K50" s="16"/>
      <c r="L50" s="16"/>
      <c r="M50" s="16"/>
      <c r="N50" s="16"/>
      <c r="O50" s="16"/>
      <c r="P50" s="16"/>
      <c r="Q50" s="16"/>
      <c r="R50" s="16"/>
      <c r="S50" s="16"/>
      <c r="T50" s="16"/>
    </row>
    <row r="51" spans="1:20" ht="27" customHeight="1">
      <c r="A51" s="16"/>
      <c r="B51" s="16"/>
      <c r="C51" s="16"/>
      <c r="D51" s="16"/>
      <c r="E51" s="16"/>
      <c r="F51" s="16"/>
      <c r="G51" s="16"/>
      <c r="H51" s="16"/>
      <c r="I51" s="16"/>
      <c r="J51" s="16"/>
      <c r="K51" s="16"/>
      <c r="L51" s="16"/>
      <c r="M51" s="16"/>
      <c r="N51" s="16"/>
      <c r="O51" s="16"/>
      <c r="P51" s="16"/>
      <c r="Q51" s="16"/>
      <c r="R51" s="16"/>
      <c r="S51" s="16"/>
      <c r="T51" s="16"/>
    </row>
    <row r="52" spans="1:20" ht="27" customHeight="1">
      <c r="A52" s="16"/>
      <c r="B52" s="16"/>
      <c r="C52" s="16"/>
      <c r="D52" s="16"/>
      <c r="E52" s="16"/>
      <c r="F52" s="16"/>
      <c r="G52" s="16"/>
      <c r="H52" s="16"/>
      <c r="I52" s="16"/>
      <c r="J52" s="16"/>
      <c r="K52" s="16"/>
      <c r="L52" s="16"/>
      <c r="M52" s="16"/>
      <c r="N52" s="16"/>
      <c r="O52" s="16"/>
      <c r="P52" s="16"/>
      <c r="Q52" s="16"/>
      <c r="R52" s="16"/>
      <c r="S52" s="16"/>
      <c r="T52" s="16"/>
    </row>
    <row r="53" spans="1:20" ht="27" customHeight="1">
      <c r="A53" s="16"/>
      <c r="B53" s="16"/>
      <c r="C53" s="16"/>
      <c r="D53" s="16"/>
      <c r="E53" s="16"/>
      <c r="F53" s="16"/>
      <c r="G53" s="16"/>
      <c r="H53" s="16"/>
      <c r="I53" s="16"/>
      <c r="J53" s="16"/>
      <c r="K53" s="16"/>
      <c r="L53" s="16"/>
      <c r="M53" s="16"/>
      <c r="N53" s="16"/>
      <c r="O53" s="16"/>
      <c r="P53" s="16"/>
      <c r="Q53" s="16"/>
      <c r="R53" s="16"/>
      <c r="S53" s="16"/>
      <c r="T53" s="16"/>
    </row>
    <row r="54" spans="1:20" ht="27" customHeight="1">
      <c r="A54" s="16"/>
      <c r="B54" s="16"/>
      <c r="C54" s="16"/>
      <c r="D54" s="16"/>
      <c r="E54" s="16"/>
      <c r="F54" s="16"/>
      <c r="G54" s="16"/>
      <c r="H54" s="16"/>
      <c r="I54" s="16"/>
      <c r="J54" s="16"/>
      <c r="K54" s="16"/>
      <c r="L54" s="16"/>
      <c r="M54" s="16"/>
      <c r="N54" s="16"/>
      <c r="O54" s="16"/>
      <c r="P54" s="16"/>
      <c r="Q54" s="16"/>
      <c r="R54" s="16"/>
      <c r="S54" s="16"/>
      <c r="T54" s="16"/>
    </row>
    <row r="55" spans="1:20" ht="27" customHeight="1">
      <c r="A55" s="16"/>
      <c r="B55" s="16"/>
      <c r="C55" s="16"/>
      <c r="D55" s="16"/>
      <c r="E55" s="16"/>
      <c r="F55" s="16"/>
      <c r="G55" s="16"/>
      <c r="H55" s="16"/>
      <c r="I55" s="16"/>
      <c r="J55" s="16"/>
      <c r="K55" s="16"/>
      <c r="L55" s="16"/>
      <c r="M55" s="16"/>
      <c r="N55" s="16"/>
      <c r="O55" s="16"/>
      <c r="P55" s="16"/>
      <c r="Q55" s="16"/>
      <c r="R55" s="16"/>
      <c r="S55" s="16"/>
      <c r="T55" s="16"/>
    </row>
    <row r="56" spans="1:20" ht="27" customHeight="1">
      <c r="A56" s="16"/>
      <c r="B56" s="16"/>
      <c r="C56" s="16"/>
      <c r="D56" s="16"/>
      <c r="E56" s="16"/>
      <c r="F56" s="16"/>
      <c r="G56" s="16"/>
      <c r="H56" s="16"/>
      <c r="I56" s="16"/>
      <c r="J56" s="16"/>
      <c r="K56" s="16"/>
      <c r="L56" s="16"/>
      <c r="M56" s="16"/>
      <c r="N56" s="16"/>
      <c r="O56" s="16"/>
      <c r="P56" s="16"/>
      <c r="Q56" s="16"/>
      <c r="R56" s="16"/>
      <c r="S56" s="16"/>
      <c r="T56" s="16"/>
    </row>
    <row r="57" spans="1:20" ht="27" customHeight="1">
      <c r="A57" s="16"/>
      <c r="B57" s="16"/>
      <c r="C57" s="16"/>
      <c r="D57" s="16"/>
      <c r="E57" s="16"/>
      <c r="F57" s="16"/>
      <c r="G57" s="16"/>
      <c r="H57" s="16"/>
      <c r="I57" s="16"/>
      <c r="J57" s="16"/>
      <c r="K57" s="16"/>
      <c r="L57" s="16"/>
      <c r="M57" s="16"/>
      <c r="N57" s="16"/>
      <c r="O57" s="16"/>
      <c r="P57" s="16"/>
      <c r="Q57" s="16"/>
      <c r="R57" s="16"/>
      <c r="S57" s="16"/>
      <c r="T57" s="16"/>
    </row>
    <row r="58" spans="1:20" ht="27" customHeight="1">
      <c r="A58" s="16"/>
      <c r="B58" s="16"/>
      <c r="C58" s="16"/>
      <c r="D58" s="16"/>
      <c r="E58" s="16"/>
      <c r="F58" s="16"/>
      <c r="G58" s="16"/>
      <c r="H58" s="16"/>
      <c r="I58" s="16"/>
      <c r="J58" s="16"/>
      <c r="K58" s="16"/>
      <c r="L58" s="16"/>
      <c r="M58" s="16"/>
      <c r="N58" s="16"/>
      <c r="O58" s="16"/>
      <c r="P58" s="16"/>
      <c r="Q58" s="16"/>
      <c r="R58" s="16"/>
      <c r="S58" s="16"/>
      <c r="T58" s="16"/>
    </row>
    <row r="59" spans="1:20" ht="27" customHeight="1">
      <c r="A59" s="16"/>
      <c r="B59" s="16"/>
      <c r="C59" s="16"/>
      <c r="D59" s="16"/>
      <c r="E59" s="16"/>
      <c r="F59" s="16"/>
      <c r="G59" s="16"/>
      <c r="H59" s="16"/>
      <c r="I59" s="16"/>
      <c r="J59" s="16"/>
      <c r="K59" s="16"/>
      <c r="L59" s="16"/>
      <c r="M59" s="16"/>
      <c r="N59" s="16"/>
      <c r="O59" s="16"/>
      <c r="P59" s="16"/>
      <c r="Q59" s="16"/>
      <c r="R59" s="16"/>
      <c r="S59" s="16"/>
      <c r="T59" s="16"/>
    </row>
    <row r="60" spans="1:20" ht="27" customHeight="1">
      <c r="A60" s="16"/>
      <c r="B60" s="16"/>
      <c r="C60" s="16"/>
      <c r="D60" s="16"/>
      <c r="E60" s="16"/>
      <c r="F60" s="16"/>
      <c r="G60" s="16"/>
      <c r="H60" s="16"/>
      <c r="I60" s="16"/>
      <c r="J60" s="16"/>
      <c r="K60" s="16"/>
      <c r="L60" s="16"/>
      <c r="M60" s="16"/>
      <c r="N60" s="16"/>
      <c r="O60" s="16"/>
      <c r="P60" s="16"/>
      <c r="Q60" s="16"/>
      <c r="R60" s="16"/>
      <c r="S60" s="16"/>
      <c r="T60" s="16"/>
    </row>
    <row r="61" spans="1:20" ht="27" customHeight="1">
      <c r="A61" s="16"/>
      <c r="B61" s="16"/>
      <c r="C61" s="16"/>
      <c r="D61" s="16"/>
      <c r="E61" s="16"/>
      <c r="F61" s="16"/>
      <c r="G61" s="16"/>
      <c r="H61" s="16"/>
      <c r="I61" s="16"/>
      <c r="J61" s="16"/>
      <c r="K61" s="16"/>
      <c r="L61" s="16"/>
      <c r="M61" s="16"/>
      <c r="N61" s="16"/>
      <c r="O61" s="16"/>
      <c r="P61" s="16"/>
      <c r="Q61" s="16"/>
      <c r="R61" s="16"/>
      <c r="S61" s="16"/>
      <c r="T61" s="16"/>
    </row>
    <row r="62" spans="1:20" ht="27" customHeight="1">
      <c r="A62" s="16"/>
      <c r="B62" s="16"/>
      <c r="C62" s="16"/>
      <c r="D62" s="16"/>
      <c r="E62" s="16"/>
      <c r="F62" s="16"/>
      <c r="G62" s="16"/>
      <c r="H62" s="16"/>
      <c r="I62" s="16"/>
      <c r="J62" s="16"/>
      <c r="K62" s="16"/>
      <c r="L62" s="16"/>
      <c r="M62" s="16"/>
      <c r="N62" s="16"/>
      <c r="O62" s="16"/>
      <c r="P62" s="16"/>
      <c r="Q62" s="16"/>
      <c r="R62" s="16"/>
      <c r="S62" s="16"/>
      <c r="T62" s="16"/>
    </row>
    <row r="63" spans="1:20" ht="27" customHeight="1">
      <c r="A63" s="16"/>
      <c r="B63" s="16"/>
      <c r="C63" s="16"/>
      <c r="D63" s="16"/>
      <c r="E63" s="16"/>
      <c r="F63" s="16"/>
      <c r="G63" s="16"/>
      <c r="H63" s="16"/>
      <c r="I63" s="16"/>
      <c r="J63" s="16"/>
      <c r="K63" s="16"/>
      <c r="L63" s="16"/>
      <c r="M63" s="16"/>
      <c r="N63" s="16"/>
      <c r="O63" s="16"/>
      <c r="P63" s="16"/>
      <c r="Q63" s="16"/>
      <c r="R63" s="16"/>
      <c r="S63" s="16"/>
      <c r="T63" s="16"/>
    </row>
    <row r="64" spans="1:20" ht="27" customHeight="1">
      <c r="A64" s="16"/>
      <c r="B64" s="16"/>
      <c r="C64" s="16"/>
      <c r="D64" s="16"/>
      <c r="E64" s="16"/>
      <c r="F64" s="16"/>
      <c r="G64" s="16"/>
      <c r="H64" s="16"/>
      <c r="I64" s="16"/>
      <c r="J64" s="16"/>
      <c r="K64" s="16"/>
      <c r="L64" s="16"/>
      <c r="M64" s="16"/>
      <c r="N64" s="16"/>
      <c r="O64" s="16"/>
      <c r="P64" s="16"/>
      <c r="Q64" s="16"/>
      <c r="R64" s="16"/>
      <c r="S64" s="16"/>
      <c r="T64" s="16"/>
    </row>
    <row r="65" spans="1:20" ht="27" customHeight="1">
      <c r="A65" s="16"/>
      <c r="B65" s="16"/>
      <c r="C65" s="16"/>
      <c r="D65" s="16"/>
      <c r="E65" s="16"/>
      <c r="F65" s="16"/>
      <c r="G65" s="16"/>
      <c r="H65" s="16"/>
      <c r="I65" s="16"/>
      <c r="J65" s="16"/>
      <c r="K65" s="16"/>
      <c r="L65" s="16"/>
      <c r="M65" s="16"/>
      <c r="N65" s="16"/>
      <c r="O65" s="16"/>
      <c r="P65" s="16"/>
      <c r="Q65" s="16"/>
      <c r="R65" s="16"/>
      <c r="S65" s="16"/>
      <c r="T65" s="16"/>
    </row>
    <row r="66" spans="1:20" ht="27" customHeight="1">
      <c r="A66" s="16"/>
      <c r="B66" s="16"/>
      <c r="C66" s="16"/>
      <c r="D66" s="16"/>
      <c r="E66" s="16"/>
      <c r="F66" s="16"/>
      <c r="G66" s="16"/>
      <c r="H66" s="16"/>
      <c r="I66" s="16"/>
      <c r="J66" s="16"/>
      <c r="K66" s="16"/>
      <c r="L66" s="16"/>
      <c r="M66" s="16"/>
      <c r="N66" s="16"/>
      <c r="O66" s="16"/>
      <c r="P66" s="16"/>
      <c r="Q66" s="16"/>
      <c r="R66" s="16"/>
      <c r="S66" s="16"/>
      <c r="T66" s="16"/>
    </row>
    <row r="67" spans="1:20" ht="27" customHeight="1">
      <c r="A67" s="16"/>
      <c r="B67" s="16"/>
      <c r="C67" s="16"/>
      <c r="D67" s="16"/>
      <c r="E67" s="16"/>
      <c r="F67" s="16"/>
      <c r="G67" s="16"/>
      <c r="H67" s="16"/>
      <c r="I67" s="16"/>
      <c r="J67" s="16"/>
      <c r="K67" s="16"/>
      <c r="L67" s="16"/>
      <c r="M67" s="16"/>
      <c r="N67" s="16"/>
      <c r="O67" s="16"/>
      <c r="P67" s="16"/>
      <c r="Q67" s="16"/>
      <c r="R67" s="16"/>
      <c r="S67" s="16"/>
      <c r="T67" s="16"/>
    </row>
    <row r="68" spans="1:20" ht="27" customHeight="1">
      <c r="A68" s="16"/>
      <c r="B68" s="16"/>
      <c r="C68" s="16"/>
      <c r="D68" s="16"/>
      <c r="E68" s="16"/>
      <c r="F68" s="16"/>
      <c r="G68" s="16"/>
      <c r="H68" s="16"/>
      <c r="I68" s="16"/>
      <c r="J68" s="16"/>
      <c r="K68" s="16"/>
      <c r="L68" s="16"/>
      <c r="M68" s="16"/>
      <c r="N68" s="16"/>
      <c r="O68" s="16"/>
      <c r="P68" s="16"/>
      <c r="Q68" s="16"/>
      <c r="R68" s="16"/>
      <c r="S68" s="16"/>
      <c r="T68" s="16"/>
    </row>
    <row r="69" spans="1:20" ht="27" customHeight="1">
      <c r="A69" s="16"/>
      <c r="B69" s="16"/>
      <c r="C69" s="16"/>
      <c r="D69" s="16"/>
      <c r="E69" s="16"/>
      <c r="F69" s="16"/>
      <c r="G69" s="16"/>
      <c r="H69" s="16"/>
      <c r="I69" s="16"/>
      <c r="J69" s="16"/>
      <c r="K69" s="16"/>
      <c r="L69" s="16"/>
      <c r="M69" s="16"/>
      <c r="N69" s="16"/>
      <c r="O69" s="16"/>
      <c r="P69" s="16"/>
      <c r="Q69" s="16"/>
      <c r="R69" s="16"/>
      <c r="S69" s="16"/>
      <c r="T69" s="16"/>
    </row>
    <row r="70" spans="1:20" ht="27" customHeight="1">
      <c r="A70" s="16"/>
      <c r="B70" s="16"/>
      <c r="C70" s="16"/>
      <c r="D70" s="16"/>
      <c r="E70" s="16"/>
      <c r="F70" s="16"/>
      <c r="G70" s="16"/>
      <c r="H70" s="16"/>
      <c r="I70" s="16"/>
      <c r="J70" s="16"/>
      <c r="K70" s="16"/>
      <c r="L70" s="16"/>
      <c r="M70" s="16"/>
      <c r="N70" s="16"/>
      <c r="O70" s="16"/>
      <c r="P70" s="16"/>
      <c r="Q70" s="16"/>
      <c r="R70" s="16"/>
      <c r="S70" s="16"/>
      <c r="T70" s="16"/>
    </row>
    <row r="71" spans="1:20" ht="27" customHeight="1">
      <c r="A71" s="16"/>
      <c r="B71" s="16"/>
      <c r="C71" s="16"/>
      <c r="D71" s="16"/>
      <c r="E71" s="16"/>
      <c r="F71" s="16"/>
      <c r="G71" s="16"/>
      <c r="H71" s="16"/>
      <c r="I71" s="16"/>
      <c r="J71" s="16"/>
      <c r="K71" s="16"/>
      <c r="L71" s="16"/>
      <c r="M71" s="16"/>
      <c r="N71" s="16"/>
      <c r="O71" s="16"/>
      <c r="P71" s="16"/>
      <c r="Q71" s="16"/>
      <c r="R71" s="16"/>
      <c r="S71" s="16"/>
      <c r="T71" s="16"/>
    </row>
    <row r="72" spans="1:20" ht="27" customHeight="1">
      <c r="A72" s="16"/>
      <c r="B72" s="16"/>
      <c r="C72" s="16"/>
      <c r="D72" s="16"/>
      <c r="E72" s="16"/>
      <c r="F72" s="16"/>
      <c r="G72" s="16"/>
      <c r="H72" s="16"/>
      <c r="I72" s="16"/>
      <c r="J72" s="16"/>
      <c r="K72" s="16"/>
      <c r="L72" s="16"/>
      <c r="M72" s="16"/>
      <c r="N72" s="16"/>
      <c r="O72" s="16"/>
      <c r="P72" s="16"/>
      <c r="Q72" s="16"/>
      <c r="R72" s="16"/>
      <c r="S72" s="16"/>
      <c r="T72" s="16"/>
    </row>
    <row r="73" spans="1:20" ht="27" customHeight="1">
      <c r="A73" s="16"/>
      <c r="B73" s="16"/>
      <c r="C73" s="16"/>
      <c r="D73" s="16"/>
      <c r="E73" s="16"/>
      <c r="F73" s="16"/>
      <c r="G73" s="16"/>
      <c r="H73" s="16"/>
      <c r="I73" s="16"/>
      <c r="J73" s="16"/>
      <c r="K73" s="16"/>
      <c r="L73" s="16"/>
      <c r="M73" s="16"/>
      <c r="N73" s="16"/>
      <c r="O73" s="16"/>
      <c r="P73" s="16"/>
      <c r="Q73" s="16"/>
      <c r="R73" s="16"/>
      <c r="S73" s="16"/>
      <c r="T73" s="16"/>
    </row>
    <row r="74" spans="1:20" ht="27" customHeight="1">
      <c r="A74" s="16"/>
      <c r="B74" s="16"/>
      <c r="C74" s="16"/>
      <c r="D74" s="16"/>
      <c r="E74" s="16"/>
      <c r="F74" s="16"/>
      <c r="G74" s="16"/>
      <c r="H74" s="16"/>
      <c r="I74" s="16"/>
      <c r="J74" s="16"/>
      <c r="K74" s="16"/>
      <c r="L74" s="16"/>
      <c r="M74" s="16"/>
      <c r="N74" s="16"/>
      <c r="O74" s="16"/>
      <c r="P74" s="16"/>
      <c r="Q74" s="16"/>
      <c r="R74" s="16"/>
      <c r="S74" s="16"/>
      <c r="T74" s="16"/>
    </row>
    <row r="75" spans="1:20" ht="27" customHeight="1">
      <c r="A75" s="16"/>
      <c r="B75" s="16"/>
      <c r="C75" s="16"/>
      <c r="D75" s="16"/>
      <c r="E75" s="16"/>
      <c r="F75" s="16"/>
      <c r="G75" s="16"/>
      <c r="H75" s="16"/>
      <c r="I75" s="16"/>
      <c r="J75" s="16"/>
      <c r="K75" s="16"/>
      <c r="L75" s="16"/>
      <c r="M75" s="16"/>
      <c r="N75" s="16"/>
      <c r="O75" s="16"/>
      <c r="P75" s="16"/>
      <c r="Q75" s="16"/>
      <c r="R75" s="16"/>
      <c r="S75" s="16"/>
      <c r="T75" s="16"/>
    </row>
    <row r="76" spans="1:20" ht="27" customHeight="1">
      <c r="A76" s="16"/>
      <c r="B76" s="16"/>
      <c r="C76" s="16"/>
      <c r="D76" s="16"/>
      <c r="E76" s="16"/>
      <c r="F76" s="16"/>
      <c r="G76" s="16"/>
      <c r="H76" s="16"/>
      <c r="I76" s="16"/>
      <c r="J76" s="16"/>
      <c r="K76" s="16"/>
      <c r="L76" s="16"/>
      <c r="M76" s="16"/>
      <c r="N76" s="16"/>
      <c r="O76" s="16"/>
      <c r="P76" s="16"/>
      <c r="Q76" s="16"/>
      <c r="R76" s="16"/>
      <c r="S76" s="16"/>
      <c r="T76" s="16"/>
    </row>
    <row r="77" spans="1:20" ht="27" customHeight="1">
      <c r="A77" s="16"/>
      <c r="B77" s="16"/>
      <c r="C77" s="16"/>
      <c r="D77" s="16"/>
      <c r="E77" s="16"/>
      <c r="F77" s="16"/>
      <c r="G77" s="16"/>
      <c r="H77" s="16"/>
      <c r="I77" s="16"/>
      <c r="J77" s="16"/>
      <c r="K77" s="16"/>
      <c r="L77" s="16"/>
      <c r="M77" s="16"/>
      <c r="N77" s="16"/>
      <c r="O77" s="16"/>
      <c r="P77" s="16"/>
      <c r="Q77" s="16"/>
      <c r="R77" s="16"/>
      <c r="S77" s="16"/>
      <c r="T77" s="16"/>
    </row>
    <row r="78" spans="1:20" ht="27" customHeight="1">
      <c r="A78" s="16"/>
      <c r="B78" s="16"/>
      <c r="C78" s="16"/>
      <c r="D78" s="16"/>
      <c r="E78" s="16"/>
      <c r="F78" s="16"/>
      <c r="G78" s="16"/>
      <c r="H78" s="16"/>
      <c r="I78" s="16"/>
      <c r="J78" s="16"/>
      <c r="K78" s="16"/>
      <c r="L78" s="16"/>
      <c r="M78" s="16"/>
      <c r="N78" s="16"/>
      <c r="O78" s="16"/>
      <c r="P78" s="16"/>
      <c r="Q78" s="16"/>
      <c r="R78" s="16"/>
      <c r="S78" s="16"/>
      <c r="T78" s="16"/>
    </row>
    <row r="79" spans="1:20" ht="27" customHeight="1">
      <c r="A79" s="16"/>
      <c r="B79" s="16"/>
      <c r="C79" s="16"/>
      <c r="D79" s="16"/>
      <c r="E79" s="16"/>
      <c r="F79" s="16"/>
      <c r="G79" s="16"/>
      <c r="H79" s="16"/>
      <c r="I79" s="16"/>
      <c r="J79" s="16"/>
      <c r="K79" s="16"/>
      <c r="L79" s="16"/>
      <c r="M79" s="16"/>
      <c r="N79" s="16"/>
      <c r="O79" s="16"/>
      <c r="P79" s="16"/>
      <c r="Q79" s="16"/>
      <c r="R79" s="16"/>
      <c r="S79" s="16"/>
      <c r="T79" s="16"/>
    </row>
    <row r="80" spans="1:20" ht="27" customHeight="1">
      <c r="A80" s="16"/>
      <c r="B80" s="16"/>
      <c r="C80" s="16"/>
      <c r="D80" s="16"/>
      <c r="E80" s="16"/>
      <c r="F80" s="16"/>
      <c r="G80" s="16"/>
      <c r="H80" s="16"/>
      <c r="I80" s="16"/>
      <c r="J80" s="16"/>
      <c r="K80" s="16"/>
      <c r="L80" s="16"/>
      <c r="M80" s="16"/>
      <c r="N80" s="16"/>
      <c r="O80" s="16"/>
      <c r="P80" s="16"/>
      <c r="Q80" s="16"/>
      <c r="R80" s="16"/>
      <c r="S80" s="16"/>
      <c r="T80" s="16"/>
    </row>
    <row r="81" spans="1:20" ht="27" customHeight="1">
      <c r="A81" s="16"/>
      <c r="B81" s="16"/>
      <c r="C81" s="16"/>
      <c r="D81" s="16"/>
      <c r="E81" s="16"/>
      <c r="F81" s="16"/>
      <c r="G81" s="16"/>
      <c r="H81" s="16"/>
      <c r="I81" s="16"/>
      <c r="J81" s="16"/>
      <c r="K81" s="16"/>
      <c r="L81" s="16"/>
      <c r="M81" s="16"/>
      <c r="N81" s="16"/>
      <c r="O81" s="16"/>
      <c r="P81" s="16"/>
      <c r="Q81" s="16"/>
      <c r="R81" s="16"/>
      <c r="S81" s="16"/>
      <c r="T81" s="16"/>
    </row>
    <row r="82" spans="1:20" ht="27" customHeight="1">
      <c r="A82" s="16"/>
      <c r="B82" s="16"/>
      <c r="C82" s="16"/>
      <c r="D82" s="16"/>
      <c r="E82" s="16"/>
      <c r="F82" s="16"/>
      <c r="G82" s="16"/>
      <c r="H82" s="16"/>
      <c r="I82" s="16"/>
      <c r="J82" s="16"/>
      <c r="K82" s="16"/>
      <c r="L82" s="16"/>
      <c r="M82" s="16"/>
      <c r="N82" s="16"/>
      <c r="O82" s="16"/>
      <c r="P82" s="16"/>
      <c r="Q82" s="16"/>
      <c r="R82" s="16"/>
      <c r="S82" s="16"/>
      <c r="T82" s="16"/>
    </row>
    <row r="83" spans="1:20" ht="27" customHeight="1">
      <c r="A83" s="16"/>
      <c r="B83" s="16"/>
      <c r="C83" s="16"/>
      <c r="D83" s="16"/>
      <c r="E83" s="16"/>
      <c r="F83" s="16"/>
      <c r="G83" s="16"/>
      <c r="H83" s="16"/>
      <c r="I83" s="16"/>
      <c r="J83" s="16"/>
      <c r="K83" s="16"/>
      <c r="L83" s="16"/>
      <c r="M83" s="16"/>
      <c r="N83" s="16"/>
      <c r="O83" s="16"/>
      <c r="P83" s="16"/>
      <c r="Q83" s="16"/>
      <c r="R83" s="16"/>
      <c r="S83" s="16"/>
      <c r="T83" s="16"/>
    </row>
    <row r="84" spans="1:20" ht="27" customHeight="1">
      <c r="A84" s="16"/>
      <c r="B84" s="16"/>
      <c r="C84" s="16"/>
      <c r="D84" s="16"/>
      <c r="E84" s="16"/>
      <c r="F84" s="16"/>
      <c r="G84" s="16"/>
      <c r="H84" s="16"/>
      <c r="I84" s="16"/>
      <c r="J84" s="16"/>
      <c r="K84" s="16"/>
      <c r="L84" s="16"/>
      <c r="M84" s="16"/>
      <c r="N84" s="16"/>
      <c r="O84" s="16"/>
      <c r="P84" s="16"/>
      <c r="Q84" s="16"/>
      <c r="R84" s="16"/>
      <c r="S84" s="16"/>
      <c r="T84" s="16"/>
    </row>
    <row r="85" spans="1:20" ht="27" customHeight="1">
      <c r="A85" s="16"/>
      <c r="B85" s="16"/>
      <c r="C85" s="16"/>
      <c r="D85" s="16"/>
      <c r="E85" s="16"/>
      <c r="F85" s="16"/>
      <c r="G85" s="16"/>
      <c r="H85" s="16"/>
      <c r="I85" s="16"/>
      <c r="J85" s="16"/>
      <c r="K85" s="16"/>
      <c r="L85" s="16"/>
      <c r="M85" s="16"/>
      <c r="N85" s="16"/>
      <c r="O85" s="16"/>
      <c r="P85" s="16"/>
      <c r="Q85" s="16"/>
      <c r="R85" s="16"/>
      <c r="S85" s="16"/>
      <c r="T85" s="16"/>
    </row>
    <row r="86" spans="1:20" ht="27" customHeight="1">
      <c r="A86" s="16"/>
      <c r="B86" s="16"/>
      <c r="C86" s="16"/>
      <c r="D86" s="16"/>
      <c r="E86" s="16"/>
      <c r="F86" s="16"/>
      <c r="G86" s="16"/>
      <c r="H86" s="16"/>
      <c r="I86" s="16"/>
      <c r="J86" s="16"/>
      <c r="K86" s="16"/>
      <c r="L86" s="16"/>
      <c r="M86" s="16"/>
      <c r="N86" s="16"/>
      <c r="O86" s="16"/>
      <c r="P86" s="16"/>
      <c r="Q86" s="16"/>
      <c r="R86" s="16"/>
      <c r="S86" s="16"/>
      <c r="T86" s="16"/>
    </row>
    <row r="87" spans="1:20" ht="27" customHeight="1">
      <c r="A87" s="16"/>
      <c r="B87" s="16"/>
      <c r="C87" s="16"/>
      <c r="D87" s="16"/>
      <c r="E87" s="16"/>
      <c r="F87" s="16"/>
      <c r="G87" s="16"/>
      <c r="H87" s="16"/>
      <c r="I87" s="16"/>
      <c r="J87" s="16"/>
      <c r="K87" s="16"/>
      <c r="L87" s="16"/>
      <c r="M87" s="16"/>
      <c r="N87" s="16"/>
      <c r="O87" s="16"/>
      <c r="P87" s="16"/>
      <c r="Q87" s="16"/>
      <c r="R87" s="16"/>
      <c r="S87" s="16"/>
      <c r="T87" s="16"/>
    </row>
    <row r="88" spans="1:20" ht="27" customHeight="1">
      <c r="A88" s="16"/>
      <c r="B88" s="16"/>
      <c r="C88" s="16"/>
      <c r="D88" s="16"/>
      <c r="E88" s="16"/>
      <c r="F88" s="16"/>
      <c r="G88" s="16"/>
      <c r="H88" s="16"/>
      <c r="I88" s="16"/>
      <c r="J88" s="16"/>
      <c r="K88" s="16"/>
      <c r="L88" s="16"/>
      <c r="M88" s="16"/>
      <c r="N88" s="16"/>
      <c r="O88" s="16"/>
      <c r="P88" s="16"/>
      <c r="Q88" s="16"/>
      <c r="R88" s="16"/>
      <c r="S88" s="16"/>
      <c r="T88" s="16"/>
    </row>
    <row r="89" spans="1:20" ht="27" customHeight="1">
      <c r="A89" s="16"/>
      <c r="B89" s="16"/>
      <c r="C89" s="16"/>
      <c r="D89" s="16"/>
      <c r="E89" s="16"/>
      <c r="F89" s="16"/>
      <c r="G89" s="16"/>
      <c r="H89" s="16"/>
      <c r="I89" s="16"/>
      <c r="J89" s="16"/>
      <c r="K89" s="16"/>
      <c r="L89" s="16"/>
      <c r="M89" s="16"/>
      <c r="N89" s="16"/>
      <c r="O89" s="16"/>
      <c r="P89" s="16"/>
      <c r="Q89" s="16"/>
      <c r="R89" s="16"/>
      <c r="S89" s="16"/>
      <c r="T89" s="16"/>
    </row>
    <row r="90" spans="1:20" ht="27" customHeight="1">
      <c r="A90" s="16"/>
      <c r="B90" s="16"/>
      <c r="C90" s="16"/>
      <c r="D90" s="16"/>
      <c r="E90" s="16"/>
      <c r="F90" s="16"/>
      <c r="G90" s="16"/>
      <c r="H90" s="16"/>
      <c r="I90" s="16"/>
      <c r="J90" s="16"/>
      <c r="K90" s="16"/>
      <c r="L90" s="16"/>
      <c r="M90" s="16"/>
      <c r="N90" s="16"/>
      <c r="O90" s="16"/>
      <c r="P90" s="16"/>
      <c r="Q90" s="16"/>
      <c r="R90" s="16"/>
      <c r="S90" s="16"/>
      <c r="T90" s="16"/>
    </row>
    <row r="91" spans="1:20" ht="27" customHeight="1">
      <c r="A91" s="16"/>
      <c r="B91" s="16"/>
      <c r="C91" s="16"/>
      <c r="D91" s="16"/>
      <c r="E91" s="16"/>
      <c r="F91" s="16"/>
      <c r="G91" s="16"/>
      <c r="H91" s="16"/>
      <c r="I91" s="16"/>
      <c r="J91" s="16"/>
      <c r="K91" s="16"/>
      <c r="L91" s="16"/>
      <c r="M91" s="16"/>
      <c r="N91" s="16"/>
      <c r="O91" s="16"/>
      <c r="P91" s="16"/>
      <c r="Q91" s="16"/>
      <c r="R91" s="16"/>
      <c r="S91" s="16"/>
      <c r="T91" s="16"/>
    </row>
    <row r="92" spans="1:20" ht="27" customHeight="1">
      <c r="A92" s="16"/>
      <c r="B92" s="16"/>
      <c r="C92" s="16"/>
      <c r="D92" s="16"/>
      <c r="E92" s="16"/>
      <c r="F92" s="16"/>
      <c r="G92" s="16"/>
      <c r="H92" s="16"/>
      <c r="I92" s="16"/>
      <c r="J92" s="16"/>
      <c r="K92" s="16"/>
      <c r="L92" s="16"/>
      <c r="M92" s="16"/>
      <c r="N92" s="16"/>
      <c r="O92" s="16"/>
      <c r="P92" s="16"/>
      <c r="Q92" s="16"/>
      <c r="R92" s="16"/>
      <c r="S92" s="16"/>
      <c r="T92" s="16"/>
    </row>
    <row r="93" spans="1:20" ht="27" customHeight="1">
      <c r="A93" s="16"/>
      <c r="B93" s="16"/>
      <c r="C93" s="16"/>
      <c r="D93" s="16"/>
      <c r="E93" s="16"/>
      <c r="F93" s="16"/>
      <c r="G93" s="16"/>
      <c r="H93" s="16"/>
      <c r="I93" s="16"/>
      <c r="J93" s="16"/>
      <c r="K93" s="16"/>
      <c r="L93" s="16"/>
      <c r="M93" s="16"/>
      <c r="N93" s="16"/>
      <c r="O93" s="16"/>
      <c r="P93" s="16"/>
      <c r="Q93" s="16"/>
      <c r="R93" s="16"/>
      <c r="S93" s="16"/>
      <c r="T93" s="16"/>
    </row>
    <row r="94" spans="1:20" ht="27" customHeight="1">
      <c r="A94" s="16"/>
      <c r="B94" s="16"/>
      <c r="C94" s="16"/>
      <c r="D94" s="16"/>
      <c r="E94" s="16"/>
      <c r="F94" s="16"/>
      <c r="G94" s="16"/>
      <c r="H94" s="16"/>
      <c r="I94" s="16"/>
      <c r="J94" s="16"/>
      <c r="K94" s="16"/>
      <c r="L94" s="16"/>
      <c r="M94" s="16"/>
      <c r="N94" s="16"/>
      <c r="O94" s="16"/>
      <c r="P94" s="16"/>
      <c r="Q94" s="16"/>
      <c r="R94" s="16"/>
      <c r="S94" s="16"/>
      <c r="T94" s="16"/>
    </row>
    <row r="95" spans="1:20" ht="27" customHeight="1">
      <c r="A95" s="16"/>
      <c r="B95" s="16"/>
      <c r="C95" s="16"/>
      <c r="D95" s="16"/>
      <c r="E95" s="16"/>
      <c r="F95" s="16"/>
      <c r="G95" s="16"/>
      <c r="H95" s="16"/>
      <c r="I95" s="16"/>
      <c r="J95" s="16"/>
      <c r="K95" s="16"/>
      <c r="L95" s="16"/>
      <c r="M95" s="16"/>
      <c r="N95" s="16"/>
      <c r="O95" s="16"/>
      <c r="P95" s="16"/>
      <c r="Q95" s="16"/>
      <c r="R95" s="16"/>
      <c r="S95" s="16"/>
      <c r="T95" s="16"/>
    </row>
    <row r="96" spans="1:20" ht="27" customHeight="1">
      <c r="A96" s="16"/>
      <c r="B96" s="16"/>
      <c r="C96" s="16"/>
      <c r="D96" s="16"/>
      <c r="E96" s="16"/>
      <c r="F96" s="16"/>
      <c r="G96" s="16"/>
      <c r="H96" s="16"/>
      <c r="I96" s="16"/>
      <c r="J96" s="16"/>
      <c r="K96" s="16"/>
      <c r="L96" s="16"/>
      <c r="M96" s="16"/>
      <c r="N96" s="16"/>
      <c r="O96" s="16"/>
      <c r="P96" s="16"/>
      <c r="Q96" s="16"/>
      <c r="R96" s="16"/>
      <c r="S96" s="16"/>
      <c r="T96" s="16"/>
    </row>
    <row r="97" spans="1:20" ht="27" customHeight="1">
      <c r="A97" s="16"/>
      <c r="B97" s="16"/>
      <c r="C97" s="16"/>
      <c r="D97" s="16"/>
      <c r="E97" s="16"/>
      <c r="F97" s="16"/>
      <c r="G97" s="16"/>
      <c r="H97" s="16"/>
      <c r="I97" s="16"/>
      <c r="J97" s="16"/>
      <c r="K97" s="16"/>
      <c r="L97" s="16"/>
      <c r="M97" s="16"/>
      <c r="N97" s="16"/>
      <c r="O97" s="16"/>
      <c r="P97" s="16"/>
      <c r="Q97" s="16"/>
      <c r="R97" s="16"/>
      <c r="S97" s="16"/>
      <c r="T97" s="16"/>
    </row>
    <row r="98" spans="1:20" ht="27" customHeight="1">
      <c r="A98" s="16"/>
      <c r="B98" s="16"/>
      <c r="C98" s="16"/>
      <c r="D98" s="16"/>
      <c r="E98" s="16"/>
      <c r="F98" s="16"/>
      <c r="G98" s="16"/>
      <c r="H98" s="16"/>
      <c r="I98" s="16"/>
      <c r="J98" s="16"/>
      <c r="K98" s="16"/>
      <c r="L98" s="16"/>
      <c r="M98" s="16"/>
      <c r="N98" s="16"/>
      <c r="O98" s="16"/>
      <c r="P98" s="16"/>
      <c r="Q98" s="16"/>
      <c r="R98" s="16"/>
      <c r="S98" s="16"/>
      <c r="T98" s="16"/>
    </row>
    <row r="99" spans="1:20" ht="27" customHeight="1">
      <c r="A99" s="16"/>
      <c r="B99" s="16"/>
      <c r="C99" s="16"/>
      <c r="D99" s="16"/>
      <c r="E99" s="16"/>
      <c r="F99" s="16"/>
      <c r="G99" s="16"/>
      <c r="H99" s="16"/>
      <c r="I99" s="16"/>
      <c r="J99" s="16"/>
      <c r="K99" s="16"/>
      <c r="L99" s="16"/>
      <c r="M99" s="16"/>
      <c r="N99" s="16"/>
      <c r="O99" s="16"/>
      <c r="P99" s="16"/>
      <c r="Q99" s="16"/>
      <c r="R99" s="16"/>
      <c r="S99" s="16"/>
      <c r="T99" s="16"/>
    </row>
    <row r="100" spans="1:20" ht="27" customHeight="1">
      <c r="A100" s="16"/>
      <c r="B100" s="16"/>
      <c r="C100" s="16"/>
      <c r="D100" s="16"/>
      <c r="E100" s="16"/>
      <c r="F100" s="16"/>
      <c r="G100" s="16"/>
      <c r="H100" s="16"/>
      <c r="I100" s="16"/>
      <c r="J100" s="16"/>
      <c r="K100" s="16"/>
      <c r="L100" s="16"/>
      <c r="M100" s="16"/>
      <c r="N100" s="16"/>
      <c r="O100" s="16"/>
      <c r="P100" s="16"/>
      <c r="Q100" s="16"/>
      <c r="R100" s="16"/>
      <c r="S100" s="16"/>
      <c r="T100" s="16"/>
    </row>
    <row r="101" spans="1:20" ht="27" customHeight="1">
      <c r="A101" s="16"/>
      <c r="B101" s="16"/>
      <c r="C101" s="16"/>
      <c r="D101" s="16"/>
      <c r="E101" s="16"/>
      <c r="F101" s="16"/>
      <c r="G101" s="16"/>
      <c r="H101" s="16"/>
      <c r="I101" s="16"/>
      <c r="J101" s="16"/>
      <c r="K101" s="16"/>
      <c r="L101" s="16"/>
      <c r="M101" s="16"/>
      <c r="N101" s="16"/>
      <c r="O101" s="16"/>
      <c r="P101" s="16"/>
      <c r="Q101" s="16"/>
      <c r="R101" s="16"/>
      <c r="S101" s="16"/>
      <c r="T101" s="16"/>
    </row>
    <row r="102" spans="1:20" ht="27" customHeight="1">
      <c r="A102" s="16"/>
      <c r="B102" s="16"/>
      <c r="C102" s="16"/>
      <c r="D102" s="16"/>
      <c r="E102" s="16"/>
      <c r="F102" s="16"/>
      <c r="G102" s="16"/>
      <c r="H102" s="16"/>
      <c r="I102" s="16"/>
      <c r="J102" s="16"/>
      <c r="K102" s="16"/>
      <c r="L102" s="16"/>
      <c r="M102" s="16"/>
      <c r="N102" s="16"/>
      <c r="O102" s="16"/>
      <c r="P102" s="16"/>
      <c r="Q102" s="16"/>
      <c r="R102" s="16"/>
      <c r="S102" s="16"/>
      <c r="T102" s="16"/>
    </row>
    <row r="103" spans="1:20" ht="27" customHeight="1">
      <c r="A103" s="16"/>
      <c r="B103" s="16"/>
      <c r="C103" s="16"/>
      <c r="D103" s="16"/>
      <c r="E103" s="16"/>
      <c r="F103" s="16"/>
      <c r="G103" s="16"/>
      <c r="H103" s="16"/>
      <c r="I103" s="16"/>
      <c r="J103" s="16"/>
      <c r="K103" s="16"/>
      <c r="L103" s="16"/>
      <c r="M103" s="16"/>
      <c r="N103" s="16"/>
      <c r="O103" s="16"/>
      <c r="P103" s="16"/>
      <c r="Q103" s="16"/>
      <c r="R103" s="16"/>
      <c r="S103" s="16"/>
      <c r="T103" s="16"/>
    </row>
    <row r="104" spans="1:20" ht="27" customHeight="1">
      <c r="A104" s="16"/>
      <c r="B104" s="16"/>
      <c r="C104" s="16"/>
      <c r="D104" s="16"/>
      <c r="E104" s="16"/>
      <c r="F104" s="16"/>
      <c r="G104" s="16"/>
      <c r="H104" s="16"/>
      <c r="I104" s="16"/>
      <c r="J104" s="16"/>
      <c r="K104" s="16"/>
      <c r="L104" s="16"/>
      <c r="M104" s="16"/>
      <c r="N104" s="16"/>
      <c r="O104" s="16"/>
      <c r="P104" s="16"/>
      <c r="Q104" s="16"/>
      <c r="R104" s="16"/>
      <c r="S104" s="16"/>
      <c r="T104" s="16"/>
    </row>
    <row r="105" spans="1:20" ht="27" customHeight="1">
      <c r="A105" s="16"/>
      <c r="B105" s="16"/>
      <c r="C105" s="16"/>
      <c r="D105" s="16"/>
      <c r="E105" s="16"/>
      <c r="F105" s="16"/>
      <c r="G105" s="16"/>
      <c r="H105" s="16"/>
      <c r="I105" s="16"/>
      <c r="J105" s="16"/>
      <c r="K105" s="16"/>
      <c r="L105" s="16"/>
      <c r="M105" s="16"/>
      <c r="N105" s="16"/>
      <c r="O105" s="16"/>
      <c r="P105" s="16"/>
      <c r="Q105" s="16"/>
      <c r="R105" s="16"/>
      <c r="S105" s="16"/>
      <c r="T105" s="16"/>
    </row>
    <row r="106" spans="1:20" ht="27" customHeight="1">
      <c r="A106" s="16"/>
      <c r="B106" s="16"/>
      <c r="C106" s="16"/>
      <c r="D106" s="16"/>
      <c r="E106" s="16"/>
      <c r="F106" s="16"/>
      <c r="G106" s="16"/>
      <c r="H106" s="16"/>
      <c r="I106" s="16"/>
      <c r="J106" s="16"/>
      <c r="K106" s="16"/>
      <c r="L106" s="16"/>
      <c r="M106" s="16"/>
      <c r="N106" s="16"/>
      <c r="O106" s="16"/>
      <c r="P106" s="16"/>
      <c r="Q106" s="16"/>
      <c r="R106" s="16"/>
      <c r="S106" s="16"/>
      <c r="T106" s="16"/>
    </row>
    <row r="107" spans="1:20" ht="27" customHeight="1">
      <c r="A107" s="16"/>
      <c r="B107" s="16"/>
      <c r="C107" s="16"/>
      <c r="D107" s="16"/>
      <c r="E107" s="16"/>
      <c r="F107" s="16"/>
      <c r="G107" s="16"/>
      <c r="H107" s="16"/>
      <c r="I107" s="16"/>
      <c r="J107" s="16"/>
      <c r="K107" s="16"/>
      <c r="L107" s="16"/>
      <c r="M107" s="16"/>
      <c r="N107" s="16"/>
      <c r="O107" s="16"/>
      <c r="P107" s="16"/>
      <c r="Q107" s="16"/>
      <c r="R107" s="16"/>
      <c r="S107" s="16"/>
      <c r="T107" s="16"/>
    </row>
    <row r="108" spans="1:20" ht="27" customHeight="1">
      <c r="A108" s="16"/>
      <c r="B108" s="16"/>
      <c r="C108" s="16"/>
      <c r="D108" s="16"/>
      <c r="E108" s="16"/>
      <c r="F108" s="16"/>
      <c r="G108" s="16"/>
      <c r="H108" s="16"/>
      <c r="I108" s="16"/>
      <c r="J108" s="16"/>
      <c r="K108" s="16"/>
      <c r="L108" s="16"/>
      <c r="M108" s="16"/>
      <c r="N108" s="16"/>
      <c r="O108" s="16"/>
      <c r="P108" s="16"/>
      <c r="Q108" s="16"/>
      <c r="R108" s="16"/>
      <c r="S108" s="16"/>
      <c r="T108" s="16"/>
    </row>
    <row r="109" spans="1:20" ht="27" customHeight="1">
      <c r="A109" s="16"/>
      <c r="B109" s="16"/>
      <c r="C109" s="16"/>
      <c r="D109" s="16"/>
      <c r="E109" s="16"/>
      <c r="F109" s="16"/>
      <c r="G109" s="16"/>
      <c r="H109" s="16"/>
      <c r="I109" s="16"/>
      <c r="J109" s="16"/>
      <c r="K109" s="16"/>
      <c r="L109" s="16"/>
      <c r="M109" s="16"/>
      <c r="N109" s="16"/>
      <c r="O109" s="16"/>
      <c r="P109" s="16"/>
      <c r="Q109" s="16"/>
      <c r="R109" s="16"/>
      <c r="S109" s="16"/>
      <c r="T109" s="16"/>
    </row>
    <row r="110" spans="1:20" ht="27" customHeight="1">
      <c r="A110" s="16"/>
      <c r="B110" s="16"/>
      <c r="C110" s="16"/>
      <c r="D110" s="16"/>
      <c r="E110" s="16"/>
      <c r="F110" s="16"/>
      <c r="G110" s="16"/>
      <c r="H110" s="16"/>
      <c r="I110" s="16"/>
      <c r="J110" s="16"/>
      <c r="K110" s="16"/>
      <c r="L110" s="16"/>
      <c r="M110" s="16"/>
      <c r="N110" s="16"/>
      <c r="O110" s="16"/>
      <c r="P110" s="16"/>
      <c r="Q110" s="16"/>
      <c r="R110" s="16"/>
      <c r="S110" s="16"/>
      <c r="T110" s="16"/>
    </row>
    <row r="111" spans="1:20" ht="27" customHeight="1">
      <c r="A111" s="16"/>
      <c r="B111" s="16"/>
      <c r="C111" s="16"/>
      <c r="D111" s="16"/>
      <c r="E111" s="16"/>
      <c r="F111" s="16"/>
      <c r="G111" s="16"/>
      <c r="H111" s="16"/>
      <c r="I111" s="16"/>
      <c r="J111" s="16"/>
      <c r="K111" s="16"/>
      <c r="L111" s="16"/>
      <c r="M111" s="16"/>
      <c r="N111" s="16"/>
      <c r="O111" s="16"/>
      <c r="P111" s="16"/>
      <c r="Q111" s="16"/>
      <c r="R111" s="16"/>
      <c r="S111" s="16"/>
      <c r="T111" s="16"/>
    </row>
    <row r="112" spans="1:20" ht="27" customHeight="1">
      <c r="A112" s="16"/>
      <c r="B112" s="16"/>
      <c r="C112" s="16"/>
      <c r="D112" s="16"/>
      <c r="E112" s="16"/>
      <c r="F112" s="16"/>
      <c r="G112" s="16"/>
      <c r="H112" s="16"/>
      <c r="I112" s="16"/>
      <c r="J112" s="16"/>
      <c r="K112" s="16"/>
      <c r="L112" s="16"/>
      <c r="M112" s="16"/>
      <c r="N112" s="16"/>
      <c r="O112" s="16"/>
      <c r="P112" s="16"/>
      <c r="Q112" s="16"/>
      <c r="R112" s="16"/>
      <c r="S112" s="16"/>
      <c r="T112" s="16"/>
    </row>
    <row r="113" spans="1:20" ht="27" customHeight="1">
      <c r="A113" s="16"/>
      <c r="B113" s="16"/>
      <c r="C113" s="16"/>
      <c r="D113" s="16"/>
      <c r="E113" s="16"/>
      <c r="F113" s="16"/>
      <c r="G113" s="16"/>
      <c r="H113" s="16"/>
      <c r="I113" s="16"/>
      <c r="J113" s="16"/>
      <c r="K113" s="16"/>
      <c r="L113" s="16"/>
      <c r="M113" s="16"/>
      <c r="N113" s="16"/>
      <c r="O113" s="16"/>
      <c r="P113" s="16"/>
      <c r="Q113" s="16"/>
      <c r="R113" s="16"/>
      <c r="S113" s="16"/>
      <c r="T113" s="16"/>
    </row>
    <row r="114" spans="1:20" ht="27" customHeight="1">
      <c r="A114" s="16"/>
      <c r="B114" s="16"/>
      <c r="C114" s="16"/>
      <c r="D114" s="16"/>
      <c r="E114" s="16"/>
      <c r="F114" s="16"/>
      <c r="G114" s="16"/>
      <c r="H114" s="16"/>
      <c r="I114" s="16"/>
      <c r="J114" s="16"/>
      <c r="K114" s="16"/>
      <c r="L114" s="16"/>
      <c r="M114" s="16"/>
      <c r="N114" s="16"/>
      <c r="O114" s="16"/>
      <c r="P114" s="16"/>
      <c r="Q114" s="16"/>
      <c r="R114" s="16"/>
      <c r="S114" s="16"/>
      <c r="T114" s="16"/>
    </row>
    <row r="115" spans="1:20" ht="27" customHeight="1">
      <c r="A115" s="16"/>
      <c r="B115" s="16"/>
      <c r="C115" s="16"/>
      <c r="D115" s="16"/>
      <c r="E115" s="16"/>
      <c r="F115" s="16"/>
      <c r="G115" s="16"/>
      <c r="H115" s="16"/>
      <c r="I115" s="16"/>
      <c r="J115" s="16"/>
      <c r="K115" s="16"/>
      <c r="L115" s="16"/>
      <c r="M115" s="16"/>
      <c r="N115" s="16"/>
      <c r="O115" s="16"/>
      <c r="P115" s="16"/>
      <c r="Q115" s="16"/>
      <c r="R115" s="16"/>
      <c r="S115" s="16"/>
      <c r="T115" s="16"/>
    </row>
    <row r="116" spans="1:20" ht="27" customHeight="1">
      <c r="A116" s="16"/>
      <c r="B116" s="16"/>
      <c r="C116" s="16"/>
      <c r="D116" s="16"/>
      <c r="E116" s="16"/>
      <c r="F116" s="16"/>
      <c r="G116" s="16"/>
      <c r="H116" s="16"/>
      <c r="I116" s="16"/>
      <c r="J116" s="16"/>
      <c r="K116" s="16"/>
      <c r="L116" s="16"/>
      <c r="M116" s="16"/>
      <c r="N116" s="16"/>
      <c r="O116" s="16"/>
      <c r="P116" s="16"/>
      <c r="Q116" s="16"/>
      <c r="R116" s="16"/>
      <c r="S116" s="16"/>
      <c r="T116" s="16"/>
    </row>
    <row r="117" spans="1:20" ht="27" customHeight="1">
      <c r="A117" s="16"/>
      <c r="B117" s="16"/>
      <c r="C117" s="16"/>
      <c r="D117" s="16"/>
      <c r="E117" s="16"/>
      <c r="F117" s="16"/>
      <c r="G117" s="16"/>
      <c r="H117" s="16"/>
      <c r="I117" s="16"/>
      <c r="J117" s="16"/>
      <c r="K117" s="16"/>
      <c r="L117" s="16"/>
      <c r="M117" s="16"/>
      <c r="N117" s="16"/>
      <c r="O117" s="16"/>
      <c r="P117" s="16"/>
      <c r="Q117" s="16"/>
      <c r="R117" s="16"/>
      <c r="S117" s="16"/>
      <c r="T117" s="16"/>
    </row>
    <row r="118" spans="1:20" ht="27" customHeight="1">
      <c r="A118" s="16"/>
      <c r="B118" s="16"/>
      <c r="C118" s="16"/>
      <c r="D118" s="16"/>
      <c r="E118" s="16"/>
      <c r="F118" s="16"/>
      <c r="G118" s="16"/>
      <c r="H118" s="16"/>
      <c r="I118" s="16"/>
      <c r="J118" s="16"/>
      <c r="K118" s="16"/>
      <c r="L118" s="16"/>
      <c r="M118" s="16"/>
      <c r="N118" s="16"/>
      <c r="O118" s="16"/>
      <c r="P118" s="16"/>
      <c r="Q118" s="16"/>
      <c r="R118" s="16"/>
      <c r="S118" s="16"/>
      <c r="T118" s="16"/>
    </row>
    <row r="119" spans="1:20" ht="27" customHeight="1">
      <c r="A119" s="16"/>
      <c r="B119" s="16"/>
      <c r="C119" s="16"/>
      <c r="D119" s="16"/>
      <c r="E119" s="16"/>
      <c r="F119" s="16"/>
      <c r="G119" s="16"/>
      <c r="H119" s="16"/>
      <c r="I119" s="16"/>
      <c r="J119" s="16"/>
      <c r="K119" s="16"/>
      <c r="L119" s="16"/>
      <c r="M119" s="16"/>
      <c r="N119" s="16"/>
      <c r="O119" s="16"/>
      <c r="P119" s="16"/>
      <c r="Q119" s="16"/>
      <c r="R119" s="16"/>
      <c r="S119" s="16"/>
      <c r="T119" s="16"/>
    </row>
    <row r="120" spans="1:20" ht="27" customHeight="1">
      <c r="A120" s="16"/>
      <c r="B120" s="16"/>
      <c r="C120" s="16"/>
      <c r="D120" s="16"/>
      <c r="E120" s="16"/>
      <c r="F120" s="16"/>
      <c r="G120" s="16"/>
      <c r="H120" s="16"/>
      <c r="I120" s="16"/>
      <c r="J120" s="16"/>
      <c r="K120" s="16"/>
      <c r="L120" s="16"/>
      <c r="M120" s="16"/>
      <c r="N120" s="16"/>
      <c r="O120" s="16"/>
      <c r="P120" s="16"/>
      <c r="Q120" s="16"/>
      <c r="R120" s="16"/>
      <c r="S120" s="16"/>
      <c r="T120" s="16"/>
    </row>
    <row r="121" spans="1:20" ht="27" customHeight="1">
      <c r="A121" s="16"/>
      <c r="B121" s="16"/>
      <c r="C121" s="16"/>
      <c r="D121" s="16"/>
      <c r="E121" s="16"/>
      <c r="F121" s="16"/>
      <c r="G121" s="16"/>
      <c r="H121" s="16"/>
      <c r="I121" s="16"/>
      <c r="J121" s="16"/>
      <c r="K121" s="16"/>
      <c r="L121" s="16"/>
      <c r="M121" s="16"/>
      <c r="N121" s="16"/>
      <c r="O121" s="16"/>
      <c r="P121" s="16"/>
      <c r="Q121" s="16"/>
      <c r="R121" s="16"/>
      <c r="S121" s="16"/>
      <c r="T121" s="16"/>
    </row>
    <row r="122" spans="1:20" ht="27" customHeight="1">
      <c r="A122" s="16"/>
      <c r="B122" s="16"/>
      <c r="C122" s="16"/>
      <c r="D122" s="16"/>
      <c r="E122" s="16"/>
      <c r="F122" s="16"/>
      <c r="G122" s="16"/>
      <c r="H122" s="16"/>
      <c r="I122" s="16"/>
      <c r="J122" s="16"/>
      <c r="K122" s="16"/>
      <c r="L122" s="16"/>
      <c r="M122" s="16"/>
      <c r="N122" s="16"/>
      <c r="O122" s="16"/>
      <c r="P122" s="16"/>
      <c r="Q122" s="16"/>
      <c r="R122" s="16"/>
      <c r="S122" s="16"/>
      <c r="T122" s="16"/>
    </row>
    <row r="123" spans="1:20" ht="27" customHeight="1">
      <c r="A123" s="16"/>
      <c r="B123" s="16"/>
      <c r="C123" s="16"/>
      <c r="D123" s="16"/>
      <c r="E123" s="16"/>
      <c r="F123" s="16"/>
      <c r="G123" s="16"/>
      <c r="H123" s="16"/>
      <c r="I123" s="16"/>
      <c r="J123" s="16"/>
      <c r="K123" s="16"/>
      <c r="L123" s="16"/>
      <c r="M123" s="16"/>
      <c r="N123" s="16"/>
      <c r="O123" s="16"/>
      <c r="P123" s="16"/>
      <c r="Q123" s="16"/>
      <c r="R123" s="16"/>
      <c r="S123" s="16"/>
      <c r="T123" s="16"/>
    </row>
    <row r="124" spans="1:20" ht="27" customHeight="1">
      <c r="A124" s="16"/>
      <c r="B124" s="16"/>
      <c r="C124" s="16"/>
      <c r="D124" s="16"/>
      <c r="E124" s="16"/>
      <c r="F124" s="16"/>
      <c r="G124" s="16"/>
      <c r="H124" s="16"/>
      <c r="I124" s="16"/>
      <c r="J124" s="16"/>
      <c r="K124" s="16"/>
      <c r="L124" s="16"/>
      <c r="M124" s="16"/>
      <c r="N124" s="16"/>
      <c r="O124" s="16"/>
      <c r="P124" s="16"/>
      <c r="Q124" s="16"/>
      <c r="R124" s="16"/>
      <c r="S124" s="16"/>
      <c r="T124" s="16"/>
    </row>
    <row r="125" spans="1:20" ht="27" customHeight="1">
      <c r="A125" s="16"/>
      <c r="B125" s="16"/>
      <c r="C125" s="16"/>
      <c r="D125" s="16"/>
      <c r="E125" s="16"/>
      <c r="F125" s="16"/>
      <c r="G125" s="16"/>
      <c r="H125" s="16"/>
      <c r="I125" s="16"/>
      <c r="J125" s="16"/>
      <c r="K125" s="16"/>
      <c r="L125" s="16"/>
      <c r="M125" s="16"/>
      <c r="N125" s="16"/>
      <c r="O125" s="16"/>
      <c r="P125" s="16"/>
      <c r="Q125" s="16"/>
      <c r="R125" s="16"/>
      <c r="S125" s="16"/>
      <c r="T125" s="16"/>
    </row>
    <row r="126" spans="1:20" ht="27" customHeight="1">
      <c r="A126" s="16"/>
      <c r="B126" s="16"/>
      <c r="C126" s="16"/>
      <c r="D126" s="16"/>
      <c r="E126" s="16"/>
      <c r="F126" s="16"/>
      <c r="G126" s="16"/>
      <c r="H126" s="16"/>
      <c r="I126" s="16"/>
      <c r="J126" s="16"/>
      <c r="K126" s="16"/>
      <c r="L126" s="16"/>
      <c r="M126" s="16"/>
      <c r="N126" s="16"/>
      <c r="O126" s="16"/>
      <c r="P126" s="16"/>
      <c r="Q126" s="16"/>
      <c r="R126" s="16"/>
      <c r="S126" s="16"/>
      <c r="T126" s="16"/>
    </row>
    <row r="127" spans="1:20" ht="27" customHeight="1">
      <c r="A127" s="16"/>
      <c r="B127" s="16"/>
      <c r="C127" s="16"/>
      <c r="D127" s="16"/>
      <c r="E127" s="16"/>
      <c r="F127" s="16"/>
      <c r="G127" s="16"/>
      <c r="H127" s="16"/>
      <c r="I127" s="16"/>
      <c r="J127" s="16"/>
      <c r="K127" s="16"/>
      <c r="L127" s="16"/>
      <c r="M127" s="16"/>
      <c r="N127" s="16"/>
      <c r="O127" s="16"/>
      <c r="P127" s="16"/>
      <c r="Q127" s="16"/>
      <c r="R127" s="16"/>
      <c r="S127" s="16"/>
      <c r="T127" s="16"/>
    </row>
    <row r="128" spans="1:20" ht="27" customHeight="1">
      <c r="A128" s="16"/>
      <c r="B128" s="16"/>
      <c r="C128" s="16"/>
      <c r="D128" s="16"/>
      <c r="E128" s="16"/>
      <c r="F128" s="16"/>
      <c r="G128" s="16"/>
      <c r="H128" s="16"/>
      <c r="I128" s="16"/>
      <c r="J128" s="16"/>
      <c r="K128" s="16"/>
      <c r="L128" s="16"/>
      <c r="M128" s="16"/>
      <c r="N128" s="16"/>
      <c r="O128" s="16"/>
      <c r="P128" s="16"/>
      <c r="Q128" s="16"/>
      <c r="R128" s="16"/>
      <c r="S128" s="16"/>
      <c r="T128" s="16"/>
    </row>
    <row r="129" spans="1:20" ht="27" customHeight="1">
      <c r="A129" s="16"/>
      <c r="B129" s="16"/>
      <c r="C129" s="16"/>
      <c r="D129" s="16"/>
      <c r="E129" s="16"/>
      <c r="F129" s="16"/>
      <c r="G129" s="16"/>
      <c r="H129" s="16"/>
      <c r="I129" s="16"/>
      <c r="J129" s="16"/>
      <c r="K129" s="16"/>
      <c r="L129" s="16"/>
      <c r="M129" s="16"/>
      <c r="N129" s="16"/>
      <c r="O129" s="16"/>
      <c r="P129" s="16"/>
      <c r="Q129" s="16"/>
      <c r="R129" s="16"/>
      <c r="S129" s="16"/>
      <c r="T129" s="16"/>
    </row>
    <row r="130" spans="1:20" ht="27" customHeight="1">
      <c r="A130" s="16"/>
      <c r="B130" s="16"/>
      <c r="C130" s="16"/>
      <c r="D130" s="16"/>
      <c r="E130" s="16"/>
      <c r="F130" s="16"/>
      <c r="G130" s="16"/>
      <c r="H130" s="16"/>
      <c r="I130" s="16"/>
      <c r="J130" s="16"/>
      <c r="K130" s="16"/>
      <c r="L130" s="16"/>
      <c r="M130" s="16"/>
      <c r="N130" s="16"/>
      <c r="O130" s="16"/>
      <c r="P130" s="16"/>
      <c r="Q130" s="16"/>
      <c r="R130" s="16"/>
      <c r="S130" s="16"/>
      <c r="T130" s="16"/>
    </row>
    <row r="131" spans="1:20" ht="27" customHeight="1">
      <c r="A131" s="16"/>
      <c r="B131" s="16"/>
      <c r="C131" s="16"/>
      <c r="D131" s="16"/>
      <c r="E131" s="16"/>
      <c r="F131" s="16"/>
      <c r="G131" s="16"/>
      <c r="H131" s="16"/>
      <c r="I131" s="16"/>
      <c r="J131" s="16"/>
      <c r="K131" s="16"/>
      <c r="L131" s="16"/>
      <c r="M131" s="16"/>
      <c r="N131" s="16"/>
      <c r="O131" s="16"/>
      <c r="P131" s="16"/>
      <c r="Q131" s="16"/>
      <c r="R131" s="16"/>
      <c r="S131" s="16"/>
      <c r="T131" s="16"/>
    </row>
    <row r="132" spans="1:20" ht="27" customHeight="1">
      <c r="A132" s="16"/>
      <c r="B132" s="16"/>
      <c r="C132" s="16"/>
      <c r="D132" s="16"/>
      <c r="E132" s="16"/>
      <c r="F132" s="16"/>
      <c r="G132" s="16"/>
      <c r="H132" s="16"/>
      <c r="I132" s="16"/>
      <c r="J132" s="16"/>
      <c r="K132" s="16"/>
      <c r="L132" s="16"/>
      <c r="M132" s="16"/>
      <c r="N132" s="16"/>
      <c r="O132" s="16"/>
      <c r="P132" s="16"/>
      <c r="Q132" s="16"/>
      <c r="R132" s="16"/>
      <c r="S132" s="16"/>
      <c r="T132" s="16"/>
    </row>
    <row r="133" spans="1:20" ht="27" customHeight="1">
      <c r="A133" s="16"/>
      <c r="B133" s="16"/>
      <c r="C133" s="16"/>
      <c r="D133" s="16"/>
      <c r="E133" s="16"/>
      <c r="F133" s="16"/>
      <c r="G133" s="16"/>
      <c r="H133" s="16"/>
      <c r="I133" s="16"/>
      <c r="J133" s="16"/>
      <c r="K133" s="16"/>
      <c r="L133" s="16"/>
      <c r="M133" s="16"/>
      <c r="N133" s="16"/>
      <c r="O133" s="16"/>
      <c r="P133" s="16"/>
      <c r="Q133" s="16"/>
      <c r="R133" s="16"/>
      <c r="S133" s="16"/>
      <c r="T133" s="16"/>
    </row>
    <row r="134" spans="1:20" ht="27" customHeight="1">
      <c r="A134" s="16"/>
      <c r="B134" s="16"/>
      <c r="C134" s="16"/>
      <c r="D134" s="16"/>
      <c r="E134" s="16"/>
      <c r="F134" s="16"/>
      <c r="G134" s="16"/>
      <c r="H134" s="16"/>
      <c r="I134" s="16"/>
      <c r="J134" s="16"/>
      <c r="K134" s="16"/>
      <c r="L134" s="16"/>
      <c r="M134" s="16"/>
      <c r="N134" s="16"/>
      <c r="O134" s="16"/>
      <c r="P134" s="16"/>
      <c r="Q134" s="16"/>
      <c r="R134" s="16"/>
      <c r="S134" s="16"/>
      <c r="T134" s="16"/>
    </row>
    <row r="135" spans="1:20" ht="27" customHeight="1">
      <c r="A135" s="16"/>
      <c r="B135" s="16"/>
      <c r="C135" s="16"/>
      <c r="D135" s="16"/>
      <c r="E135" s="16"/>
      <c r="F135" s="16"/>
      <c r="G135" s="16"/>
      <c r="H135" s="16"/>
      <c r="I135" s="16"/>
      <c r="J135" s="16"/>
      <c r="K135" s="16"/>
      <c r="L135" s="16"/>
      <c r="M135" s="16"/>
      <c r="N135" s="16"/>
      <c r="O135" s="16"/>
      <c r="P135" s="16"/>
      <c r="Q135" s="16"/>
      <c r="R135" s="16"/>
      <c r="S135" s="16"/>
      <c r="T135" s="16"/>
    </row>
    <row r="136" spans="1:20" ht="27" customHeight="1">
      <c r="A136" s="16"/>
      <c r="B136" s="16"/>
      <c r="C136" s="16"/>
      <c r="D136" s="16"/>
      <c r="E136" s="16"/>
      <c r="F136" s="16"/>
      <c r="G136" s="16"/>
      <c r="H136" s="16"/>
      <c r="I136" s="16"/>
      <c r="J136" s="16"/>
      <c r="K136" s="16"/>
      <c r="L136" s="16"/>
      <c r="M136" s="16"/>
      <c r="N136" s="16"/>
      <c r="O136" s="16"/>
      <c r="P136" s="16"/>
      <c r="Q136" s="16"/>
      <c r="R136" s="16"/>
      <c r="S136" s="16"/>
      <c r="T136" s="16"/>
    </row>
    <row r="137" spans="1:20" ht="27" customHeight="1">
      <c r="A137" s="16"/>
      <c r="B137" s="16"/>
      <c r="C137" s="16"/>
      <c r="D137" s="16"/>
      <c r="E137" s="16"/>
      <c r="F137" s="16"/>
      <c r="G137" s="16"/>
      <c r="H137" s="16"/>
      <c r="I137" s="16"/>
      <c r="J137" s="16"/>
      <c r="K137" s="16"/>
      <c r="L137" s="16"/>
      <c r="M137" s="16"/>
      <c r="N137" s="16"/>
      <c r="O137" s="16"/>
      <c r="P137" s="16"/>
      <c r="Q137" s="16"/>
      <c r="R137" s="16"/>
      <c r="S137" s="16"/>
      <c r="T137" s="16"/>
    </row>
    <row r="138" spans="1:20" ht="27" customHeight="1">
      <c r="A138" s="16"/>
      <c r="B138" s="16"/>
      <c r="C138" s="16"/>
      <c r="D138" s="16"/>
      <c r="E138" s="16"/>
      <c r="F138" s="16"/>
      <c r="G138" s="16"/>
      <c r="H138" s="16"/>
      <c r="I138" s="16"/>
      <c r="J138" s="16"/>
      <c r="K138" s="16"/>
      <c r="L138" s="16"/>
      <c r="M138" s="16"/>
      <c r="N138" s="16"/>
      <c r="O138" s="16"/>
      <c r="P138" s="16"/>
      <c r="Q138" s="16"/>
      <c r="R138" s="16"/>
      <c r="S138" s="16"/>
      <c r="T138" s="16"/>
    </row>
    <row r="139" spans="1:20" ht="27" customHeight="1">
      <c r="A139" s="16"/>
      <c r="B139" s="16"/>
      <c r="C139" s="16"/>
      <c r="D139" s="16"/>
      <c r="E139" s="16"/>
      <c r="F139" s="16"/>
      <c r="G139" s="16"/>
      <c r="H139" s="16"/>
      <c r="I139" s="16"/>
      <c r="J139" s="16"/>
      <c r="K139" s="16"/>
      <c r="L139" s="16"/>
      <c r="M139" s="16"/>
      <c r="N139" s="16"/>
      <c r="O139" s="16"/>
      <c r="P139" s="16"/>
      <c r="Q139" s="16"/>
      <c r="R139" s="16"/>
      <c r="S139" s="16"/>
      <c r="T139" s="16"/>
    </row>
    <row r="140" spans="1:20" ht="27" customHeight="1">
      <c r="A140" s="16"/>
      <c r="B140" s="16"/>
      <c r="C140" s="16"/>
      <c r="D140" s="16"/>
      <c r="E140" s="16"/>
      <c r="F140" s="16"/>
      <c r="G140" s="16"/>
      <c r="H140" s="16"/>
      <c r="I140" s="16"/>
      <c r="J140" s="16"/>
      <c r="K140" s="16"/>
      <c r="L140" s="16"/>
      <c r="M140" s="16"/>
      <c r="N140" s="16"/>
      <c r="O140" s="16"/>
      <c r="P140" s="16"/>
      <c r="Q140" s="16"/>
      <c r="R140" s="16"/>
      <c r="S140" s="16"/>
      <c r="T140" s="16"/>
    </row>
    <row r="141" spans="1:20" ht="27" customHeight="1">
      <c r="A141" s="16"/>
      <c r="B141" s="16"/>
      <c r="C141" s="16"/>
      <c r="D141" s="16"/>
      <c r="E141" s="16"/>
      <c r="F141" s="16"/>
      <c r="G141" s="16"/>
      <c r="H141" s="16"/>
      <c r="I141" s="16"/>
      <c r="J141" s="16"/>
      <c r="K141" s="16"/>
      <c r="L141" s="16"/>
      <c r="M141" s="16"/>
      <c r="N141" s="16"/>
      <c r="O141" s="16"/>
      <c r="P141" s="16"/>
      <c r="Q141" s="16"/>
      <c r="R141" s="16"/>
      <c r="S141" s="16"/>
      <c r="T141" s="16"/>
    </row>
    <row r="142" spans="1:20" ht="27" customHeight="1">
      <c r="A142" s="16"/>
      <c r="B142" s="16"/>
      <c r="C142" s="16"/>
      <c r="D142" s="16"/>
      <c r="E142" s="16"/>
      <c r="F142" s="16"/>
      <c r="G142" s="16"/>
      <c r="H142" s="16"/>
      <c r="I142" s="16"/>
      <c r="J142" s="16"/>
      <c r="K142" s="16"/>
      <c r="L142" s="16"/>
      <c r="M142" s="16"/>
      <c r="N142" s="16"/>
      <c r="O142" s="16"/>
      <c r="P142" s="16"/>
      <c r="Q142" s="16"/>
      <c r="R142" s="16"/>
      <c r="S142" s="16"/>
      <c r="T142" s="16"/>
    </row>
    <row r="143" spans="1:20" ht="27" customHeight="1">
      <c r="A143" s="16"/>
      <c r="B143" s="16"/>
      <c r="C143" s="16"/>
      <c r="D143" s="16"/>
      <c r="E143" s="16"/>
      <c r="F143" s="16"/>
      <c r="G143" s="16"/>
      <c r="H143" s="16"/>
      <c r="I143" s="16"/>
      <c r="J143" s="16"/>
      <c r="K143" s="16"/>
      <c r="L143" s="16"/>
      <c r="M143" s="16"/>
      <c r="N143" s="16"/>
      <c r="O143" s="16"/>
      <c r="P143" s="16"/>
      <c r="Q143" s="16"/>
      <c r="R143" s="16"/>
      <c r="S143" s="16"/>
      <c r="T143" s="16"/>
    </row>
    <row r="144" spans="1:20" ht="27" customHeight="1">
      <c r="A144" s="16"/>
      <c r="B144" s="16"/>
      <c r="C144" s="16"/>
      <c r="D144" s="16"/>
      <c r="E144" s="16"/>
      <c r="F144" s="16"/>
      <c r="G144" s="16"/>
      <c r="H144" s="16"/>
      <c r="I144" s="16"/>
      <c r="J144" s="16"/>
      <c r="K144" s="16"/>
      <c r="L144" s="16"/>
      <c r="M144" s="16"/>
      <c r="N144" s="16"/>
      <c r="O144" s="16"/>
      <c r="P144" s="16"/>
      <c r="Q144" s="16"/>
      <c r="R144" s="16"/>
      <c r="S144" s="16"/>
      <c r="T144" s="16"/>
    </row>
    <row r="145" spans="1:20" ht="27" customHeight="1">
      <c r="A145" s="16"/>
      <c r="B145" s="16"/>
      <c r="C145" s="16"/>
      <c r="D145" s="16"/>
      <c r="E145" s="16"/>
      <c r="F145" s="16"/>
      <c r="G145" s="16"/>
      <c r="H145" s="16"/>
      <c r="I145" s="16"/>
      <c r="J145" s="16"/>
      <c r="K145" s="16"/>
      <c r="L145" s="16"/>
      <c r="M145" s="16"/>
      <c r="N145" s="16"/>
      <c r="O145" s="16"/>
      <c r="P145" s="16"/>
      <c r="Q145" s="16"/>
      <c r="R145" s="16"/>
      <c r="S145" s="16"/>
      <c r="T145" s="16"/>
    </row>
    <row r="146" spans="1:20" ht="27" customHeight="1">
      <c r="A146" s="16"/>
      <c r="B146" s="16"/>
      <c r="C146" s="16"/>
      <c r="D146" s="16"/>
      <c r="E146" s="16"/>
      <c r="F146" s="16"/>
      <c r="G146" s="16"/>
      <c r="H146" s="16"/>
      <c r="I146" s="16"/>
      <c r="J146" s="16"/>
      <c r="K146" s="16"/>
      <c r="L146" s="16"/>
      <c r="M146" s="16"/>
      <c r="N146" s="16"/>
      <c r="O146" s="16"/>
      <c r="P146" s="16"/>
      <c r="Q146" s="16"/>
      <c r="R146" s="16"/>
      <c r="S146" s="16"/>
      <c r="T146" s="16"/>
    </row>
    <row r="147" spans="1:20" ht="27" customHeight="1">
      <c r="A147" s="16"/>
      <c r="B147" s="16"/>
      <c r="C147" s="16"/>
      <c r="D147" s="16"/>
      <c r="E147" s="16"/>
      <c r="F147" s="16"/>
      <c r="G147" s="16"/>
      <c r="H147" s="16"/>
      <c r="I147" s="16"/>
      <c r="J147" s="16"/>
      <c r="K147" s="16"/>
      <c r="L147" s="16"/>
      <c r="M147" s="16"/>
      <c r="N147" s="16"/>
      <c r="O147" s="16"/>
      <c r="P147" s="16"/>
      <c r="Q147" s="16"/>
      <c r="R147" s="16"/>
      <c r="S147" s="16"/>
      <c r="T147" s="16"/>
    </row>
    <row r="148" spans="1:20" ht="27" customHeight="1">
      <c r="A148" s="16"/>
      <c r="B148" s="16"/>
      <c r="C148" s="16"/>
      <c r="D148" s="16"/>
      <c r="E148" s="16"/>
      <c r="F148" s="16"/>
      <c r="G148" s="16"/>
      <c r="H148" s="16"/>
      <c r="I148" s="16"/>
      <c r="J148" s="16"/>
      <c r="K148" s="16"/>
      <c r="L148" s="16"/>
      <c r="M148" s="16"/>
      <c r="N148" s="16"/>
      <c r="O148" s="16"/>
      <c r="P148" s="16"/>
      <c r="Q148" s="16"/>
      <c r="R148" s="16"/>
      <c r="S148" s="16"/>
      <c r="T148" s="16"/>
    </row>
    <row r="149" spans="1:20" ht="27" customHeight="1">
      <c r="A149" s="16"/>
      <c r="B149" s="16"/>
      <c r="C149" s="16"/>
      <c r="D149" s="16"/>
      <c r="E149" s="16"/>
      <c r="F149" s="16"/>
      <c r="G149" s="16"/>
      <c r="H149" s="16"/>
      <c r="I149" s="16"/>
      <c r="J149" s="16"/>
      <c r="K149" s="16"/>
      <c r="L149" s="16"/>
      <c r="M149" s="16"/>
      <c r="N149" s="16"/>
      <c r="O149" s="16"/>
      <c r="P149" s="16"/>
      <c r="Q149" s="16"/>
      <c r="R149" s="16"/>
      <c r="S149" s="16"/>
      <c r="T149" s="16"/>
    </row>
    <row r="150" spans="1:20" ht="27" customHeight="1">
      <c r="A150" s="16"/>
      <c r="B150" s="16"/>
      <c r="C150" s="16"/>
      <c r="D150" s="16"/>
      <c r="E150" s="16"/>
      <c r="F150" s="16"/>
      <c r="G150" s="16"/>
      <c r="H150" s="16"/>
      <c r="I150" s="16"/>
      <c r="J150" s="16"/>
      <c r="K150" s="16"/>
      <c r="L150" s="16"/>
      <c r="M150" s="16"/>
      <c r="N150" s="16"/>
      <c r="O150" s="16"/>
      <c r="P150" s="16"/>
      <c r="Q150" s="16"/>
      <c r="R150" s="16"/>
      <c r="S150" s="16"/>
      <c r="T150" s="16"/>
    </row>
    <row r="151" spans="1:20" ht="27" customHeight="1">
      <c r="A151" s="16"/>
      <c r="B151" s="16"/>
      <c r="C151" s="16"/>
      <c r="D151" s="16"/>
      <c r="E151" s="16"/>
      <c r="F151" s="16"/>
      <c r="G151" s="16"/>
      <c r="H151" s="16"/>
      <c r="I151" s="16"/>
      <c r="J151" s="16"/>
      <c r="K151" s="16"/>
      <c r="L151" s="16"/>
      <c r="M151" s="16"/>
      <c r="N151" s="16"/>
      <c r="O151" s="16"/>
      <c r="P151" s="16"/>
      <c r="Q151" s="16"/>
      <c r="R151" s="16"/>
      <c r="S151" s="16"/>
      <c r="T151" s="16"/>
    </row>
    <row r="152" spans="1:20" ht="27" customHeight="1">
      <c r="A152" s="16"/>
      <c r="B152" s="16"/>
      <c r="C152" s="16"/>
      <c r="D152" s="16"/>
      <c r="E152" s="16"/>
      <c r="F152" s="16"/>
      <c r="G152" s="16"/>
      <c r="H152" s="16"/>
      <c r="I152" s="16"/>
      <c r="J152" s="16"/>
      <c r="K152" s="16"/>
      <c r="L152" s="16"/>
      <c r="M152" s="16"/>
      <c r="N152" s="16"/>
      <c r="O152" s="16"/>
      <c r="P152" s="16"/>
      <c r="Q152" s="16"/>
      <c r="R152" s="16"/>
      <c r="S152" s="16"/>
      <c r="T152" s="16"/>
    </row>
    <row r="153" spans="1:20" ht="27" customHeight="1">
      <c r="A153" s="16"/>
      <c r="B153" s="16"/>
      <c r="C153" s="16"/>
      <c r="D153" s="16"/>
      <c r="E153" s="16"/>
      <c r="F153" s="16"/>
      <c r="G153" s="16"/>
      <c r="H153" s="16"/>
      <c r="I153" s="16"/>
      <c r="J153" s="16"/>
      <c r="K153" s="16"/>
      <c r="L153" s="16"/>
      <c r="M153" s="16"/>
      <c r="N153" s="16"/>
      <c r="O153" s="16"/>
      <c r="P153" s="16"/>
      <c r="Q153" s="16"/>
      <c r="R153" s="16"/>
      <c r="S153" s="16"/>
      <c r="T153" s="16"/>
    </row>
    <row r="154" spans="1:20" ht="27" customHeight="1">
      <c r="A154" s="16"/>
      <c r="B154" s="16"/>
      <c r="C154" s="16"/>
      <c r="D154" s="16"/>
      <c r="E154" s="16"/>
      <c r="F154" s="16"/>
      <c r="G154" s="16"/>
      <c r="H154" s="16"/>
      <c r="I154" s="16"/>
      <c r="J154" s="16"/>
      <c r="K154" s="16"/>
      <c r="L154" s="16"/>
      <c r="M154" s="16"/>
      <c r="N154" s="16"/>
      <c r="O154" s="16"/>
      <c r="P154" s="16"/>
      <c r="Q154" s="16"/>
      <c r="R154" s="16"/>
      <c r="S154" s="16"/>
      <c r="T154" s="16"/>
    </row>
    <row r="155" spans="1:20" ht="27" customHeight="1">
      <c r="A155" s="16"/>
      <c r="B155" s="16"/>
      <c r="C155" s="16"/>
      <c r="D155" s="16"/>
      <c r="E155" s="16"/>
      <c r="F155" s="16"/>
      <c r="G155" s="16"/>
      <c r="H155" s="16"/>
      <c r="I155" s="16"/>
      <c r="J155" s="16"/>
      <c r="K155" s="16"/>
      <c r="L155" s="16"/>
      <c r="M155" s="16"/>
      <c r="N155" s="16"/>
      <c r="O155" s="16"/>
      <c r="P155" s="16"/>
      <c r="Q155" s="16"/>
      <c r="R155" s="16"/>
      <c r="S155" s="16"/>
      <c r="T155" s="16"/>
    </row>
    <row r="156" spans="1:20" ht="27" customHeight="1">
      <c r="A156" s="16"/>
      <c r="B156" s="16"/>
      <c r="C156" s="16"/>
      <c r="D156" s="16"/>
      <c r="E156" s="16"/>
      <c r="F156" s="16"/>
      <c r="G156" s="16"/>
      <c r="H156" s="16"/>
      <c r="I156" s="16"/>
      <c r="J156" s="16"/>
      <c r="K156" s="16"/>
      <c r="L156" s="16"/>
      <c r="M156" s="16"/>
      <c r="N156" s="16"/>
      <c r="O156" s="16"/>
      <c r="P156" s="16"/>
      <c r="Q156" s="16"/>
      <c r="R156" s="16"/>
      <c r="S156" s="16"/>
      <c r="T156" s="16"/>
    </row>
    <row r="157" spans="1:20" ht="27" customHeight="1">
      <c r="A157" s="16"/>
      <c r="B157" s="16"/>
      <c r="C157" s="16"/>
      <c r="D157" s="16"/>
      <c r="E157" s="16"/>
      <c r="F157" s="16"/>
      <c r="G157" s="16"/>
      <c r="H157" s="16"/>
      <c r="I157" s="16"/>
      <c r="J157" s="16"/>
      <c r="K157" s="16"/>
      <c r="L157" s="16"/>
      <c r="M157" s="16"/>
      <c r="N157" s="16"/>
      <c r="O157" s="16"/>
      <c r="P157" s="16"/>
      <c r="Q157" s="16"/>
      <c r="R157" s="16"/>
      <c r="S157" s="16"/>
      <c r="T157" s="16"/>
    </row>
    <row r="158" spans="1:20" ht="27" customHeight="1">
      <c r="A158" s="16"/>
      <c r="B158" s="16"/>
      <c r="C158" s="16"/>
      <c r="D158" s="16"/>
      <c r="E158" s="16"/>
      <c r="F158" s="16"/>
      <c r="G158" s="16"/>
      <c r="H158" s="16"/>
      <c r="I158" s="16"/>
      <c r="J158" s="16"/>
      <c r="K158" s="16"/>
      <c r="L158" s="16"/>
      <c r="M158" s="16"/>
      <c r="N158" s="16"/>
      <c r="O158" s="16"/>
      <c r="P158" s="16"/>
      <c r="Q158" s="16"/>
      <c r="R158" s="16"/>
      <c r="S158" s="16"/>
      <c r="T158" s="16"/>
    </row>
    <row r="159" spans="1:20" ht="27" customHeight="1">
      <c r="A159" s="16"/>
      <c r="B159" s="16"/>
      <c r="C159" s="16"/>
      <c r="D159" s="16"/>
      <c r="E159" s="16"/>
      <c r="F159" s="16"/>
      <c r="G159" s="16"/>
      <c r="H159" s="16"/>
      <c r="I159" s="16"/>
      <c r="J159" s="16"/>
      <c r="K159" s="16"/>
      <c r="L159" s="16"/>
      <c r="M159" s="16"/>
      <c r="N159" s="16"/>
      <c r="O159" s="16"/>
      <c r="P159" s="16"/>
      <c r="Q159" s="16"/>
      <c r="R159" s="16"/>
      <c r="S159" s="16"/>
      <c r="T159" s="16"/>
    </row>
    <row r="160" spans="1:20" ht="27" customHeight="1">
      <c r="A160" s="16"/>
      <c r="B160" s="16"/>
      <c r="C160" s="16"/>
      <c r="D160" s="16"/>
      <c r="E160" s="16"/>
      <c r="F160" s="16"/>
      <c r="G160" s="16"/>
      <c r="H160" s="16"/>
      <c r="I160" s="16"/>
      <c r="J160" s="16"/>
      <c r="K160" s="16"/>
      <c r="L160" s="16"/>
      <c r="M160" s="16"/>
      <c r="N160" s="16"/>
      <c r="O160" s="16"/>
      <c r="P160" s="16"/>
      <c r="Q160" s="16"/>
      <c r="R160" s="16"/>
      <c r="S160" s="16"/>
      <c r="T160" s="16"/>
    </row>
    <row r="161" spans="1:20" ht="27" customHeight="1">
      <c r="A161" s="16"/>
      <c r="B161" s="16"/>
      <c r="C161" s="16"/>
      <c r="D161" s="16"/>
      <c r="E161" s="16"/>
      <c r="F161" s="16"/>
      <c r="G161" s="16"/>
      <c r="H161" s="16"/>
      <c r="I161" s="16"/>
      <c r="J161" s="16"/>
      <c r="K161" s="16"/>
      <c r="L161" s="16"/>
      <c r="M161" s="16"/>
      <c r="N161" s="16"/>
      <c r="O161" s="16"/>
      <c r="P161" s="16"/>
      <c r="Q161" s="16"/>
      <c r="R161" s="16"/>
      <c r="S161" s="16"/>
      <c r="T161" s="16"/>
    </row>
    <row r="162" spans="1:20" ht="27" customHeight="1">
      <c r="A162" s="16"/>
      <c r="B162" s="16"/>
      <c r="C162" s="16"/>
      <c r="D162" s="16"/>
      <c r="E162" s="16"/>
      <c r="F162" s="16"/>
      <c r="G162" s="16"/>
      <c r="H162" s="16"/>
      <c r="I162" s="16"/>
      <c r="J162" s="16"/>
      <c r="K162" s="16"/>
      <c r="L162" s="16"/>
      <c r="M162" s="16"/>
      <c r="N162" s="16"/>
      <c r="O162" s="16"/>
      <c r="P162" s="16"/>
      <c r="Q162" s="16"/>
      <c r="R162" s="16"/>
      <c r="S162" s="16"/>
      <c r="T162" s="16"/>
    </row>
    <row r="163" spans="1:20" ht="27" customHeight="1">
      <c r="A163" s="16"/>
      <c r="B163" s="16"/>
      <c r="C163" s="16"/>
      <c r="D163" s="16"/>
      <c r="E163" s="16"/>
      <c r="F163" s="16"/>
      <c r="G163" s="16"/>
      <c r="H163" s="16"/>
      <c r="I163" s="16"/>
      <c r="J163" s="16"/>
      <c r="K163" s="16"/>
      <c r="L163" s="16"/>
      <c r="M163" s="16"/>
      <c r="N163" s="16"/>
      <c r="O163" s="16"/>
      <c r="P163" s="16"/>
      <c r="Q163" s="16"/>
      <c r="R163" s="16"/>
      <c r="S163" s="16"/>
      <c r="T163" s="16"/>
    </row>
    <row r="164" spans="1:20" ht="27" customHeight="1">
      <c r="A164" s="16"/>
      <c r="B164" s="16"/>
      <c r="C164" s="16"/>
      <c r="D164" s="16"/>
      <c r="E164" s="16"/>
      <c r="F164" s="16"/>
      <c r="G164" s="16"/>
      <c r="H164" s="16"/>
      <c r="I164" s="16"/>
      <c r="J164" s="16"/>
      <c r="K164" s="16"/>
      <c r="L164" s="16"/>
      <c r="M164" s="16"/>
      <c r="N164" s="16"/>
      <c r="O164" s="16"/>
      <c r="P164" s="16"/>
      <c r="Q164" s="16"/>
      <c r="R164" s="16"/>
      <c r="S164" s="16"/>
      <c r="T164" s="16"/>
    </row>
    <row r="165" spans="1:20" ht="27" customHeight="1">
      <c r="A165" s="16"/>
      <c r="B165" s="16"/>
      <c r="C165" s="16"/>
      <c r="D165" s="16"/>
      <c r="E165" s="16"/>
      <c r="F165" s="16"/>
      <c r="G165" s="16"/>
      <c r="H165" s="16"/>
      <c r="I165" s="16"/>
      <c r="J165" s="16"/>
      <c r="K165" s="16"/>
      <c r="L165" s="16"/>
      <c r="M165" s="16"/>
      <c r="N165" s="16"/>
      <c r="O165" s="16"/>
      <c r="P165" s="16"/>
      <c r="Q165" s="16"/>
      <c r="R165" s="16"/>
      <c r="S165" s="16"/>
      <c r="T165" s="16"/>
    </row>
    <row r="166" spans="1:20" ht="27" customHeight="1">
      <c r="A166" s="16"/>
      <c r="B166" s="16"/>
      <c r="C166" s="16"/>
      <c r="D166" s="16"/>
      <c r="E166" s="16"/>
      <c r="F166" s="16"/>
      <c r="G166" s="16"/>
      <c r="H166" s="16"/>
      <c r="I166" s="16"/>
      <c r="J166" s="16"/>
      <c r="K166" s="16"/>
      <c r="L166" s="16"/>
      <c r="M166" s="16"/>
      <c r="N166" s="16"/>
      <c r="O166" s="16"/>
      <c r="P166" s="16"/>
      <c r="Q166" s="16"/>
      <c r="R166" s="16"/>
      <c r="S166" s="16"/>
      <c r="T166" s="16"/>
    </row>
    <row r="167" spans="1:20" ht="27" customHeight="1">
      <c r="A167" s="16"/>
      <c r="B167" s="16"/>
      <c r="C167" s="16"/>
      <c r="D167" s="16"/>
      <c r="E167" s="16"/>
      <c r="F167" s="16"/>
      <c r="G167" s="16"/>
      <c r="H167" s="16"/>
      <c r="I167" s="16"/>
      <c r="J167" s="16"/>
      <c r="K167" s="16"/>
      <c r="L167" s="16"/>
      <c r="M167" s="16"/>
      <c r="N167" s="16"/>
      <c r="O167" s="16"/>
      <c r="P167" s="16"/>
      <c r="Q167" s="16"/>
      <c r="R167" s="16"/>
      <c r="S167" s="16"/>
      <c r="T167" s="16"/>
    </row>
    <row r="168" spans="1:20" ht="27" customHeight="1">
      <c r="A168" s="16"/>
      <c r="B168" s="16"/>
      <c r="C168" s="16"/>
      <c r="D168" s="16"/>
      <c r="E168" s="16"/>
      <c r="F168" s="16"/>
      <c r="G168" s="16"/>
      <c r="H168" s="16"/>
      <c r="I168" s="16"/>
      <c r="J168" s="16"/>
      <c r="K168" s="16"/>
      <c r="L168" s="16"/>
      <c r="M168" s="16"/>
      <c r="N168" s="16"/>
      <c r="O168" s="16"/>
      <c r="P168" s="16"/>
      <c r="Q168" s="16"/>
      <c r="R168" s="16"/>
      <c r="S168" s="16"/>
      <c r="T168" s="16"/>
    </row>
    <row r="169" spans="1:20" ht="27" customHeight="1">
      <c r="A169" s="16"/>
      <c r="B169" s="16"/>
      <c r="C169" s="16"/>
      <c r="D169" s="16"/>
      <c r="E169" s="16"/>
      <c r="F169" s="16"/>
      <c r="G169" s="16"/>
      <c r="H169" s="16"/>
      <c r="I169" s="16"/>
      <c r="J169" s="16"/>
      <c r="K169" s="16"/>
      <c r="L169" s="16"/>
      <c r="M169" s="16"/>
      <c r="N169" s="16"/>
      <c r="O169" s="16"/>
      <c r="P169" s="16"/>
      <c r="Q169" s="16"/>
      <c r="R169" s="16"/>
      <c r="S169" s="16"/>
      <c r="T169" s="16"/>
    </row>
    <row r="170" spans="1:20" ht="27" customHeight="1">
      <c r="A170" s="16"/>
      <c r="B170" s="16"/>
      <c r="C170" s="16"/>
      <c r="D170" s="16"/>
      <c r="E170" s="16"/>
      <c r="F170" s="16"/>
      <c r="G170" s="16"/>
      <c r="H170" s="16"/>
      <c r="I170" s="16"/>
      <c r="J170" s="16"/>
      <c r="K170" s="16"/>
      <c r="L170" s="16"/>
      <c r="M170" s="16"/>
      <c r="N170" s="16"/>
      <c r="O170" s="16"/>
      <c r="P170" s="16"/>
      <c r="Q170" s="16"/>
      <c r="R170" s="16"/>
      <c r="S170" s="16"/>
      <c r="T170" s="16"/>
    </row>
    <row r="171" spans="1:20" ht="27" customHeight="1">
      <c r="A171" s="16"/>
      <c r="B171" s="16"/>
      <c r="C171" s="16"/>
      <c r="D171" s="16"/>
      <c r="E171" s="16"/>
      <c r="F171" s="16"/>
      <c r="G171" s="16"/>
      <c r="H171" s="16"/>
      <c r="I171" s="16"/>
      <c r="J171" s="16"/>
      <c r="K171" s="16"/>
      <c r="L171" s="16"/>
      <c r="M171" s="16"/>
      <c r="N171" s="16"/>
      <c r="O171" s="16"/>
      <c r="P171" s="16"/>
      <c r="Q171" s="16"/>
      <c r="R171" s="16"/>
      <c r="S171" s="16"/>
      <c r="T171" s="16"/>
    </row>
    <row r="172" spans="1:20" ht="27" customHeight="1">
      <c r="A172" s="16"/>
      <c r="B172" s="16"/>
      <c r="C172" s="16"/>
      <c r="D172" s="16"/>
      <c r="E172" s="16"/>
      <c r="F172" s="16"/>
      <c r="G172" s="16"/>
      <c r="H172" s="16"/>
      <c r="I172" s="16"/>
      <c r="J172" s="16"/>
      <c r="K172" s="16"/>
      <c r="L172" s="16"/>
      <c r="M172" s="16"/>
      <c r="N172" s="16"/>
      <c r="O172" s="16"/>
      <c r="P172" s="16"/>
      <c r="Q172" s="16"/>
      <c r="R172" s="16"/>
      <c r="S172" s="16"/>
      <c r="T172" s="16"/>
    </row>
    <row r="173" spans="1:20" ht="27" customHeight="1">
      <c r="A173" s="16"/>
      <c r="B173" s="16"/>
      <c r="C173" s="16"/>
      <c r="D173" s="16"/>
      <c r="E173" s="16"/>
      <c r="F173" s="16"/>
      <c r="G173" s="16"/>
      <c r="H173" s="16"/>
      <c r="I173" s="16"/>
      <c r="J173" s="16"/>
      <c r="K173" s="16"/>
      <c r="L173" s="16"/>
      <c r="M173" s="16"/>
      <c r="N173" s="16"/>
      <c r="O173" s="16"/>
      <c r="P173" s="16"/>
      <c r="Q173" s="16"/>
      <c r="R173" s="16"/>
      <c r="S173" s="16"/>
      <c r="T173" s="16"/>
    </row>
    <row r="174" spans="1:20" ht="27" customHeight="1">
      <c r="A174" s="16"/>
      <c r="B174" s="16"/>
      <c r="C174" s="16"/>
      <c r="D174" s="16"/>
      <c r="E174" s="16"/>
      <c r="F174" s="16"/>
      <c r="G174" s="16"/>
      <c r="H174" s="16"/>
      <c r="I174" s="16"/>
      <c r="J174" s="16"/>
      <c r="K174" s="16"/>
      <c r="L174" s="16"/>
      <c r="M174" s="16"/>
      <c r="N174" s="16"/>
      <c r="O174" s="16"/>
      <c r="P174" s="16"/>
      <c r="Q174" s="16"/>
      <c r="R174" s="16"/>
      <c r="S174" s="16"/>
      <c r="T174" s="16"/>
    </row>
    <row r="175" spans="1:20" ht="27" customHeight="1">
      <c r="A175" s="16"/>
      <c r="B175" s="16"/>
      <c r="C175" s="16"/>
      <c r="D175" s="16"/>
      <c r="E175" s="16"/>
      <c r="F175" s="16"/>
      <c r="G175" s="16"/>
      <c r="H175" s="16"/>
      <c r="I175" s="16"/>
      <c r="J175" s="16"/>
      <c r="K175" s="16"/>
      <c r="L175" s="16"/>
      <c r="M175" s="16"/>
      <c r="N175" s="16"/>
      <c r="O175" s="16"/>
      <c r="P175" s="16"/>
      <c r="Q175" s="16"/>
      <c r="R175" s="16"/>
      <c r="S175" s="16"/>
      <c r="T175" s="16"/>
    </row>
    <row r="176" spans="1:20" ht="27" customHeight="1">
      <c r="A176" s="16"/>
      <c r="B176" s="16"/>
      <c r="C176" s="16"/>
      <c r="D176" s="16"/>
      <c r="E176" s="16"/>
      <c r="F176" s="16"/>
      <c r="G176" s="16"/>
      <c r="H176" s="16"/>
      <c r="I176" s="16"/>
      <c r="J176" s="16"/>
      <c r="K176" s="16"/>
      <c r="L176" s="16"/>
      <c r="M176" s="16"/>
      <c r="N176" s="16"/>
      <c r="O176" s="16"/>
      <c r="P176" s="16"/>
      <c r="Q176" s="16"/>
      <c r="R176" s="16"/>
      <c r="S176" s="16"/>
      <c r="T176" s="16"/>
    </row>
    <row r="177" spans="1:20" ht="27" customHeight="1">
      <c r="A177" s="16"/>
      <c r="B177" s="16"/>
      <c r="C177" s="16"/>
      <c r="D177" s="16"/>
      <c r="E177" s="16"/>
      <c r="F177" s="16"/>
      <c r="G177" s="16"/>
      <c r="H177" s="16"/>
      <c r="I177" s="16"/>
      <c r="J177" s="16"/>
      <c r="K177" s="16"/>
      <c r="L177" s="16"/>
      <c r="M177" s="16"/>
      <c r="N177" s="16"/>
      <c r="O177" s="16"/>
      <c r="P177" s="16"/>
      <c r="Q177" s="16"/>
      <c r="R177" s="16"/>
      <c r="S177" s="16"/>
      <c r="T177" s="16"/>
    </row>
    <row r="178" spans="1:20" ht="27" customHeight="1">
      <c r="A178" s="16"/>
      <c r="B178" s="16"/>
      <c r="C178" s="16"/>
      <c r="D178" s="16"/>
      <c r="E178" s="16"/>
      <c r="F178" s="16"/>
      <c r="G178" s="16"/>
      <c r="H178" s="16"/>
      <c r="I178" s="16"/>
      <c r="J178" s="16"/>
      <c r="K178" s="16"/>
      <c r="L178" s="16"/>
      <c r="M178" s="16"/>
      <c r="N178" s="16"/>
      <c r="O178" s="16"/>
      <c r="P178" s="16"/>
      <c r="Q178" s="16"/>
      <c r="R178" s="16"/>
      <c r="S178" s="16"/>
      <c r="T178" s="16"/>
    </row>
    <row r="179" spans="1:20" ht="27" customHeight="1">
      <c r="A179" s="16"/>
      <c r="B179" s="16"/>
      <c r="C179" s="16"/>
      <c r="D179" s="16"/>
      <c r="E179" s="16"/>
      <c r="F179" s="16"/>
      <c r="G179" s="16"/>
      <c r="H179" s="16"/>
      <c r="I179" s="16"/>
      <c r="J179" s="16"/>
      <c r="K179" s="16"/>
      <c r="L179" s="16"/>
      <c r="M179" s="16"/>
      <c r="N179" s="16"/>
      <c r="O179" s="16"/>
      <c r="P179" s="16"/>
      <c r="Q179" s="16"/>
      <c r="R179" s="16"/>
      <c r="S179" s="16"/>
      <c r="T179" s="16"/>
    </row>
    <row r="180" spans="1:20" ht="27" customHeight="1">
      <c r="A180" s="16"/>
      <c r="B180" s="16"/>
      <c r="C180" s="16"/>
      <c r="D180" s="16"/>
      <c r="E180" s="16"/>
      <c r="F180" s="16"/>
      <c r="G180" s="16"/>
      <c r="H180" s="16"/>
      <c r="I180" s="16"/>
      <c r="J180" s="16"/>
      <c r="K180" s="16"/>
      <c r="L180" s="16"/>
      <c r="M180" s="16"/>
      <c r="N180" s="16"/>
      <c r="O180" s="16"/>
      <c r="P180" s="16"/>
      <c r="Q180" s="16"/>
      <c r="R180" s="16"/>
      <c r="S180" s="16"/>
      <c r="T180" s="16"/>
    </row>
    <row r="181" spans="1:20" ht="27" customHeight="1">
      <c r="A181" s="16"/>
      <c r="B181" s="16"/>
      <c r="C181" s="16"/>
      <c r="D181" s="16"/>
      <c r="E181" s="16"/>
      <c r="F181" s="16"/>
      <c r="G181" s="16"/>
      <c r="H181" s="16"/>
      <c r="I181" s="16"/>
      <c r="J181" s="16"/>
      <c r="K181" s="16"/>
      <c r="L181" s="16"/>
      <c r="M181" s="16"/>
      <c r="N181" s="16"/>
      <c r="O181" s="16"/>
      <c r="P181" s="16"/>
      <c r="Q181" s="16"/>
      <c r="R181" s="16"/>
      <c r="S181" s="16"/>
      <c r="T181" s="16"/>
    </row>
    <row r="182" spans="1:20" ht="27" customHeight="1">
      <c r="A182" s="16"/>
      <c r="B182" s="16"/>
      <c r="C182" s="16"/>
      <c r="D182" s="16"/>
      <c r="E182" s="16"/>
      <c r="F182" s="16"/>
      <c r="G182" s="16"/>
      <c r="H182" s="16"/>
      <c r="I182" s="16"/>
      <c r="J182" s="16"/>
      <c r="K182" s="16"/>
      <c r="L182" s="16"/>
      <c r="M182" s="16"/>
      <c r="N182" s="16"/>
      <c r="O182" s="16"/>
      <c r="P182" s="16"/>
      <c r="Q182" s="16"/>
      <c r="R182" s="16"/>
      <c r="S182" s="16"/>
      <c r="T182" s="16"/>
    </row>
    <row r="183" spans="1:20" ht="27" customHeight="1">
      <c r="A183" s="16"/>
      <c r="B183" s="16"/>
      <c r="C183" s="16"/>
      <c r="D183" s="16"/>
      <c r="E183" s="16"/>
      <c r="F183" s="16"/>
      <c r="G183" s="16"/>
      <c r="H183" s="16"/>
      <c r="I183" s="16"/>
      <c r="J183" s="16"/>
      <c r="K183" s="16"/>
      <c r="L183" s="16"/>
      <c r="M183" s="16"/>
      <c r="N183" s="16"/>
      <c r="O183" s="16"/>
      <c r="P183" s="16"/>
      <c r="Q183" s="16"/>
      <c r="R183" s="16"/>
      <c r="S183" s="16"/>
      <c r="T183" s="16"/>
    </row>
    <row r="184" spans="1:20" ht="27" customHeight="1">
      <c r="A184" s="16"/>
      <c r="B184" s="16"/>
      <c r="C184" s="16"/>
      <c r="D184" s="16"/>
      <c r="E184" s="16"/>
      <c r="F184" s="16"/>
      <c r="G184" s="16"/>
      <c r="H184" s="16"/>
      <c r="I184" s="16"/>
      <c r="J184" s="16"/>
      <c r="K184" s="16"/>
      <c r="L184" s="16"/>
      <c r="M184" s="16"/>
      <c r="N184" s="16"/>
      <c r="O184" s="16"/>
      <c r="P184" s="16"/>
      <c r="Q184" s="16"/>
      <c r="R184" s="16"/>
      <c r="S184" s="16"/>
      <c r="T184" s="16"/>
    </row>
    <row r="185" spans="1:20" ht="27" customHeight="1">
      <c r="A185" s="16"/>
      <c r="B185" s="16"/>
      <c r="C185" s="16"/>
      <c r="D185" s="16"/>
      <c r="E185" s="16"/>
      <c r="F185" s="16"/>
      <c r="G185" s="16"/>
      <c r="H185" s="16"/>
      <c r="I185" s="16"/>
      <c r="J185" s="16"/>
      <c r="K185" s="16"/>
      <c r="L185" s="16"/>
      <c r="M185" s="16"/>
      <c r="N185" s="16"/>
      <c r="O185" s="16"/>
      <c r="P185" s="16"/>
      <c r="Q185" s="16"/>
      <c r="R185" s="16"/>
      <c r="S185" s="16"/>
      <c r="T185" s="16"/>
    </row>
    <row r="186" spans="1:20" ht="27" customHeight="1">
      <c r="A186" s="16"/>
      <c r="B186" s="16"/>
      <c r="C186" s="16"/>
      <c r="D186" s="16"/>
      <c r="E186" s="16"/>
      <c r="F186" s="16"/>
      <c r="G186" s="16"/>
      <c r="H186" s="16"/>
      <c r="I186" s="16"/>
      <c r="J186" s="16"/>
      <c r="K186" s="16"/>
      <c r="L186" s="16"/>
      <c r="M186" s="16"/>
      <c r="N186" s="16"/>
      <c r="O186" s="16"/>
      <c r="P186" s="16"/>
      <c r="Q186" s="16"/>
      <c r="R186" s="16"/>
      <c r="S186" s="16"/>
      <c r="T186" s="16"/>
    </row>
    <row r="187" spans="1:20" ht="27" customHeight="1">
      <c r="A187" s="16"/>
      <c r="B187" s="16"/>
      <c r="C187" s="16"/>
      <c r="D187" s="16"/>
      <c r="E187" s="16"/>
      <c r="F187" s="16"/>
      <c r="G187" s="16"/>
      <c r="H187" s="16"/>
      <c r="I187" s="16"/>
      <c r="J187" s="16"/>
      <c r="K187" s="16"/>
      <c r="L187" s="16"/>
      <c r="M187" s="16"/>
      <c r="N187" s="16"/>
      <c r="O187" s="16"/>
      <c r="P187" s="16"/>
      <c r="Q187" s="16"/>
      <c r="R187" s="16"/>
      <c r="S187" s="16"/>
      <c r="T187" s="16"/>
    </row>
    <row r="188" spans="1:20" ht="27" customHeight="1">
      <c r="A188" s="16"/>
      <c r="B188" s="16"/>
      <c r="C188" s="16"/>
      <c r="D188" s="16"/>
      <c r="E188" s="16"/>
      <c r="F188" s="16"/>
      <c r="G188" s="16"/>
      <c r="H188" s="16"/>
      <c r="I188" s="16"/>
      <c r="J188" s="16"/>
      <c r="K188" s="16"/>
      <c r="L188" s="16"/>
      <c r="M188" s="16"/>
      <c r="N188" s="16"/>
      <c r="O188" s="16"/>
      <c r="P188" s="16"/>
      <c r="Q188" s="16"/>
      <c r="R188" s="16"/>
      <c r="S188" s="16"/>
      <c r="T188" s="16"/>
    </row>
    <row r="189" spans="1:20" ht="27" customHeight="1">
      <c r="A189" s="16"/>
      <c r="B189" s="16"/>
      <c r="C189" s="16"/>
      <c r="D189" s="16"/>
      <c r="E189" s="16"/>
      <c r="F189" s="16"/>
      <c r="G189" s="16"/>
      <c r="H189" s="16"/>
      <c r="I189" s="16"/>
      <c r="J189" s="16"/>
      <c r="K189" s="16"/>
      <c r="L189" s="16"/>
      <c r="M189" s="16"/>
      <c r="N189" s="16"/>
      <c r="O189" s="16"/>
      <c r="P189" s="16"/>
      <c r="Q189" s="16"/>
      <c r="R189" s="16"/>
      <c r="S189" s="16"/>
      <c r="T189" s="16"/>
    </row>
    <row r="190" spans="1:20" ht="27" customHeight="1">
      <c r="A190" s="16"/>
      <c r="B190" s="16"/>
      <c r="C190" s="16"/>
      <c r="D190" s="16"/>
      <c r="E190" s="16"/>
      <c r="F190" s="16"/>
      <c r="G190" s="16"/>
      <c r="H190" s="16"/>
      <c r="I190" s="16"/>
      <c r="J190" s="16"/>
      <c r="K190" s="16"/>
      <c r="L190" s="16"/>
      <c r="M190" s="16"/>
      <c r="N190" s="16"/>
      <c r="O190" s="16"/>
      <c r="P190" s="16"/>
      <c r="Q190" s="16"/>
      <c r="R190" s="16"/>
      <c r="S190" s="16"/>
      <c r="T190" s="16"/>
    </row>
    <row r="191" spans="1:20" ht="27" customHeight="1">
      <c r="A191" s="16"/>
      <c r="B191" s="16"/>
      <c r="C191" s="16"/>
      <c r="D191" s="16"/>
      <c r="E191" s="16"/>
      <c r="F191" s="16"/>
      <c r="G191" s="16"/>
      <c r="H191" s="16"/>
      <c r="I191" s="16"/>
      <c r="J191" s="16"/>
      <c r="K191" s="16"/>
      <c r="L191" s="16"/>
      <c r="M191" s="16"/>
      <c r="N191" s="16"/>
      <c r="O191" s="16"/>
      <c r="P191" s="16"/>
      <c r="Q191" s="16"/>
      <c r="R191" s="16"/>
      <c r="S191" s="16"/>
      <c r="T191" s="16"/>
    </row>
    <row r="192" spans="1:20" ht="27" customHeight="1">
      <c r="A192" s="16"/>
      <c r="B192" s="16"/>
      <c r="C192" s="16"/>
      <c r="D192" s="16"/>
      <c r="E192" s="16"/>
      <c r="F192" s="16"/>
      <c r="G192" s="16"/>
      <c r="H192" s="16"/>
      <c r="I192" s="16"/>
      <c r="J192" s="16"/>
      <c r="K192" s="16"/>
      <c r="L192" s="16"/>
      <c r="M192" s="16"/>
      <c r="N192" s="16"/>
      <c r="O192" s="16"/>
      <c r="P192" s="16"/>
      <c r="Q192" s="16"/>
      <c r="R192" s="16"/>
      <c r="S192" s="16"/>
      <c r="T192" s="16"/>
    </row>
    <row r="193" spans="1:20" ht="27" customHeight="1">
      <c r="A193" s="16"/>
      <c r="B193" s="16"/>
      <c r="C193" s="16"/>
      <c r="D193" s="16"/>
      <c r="E193" s="16"/>
      <c r="F193" s="16"/>
      <c r="G193" s="16"/>
      <c r="H193" s="16"/>
      <c r="I193" s="16"/>
      <c r="J193" s="16"/>
      <c r="K193" s="16"/>
      <c r="L193" s="16"/>
      <c r="M193" s="16"/>
      <c r="N193" s="16"/>
      <c r="O193" s="16"/>
      <c r="P193" s="16"/>
      <c r="Q193" s="16"/>
      <c r="R193" s="16"/>
      <c r="S193" s="16"/>
      <c r="T193" s="16"/>
    </row>
    <row r="194" spans="1:20" ht="27" customHeight="1">
      <c r="A194" s="16"/>
      <c r="B194" s="16"/>
      <c r="C194" s="16"/>
      <c r="D194" s="16"/>
      <c r="E194" s="16"/>
      <c r="F194" s="16"/>
      <c r="G194" s="16"/>
      <c r="H194" s="16"/>
      <c r="I194" s="16"/>
      <c r="J194" s="16"/>
      <c r="K194" s="16"/>
      <c r="L194" s="16"/>
      <c r="M194" s="16"/>
      <c r="N194" s="16"/>
      <c r="O194" s="16"/>
      <c r="P194" s="16"/>
      <c r="Q194" s="16"/>
      <c r="R194" s="16"/>
      <c r="S194" s="16"/>
      <c r="T194" s="16"/>
    </row>
    <row r="195" spans="1:20" ht="27" customHeight="1">
      <c r="A195" s="16"/>
      <c r="B195" s="16"/>
      <c r="C195" s="16"/>
      <c r="D195" s="16"/>
      <c r="E195" s="16"/>
      <c r="F195" s="16"/>
      <c r="G195" s="16"/>
      <c r="H195" s="16"/>
      <c r="I195" s="16"/>
      <c r="J195" s="16"/>
      <c r="K195" s="16"/>
      <c r="L195" s="16"/>
      <c r="M195" s="16"/>
      <c r="N195" s="16"/>
      <c r="O195" s="16"/>
      <c r="P195" s="16"/>
      <c r="Q195" s="16"/>
      <c r="R195" s="16"/>
      <c r="S195" s="16"/>
      <c r="T195" s="16"/>
    </row>
    <row r="196" spans="1:20" ht="27" customHeight="1">
      <c r="A196" s="16"/>
      <c r="B196" s="16"/>
      <c r="C196" s="16"/>
      <c r="D196" s="16"/>
      <c r="E196" s="16"/>
      <c r="F196" s="16"/>
      <c r="G196" s="16"/>
      <c r="H196" s="16"/>
      <c r="I196" s="16"/>
      <c r="J196" s="16"/>
      <c r="K196" s="16"/>
      <c r="L196" s="16"/>
      <c r="M196" s="16"/>
      <c r="N196" s="16"/>
      <c r="O196" s="16"/>
      <c r="P196" s="16"/>
      <c r="Q196" s="16"/>
      <c r="R196" s="16"/>
      <c r="S196" s="16"/>
      <c r="T196" s="16"/>
    </row>
    <row r="197" spans="1:20" ht="27" customHeight="1">
      <c r="A197" s="16"/>
      <c r="B197" s="16"/>
      <c r="C197" s="16"/>
      <c r="D197" s="16"/>
      <c r="E197" s="16"/>
      <c r="F197" s="16"/>
      <c r="G197" s="16"/>
      <c r="H197" s="16"/>
      <c r="I197" s="16"/>
      <c r="J197" s="16"/>
      <c r="K197" s="16"/>
      <c r="L197" s="16"/>
      <c r="M197" s="16"/>
      <c r="N197" s="16"/>
      <c r="O197" s="16"/>
      <c r="P197" s="16"/>
      <c r="Q197" s="16"/>
      <c r="R197" s="16"/>
      <c r="S197" s="16"/>
      <c r="T197" s="16"/>
    </row>
    <row r="198" spans="1:20" ht="27" customHeight="1">
      <c r="A198" s="16"/>
      <c r="B198" s="16"/>
      <c r="C198" s="16"/>
      <c r="D198" s="16"/>
      <c r="E198" s="16"/>
      <c r="F198" s="16"/>
      <c r="G198" s="16"/>
      <c r="H198" s="16"/>
      <c r="I198" s="16"/>
      <c r="J198" s="16"/>
      <c r="K198" s="16"/>
      <c r="L198" s="16"/>
      <c r="M198" s="16"/>
      <c r="N198" s="16"/>
      <c r="O198" s="16"/>
      <c r="P198" s="16"/>
      <c r="Q198" s="16"/>
      <c r="R198" s="16"/>
      <c r="S198" s="16"/>
      <c r="T198" s="16"/>
    </row>
    <row r="199" spans="1:20" ht="27" customHeight="1">
      <c r="A199" s="16"/>
      <c r="B199" s="16"/>
      <c r="C199" s="16"/>
      <c r="D199" s="16"/>
      <c r="E199" s="16"/>
      <c r="F199" s="16"/>
      <c r="G199" s="16"/>
      <c r="H199" s="16"/>
      <c r="I199" s="16"/>
      <c r="J199" s="16"/>
      <c r="K199" s="16"/>
      <c r="L199" s="16"/>
      <c r="M199" s="16"/>
      <c r="N199" s="16"/>
      <c r="O199" s="16"/>
      <c r="P199" s="16"/>
      <c r="Q199" s="16"/>
      <c r="R199" s="16"/>
      <c r="S199" s="16"/>
      <c r="T199" s="16"/>
    </row>
    <row r="200" spans="1:20" ht="27" customHeight="1">
      <c r="A200" s="16"/>
      <c r="B200" s="16"/>
      <c r="C200" s="16"/>
      <c r="D200" s="16"/>
      <c r="E200" s="16"/>
      <c r="F200" s="16"/>
      <c r="G200" s="16"/>
      <c r="H200" s="16"/>
      <c r="I200" s="16"/>
      <c r="J200" s="16"/>
      <c r="K200" s="16"/>
      <c r="L200" s="16"/>
      <c r="M200" s="16"/>
      <c r="N200" s="16"/>
      <c r="O200" s="16"/>
      <c r="P200" s="16"/>
      <c r="Q200" s="16"/>
      <c r="R200" s="16"/>
      <c r="S200" s="16"/>
      <c r="T200" s="16"/>
    </row>
    <row r="201" spans="1:20" ht="27" customHeight="1">
      <c r="A201" s="16"/>
      <c r="B201" s="16"/>
      <c r="C201" s="16"/>
      <c r="D201" s="16"/>
      <c r="E201" s="16"/>
      <c r="F201" s="16"/>
      <c r="G201" s="16"/>
      <c r="H201" s="16"/>
      <c r="I201" s="16"/>
      <c r="J201" s="16"/>
      <c r="K201" s="16"/>
      <c r="L201" s="16"/>
      <c r="M201" s="16"/>
      <c r="N201" s="16"/>
      <c r="O201" s="16"/>
      <c r="P201" s="16"/>
      <c r="Q201" s="16"/>
      <c r="R201" s="16"/>
      <c r="S201" s="16"/>
      <c r="T201" s="16"/>
    </row>
    <row r="202" spans="1:20" ht="27" customHeight="1">
      <c r="A202" s="16"/>
      <c r="B202" s="16"/>
      <c r="C202" s="16"/>
      <c r="D202" s="16"/>
      <c r="E202" s="16"/>
      <c r="F202" s="16"/>
      <c r="G202" s="16"/>
      <c r="H202" s="16"/>
      <c r="I202" s="16"/>
      <c r="J202" s="16"/>
      <c r="K202" s="16"/>
      <c r="L202" s="16"/>
      <c r="M202" s="16"/>
      <c r="N202" s="16"/>
      <c r="O202" s="16"/>
      <c r="P202" s="16"/>
      <c r="Q202" s="16"/>
      <c r="R202" s="16"/>
      <c r="S202" s="16"/>
      <c r="T202" s="16"/>
    </row>
    <row r="203" spans="1:20" ht="27" customHeight="1">
      <c r="A203" s="16"/>
      <c r="B203" s="16"/>
      <c r="C203" s="16"/>
      <c r="D203" s="16"/>
      <c r="E203" s="16"/>
      <c r="F203" s="16"/>
      <c r="G203" s="16"/>
      <c r="H203" s="16"/>
      <c r="I203" s="16"/>
      <c r="J203" s="16"/>
      <c r="K203" s="16"/>
      <c r="L203" s="16"/>
      <c r="M203" s="16"/>
      <c r="N203" s="16"/>
      <c r="O203" s="16"/>
      <c r="P203" s="16"/>
      <c r="Q203" s="16"/>
      <c r="R203" s="16"/>
      <c r="S203" s="16"/>
      <c r="T203" s="16"/>
    </row>
    <row r="204" spans="1:20" ht="27" customHeight="1">
      <c r="A204" s="16"/>
      <c r="B204" s="16"/>
      <c r="C204" s="16"/>
      <c r="D204" s="16"/>
      <c r="E204" s="16"/>
      <c r="F204" s="16"/>
      <c r="G204" s="16"/>
      <c r="H204" s="16"/>
      <c r="I204" s="16"/>
      <c r="J204" s="16"/>
      <c r="K204" s="16"/>
      <c r="L204" s="16"/>
      <c r="M204" s="16"/>
      <c r="N204" s="16"/>
      <c r="O204" s="16"/>
      <c r="P204" s="16"/>
      <c r="Q204" s="16"/>
      <c r="R204" s="16"/>
      <c r="S204" s="16"/>
      <c r="T204" s="16"/>
    </row>
    <row r="205" spans="1:20" ht="27" customHeight="1">
      <c r="A205" s="16"/>
      <c r="B205" s="16"/>
      <c r="C205" s="16"/>
      <c r="D205" s="16"/>
      <c r="E205" s="16"/>
      <c r="F205" s="16"/>
      <c r="G205" s="16"/>
      <c r="H205" s="16"/>
      <c r="I205" s="16"/>
      <c r="J205" s="16"/>
      <c r="K205" s="16"/>
      <c r="L205" s="16"/>
      <c r="M205" s="16"/>
      <c r="N205" s="16"/>
      <c r="O205" s="16"/>
      <c r="P205" s="16"/>
      <c r="Q205" s="16"/>
      <c r="R205" s="16"/>
      <c r="S205" s="16"/>
      <c r="T205" s="16"/>
    </row>
    <row r="206" spans="1:20" ht="27" customHeight="1">
      <c r="A206" s="16"/>
      <c r="B206" s="16"/>
      <c r="C206" s="16"/>
      <c r="D206" s="16"/>
      <c r="E206" s="16"/>
      <c r="F206" s="16"/>
      <c r="G206" s="16"/>
      <c r="H206" s="16"/>
      <c r="I206" s="16"/>
      <c r="J206" s="16"/>
      <c r="K206" s="16"/>
      <c r="L206" s="16"/>
      <c r="M206" s="16"/>
      <c r="N206" s="16"/>
      <c r="O206" s="16"/>
      <c r="P206" s="16"/>
      <c r="Q206" s="16"/>
      <c r="R206" s="16"/>
      <c r="S206" s="16"/>
      <c r="T206" s="16"/>
    </row>
    <row r="207" spans="1:20" ht="27" customHeight="1">
      <c r="A207" s="16"/>
      <c r="B207" s="16"/>
      <c r="C207" s="16"/>
      <c r="D207" s="16"/>
      <c r="E207" s="16"/>
      <c r="F207" s="16"/>
      <c r="G207" s="16"/>
      <c r="H207" s="16"/>
      <c r="I207" s="16"/>
      <c r="J207" s="16"/>
      <c r="K207" s="16"/>
      <c r="L207" s="16"/>
      <c r="M207" s="16"/>
      <c r="N207" s="16"/>
      <c r="O207" s="16"/>
      <c r="P207" s="16"/>
      <c r="Q207" s="16"/>
      <c r="R207" s="16"/>
      <c r="S207" s="16"/>
      <c r="T207" s="16"/>
    </row>
    <row r="208" spans="1:20" ht="27" customHeight="1">
      <c r="A208" s="16"/>
      <c r="B208" s="16"/>
      <c r="C208" s="16"/>
      <c r="D208" s="16"/>
      <c r="E208" s="16"/>
      <c r="F208" s="16"/>
      <c r="G208" s="16"/>
      <c r="H208" s="16"/>
      <c r="I208" s="16"/>
      <c r="J208" s="16"/>
      <c r="K208" s="16"/>
      <c r="L208" s="16"/>
      <c r="M208" s="16"/>
      <c r="N208" s="16"/>
      <c r="O208" s="16"/>
      <c r="P208" s="16"/>
      <c r="Q208" s="16"/>
      <c r="R208" s="16"/>
      <c r="S208" s="16"/>
      <c r="T208" s="16"/>
    </row>
    <row r="209" spans="1:20" ht="27" customHeight="1">
      <c r="A209" s="16"/>
      <c r="B209" s="16"/>
      <c r="C209" s="16"/>
      <c r="D209" s="16"/>
      <c r="E209" s="16"/>
      <c r="F209" s="16"/>
      <c r="G209" s="16"/>
      <c r="H209" s="16"/>
      <c r="I209" s="16"/>
      <c r="J209" s="16"/>
      <c r="K209" s="16"/>
      <c r="L209" s="16"/>
      <c r="M209" s="16"/>
      <c r="N209" s="16"/>
      <c r="O209" s="16"/>
      <c r="P209" s="16"/>
      <c r="Q209" s="16"/>
      <c r="R209" s="16"/>
      <c r="S209" s="16"/>
      <c r="T209" s="16"/>
    </row>
    <row r="210" spans="1:20" ht="27" customHeight="1">
      <c r="A210" s="16"/>
      <c r="B210" s="16"/>
      <c r="C210" s="16"/>
      <c r="D210" s="16"/>
      <c r="E210" s="16"/>
      <c r="F210" s="16"/>
      <c r="G210" s="16"/>
      <c r="H210" s="16"/>
      <c r="I210" s="16"/>
      <c r="J210" s="16"/>
      <c r="K210" s="16"/>
      <c r="L210" s="16"/>
      <c r="M210" s="16"/>
      <c r="N210" s="16"/>
      <c r="O210" s="16"/>
      <c r="P210" s="16"/>
      <c r="Q210" s="16"/>
      <c r="R210" s="16"/>
      <c r="S210" s="16"/>
      <c r="T210" s="16"/>
    </row>
    <row r="211" spans="1:20" ht="27" customHeight="1">
      <c r="A211" s="16"/>
      <c r="B211" s="16"/>
      <c r="C211" s="16"/>
      <c r="D211" s="16"/>
      <c r="E211" s="16"/>
      <c r="F211" s="16"/>
      <c r="G211" s="16"/>
      <c r="H211" s="16"/>
      <c r="I211" s="16"/>
      <c r="J211" s="16"/>
      <c r="K211" s="16"/>
      <c r="L211" s="16"/>
      <c r="M211" s="16"/>
      <c r="N211" s="16"/>
      <c r="O211" s="16"/>
      <c r="P211" s="16"/>
      <c r="Q211" s="16"/>
      <c r="R211" s="16"/>
      <c r="S211" s="16"/>
      <c r="T211" s="16"/>
    </row>
    <row r="212" spans="1:20" ht="27" customHeight="1">
      <c r="A212" s="16"/>
      <c r="B212" s="16"/>
      <c r="C212" s="16"/>
      <c r="D212" s="16"/>
      <c r="E212" s="16"/>
      <c r="F212" s="16"/>
      <c r="G212" s="16"/>
      <c r="H212" s="16"/>
      <c r="I212" s="16"/>
      <c r="J212" s="16"/>
      <c r="K212" s="16"/>
      <c r="L212" s="16"/>
      <c r="M212" s="16"/>
      <c r="N212" s="16"/>
      <c r="O212" s="16"/>
      <c r="P212" s="16"/>
      <c r="Q212" s="16"/>
      <c r="R212" s="16"/>
      <c r="S212" s="16"/>
      <c r="T212" s="16"/>
    </row>
    <row r="213" spans="1:20" ht="27" customHeight="1">
      <c r="A213" s="16"/>
      <c r="B213" s="16"/>
      <c r="C213" s="16"/>
      <c r="D213" s="16"/>
      <c r="E213" s="16"/>
      <c r="F213" s="16"/>
      <c r="G213" s="16"/>
      <c r="H213" s="16"/>
      <c r="I213" s="16"/>
      <c r="J213" s="16"/>
      <c r="K213" s="16"/>
      <c r="L213" s="16"/>
      <c r="M213" s="16"/>
      <c r="N213" s="16"/>
      <c r="O213" s="16"/>
      <c r="P213" s="16"/>
      <c r="Q213" s="16"/>
      <c r="R213" s="16"/>
      <c r="S213" s="16"/>
      <c r="T213" s="16"/>
    </row>
    <row r="214" spans="1:20" ht="27" customHeight="1">
      <c r="A214" s="16"/>
      <c r="B214" s="16"/>
      <c r="C214" s="16"/>
      <c r="D214" s="16"/>
      <c r="E214" s="16"/>
      <c r="F214" s="16"/>
      <c r="G214" s="16"/>
      <c r="H214" s="16"/>
      <c r="I214" s="16"/>
      <c r="J214" s="16"/>
      <c r="K214" s="16"/>
      <c r="L214" s="16"/>
      <c r="M214" s="16"/>
      <c r="N214" s="16"/>
      <c r="O214" s="16"/>
      <c r="P214" s="16"/>
      <c r="Q214" s="16"/>
      <c r="R214" s="16"/>
      <c r="S214" s="16"/>
      <c r="T214" s="16"/>
    </row>
    <row r="215" spans="1:20" ht="27" customHeight="1">
      <c r="A215" s="16"/>
      <c r="B215" s="16"/>
      <c r="C215" s="16"/>
      <c r="D215" s="16"/>
      <c r="E215" s="16"/>
      <c r="F215" s="16"/>
      <c r="G215" s="16"/>
      <c r="H215" s="16"/>
      <c r="I215" s="16"/>
      <c r="J215" s="16"/>
      <c r="K215" s="16"/>
      <c r="L215" s="16"/>
      <c r="M215" s="16"/>
      <c r="N215" s="16"/>
      <c r="O215" s="16"/>
      <c r="P215" s="16"/>
      <c r="Q215" s="16"/>
      <c r="R215" s="16"/>
      <c r="S215" s="16"/>
      <c r="T215" s="16"/>
    </row>
    <row r="216" spans="1:20" ht="27" customHeight="1">
      <c r="A216" s="16"/>
      <c r="B216" s="16"/>
      <c r="C216" s="16"/>
      <c r="D216" s="16"/>
      <c r="E216" s="16"/>
      <c r="F216" s="16"/>
      <c r="G216" s="16"/>
      <c r="H216" s="16"/>
      <c r="I216" s="16"/>
      <c r="J216" s="16"/>
      <c r="K216" s="16"/>
      <c r="L216" s="16"/>
      <c r="M216" s="16"/>
      <c r="N216" s="16"/>
      <c r="O216" s="16"/>
      <c r="P216" s="16"/>
      <c r="Q216" s="16"/>
      <c r="R216" s="16"/>
      <c r="S216" s="16"/>
      <c r="T216" s="16"/>
    </row>
    <row r="217" spans="1:20" ht="27" customHeight="1">
      <c r="A217" s="16"/>
      <c r="B217" s="16"/>
      <c r="C217" s="16"/>
      <c r="D217" s="16"/>
      <c r="E217" s="16"/>
      <c r="F217" s="16"/>
      <c r="G217" s="16"/>
      <c r="H217" s="16"/>
      <c r="I217" s="16"/>
      <c r="J217" s="16"/>
      <c r="K217" s="16"/>
      <c r="L217" s="16"/>
      <c r="M217" s="16"/>
      <c r="N217" s="16"/>
      <c r="O217" s="16"/>
      <c r="P217" s="16"/>
      <c r="Q217" s="16"/>
      <c r="R217" s="16"/>
      <c r="S217" s="16"/>
      <c r="T217" s="16"/>
    </row>
    <row r="218" spans="1:20" ht="27" customHeight="1">
      <c r="A218" s="16"/>
      <c r="B218" s="16"/>
      <c r="C218" s="16"/>
      <c r="D218" s="16"/>
      <c r="E218" s="16"/>
      <c r="F218" s="16"/>
      <c r="G218" s="16"/>
      <c r="H218" s="16"/>
      <c r="I218" s="16"/>
      <c r="J218" s="16"/>
      <c r="K218" s="16"/>
      <c r="L218" s="16"/>
      <c r="M218" s="16"/>
      <c r="N218" s="16"/>
      <c r="O218" s="16"/>
      <c r="P218" s="16"/>
      <c r="Q218" s="16"/>
      <c r="R218" s="16"/>
      <c r="S218" s="16"/>
      <c r="T218" s="16"/>
    </row>
    <row r="219" spans="1:20" ht="27" customHeight="1">
      <c r="A219" s="16"/>
      <c r="B219" s="16"/>
      <c r="C219" s="16"/>
      <c r="D219" s="16"/>
      <c r="E219" s="16"/>
      <c r="F219" s="16"/>
      <c r="G219" s="16"/>
      <c r="H219" s="16"/>
      <c r="I219" s="16"/>
      <c r="J219" s="16"/>
      <c r="K219" s="16"/>
      <c r="L219" s="16"/>
      <c r="M219" s="16"/>
      <c r="N219" s="16"/>
      <c r="O219" s="16"/>
      <c r="P219" s="16"/>
      <c r="Q219" s="16"/>
      <c r="R219" s="16"/>
      <c r="S219" s="16"/>
      <c r="T219" s="16"/>
    </row>
    <row r="220" spans="1:20" ht="27" customHeight="1">
      <c r="A220" s="16"/>
      <c r="B220" s="16"/>
      <c r="C220" s="16"/>
      <c r="D220" s="16"/>
      <c r="E220" s="16"/>
      <c r="F220" s="16"/>
      <c r="G220" s="16"/>
      <c r="H220" s="16"/>
      <c r="I220" s="16"/>
      <c r="J220" s="16"/>
      <c r="K220" s="16"/>
      <c r="L220" s="16"/>
      <c r="M220" s="16"/>
      <c r="N220" s="16"/>
      <c r="O220" s="16"/>
      <c r="P220" s="16"/>
      <c r="Q220" s="16"/>
      <c r="R220" s="16"/>
      <c r="S220" s="16"/>
      <c r="T220" s="16"/>
    </row>
    <row r="221" spans="1:20" ht="15.75" customHeight="1"/>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9" xr:uid="{00000000-0009-0000-0000-000010000000}"/>
  <conditionalFormatting sqref="A3:A5">
    <cfRule type="cellIs" dxfId="17" priority="1" operator="equal">
      <formula>"YL"</formula>
    </cfRule>
    <cfRule type="cellIs" dxfId="16" priority="2" operator="equal">
      <formula>"YL"</formula>
    </cfRule>
  </conditionalFormatting>
  <conditionalFormatting sqref="A8">
    <cfRule type="cellIs" dxfId="15" priority="3" operator="equal">
      <formula>"YL"</formula>
    </cfRule>
    <cfRule type="cellIs" dxfId="14" priority="4" operator="equal">
      <formula>"YL"</formula>
    </cfRule>
  </conditionalFormatting>
  <conditionalFormatting sqref="B2">
    <cfRule type="cellIs" dxfId="13" priority="5" operator="equal">
      <formula>"YL"</formula>
    </cfRule>
    <cfRule type="cellIs" dxfId="12" priority="6" operator="equal">
      <formula>"YL"</formula>
    </cfRule>
  </conditionalFormatting>
  <conditionalFormatting sqref="B6:B7">
    <cfRule type="cellIs" dxfId="11" priority="7" operator="equal">
      <formula>"YL"</formula>
    </cfRule>
    <cfRule type="cellIs" dxfId="10" priority="8" operator="equal">
      <formula>"YL"</formula>
    </cfRule>
  </conditionalFormatting>
  <pageMargins left="0.7" right="0.7" top="0.75" bottom="0.75" header="0" footer="0"/>
  <pageSetup orientation="landscape"/>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5"/>
  <sheetViews>
    <sheetView zoomScale="115" zoomScaleNormal="115" workbookViewId="0">
      <pane xSplit="7" ySplit="1" topLeftCell="P2" activePane="bottomRight" state="frozen"/>
      <selection pane="topRight"/>
      <selection pane="bottomLeft"/>
      <selection pane="bottomRight" activeCell="S3" sqref="S3"/>
    </sheetView>
  </sheetViews>
  <sheetFormatPr defaultColWidth="12.59765625" defaultRowHeight="15" customHeight="1"/>
  <cols>
    <col min="1" max="1" width="7.8984375" customWidth="1"/>
    <col min="2" max="2" width="22.59765625" customWidth="1"/>
    <col min="3" max="3" width="24.09765625" customWidth="1"/>
    <col min="4" max="4" width="14.5" customWidth="1"/>
    <col min="5" max="5" width="10.69921875" customWidth="1"/>
    <col min="6" max="6" width="10" customWidth="1"/>
    <col min="7" max="7" width="12.69921875" customWidth="1"/>
    <col min="8" max="8" width="8.59765625" customWidth="1"/>
    <col min="9" max="9" width="16.3984375" customWidth="1"/>
    <col min="10" max="10" width="18.69921875" customWidth="1"/>
    <col min="11" max="11" width="15.3984375" customWidth="1"/>
    <col min="12" max="12" width="10.19921875" customWidth="1"/>
    <col min="13" max="14" width="9.5" customWidth="1"/>
    <col min="15" max="15" width="11.5" customWidth="1"/>
    <col min="16" max="16" width="10.09765625" customWidth="1"/>
    <col min="17" max="17" width="9.69921875" customWidth="1"/>
    <col min="18" max="18" width="10.09765625" customWidth="1"/>
    <col min="19" max="20" width="13.19921875" customWidth="1"/>
    <col min="21" max="21" width="8.59765625" customWidth="1"/>
  </cols>
  <sheetData>
    <row r="1" spans="1:27" ht="27" customHeight="1">
      <c r="A1" s="667" t="s">
        <v>0</v>
      </c>
      <c r="B1" s="668" t="s">
        <v>356</v>
      </c>
      <c r="C1" s="669" t="s">
        <v>48</v>
      </c>
      <c r="D1" s="669" t="s">
        <v>2</v>
      </c>
      <c r="E1" s="669" t="s">
        <v>357</v>
      </c>
      <c r="F1" s="670" t="s">
        <v>358</v>
      </c>
      <c r="G1" s="671" t="s">
        <v>359</v>
      </c>
      <c r="H1" s="672">
        <v>45292</v>
      </c>
      <c r="I1" s="672">
        <v>45323</v>
      </c>
      <c r="J1" s="672">
        <v>45352</v>
      </c>
      <c r="K1" s="672">
        <v>45383</v>
      </c>
      <c r="L1" s="672">
        <v>45413</v>
      </c>
      <c r="M1" s="672">
        <v>45444</v>
      </c>
      <c r="N1" s="672" t="s">
        <v>9</v>
      </c>
      <c r="O1" s="687">
        <v>45505</v>
      </c>
      <c r="P1" s="694">
        <v>45536</v>
      </c>
      <c r="Q1" s="694">
        <v>45566</v>
      </c>
      <c r="R1" s="694">
        <v>45597</v>
      </c>
      <c r="S1" s="694">
        <v>45627</v>
      </c>
      <c r="T1" s="694" t="s">
        <v>946</v>
      </c>
      <c r="U1" s="695" t="s">
        <v>360</v>
      </c>
      <c r="V1" s="624"/>
      <c r="W1" s="624"/>
      <c r="X1" s="624"/>
      <c r="Y1" s="624"/>
      <c r="Z1" s="624"/>
      <c r="AA1" s="624"/>
    </row>
    <row r="2" spans="1:27" ht="36.75" customHeight="1">
      <c r="A2" s="144">
        <v>1</v>
      </c>
      <c r="B2" s="1168" t="s">
        <v>361</v>
      </c>
      <c r="C2" s="1168" t="s">
        <v>362</v>
      </c>
      <c r="D2" s="673">
        <v>27000</v>
      </c>
      <c r="E2" s="673">
        <v>10000</v>
      </c>
      <c r="F2" s="152">
        <v>15000</v>
      </c>
      <c r="G2" s="131" t="s">
        <v>363</v>
      </c>
      <c r="H2" s="674">
        <f>F2/184*54</f>
        <v>4402.173913043478</v>
      </c>
      <c r="I2" s="222">
        <f>F2/176*40</f>
        <v>3409.0909090909095</v>
      </c>
      <c r="J2" s="222">
        <f>F2/160*48</f>
        <v>4500</v>
      </c>
      <c r="K2" s="229">
        <f>F2/184*48</f>
        <v>3913.0434782608695</v>
      </c>
      <c r="L2" s="222">
        <f>F2/176*48</f>
        <v>4090.909090909091</v>
      </c>
      <c r="M2" s="222">
        <f>F2/168*52</f>
        <v>4642.8571428571431</v>
      </c>
      <c r="N2" s="222">
        <f>F2/176*52</f>
        <v>4431.818181818182</v>
      </c>
      <c r="O2" s="688">
        <f>F2/176*52</f>
        <v>4431.818181818182</v>
      </c>
      <c r="P2" s="879">
        <f>F2/176*52</f>
        <v>4431.818181818182</v>
      </c>
      <c r="Q2" s="879">
        <f>F2/176*52</f>
        <v>4431.818181818182</v>
      </c>
      <c r="R2" s="879">
        <f>F2/176*52</f>
        <v>4431.818181818182</v>
      </c>
      <c r="S2" s="879">
        <f>F2/176*52</f>
        <v>4431.818181818182</v>
      </c>
      <c r="T2" s="558"/>
      <c r="U2" s="256">
        <f>SUM(H2:S2)</f>
        <v>51548.983625070592</v>
      </c>
    </row>
    <row r="3" spans="1:27" ht="36.75" customHeight="1">
      <c r="A3" s="144">
        <v>2</v>
      </c>
      <c r="B3" s="1169"/>
      <c r="C3" s="1169"/>
      <c r="D3" s="152"/>
      <c r="E3" s="675"/>
      <c r="F3" s="152">
        <v>15000</v>
      </c>
      <c r="G3" s="131" t="s">
        <v>364</v>
      </c>
      <c r="H3" s="674">
        <f>F3</f>
        <v>15000</v>
      </c>
      <c r="I3" s="222">
        <f>F3</f>
        <v>15000</v>
      </c>
      <c r="J3" s="25">
        <v>15000</v>
      </c>
      <c r="K3" s="229">
        <v>15000</v>
      </c>
      <c r="L3" s="229">
        <v>15000</v>
      </c>
      <c r="M3" s="229">
        <v>15000</v>
      </c>
      <c r="N3" s="528">
        <f>F3/22*22</f>
        <v>15000.000000000002</v>
      </c>
      <c r="O3" s="222">
        <f>F3/22*22</f>
        <v>15000.000000000002</v>
      </c>
      <c r="P3" s="222">
        <f>F3/22*22</f>
        <v>15000.000000000002</v>
      </c>
      <c r="Q3" s="222">
        <f>F3/22*22</f>
        <v>15000.000000000002</v>
      </c>
      <c r="R3" s="222">
        <f>F3/22*22</f>
        <v>15000.000000000002</v>
      </c>
      <c r="S3" s="222">
        <f>F3/22*22</f>
        <v>15000.000000000002</v>
      </c>
      <c r="T3" s="558"/>
      <c r="U3" s="256">
        <f>SUM(H3:S3)</f>
        <v>180000</v>
      </c>
    </row>
    <row r="4" spans="1:27" ht="36.75" customHeight="1">
      <c r="A4" s="144">
        <v>3</v>
      </c>
      <c r="B4" s="131" t="s">
        <v>241</v>
      </c>
      <c r="C4" s="131" t="s">
        <v>79</v>
      </c>
      <c r="D4" s="152">
        <v>30000</v>
      </c>
      <c r="E4" s="131">
        <v>5000</v>
      </c>
      <c r="F4" s="152">
        <v>9000</v>
      </c>
      <c r="G4" s="131" t="s">
        <v>364</v>
      </c>
      <c r="H4" s="674" t="s">
        <v>30</v>
      </c>
      <c r="I4" s="222">
        <f>F4/22*21</f>
        <v>8590.9090909090901</v>
      </c>
      <c r="J4" s="222">
        <f>F4/20*20</f>
        <v>9000</v>
      </c>
      <c r="K4" s="222">
        <f>F4/23*23</f>
        <v>9000</v>
      </c>
      <c r="L4" s="498">
        <v>9000</v>
      </c>
      <c r="M4" s="498">
        <f>F4/21*21</f>
        <v>9000</v>
      </c>
      <c r="N4" s="528">
        <f>F4/22*22</f>
        <v>9000</v>
      </c>
      <c r="O4" s="222">
        <f t="shared" ref="O4:O11" si="0">F4/22*22</f>
        <v>9000</v>
      </c>
      <c r="P4" s="969">
        <f>F4/22*22</f>
        <v>9000</v>
      </c>
      <c r="Q4" s="969">
        <f>F4/22*22</f>
        <v>9000</v>
      </c>
      <c r="R4" s="969">
        <f>F4/22*22</f>
        <v>9000</v>
      </c>
      <c r="S4" s="969">
        <f>F4/22*22</f>
        <v>9000</v>
      </c>
      <c r="T4" s="558"/>
      <c r="U4" s="256"/>
    </row>
    <row r="5" spans="1:27" s="979" customFormat="1" ht="54" customHeight="1">
      <c r="A5" s="971">
        <v>4</v>
      </c>
      <c r="B5" s="972" t="s">
        <v>312</v>
      </c>
      <c r="C5" s="972" t="s">
        <v>79</v>
      </c>
      <c r="D5" s="973">
        <v>30000</v>
      </c>
      <c r="E5" s="973">
        <v>5000</v>
      </c>
      <c r="F5" s="973">
        <v>9000</v>
      </c>
      <c r="G5" s="974" t="s">
        <v>364</v>
      </c>
      <c r="H5" s="975">
        <f>F5/23*22</f>
        <v>8608.6956521739121</v>
      </c>
      <c r="I5" s="976">
        <f>F5/22*16</f>
        <v>6545.454545454545</v>
      </c>
      <c r="J5" s="976">
        <f>F5/20*16</f>
        <v>7200</v>
      </c>
      <c r="K5" s="976">
        <f>F5/23*23</f>
        <v>9000</v>
      </c>
      <c r="L5" s="977">
        <v>9000</v>
      </c>
      <c r="M5" s="976">
        <f>F5/21*21</f>
        <v>9000</v>
      </c>
      <c r="N5" s="976">
        <f>F5/22*22</f>
        <v>9000</v>
      </c>
      <c r="O5" s="976">
        <f t="shared" si="0"/>
        <v>9000</v>
      </c>
      <c r="P5" s="976">
        <f>F5/22*22</f>
        <v>9000</v>
      </c>
      <c r="Q5" s="997">
        <f>F5/22*19</f>
        <v>7772.7272727272721</v>
      </c>
      <c r="R5" s="997">
        <f>F5/22*20</f>
        <v>8181.8181818181811</v>
      </c>
      <c r="S5" s="976">
        <f>F5/22*22</f>
        <v>9000</v>
      </c>
      <c r="T5" s="1013"/>
      <c r="U5" s="978">
        <f>SUM(H5:S5)</f>
        <v>101308.69565217389</v>
      </c>
    </row>
    <row r="6" spans="1:27" s="666" customFormat="1" ht="36.75" customHeight="1">
      <c r="A6" s="676">
        <v>5</v>
      </c>
      <c r="B6" s="677" t="s">
        <v>306</v>
      </c>
      <c r="C6" s="677" t="s">
        <v>224</v>
      </c>
      <c r="D6" s="678">
        <v>25000</v>
      </c>
      <c r="E6" s="679">
        <v>10000</v>
      </c>
      <c r="F6" s="678">
        <v>9000</v>
      </c>
      <c r="G6" s="680" t="s">
        <v>365</v>
      </c>
      <c r="H6" s="681">
        <v>9000</v>
      </c>
      <c r="I6" s="690">
        <f>F6/22*22</f>
        <v>9000</v>
      </c>
      <c r="J6" s="690">
        <f>F6/20*20</f>
        <v>9000</v>
      </c>
      <c r="K6" s="690">
        <f>F6/23*23</f>
        <v>9000</v>
      </c>
      <c r="L6" s="691">
        <v>9000</v>
      </c>
      <c r="M6" s="690">
        <f>F6/21*21</f>
        <v>9000</v>
      </c>
      <c r="N6" s="690">
        <f>F6/22*22</f>
        <v>9000</v>
      </c>
      <c r="O6" s="690">
        <f t="shared" si="0"/>
        <v>9000</v>
      </c>
      <c r="P6" s="690">
        <f>F6/22*22</f>
        <v>9000</v>
      </c>
      <c r="Q6" s="690">
        <f t="shared" ref="Q6:Q11" si="1">F6/22*22</f>
        <v>9000</v>
      </c>
      <c r="R6" s="690">
        <f>F6/22*22</f>
        <v>9000</v>
      </c>
      <c r="S6" s="690">
        <f>F6/22*22</f>
        <v>9000</v>
      </c>
      <c r="T6" s="697"/>
      <c r="U6" s="698">
        <f>SUM(H6:S6)</f>
        <v>108000</v>
      </c>
    </row>
    <row r="7" spans="1:27" s="666" customFormat="1" ht="27" customHeight="1">
      <c r="A7" s="676">
        <v>6</v>
      </c>
      <c r="B7" s="680" t="s">
        <v>366</v>
      </c>
      <c r="C7" s="680" t="s">
        <v>235</v>
      </c>
      <c r="D7" s="678">
        <v>25000</v>
      </c>
      <c r="E7" s="678">
        <v>5000</v>
      </c>
      <c r="F7" s="678">
        <v>10000</v>
      </c>
      <c r="G7" s="682" t="s">
        <v>365</v>
      </c>
      <c r="H7" s="1010">
        <f>F7</f>
        <v>10000</v>
      </c>
      <c r="I7" s="690">
        <f>F7/22*20</f>
        <v>9090.9090909090919</v>
      </c>
      <c r="J7" s="690">
        <f>F7/20*18</f>
        <v>9000</v>
      </c>
      <c r="K7" s="690">
        <f>F7/23*21</f>
        <v>9130.434782608696</v>
      </c>
      <c r="L7" s="1012">
        <f>F7/22*20</f>
        <v>9090.9090909090919</v>
      </c>
      <c r="M7" s="690">
        <f>F7/21*17</f>
        <v>8095.2380952380954</v>
      </c>
      <c r="N7" s="1011">
        <f>F7/22*19</f>
        <v>8636.363636363636</v>
      </c>
      <c r="O7" s="1011">
        <f>F7/22*20</f>
        <v>9090.9090909090919</v>
      </c>
      <c r="P7" s="692">
        <f>F7/22*21</f>
        <v>9545.454545454546</v>
      </c>
      <c r="Q7" s="690">
        <f t="shared" si="1"/>
        <v>10000</v>
      </c>
      <c r="R7" s="690">
        <f>F7/22*22</f>
        <v>10000</v>
      </c>
      <c r="S7" s="692">
        <f>F7/22*13</f>
        <v>5909.090909090909</v>
      </c>
      <c r="T7" s="697" t="s">
        <v>952</v>
      </c>
      <c r="U7" s="698">
        <f>SUM(H7:S7)</f>
        <v>107589.30924148315</v>
      </c>
    </row>
    <row r="8" spans="1:27" s="666" customFormat="1" ht="32.25" customHeight="1">
      <c r="A8" s="676">
        <v>7</v>
      </c>
      <c r="B8" s="680" t="s">
        <v>237</v>
      </c>
      <c r="C8" s="680" t="s">
        <v>79</v>
      </c>
      <c r="D8" s="678">
        <v>20000</v>
      </c>
      <c r="E8" s="678">
        <v>0</v>
      </c>
      <c r="F8" s="678">
        <v>10000</v>
      </c>
      <c r="G8" s="680" t="s">
        <v>364</v>
      </c>
      <c r="H8" s="681">
        <f>F8</f>
        <v>10000</v>
      </c>
      <c r="I8" s="690">
        <v>10000</v>
      </c>
      <c r="J8" s="690">
        <f>F8/20*20</f>
        <v>10000</v>
      </c>
      <c r="K8" s="690">
        <f t="shared" ref="K8" si="2">F8/23*23</f>
        <v>10000</v>
      </c>
      <c r="L8" s="691">
        <v>10000</v>
      </c>
      <c r="M8" s="690">
        <f>F8/21*21</f>
        <v>10000</v>
      </c>
      <c r="N8" s="690">
        <f>F8/22*22</f>
        <v>10000</v>
      </c>
      <c r="O8" s="690">
        <v>9500</v>
      </c>
      <c r="P8" s="970">
        <f>F8/22*22</f>
        <v>10000</v>
      </c>
      <c r="Q8" s="970">
        <f t="shared" si="1"/>
        <v>10000</v>
      </c>
      <c r="R8" s="970">
        <f>F8/22*22</f>
        <v>10000</v>
      </c>
      <c r="S8" s="690">
        <f>F8/22*22</f>
        <v>10000</v>
      </c>
      <c r="T8" s="697"/>
      <c r="U8" s="698">
        <f>SUM(H8:S8)</f>
        <v>119500</v>
      </c>
    </row>
    <row r="9" spans="1:27" s="666" customFormat="1" ht="32.25" customHeight="1">
      <c r="A9" s="676">
        <v>8</v>
      </c>
      <c r="B9" s="680" t="s">
        <v>367</v>
      </c>
      <c r="C9" s="680" t="s">
        <v>247</v>
      </c>
      <c r="D9" s="678">
        <v>57750</v>
      </c>
      <c r="E9" s="678">
        <v>0</v>
      </c>
      <c r="F9" s="678">
        <v>2887</v>
      </c>
      <c r="G9" s="680" t="s">
        <v>368</v>
      </c>
      <c r="H9" s="681"/>
      <c r="I9" s="690"/>
      <c r="J9" s="690"/>
      <c r="K9" s="690"/>
      <c r="L9" s="691"/>
      <c r="M9" s="690">
        <f>F9/21*12</f>
        <v>1649.7142857142858</v>
      </c>
      <c r="N9" s="690">
        <f>F9/22*22</f>
        <v>2887</v>
      </c>
      <c r="O9" s="690">
        <f t="shared" si="0"/>
        <v>2887</v>
      </c>
      <c r="P9" s="690">
        <f>F9/22*22</f>
        <v>2887</v>
      </c>
      <c r="Q9" s="690">
        <f t="shared" si="1"/>
        <v>2887</v>
      </c>
      <c r="R9" s="690">
        <f>F9/22*22</f>
        <v>2887</v>
      </c>
      <c r="S9" s="692">
        <f>F9/22*10</f>
        <v>1312.2727272727273</v>
      </c>
      <c r="T9" s="697" t="s">
        <v>947</v>
      </c>
      <c r="U9" s="698">
        <f t="shared" ref="U9:U16" si="3">SUM(H9:S9)</f>
        <v>17396.987012987014</v>
      </c>
    </row>
    <row r="10" spans="1:27" s="988" customFormat="1" ht="32.25" customHeight="1">
      <c r="A10" s="980">
        <v>9</v>
      </c>
      <c r="B10" s="981" t="s">
        <v>369</v>
      </c>
      <c r="C10" s="981" t="s">
        <v>333</v>
      </c>
      <c r="D10" s="982">
        <v>6000</v>
      </c>
      <c r="E10" s="982">
        <v>0</v>
      </c>
      <c r="F10" s="982">
        <v>20000</v>
      </c>
      <c r="G10" s="981" t="s">
        <v>370</v>
      </c>
      <c r="H10" s="983"/>
      <c r="I10" s="984"/>
      <c r="J10" s="984"/>
      <c r="K10" s="984"/>
      <c r="L10" s="985"/>
      <c r="M10" s="984"/>
      <c r="N10" s="984">
        <f>F10/22*22</f>
        <v>20000</v>
      </c>
      <c r="O10" s="984">
        <f t="shared" si="0"/>
        <v>20000</v>
      </c>
      <c r="P10" s="984">
        <f>F10/22*22</f>
        <v>20000</v>
      </c>
      <c r="Q10" s="984">
        <f t="shared" si="1"/>
        <v>20000</v>
      </c>
      <c r="R10" s="984">
        <f>F10/22*22</f>
        <v>20000</v>
      </c>
      <c r="S10" s="984">
        <f>F10/22*22</f>
        <v>20000</v>
      </c>
      <c r="T10" s="986"/>
      <c r="U10" s="698">
        <f t="shared" si="3"/>
        <v>120000</v>
      </c>
    </row>
    <row r="11" spans="1:27" s="988" customFormat="1" ht="32.25" customHeight="1">
      <c r="A11" s="980">
        <v>10</v>
      </c>
      <c r="B11" s="981" t="s">
        <v>371</v>
      </c>
      <c r="C11" s="981" t="s">
        <v>341</v>
      </c>
      <c r="D11" s="982">
        <v>10000</v>
      </c>
      <c r="E11" s="982">
        <v>6000</v>
      </c>
      <c r="F11" s="982">
        <v>15000</v>
      </c>
      <c r="G11" s="981" t="s">
        <v>372</v>
      </c>
      <c r="H11" s="983"/>
      <c r="I11" s="984"/>
      <c r="J11" s="984"/>
      <c r="K11" s="984"/>
      <c r="L11" s="985"/>
      <c r="M11" s="984"/>
      <c r="N11" s="984">
        <f>F11/22*4</f>
        <v>2727.2727272727275</v>
      </c>
      <c r="O11" s="984">
        <f t="shared" si="0"/>
        <v>15000.000000000002</v>
      </c>
      <c r="P11" s="984">
        <f>F11/22*22</f>
        <v>15000.000000000002</v>
      </c>
      <c r="Q11" s="984">
        <f t="shared" si="1"/>
        <v>15000.000000000002</v>
      </c>
      <c r="R11" s="984">
        <f>F11/22*18</f>
        <v>12272.727272727274</v>
      </c>
      <c r="S11" s="984">
        <f>F11/22*22</f>
        <v>15000.000000000002</v>
      </c>
      <c r="T11" s="986"/>
      <c r="U11" s="698">
        <f t="shared" si="3"/>
        <v>75000</v>
      </c>
    </row>
    <row r="12" spans="1:27" s="988" customFormat="1" ht="32.25" customHeight="1">
      <c r="A12" s="980"/>
      <c r="B12" s="981" t="s">
        <v>928</v>
      </c>
      <c r="C12" s="981" t="s">
        <v>72</v>
      </c>
      <c r="D12" s="982">
        <v>6000</v>
      </c>
      <c r="E12" s="982"/>
      <c r="F12" s="982">
        <v>1875</v>
      </c>
      <c r="G12" s="981"/>
      <c r="H12" s="983"/>
      <c r="I12" s="984"/>
      <c r="J12" s="984"/>
      <c r="K12" s="984"/>
      <c r="L12" s="985"/>
      <c r="M12" s="984"/>
      <c r="N12" s="984"/>
      <c r="O12" s="984"/>
      <c r="P12" s="984"/>
      <c r="Q12" s="984"/>
      <c r="R12" s="984">
        <f>F12/22*22</f>
        <v>1875.0000000000002</v>
      </c>
      <c r="S12" s="984">
        <f>F12/22*22</f>
        <v>1875.0000000000002</v>
      </c>
      <c r="T12" s="986"/>
      <c r="U12" s="698">
        <f t="shared" si="3"/>
        <v>3750.0000000000005</v>
      </c>
    </row>
    <row r="13" spans="1:27" s="988" customFormat="1" ht="32.25" customHeight="1">
      <c r="A13" s="980">
        <v>11</v>
      </c>
      <c r="B13" s="981" t="s">
        <v>375</v>
      </c>
      <c r="C13" s="981" t="s">
        <v>72</v>
      </c>
      <c r="D13" s="982">
        <v>6000</v>
      </c>
      <c r="E13" s="982">
        <v>0</v>
      </c>
      <c r="F13" s="982">
        <v>1875</v>
      </c>
      <c r="G13" s="981" t="s">
        <v>374</v>
      </c>
      <c r="H13" s="983"/>
      <c r="I13" s="984"/>
      <c r="J13" s="984"/>
      <c r="K13" s="984"/>
      <c r="L13" s="985"/>
      <c r="M13" s="984"/>
      <c r="N13" s="984"/>
      <c r="O13" s="984">
        <f>F13/22*22-500</f>
        <v>1375.0000000000002</v>
      </c>
      <c r="P13" s="989">
        <f>F13/26*24.5</f>
        <v>1766.8269230769231</v>
      </c>
      <c r="Q13" s="984">
        <f>F13/22*22+1193</f>
        <v>3068</v>
      </c>
      <c r="R13" s="984">
        <f>F13/22*18</f>
        <v>1534.0909090909092</v>
      </c>
      <c r="S13" s="984">
        <f>F13/22*22</f>
        <v>1875.0000000000002</v>
      </c>
      <c r="T13" s="986"/>
      <c r="U13" s="698">
        <f t="shared" si="3"/>
        <v>9618.9178321678337</v>
      </c>
    </row>
    <row r="14" spans="1:27" s="666" customFormat="1" ht="32.25" customHeight="1">
      <c r="A14" s="680">
        <v>12</v>
      </c>
      <c r="B14" s="680" t="s">
        <v>161</v>
      </c>
      <c r="C14" s="680" t="s">
        <v>316</v>
      </c>
      <c r="D14" s="678">
        <v>20000</v>
      </c>
      <c r="E14" s="678">
        <v>5000</v>
      </c>
      <c r="F14" s="678">
        <v>15000</v>
      </c>
      <c r="G14" s="680"/>
      <c r="H14" s="1054"/>
      <c r="I14" s="690"/>
      <c r="J14" s="690"/>
      <c r="K14" s="690"/>
      <c r="L14" s="691"/>
      <c r="M14" s="690"/>
      <c r="N14" s="690"/>
      <c r="O14" s="690"/>
      <c r="P14" s="692"/>
      <c r="Q14" s="690"/>
      <c r="R14" s="690"/>
      <c r="S14" s="690">
        <f>F14/22*22+T14</f>
        <v>19772.727272727276</v>
      </c>
      <c r="T14" s="692">
        <f>F14/22*7</f>
        <v>4772.727272727273</v>
      </c>
      <c r="U14" s="698">
        <f t="shared" si="3"/>
        <v>19772.727272727276</v>
      </c>
    </row>
    <row r="15" spans="1:27" s="666" customFormat="1" ht="32.25" customHeight="1">
      <c r="A15" s="680">
        <v>13</v>
      </c>
      <c r="B15" s="680" t="s">
        <v>242</v>
      </c>
      <c r="C15" s="680" t="s">
        <v>966</v>
      </c>
      <c r="D15" s="678">
        <v>25000</v>
      </c>
      <c r="E15" s="678">
        <v>0</v>
      </c>
      <c r="F15" s="678">
        <v>15000</v>
      </c>
      <c r="G15" s="680"/>
      <c r="H15" s="1054"/>
      <c r="I15" s="690"/>
      <c r="J15" s="690"/>
      <c r="K15" s="690"/>
      <c r="L15" s="691"/>
      <c r="M15" s="690"/>
      <c r="N15" s="690"/>
      <c r="O15" s="690"/>
      <c r="P15" s="692"/>
      <c r="Q15" s="690"/>
      <c r="R15" s="690"/>
      <c r="S15" s="690">
        <f>F15/22*22</f>
        <v>15000.000000000002</v>
      </c>
      <c r="T15" s="697"/>
      <c r="U15" s="698">
        <f t="shared" si="3"/>
        <v>15000.000000000002</v>
      </c>
    </row>
    <row r="16" spans="1:27" s="666" customFormat="1" ht="32.25" customHeight="1">
      <c r="A16" s="980">
        <v>14</v>
      </c>
      <c r="B16" s="680" t="s">
        <v>915</v>
      </c>
      <c r="C16" s="680" t="s">
        <v>224</v>
      </c>
      <c r="D16" s="678">
        <v>52000</v>
      </c>
      <c r="E16" s="678">
        <v>5000</v>
      </c>
      <c r="F16" s="678">
        <v>10000</v>
      </c>
      <c r="G16" s="680" t="s">
        <v>377</v>
      </c>
      <c r="H16" s="683"/>
      <c r="I16" s="693"/>
      <c r="J16" s="693"/>
      <c r="K16" s="690"/>
      <c r="L16" s="691"/>
      <c r="M16" s="690"/>
      <c r="N16" s="690"/>
      <c r="O16" s="690">
        <f>F16/22*22-500</f>
        <v>9500</v>
      </c>
      <c r="P16" s="690">
        <v>10000</v>
      </c>
      <c r="Q16" s="690">
        <f>F16/22*22</f>
        <v>10000</v>
      </c>
      <c r="R16" s="690">
        <f>F16/22*22</f>
        <v>10000</v>
      </c>
      <c r="S16" s="697" t="s">
        <v>948</v>
      </c>
      <c r="T16" s="697" t="s">
        <v>949</v>
      </c>
      <c r="U16" s="698">
        <f t="shared" si="3"/>
        <v>39500</v>
      </c>
    </row>
    <row r="17" spans="1:21" ht="27" customHeight="1">
      <c r="A17" s="684"/>
      <c r="B17" s="685" t="s">
        <v>378</v>
      </c>
      <c r="C17" s="586"/>
      <c r="D17" s="587">
        <f>SUM(D2:D8)</f>
        <v>157000</v>
      </c>
      <c r="E17" s="587">
        <f>SUM(E2:E8)</f>
        <v>35000</v>
      </c>
      <c r="F17" s="587">
        <f>SUM(F2:F16)</f>
        <v>158637</v>
      </c>
      <c r="G17" s="586"/>
      <c r="H17" s="686">
        <f>SUM(H2:H8)</f>
        <v>57010.869565217392</v>
      </c>
      <c r="I17" s="587">
        <f>SUM(I2:I7)</f>
        <v>51636.363636363632</v>
      </c>
      <c r="J17" s="587">
        <f>SUM(J2:J7)</f>
        <v>53700</v>
      </c>
      <c r="K17" s="587">
        <f>SUM(K2:K7)</f>
        <v>55043.47826086956</v>
      </c>
      <c r="L17" s="587"/>
      <c r="M17" s="587">
        <f>SUM(M2:M7)</f>
        <v>54738.095238095237</v>
      </c>
      <c r="N17" s="587">
        <f>SUM(N2:N16)</f>
        <v>90682.454545454544</v>
      </c>
      <c r="O17" s="587">
        <f>SUM(O2:O7)</f>
        <v>55522.727272727279</v>
      </c>
      <c r="P17" s="587">
        <f>SUM(P2:P13)</f>
        <v>105631.09965034966</v>
      </c>
      <c r="Q17" s="587">
        <f>SUM(Q2:Q7)</f>
        <v>55204.545454545456</v>
      </c>
      <c r="R17" s="587"/>
      <c r="S17" s="587">
        <f>SUM(S2:S9)</f>
        <v>63653.181818181823</v>
      </c>
      <c r="T17" s="587"/>
      <c r="U17" s="597">
        <f>SUM(U2:U8)</f>
        <v>667946.98851872759</v>
      </c>
    </row>
    <row r="18" spans="1:21" ht="27" customHeight="1">
      <c r="B18" s="16"/>
      <c r="C18" s="16"/>
      <c r="D18" s="16"/>
      <c r="E18" s="16"/>
      <c r="F18" s="16"/>
      <c r="G18" s="16"/>
      <c r="H18" s="624"/>
      <c r="I18" s="16"/>
      <c r="J18" s="16"/>
      <c r="K18" s="16"/>
      <c r="L18" s="16"/>
      <c r="M18" s="16"/>
      <c r="N18" s="16"/>
      <c r="O18" s="16"/>
      <c r="P18" s="16"/>
      <c r="Q18" s="16"/>
      <c r="R18" s="16"/>
      <c r="S18" s="16"/>
      <c r="T18" s="16"/>
      <c r="U18" s="16"/>
    </row>
    <row r="19" spans="1:21" ht="27" customHeight="1">
      <c r="B19" s="16"/>
      <c r="C19" s="16"/>
      <c r="D19" s="16"/>
      <c r="E19" s="16"/>
      <c r="F19" s="16"/>
      <c r="G19" s="16"/>
      <c r="H19" s="624"/>
      <c r="I19" s="16"/>
      <c r="J19" s="16"/>
      <c r="K19" s="16"/>
      <c r="L19" s="16"/>
      <c r="M19" s="16"/>
      <c r="N19" s="16"/>
      <c r="P19" s="16"/>
      <c r="Q19" s="16"/>
      <c r="R19" s="16"/>
      <c r="S19" s="16"/>
      <c r="T19" s="16"/>
      <c r="U19" s="16"/>
    </row>
    <row r="20" spans="1:21" ht="27" customHeight="1">
      <c r="B20" s="16"/>
      <c r="C20" s="17"/>
      <c r="D20" s="16" t="s">
        <v>379</v>
      </c>
      <c r="E20" s="16"/>
      <c r="F20" s="16"/>
      <c r="G20" s="16"/>
      <c r="H20" s="624"/>
      <c r="I20" s="16"/>
      <c r="J20" s="16"/>
      <c r="K20" s="16"/>
      <c r="L20" s="16"/>
      <c r="M20" s="16"/>
      <c r="N20" s="16"/>
      <c r="O20" s="16"/>
      <c r="P20" s="16"/>
      <c r="Q20" s="16"/>
      <c r="R20" s="16"/>
      <c r="S20" s="16"/>
      <c r="T20" s="16"/>
      <c r="U20" s="16"/>
    </row>
    <row r="21" spans="1:21" ht="27" customHeight="1">
      <c r="B21" s="16"/>
      <c r="C21" s="588"/>
      <c r="D21" s="16" t="s">
        <v>380</v>
      </c>
      <c r="E21" s="16"/>
      <c r="F21" s="16"/>
      <c r="G21" s="16"/>
      <c r="H21" s="624"/>
      <c r="I21" s="16"/>
      <c r="J21" s="16"/>
      <c r="K21" s="16"/>
      <c r="L21" s="16"/>
      <c r="M21" s="16"/>
      <c r="N21" s="16"/>
      <c r="O21" s="16"/>
      <c r="P21" s="16"/>
      <c r="Q21" s="16"/>
      <c r="R21" s="16"/>
      <c r="S21" s="16"/>
      <c r="T21" s="16"/>
      <c r="U21" s="16"/>
    </row>
    <row r="22" spans="1:21" ht="27" customHeight="1">
      <c r="B22" s="16"/>
      <c r="C22" s="16"/>
      <c r="D22" s="16"/>
      <c r="E22" s="16"/>
      <c r="F22" s="16"/>
      <c r="G22" s="16"/>
      <c r="H22" s="624"/>
      <c r="I22" s="16"/>
      <c r="J22" s="16"/>
      <c r="K22" s="16"/>
      <c r="L22" s="16"/>
      <c r="M22" s="16"/>
      <c r="N22" s="16"/>
      <c r="O22" s="16"/>
      <c r="P22" s="16"/>
      <c r="Q22" s="16"/>
      <c r="R22" s="16"/>
      <c r="S22" s="16"/>
      <c r="T22" s="16"/>
      <c r="U22" s="16"/>
    </row>
    <row r="23" spans="1:21" ht="27" customHeight="1">
      <c r="B23" s="16"/>
      <c r="C23" s="16"/>
      <c r="D23" s="16"/>
      <c r="E23" s="1055"/>
      <c r="F23" s="16"/>
      <c r="G23" s="16"/>
      <c r="H23" s="624"/>
      <c r="I23" s="16"/>
      <c r="J23" s="16"/>
      <c r="K23" s="16"/>
      <c r="L23" s="16"/>
      <c r="M23" s="16"/>
      <c r="N23" s="16"/>
      <c r="O23" s="16"/>
      <c r="P23" s="16"/>
      <c r="Q23" s="16"/>
      <c r="R23" s="16"/>
      <c r="S23" s="16"/>
      <c r="T23" s="16"/>
      <c r="U23" s="16"/>
    </row>
    <row r="24" spans="1:21" ht="27" customHeight="1">
      <c r="B24" s="16"/>
      <c r="C24" s="16"/>
      <c r="D24" s="16"/>
      <c r="E24" s="16"/>
      <c r="F24" s="16"/>
      <c r="G24" s="16"/>
      <c r="H24" s="624"/>
      <c r="I24" s="16"/>
      <c r="J24" s="16"/>
      <c r="K24" s="16"/>
      <c r="L24" s="16"/>
      <c r="M24" s="16"/>
      <c r="N24" s="16"/>
      <c r="O24" s="16"/>
      <c r="P24" s="16"/>
      <c r="Q24" s="16"/>
      <c r="R24" s="16"/>
      <c r="S24" s="16"/>
      <c r="T24" s="16"/>
      <c r="U24" s="16"/>
    </row>
    <row r="25" spans="1:21" ht="27" customHeight="1">
      <c r="B25" s="16"/>
      <c r="C25" s="16"/>
      <c r="D25" s="16"/>
      <c r="E25" s="16"/>
      <c r="F25" s="16"/>
      <c r="G25" s="16"/>
      <c r="H25" s="624"/>
      <c r="I25" s="16"/>
      <c r="J25" s="16"/>
      <c r="K25" s="16"/>
      <c r="L25" s="16"/>
      <c r="M25" s="16"/>
      <c r="N25" s="16"/>
      <c r="O25" s="16"/>
      <c r="P25" s="16"/>
      <c r="Q25" s="16"/>
      <c r="R25" s="16"/>
      <c r="S25" s="16"/>
      <c r="T25" s="16"/>
      <c r="U25" s="16"/>
    </row>
    <row r="26" spans="1:21" ht="13.5" customHeight="1">
      <c r="H26" s="624"/>
    </row>
    <row r="27" spans="1:21" ht="27" customHeight="1">
      <c r="B27" s="16"/>
      <c r="C27" s="16"/>
      <c r="D27" s="16"/>
      <c r="E27" s="16"/>
      <c r="F27" s="16"/>
      <c r="G27" s="16"/>
      <c r="H27" s="624"/>
      <c r="I27" s="16"/>
      <c r="J27" s="16"/>
      <c r="K27" s="16"/>
      <c r="L27" s="16"/>
      <c r="M27" s="16"/>
      <c r="N27" s="16"/>
      <c r="O27" s="16"/>
      <c r="P27" s="16"/>
      <c r="Q27" s="16"/>
      <c r="R27" s="16"/>
      <c r="S27" s="16"/>
      <c r="T27" s="16"/>
      <c r="U27" s="16"/>
    </row>
    <row r="28" spans="1:21" ht="27" customHeight="1">
      <c r="B28" s="16"/>
      <c r="C28" s="16"/>
      <c r="D28" s="16"/>
      <c r="E28" s="16"/>
      <c r="F28" s="16"/>
      <c r="G28" s="16"/>
      <c r="H28" s="624"/>
      <c r="I28" s="16"/>
      <c r="J28" s="16"/>
      <c r="K28" s="16"/>
      <c r="L28" s="16"/>
      <c r="M28" s="16"/>
      <c r="N28" s="16"/>
      <c r="O28" s="16"/>
      <c r="P28" s="16"/>
      <c r="Q28" s="16"/>
      <c r="R28" s="16"/>
      <c r="S28" s="16"/>
      <c r="T28" s="16"/>
      <c r="U28" s="16"/>
    </row>
    <row r="29" spans="1:21" ht="27" customHeight="1">
      <c r="B29" s="16"/>
      <c r="C29" s="16"/>
      <c r="D29" s="16"/>
      <c r="E29" s="16"/>
      <c r="F29" s="16"/>
      <c r="G29" s="16"/>
      <c r="H29" s="624"/>
      <c r="I29" s="16"/>
      <c r="J29" s="16"/>
      <c r="K29" s="16"/>
      <c r="L29" s="16"/>
      <c r="M29" s="16"/>
      <c r="N29" s="16"/>
      <c r="O29" s="16"/>
      <c r="P29" s="16"/>
      <c r="Q29" s="16"/>
      <c r="R29" s="16"/>
      <c r="S29" s="16"/>
      <c r="T29" s="16"/>
      <c r="U29" s="16"/>
    </row>
    <row r="30" spans="1:21" ht="27" customHeight="1">
      <c r="B30" s="16"/>
      <c r="C30" s="16"/>
      <c r="D30" s="16"/>
      <c r="E30" s="16"/>
      <c r="F30" s="16"/>
      <c r="G30" s="16"/>
      <c r="H30" s="624"/>
      <c r="I30" s="16"/>
      <c r="J30" s="16"/>
      <c r="K30" s="16"/>
      <c r="L30" s="16"/>
      <c r="M30" s="16"/>
      <c r="N30" s="16"/>
      <c r="O30" s="16"/>
      <c r="P30" s="16"/>
      <c r="Q30" s="16"/>
      <c r="R30" s="16"/>
      <c r="S30" s="16"/>
      <c r="T30" s="16"/>
      <c r="U30" s="16"/>
    </row>
    <row r="31" spans="1:21" ht="27" customHeight="1">
      <c r="B31" s="16"/>
      <c r="C31" s="16"/>
      <c r="D31" s="16"/>
      <c r="E31" s="16"/>
      <c r="F31" s="16"/>
      <c r="G31" s="16"/>
      <c r="H31" s="624"/>
      <c r="I31" s="16"/>
      <c r="J31" s="16"/>
      <c r="K31" s="16"/>
      <c r="L31" s="16"/>
      <c r="M31" s="16"/>
      <c r="N31" s="16"/>
      <c r="O31" s="16"/>
      <c r="P31" s="16"/>
      <c r="Q31" s="16"/>
      <c r="R31" s="16"/>
      <c r="S31" s="16"/>
      <c r="T31" s="16"/>
      <c r="U31" s="16"/>
    </row>
    <row r="32" spans="1:21" ht="27" customHeight="1">
      <c r="B32" s="16"/>
      <c r="C32" s="16"/>
      <c r="D32" s="16"/>
      <c r="E32" s="16"/>
      <c r="F32" s="16"/>
      <c r="G32" s="16"/>
      <c r="H32" s="624"/>
      <c r="I32" s="16"/>
      <c r="J32" s="16"/>
      <c r="K32" s="16"/>
      <c r="L32" s="16"/>
      <c r="M32" s="16"/>
      <c r="N32" s="16"/>
      <c r="O32" s="16"/>
      <c r="P32" s="16"/>
      <c r="Q32" s="16"/>
      <c r="R32" s="16"/>
      <c r="S32" s="16"/>
      <c r="T32" s="16"/>
      <c r="U32" s="16"/>
    </row>
    <row r="33" spans="2:21" ht="27" customHeight="1">
      <c r="B33" s="16"/>
      <c r="C33" s="16"/>
      <c r="D33" s="16"/>
      <c r="E33" s="16"/>
      <c r="F33" s="16"/>
      <c r="G33" s="16"/>
      <c r="H33" s="624"/>
      <c r="I33" s="16"/>
      <c r="J33" s="16"/>
      <c r="K33" s="16"/>
      <c r="L33" s="16"/>
      <c r="M33" s="16"/>
      <c r="N33" s="16"/>
      <c r="O33" s="16"/>
      <c r="P33" s="16"/>
      <c r="Q33" s="16"/>
      <c r="R33" s="16"/>
      <c r="S33" s="16"/>
      <c r="T33" s="16"/>
      <c r="U33" s="16"/>
    </row>
    <row r="34" spans="2:21" ht="27" customHeight="1">
      <c r="B34" s="16"/>
      <c r="C34" s="16"/>
      <c r="D34" s="16"/>
      <c r="E34" s="16"/>
      <c r="F34" s="16"/>
      <c r="G34" s="16"/>
      <c r="H34" s="624"/>
      <c r="I34" s="16"/>
      <c r="J34" s="16"/>
      <c r="K34" s="16"/>
      <c r="L34" s="16"/>
      <c r="M34" s="16"/>
      <c r="N34" s="16"/>
      <c r="O34" s="16"/>
      <c r="P34" s="16"/>
      <c r="Q34" s="16"/>
      <c r="R34" s="16"/>
      <c r="S34" s="16"/>
      <c r="T34" s="16"/>
      <c r="U34" s="16"/>
    </row>
    <row r="35" spans="2:21" ht="27" customHeight="1">
      <c r="B35" s="16"/>
      <c r="C35" s="16"/>
      <c r="D35" s="16"/>
      <c r="E35" s="16"/>
      <c r="F35" s="16"/>
      <c r="G35" s="16"/>
      <c r="H35" s="624"/>
      <c r="I35" s="16"/>
      <c r="J35" s="16"/>
      <c r="K35" s="16"/>
      <c r="L35" s="16"/>
      <c r="M35" s="16"/>
      <c r="N35" s="16"/>
      <c r="O35" s="16"/>
      <c r="P35" s="16"/>
      <c r="Q35" s="16"/>
      <c r="R35" s="16"/>
      <c r="S35" s="16"/>
      <c r="T35" s="16"/>
      <c r="U35" s="16"/>
    </row>
    <row r="36" spans="2:21" ht="27" customHeight="1">
      <c r="B36" s="16"/>
      <c r="C36" s="16"/>
      <c r="D36" s="16"/>
      <c r="E36" s="16"/>
      <c r="F36" s="16"/>
      <c r="G36" s="16"/>
      <c r="H36" s="624"/>
      <c r="I36" s="16"/>
      <c r="J36" s="16"/>
      <c r="K36" s="16"/>
      <c r="L36" s="16"/>
      <c r="M36" s="16"/>
      <c r="N36" s="16"/>
      <c r="O36" s="16"/>
      <c r="P36" s="16"/>
      <c r="Q36" s="16"/>
      <c r="R36" s="16"/>
      <c r="S36" s="16"/>
      <c r="T36" s="16"/>
      <c r="U36" s="16"/>
    </row>
    <row r="37" spans="2:21" ht="27" customHeight="1">
      <c r="B37" s="16"/>
      <c r="C37" s="16"/>
      <c r="D37" s="16"/>
      <c r="E37" s="16"/>
      <c r="F37" s="16"/>
      <c r="G37" s="16"/>
      <c r="H37" s="624"/>
      <c r="I37" s="16"/>
      <c r="J37" s="16"/>
      <c r="K37" s="16"/>
      <c r="L37" s="16"/>
      <c r="M37" s="16"/>
      <c r="N37" s="16"/>
      <c r="O37" s="16"/>
      <c r="P37" s="16"/>
      <c r="Q37" s="16"/>
      <c r="R37" s="16"/>
      <c r="S37" s="16"/>
      <c r="T37" s="16"/>
      <c r="U37" s="16"/>
    </row>
    <row r="38" spans="2:21" ht="27" customHeight="1">
      <c r="B38" s="16"/>
      <c r="C38" s="16"/>
      <c r="D38" s="16"/>
      <c r="E38" s="16"/>
      <c r="F38" s="16"/>
      <c r="G38" s="16"/>
      <c r="H38" s="624"/>
      <c r="I38" s="16"/>
      <c r="J38" s="16"/>
      <c r="K38" s="16"/>
      <c r="L38" s="16"/>
      <c r="M38" s="16"/>
      <c r="N38" s="16"/>
      <c r="O38" s="16"/>
      <c r="P38" s="16"/>
      <c r="Q38" s="16"/>
      <c r="R38" s="16"/>
      <c r="S38" s="16"/>
      <c r="T38" s="16"/>
      <c r="U38" s="16"/>
    </row>
    <row r="39" spans="2:21" ht="27" customHeight="1">
      <c r="B39" s="16"/>
      <c r="C39" s="16"/>
      <c r="D39" s="16"/>
      <c r="E39" s="16"/>
      <c r="F39" s="16"/>
      <c r="G39" s="16"/>
      <c r="H39" s="624"/>
      <c r="I39" s="16"/>
      <c r="J39" s="16"/>
      <c r="K39" s="16"/>
      <c r="L39" s="16"/>
      <c r="M39" s="16"/>
      <c r="N39" s="16"/>
      <c r="O39" s="16"/>
      <c r="P39" s="16"/>
      <c r="Q39" s="16"/>
      <c r="R39" s="16"/>
      <c r="S39" s="16"/>
      <c r="T39" s="16"/>
      <c r="U39" s="16"/>
    </row>
    <row r="40" spans="2:21" ht="27" customHeight="1">
      <c r="B40" s="16"/>
      <c r="C40" s="16"/>
      <c r="D40" s="16"/>
      <c r="E40" s="16"/>
      <c r="F40" s="16"/>
      <c r="G40" s="16"/>
      <c r="H40" s="624"/>
      <c r="I40" s="16"/>
      <c r="J40" s="16"/>
      <c r="K40" s="16"/>
      <c r="L40" s="16"/>
      <c r="M40" s="16"/>
      <c r="N40" s="16"/>
      <c r="O40" s="16"/>
      <c r="P40" s="16"/>
      <c r="Q40" s="16"/>
      <c r="R40" s="16"/>
      <c r="S40" s="16"/>
      <c r="T40" s="16"/>
      <c r="U40" s="16"/>
    </row>
    <row r="41" spans="2:21" ht="27" customHeight="1">
      <c r="B41" s="16"/>
      <c r="C41" s="16"/>
      <c r="D41" s="16"/>
      <c r="E41" s="16"/>
      <c r="F41" s="16"/>
      <c r="G41" s="16"/>
      <c r="H41" s="624"/>
      <c r="I41" s="16"/>
      <c r="J41" s="16"/>
      <c r="K41" s="16"/>
      <c r="L41" s="16"/>
      <c r="M41" s="16"/>
      <c r="N41" s="16"/>
      <c r="O41" s="16"/>
      <c r="P41" s="16"/>
      <c r="Q41" s="16"/>
      <c r="R41" s="16"/>
      <c r="S41" s="16"/>
      <c r="T41" s="16"/>
      <c r="U41" s="16"/>
    </row>
    <row r="42" spans="2:21" ht="27" customHeight="1">
      <c r="B42" s="16"/>
      <c r="C42" s="16"/>
      <c r="D42" s="16"/>
      <c r="E42" s="16"/>
      <c r="F42" s="16"/>
      <c r="G42" s="16"/>
      <c r="H42" s="624"/>
      <c r="I42" s="16"/>
      <c r="J42" s="16"/>
      <c r="K42" s="16"/>
      <c r="L42" s="16"/>
      <c r="M42" s="16"/>
      <c r="N42" s="16"/>
      <c r="O42" s="16"/>
      <c r="P42" s="16"/>
      <c r="Q42" s="16"/>
      <c r="R42" s="16"/>
      <c r="S42" s="16"/>
      <c r="T42" s="16"/>
      <c r="U42" s="16"/>
    </row>
    <row r="43" spans="2:21" ht="27" customHeight="1">
      <c r="B43" s="16"/>
      <c r="C43" s="16"/>
      <c r="D43" s="16"/>
      <c r="E43" s="16"/>
      <c r="F43" s="16"/>
      <c r="G43" s="16"/>
      <c r="H43" s="624"/>
      <c r="I43" s="16"/>
      <c r="J43" s="16"/>
      <c r="K43" s="16"/>
      <c r="L43" s="16"/>
      <c r="M43" s="16"/>
      <c r="N43" s="16"/>
      <c r="O43" s="16"/>
      <c r="P43" s="16"/>
      <c r="Q43" s="16"/>
      <c r="R43" s="16"/>
      <c r="S43" s="16"/>
      <c r="T43" s="16"/>
      <c r="U43" s="16"/>
    </row>
    <row r="44" spans="2:21" ht="27" customHeight="1">
      <c r="B44" s="16"/>
      <c r="C44" s="16"/>
      <c r="D44" s="16"/>
      <c r="E44" s="16"/>
      <c r="F44" s="16"/>
      <c r="G44" s="16"/>
      <c r="H44" s="624"/>
      <c r="I44" s="16"/>
      <c r="J44" s="16"/>
      <c r="K44" s="16"/>
      <c r="L44" s="16"/>
      <c r="M44" s="16"/>
      <c r="N44" s="16"/>
      <c r="O44" s="16"/>
      <c r="P44" s="16"/>
      <c r="Q44" s="16"/>
      <c r="R44" s="16"/>
      <c r="S44" s="16"/>
      <c r="T44" s="16"/>
      <c r="U44" s="16"/>
    </row>
    <row r="45" spans="2:21" ht="27" customHeight="1">
      <c r="B45" s="16"/>
      <c r="C45" s="16"/>
      <c r="D45" s="16"/>
      <c r="E45" s="16"/>
      <c r="F45" s="16"/>
      <c r="G45" s="16"/>
      <c r="H45" s="624"/>
      <c r="I45" s="16"/>
      <c r="J45" s="16"/>
      <c r="K45" s="16"/>
      <c r="L45" s="16"/>
      <c r="M45" s="16"/>
      <c r="N45" s="16"/>
      <c r="O45" s="16"/>
      <c r="P45" s="16"/>
      <c r="Q45" s="16"/>
      <c r="R45" s="16"/>
      <c r="S45" s="16"/>
      <c r="T45" s="16"/>
      <c r="U45" s="16"/>
    </row>
    <row r="46" spans="2:21" ht="27" customHeight="1">
      <c r="B46" s="16"/>
      <c r="C46" s="16"/>
      <c r="D46" s="16"/>
      <c r="E46" s="16"/>
      <c r="F46" s="16"/>
      <c r="G46" s="16"/>
      <c r="H46" s="624"/>
      <c r="I46" s="16"/>
      <c r="J46" s="16"/>
      <c r="K46" s="16"/>
      <c r="L46" s="16"/>
      <c r="M46" s="16"/>
      <c r="N46" s="16"/>
      <c r="O46" s="16"/>
      <c r="P46" s="16"/>
      <c r="Q46" s="16"/>
      <c r="R46" s="16"/>
      <c r="S46" s="16"/>
      <c r="T46" s="16"/>
      <c r="U46" s="16"/>
    </row>
    <row r="47" spans="2:21" ht="27" customHeight="1">
      <c r="B47" s="16"/>
      <c r="C47" s="16"/>
      <c r="D47" s="16"/>
      <c r="E47" s="16"/>
      <c r="F47" s="16"/>
      <c r="G47" s="16"/>
      <c r="H47" s="624"/>
      <c r="I47" s="16"/>
      <c r="J47" s="16"/>
      <c r="K47" s="16"/>
      <c r="L47" s="16"/>
      <c r="M47" s="16"/>
      <c r="N47" s="16"/>
      <c r="O47" s="16"/>
      <c r="P47" s="16"/>
      <c r="Q47" s="16"/>
      <c r="R47" s="16"/>
      <c r="S47" s="16"/>
      <c r="T47" s="16"/>
      <c r="U47" s="16"/>
    </row>
    <row r="48" spans="2:21" ht="27" customHeight="1">
      <c r="B48" s="16"/>
      <c r="C48" s="16"/>
      <c r="D48" s="16"/>
      <c r="E48" s="16"/>
      <c r="F48" s="16"/>
      <c r="G48" s="16"/>
      <c r="H48" s="624"/>
      <c r="I48" s="16"/>
      <c r="J48" s="16"/>
      <c r="K48" s="16"/>
      <c r="L48" s="16"/>
      <c r="M48" s="16"/>
      <c r="N48" s="16"/>
      <c r="O48" s="16"/>
      <c r="P48" s="16"/>
      <c r="Q48" s="16"/>
      <c r="R48" s="16"/>
      <c r="S48" s="16"/>
      <c r="T48" s="16"/>
      <c r="U48" s="16"/>
    </row>
    <row r="49" spans="2:21" ht="27" customHeight="1">
      <c r="B49" s="16"/>
      <c r="C49" s="16"/>
      <c r="D49" s="16"/>
      <c r="E49" s="16"/>
      <c r="F49" s="16"/>
      <c r="G49" s="16"/>
      <c r="H49" s="624"/>
      <c r="I49" s="16"/>
      <c r="J49" s="16"/>
      <c r="K49" s="16"/>
      <c r="L49" s="16"/>
      <c r="M49" s="16"/>
      <c r="N49" s="16"/>
      <c r="O49" s="16"/>
      <c r="P49" s="16"/>
      <c r="Q49" s="16"/>
      <c r="R49" s="16"/>
      <c r="S49" s="16"/>
      <c r="T49" s="16"/>
      <c r="U49" s="16"/>
    </row>
    <row r="50" spans="2:21" ht="27" customHeight="1">
      <c r="B50" s="16"/>
      <c r="C50" s="16"/>
      <c r="D50" s="16"/>
      <c r="E50" s="16"/>
      <c r="F50" s="16"/>
      <c r="G50" s="16"/>
      <c r="H50" s="624"/>
      <c r="I50" s="16"/>
      <c r="J50" s="16"/>
      <c r="K50" s="16"/>
      <c r="L50" s="16"/>
      <c r="M50" s="16"/>
      <c r="N50" s="16"/>
      <c r="O50" s="16"/>
      <c r="P50" s="16"/>
      <c r="Q50" s="16"/>
      <c r="R50" s="16"/>
      <c r="S50" s="16"/>
      <c r="T50" s="16"/>
      <c r="U50" s="16"/>
    </row>
    <row r="51" spans="2:21" ht="27" customHeight="1">
      <c r="B51" s="16"/>
      <c r="C51" s="16"/>
      <c r="D51" s="16"/>
      <c r="E51" s="16"/>
      <c r="F51" s="16"/>
      <c r="G51" s="16"/>
      <c r="H51" s="624"/>
      <c r="I51" s="16"/>
      <c r="J51" s="16"/>
      <c r="K51" s="16"/>
      <c r="L51" s="16"/>
      <c r="M51" s="16"/>
      <c r="N51" s="16"/>
      <c r="O51" s="16"/>
      <c r="P51" s="16"/>
      <c r="Q51" s="16"/>
      <c r="R51" s="16"/>
      <c r="S51" s="16"/>
      <c r="T51" s="16"/>
      <c r="U51" s="16"/>
    </row>
    <row r="52" spans="2:21" ht="27" customHeight="1">
      <c r="B52" s="16"/>
      <c r="C52" s="16"/>
      <c r="D52" s="16"/>
      <c r="E52" s="16"/>
      <c r="F52" s="16"/>
      <c r="G52" s="16"/>
      <c r="H52" s="624"/>
      <c r="I52" s="16"/>
      <c r="J52" s="16"/>
      <c r="K52" s="16"/>
      <c r="L52" s="16"/>
      <c r="M52" s="16"/>
      <c r="N52" s="16"/>
      <c r="O52" s="16"/>
      <c r="P52" s="16"/>
      <c r="Q52" s="16"/>
      <c r="R52" s="16"/>
      <c r="S52" s="16"/>
      <c r="T52" s="16"/>
      <c r="U52" s="16"/>
    </row>
    <row r="53" spans="2:21" ht="27" customHeight="1">
      <c r="B53" s="16"/>
      <c r="C53" s="16"/>
      <c r="D53" s="16"/>
      <c r="E53" s="16"/>
      <c r="F53" s="16"/>
      <c r="G53" s="16"/>
      <c r="H53" s="624"/>
      <c r="I53" s="16"/>
      <c r="J53" s="16"/>
      <c r="K53" s="16"/>
      <c r="L53" s="16"/>
      <c r="M53" s="16"/>
      <c r="N53" s="16"/>
      <c r="O53" s="16"/>
      <c r="P53" s="16"/>
      <c r="Q53" s="16"/>
      <c r="R53" s="16"/>
      <c r="S53" s="16"/>
      <c r="T53" s="16"/>
      <c r="U53" s="16"/>
    </row>
    <row r="54" spans="2:21" ht="27" customHeight="1">
      <c r="B54" s="16"/>
      <c r="C54" s="16"/>
      <c r="D54" s="16"/>
      <c r="E54" s="16"/>
      <c r="F54" s="16"/>
      <c r="G54" s="16"/>
      <c r="H54" s="624"/>
      <c r="I54" s="16"/>
      <c r="J54" s="16"/>
      <c r="K54" s="16"/>
      <c r="L54" s="16"/>
      <c r="M54" s="16"/>
      <c r="N54" s="16"/>
      <c r="O54" s="16"/>
      <c r="P54" s="16"/>
      <c r="Q54" s="16"/>
      <c r="R54" s="16"/>
      <c r="S54" s="16"/>
      <c r="T54" s="16"/>
      <c r="U54" s="16"/>
    </row>
    <row r="55" spans="2:21" ht="27" customHeight="1">
      <c r="B55" s="16"/>
      <c r="C55" s="16"/>
      <c r="D55" s="16"/>
      <c r="E55" s="16"/>
      <c r="F55" s="16"/>
      <c r="G55" s="16"/>
      <c r="H55" s="624"/>
      <c r="I55" s="16"/>
      <c r="J55" s="16"/>
      <c r="K55" s="16"/>
      <c r="L55" s="16"/>
      <c r="M55" s="16"/>
      <c r="N55" s="16"/>
      <c r="O55" s="16"/>
      <c r="P55" s="16"/>
      <c r="Q55" s="16"/>
      <c r="R55" s="16"/>
      <c r="S55" s="16"/>
      <c r="T55" s="16"/>
      <c r="U55" s="16"/>
    </row>
    <row r="56" spans="2:21" ht="27" customHeight="1">
      <c r="B56" s="16"/>
      <c r="C56" s="16"/>
      <c r="D56" s="16"/>
      <c r="E56" s="16"/>
      <c r="F56" s="16"/>
      <c r="G56" s="16"/>
      <c r="H56" s="624"/>
      <c r="I56" s="16"/>
      <c r="J56" s="16"/>
      <c r="K56" s="16"/>
      <c r="L56" s="16"/>
      <c r="M56" s="16"/>
      <c r="N56" s="16"/>
      <c r="O56" s="16"/>
      <c r="P56" s="16"/>
      <c r="Q56" s="16"/>
      <c r="R56" s="16"/>
      <c r="S56" s="16"/>
      <c r="T56" s="16"/>
      <c r="U56" s="16"/>
    </row>
    <row r="57" spans="2:21" ht="27" customHeight="1">
      <c r="B57" s="16"/>
      <c r="C57" s="16"/>
      <c r="D57" s="16"/>
      <c r="E57" s="16"/>
      <c r="F57" s="16"/>
      <c r="G57" s="16"/>
      <c r="H57" s="624"/>
      <c r="I57" s="16"/>
      <c r="J57" s="16"/>
      <c r="K57" s="16"/>
      <c r="L57" s="16"/>
      <c r="M57" s="16"/>
      <c r="N57" s="16"/>
      <c r="O57" s="16"/>
      <c r="P57" s="16"/>
      <c r="Q57" s="16"/>
      <c r="R57" s="16"/>
      <c r="S57" s="16"/>
      <c r="T57" s="16"/>
      <c r="U57" s="16"/>
    </row>
    <row r="58" spans="2:21" ht="27" customHeight="1">
      <c r="B58" s="16"/>
      <c r="C58" s="16"/>
      <c r="D58" s="16"/>
      <c r="E58" s="16"/>
      <c r="F58" s="16"/>
      <c r="G58" s="16"/>
      <c r="H58" s="624"/>
      <c r="I58" s="16"/>
      <c r="J58" s="16"/>
      <c r="K58" s="16"/>
      <c r="L58" s="16"/>
      <c r="M58" s="16"/>
      <c r="N58" s="16"/>
      <c r="O58" s="16"/>
      <c r="P58" s="16"/>
      <c r="Q58" s="16"/>
      <c r="R58" s="16"/>
      <c r="S58" s="16"/>
      <c r="T58" s="16"/>
      <c r="U58" s="16"/>
    </row>
    <row r="59" spans="2:21" ht="27" customHeight="1">
      <c r="B59" s="16"/>
      <c r="C59" s="16"/>
      <c r="D59" s="16"/>
      <c r="E59" s="16"/>
      <c r="F59" s="16"/>
      <c r="G59" s="16"/>
      <c r="H59" s="624"/>
      <c r="I59" s="16"/>
      <c r="J59" s="16"/>
      <c r="K59" s="16"/>
      <c r="L59" s="16"/>
      <c r="M59" s="16"/>
      <c r="N59" s="16"/>
      <c r="O59" s="16"/>
      <c r="P59" s="16"/>
      <c r="Q59" s="16"/>
      <c r="R59" s="16"/>
      <c r="S59" s="16"/>
      <c r="T59" s="16"/>
      <c r="U59" s="16"/>
    </row>
    <row r="60" spans="2:21" ht="27" customHeight="1">
      <c r="B60" s="16"/>
      <c r="C60" s="16"/>
      <c r="D60" s="16"/>
      <c r="E60" s="16"/>
      <c r="F60" s="16"/>
      <c r="G60" s="16"/>
      <c r="H60" s="624"/>
      <c r="I60" s="16"/>
      <c r="J60" s="16"/>
      <c r="K60" s="16"/>
      <c r="L60" s="16"/>
      <c r="M60" s="16"/>
      <c r="N60" s="16"/>
      <c r="O60" s="16"/>
      <c r="P60" s="16"/>
      <c r="Q60" s="16"/>
      <c r="R60" s="16"/>
      <c r="S60" s="16"/>
      <c r="T60" s="16"/>
      <c r="U60" s="16"/>
    </row>
    <row r="61" spans="2:21" ht="27" customHeight="1">
      <c r="B61" s="16"/>
      <c r="C61" s="16"/>
      <c r="D61" s="16"/>
      <c r="E61" s="16"/>
      <c r="F61" s="16"/>
      <c r="G61" s="16"/>
      <c r="H61" s="624"/>
      <c r="I61" s="16"/>
      <c r="J61" s="16"/>
      <c r="K61" s="16"/>
      <c r="L61" s="16"/>
      <c r="M61" s="16"/>
      <c r="N61" s="16"/>
      <c r="O61" s="16"/>
      <c r="P61" s="16"/>
      <c r="Q61" s="16"/>
      <c r="R61" s="16"/>
      <c r="S61" s="16"/>
      <c r="T61" s="16"/>
      <c r="U61" s="16"/>
    </row>
    <row r="62" spans="2:21" ht="27" customHeight="1">
      <c r="B62" s="16"/>
      <c r="C62" s="16"/>
      <c r="D62" s="16"/>
      <c r="E62" s="16"/>
      <c r="F62" s="16"/>
      <c r="G62" s="16"/>
      <c r="H62" s="624"/>
      <c r="I62" s="16"/>
      <c r="J62" s="16"/>
      <c r="K62" s="16"/>
      <c r="L62" s="16"/>
      <c r="M62" s="16"/>
      <c r="N62" s="16"/>
      <c r="O62" s="16"/>
      <c r="P62" s="16"/>
      <c r="Q62" s="16"/>
      <c r="R62" s="16"/>
      <c r="S62" s="16"/>
      <c r="T62" s="16"/>
      <c r="U62" s="16"/>
    </row>
    <row r="63" spans="2:21" ht="27" customHeight="1">
      <c r="B63" s="16"/>
      <c r="C63" s="16"/>
      <c r="D63" s="16"/>
      <c r="E63" s="16"/>
      <c r="F63" s="16"/>
      <c r="G63" s="16"/>
      <c r="H63" s="624"/>
      <c r="I63" s="16"/>
      <c r="J63" s="16"/>
      <c r="K63" s="16"/>
      <c r="L63" s="16"/>
      <c r="M63" s="16"/>
      <c r="N63" s="16"/>
      <c r="O63" s="16"/>
      <c r="P63" s="16"/>
      <c r="Q63" s="16"/>
      <c r="R63" s="16"/>
      <c r="S63" s="16"/>
      <c r="T63" s="16"/>
      <c r="U63" s="16"/>
    </row>
    <row r="64" spans="2:21" ht="27" customHeight="1">
      <c r="B64" s="16"/>
      <c r="C64" s="16"/>
      <c r="D64" s="16"/>
      <c r="E64" s="16"/>
      <c r="F64" s="16"/>
      <c r="G64" s="16"/>
      <c r="H64" s="624"/>
      <c r="I64" s="16"/>
      <c r="J64" s="16"/>
      <c r="K64" s="16"/>
      <c r="L64" s="16"/>
      <c r="M64" s="16"/>
      <c r="N64" s="16"/>
      <c r="O64" s="16"/>
      <c r="P64" s="16"/>
      <c r="Q64" s="16"/>
      <c r="R64" s="16"/>
      <c r="S64" s="16"/>
      <c r="T64" s="16"/>
      <c r="U64" s="16"/>
    </row>
    <row r="65" spans="2:21" ht="27" customHeight="1">
      <c r="B65" s="16"/>
      <c r="C65" s="16"/>
      <c r="D65" s="16"/>
      <c r="E65" s="16"/>
      <c r="F65" s="16"/>
      <c r="G65" s="16"/>
      <c r="H65" s="624"/>
      <c r="I65" s="16"/>
      <c r="J65" s="16"/>
      <c r="K65" s="16"/>
      <c r="L65" s="16"/>
      <c r="M65" s="16"/>
      <c r="N65" s="16"/>
      <c r="O65" s="16"/>
      <c r="P65" s="16"/>
      <c r="Q65" s="16"/>
      <c r="R65" s="16"/>
      <c r="S65" s="16"/>
      <c r="T65" s="16"/>
      <c r="U65" s="16"/>
    </row>
    <row r="66" spans="2:21" ht="27" customHeight="1">
      <c r="B66" s="16"/>
      <c r="C66" s="16"/>
      <c r="D66" s="16"/>
      <c r="E66" s="16"/>
      <c r="F66" s="16"/>
      <c r="G66" s="16"/>
      <c r="H66" s="624"/>
      <c r="I66" s="16"/>
      <c r="J66" s="16"/>
      <c r="K66" s="16"/>
      <c r="L66" s="16"/>
      <c r="M66" s="16"/>
      <c r="N66" s="16"/>
      <c r="O66" s="16"/>
      <c r="P66" s="16"/>
      <c r="Q66" s="16"/>
      <c r="R66" s="16"/>
      <c r="S66" s="16"/>
      <c r="T66" s="16"/>
      <c r="U66" s="16"/>
    </row>
    <row r="67" spans="2:21" ht="27" customHeight="1">
      <c r="B67" s="16"/>
      <c r="C67" s="16"/>
      <c r="D67" s="16"/>
      <c r="E67" s="16"/>
      <c r="F67" s="16"/>
      <c r="G67" s="16"/>
      <c r="H67" s="624"/>
      <c r="I67" s="16"/>
      <c r="J67" s="16"/>
      <c r="K67" s="16"/>
      <c r="L67" s="16"/>
      <c r="M67" s="16"/>
      <c r="N67" s="16"/>
      <c r="O67" s="16"/>
      <c r="P67" s="16"/>
      <c r="Q67" s="16"/>
      <c r="R67" s="16"/>
      <c r="S67" s="16"/>
      <c r="T67" s="16"/>
      <c r="U67" s="16"/>
    </row>
    <row r="68" spans="2:21" ht="27" customHeight="1">
      <c r="B68" s="16"/>
      <c r="C68" s="16"/>
      <c r="D68" s="16"/>
      <c r="E68" s="16"/>
      <c r="F68" s="16"/>
      <c r="G68" s="16"/>
      <c r="H68" s="624"/>
      <c r="I68" s="16"/>
      <c r="J68" s="16"/>
      <c r="K68" s="16"/>
      <c r="L68" s="16"/>
      <c r="M68" s="16"/>
      <c r="N68" s="16"/>
      <c r="O68" s="16"/>
      <c r="P68" s="16"/>
      <c r="Q68" s="16"/>
      <c r="R68" s="16"/>
      <c r="S68" s="16"/>
      <c r="T68" s="16"/>
      <c r="U68" s="16"/>
    </row>
    <row r="69" spans="2:21" ht="27" customHeight="1">
      <c r="B69" s="16"/>
      <c r="C69" s="16"/>
      <c r="D69" s="16"/>
      <c r="E69" s="16"/>
      <c r="F69" s="16"/>
      <c r="G69" s="16"/>
      <c r="H69" s="624"/>
      <c r="I69" s="16"/>
      <c r="J69" s="16"/>
      <c r="K69" s="16"/>
      <c r="L69" s="16"/>
      <c r="M69" s="16"/>
      <c r="N69" s="16"/>
      <c r="O69" s="16"/>
      <c r="P69" s="16"/>
      <c r="Q69" s="16"/>
      <c r="R69" s="16"/>
      <c r="S69" s="16"/>
      <c r="T69" s="16"/>
      <c r="U69" s="16"/>
    </row>
    <row r="70" spans="2:21" ht="27" customHeight="1">
      <c r="B70" s="16"/>
      <c r="C70" s="16"/>
      <c r="D70" s="16"/>
      <c r="E70" s="16"/>
      <c r="F70" s="16"/>
      <c r="G70" s="16"/>
      <c r="H70" s="624"/>
      <c r="I70" s="16"/>
      <c r="J70" s="16"/>
      <c r="K70" s="16"/>
      <c r="L70" s="16"/>
      <c r="M70" s="16"/>
      <c r="N70" s="16"/>
      <c r="O70" s="16"/>
      <c r="P70" s="16"/>
      <c r="Q70" s="16"/>
      <c r="R70" s="16"/>
      <c r="S70" s="16"/>
      <c r="T70" s="16"/>
      <c r="U70" s="16"/>
    </row>
    <row r="71" spans="2:21" ht="27" customHeight="1">
      <c r="B71" s="16"/>
      <c r="C71" s="16"/>
      <c r="D71" s="16"/>
      <c r="E71" s="16"/>
      <c r="F71" s="16"/>
      <c r="G71" s="16"/>
      <c r="H71" s="624"/>
      <c r="I71" s="16"/>
      <c r="J71" s="16"/>
      <c r="K71" s="16"/>
      <c r="L71" s="16"/>
      <c r="M71" s="16"/>
      <c r="N71" s="16"/>
      <c r="O71" s="16"/>
      <c r="P71" s="16"/>
      <c r="Q71" s="16"/>
      <c r="R71" s="16"/>
      <c r="S71" s="16"/>
      <c r="T71" s="16"/>
      <c r="U71" s="16"/>
    </row>
    <row r="72" spans="2:21" ht="27" customHeight="1">
      <c r="B72" s="16"/>
      <c r="C72" s="16"/>
      <c r="D72" s="16"/>
      <c r="E72" s="16"/>
      <c r="F72" s="16"/>
      <c r="G72" s="16"/>
      <c r="H72" s="624"/>
      <c r="I72" s="16"/>
      <c r="J72" s="16"/>
      <c r="K72" s="16"/>
      <c r="L72" s="16"/>
      <c r="M72" s="16"/>
      <c r="N72" s="16"/>
      <c r="O72" s="16"/>
      <c r="P72" s="16"/>
      <c r="Q72" s="16"/>
      <c r="R72" s="16"/>
      <c r="S72" s="16"/>
      <c r="T72" s="16"/>
      <c r="U72" s="16"/>
    </row>
    <row r="73" spans="2:21" ht="27" customHeight="1">
      <c r="B73" s="16"/>
      <c r="C73" s="16"/>
      <c r="D73" s="16"/>
      <c r="E73" s="16"/>
      <c r="F73" s="16"/>
      <c r="G73" s="16"/>
      <c r="H73" s="624"/>
      <c r="I73" s="16"/>
      <c r="J73" s="16"/>
      <c r="K73" s="16"/>
      <c r="L73" s="16"/>
      <c r="M73" s="16"/>
      <c r="N73" s="16"/>
      <c r="O73" s="16"/>
      <c r="P73" s="16"/>
      <c r="Q73" s="16"/>
      <c r="R73" s="16"/>
      <c r="S73" s="16"/>
      <c r="T73" s="16"/>
      <c r="U73" s="16"/>
    </row>
    <row r="74" spans="2:21" ht="27" customHeight="1">
      <c r="B74" s="16"/>
      <c r="C74" s="16"/>
      <c r="D74" s="16"/>
      <c r="E74" s="16"/>
      <c r="F74" s="16"/>
      <c r="G74" s="16"/>
      <c r="H74" s="624"/>
      <c r="I74" s="16"/>
      <c r="J74" s="16"/>
      <c r="K74" s="16"/>
      <c r="L74" s="16"/>
      <c r="M74" s="16"/>
      <c r="N74" s="16"/>
      <c r="O74" s="16"/>
      <c r="P74" s="16"/>
      <c r="Q74" s="16"/>
      <c r="R74" s="16"/>
      <c r="S74" s="16"/>
      <c r="T74" s="16"/>
      <c r="U74" s="16"/>
    </row>
    <row r="75" spans="2:21" ht="27" customHeight="1">
      <c r="B75" s="16"/>
      <c r="C75" s="16"/>
      <c r="D75" s="16"/>
      <c r="E75" s="16"/>
      <c r="F75" s="16"/>
      <c r="G75" s="16"/>
      <c r="H75" s="624"/>
      <c r="I75" s="16"/>
      <c r="J75" s="16"/>
      <c r="K75" s="16"/>
      <c r="L75" s="16"/>
      <c r="M75" s="16"/>
      <c r="N75" s="16"/>
      <c r="O75" s="16"/>
      <c r="P75" s="16"/>
      <c r="Q75" s="16"/>
      <c r="R75" s="16"/>
      <c r="S75" s="16"/>
      <c r="T75" s="16"/>
      <c r="U75" s="16"/>
    </row>
    <row r="76" spans="2:21" ht="27" customHeight="1">
      <c r="B76" s="16"/>
      <c r="C76" s="16"/>
      <c r="D76" s="16"/>
      <c r="E76" s="16"/>
      <c r="F76" s="16"/>
      <c r="G76" s="16"/>
      <c r="H76" s="624"/>
      <c r="I76" s="16"/>
      <c r="J76" s="16"/>
      <c r="K76" s="16"/>
      <c r="L76" s="16"/>
      <c r="M76" s="16"/>
      <c r="N76" s="16"/>
      <c r="O76" s="16"/>
      <c r="P76" s="16"/>
      <c r="Q76" s="16"/>
      <c r="R76" s="16"/>
      <c r="S76" s="16"/>
      <c r="T76" s="16"/>
      <c r="U76" s="16"/>
    </row>
    <row r="77" spans="2:21" ht="27" customHeight="1">
      <c r="B77" s="16"/>
      <c r="C77" s="16"/>
      <c r="D77" s="16"/>
      <c r="E77" s="16"/>
      <c r="F77" s="16"/>
      <c r="G77" s="16"/>
      <c r="H77" s="624"/>
      <c r="I77" s="16"/>
      <c r="J77" s="16"/>
      <c r="K77" s="16"/>
      <c r="L77" s="16"/>
      <c r="M77" s="16"/>
      <c r="N77" s="16"/>
      <c r="O77" s="16"/>
      <c r="P77" s="16"/>
      <c r="Q77" s="16"/>
      <c r="R77" s="16"/>
      <c r="S77" s="16"/>
      <c r="T77" s="16"/>
      <c r="U77" s="16"/>
    </row>
    <row r="78" spans="2:21" ht="27" customHeight="1">
      <c r="B78" s="16"/>
      <c r="C78" s="16"/>
      <c r="D78" s="16"/>
      <c r="E78" s="16"/>
      <c r="F78" s="16"/>
      <c r="G78" s="16"/>
      <c r="H78" s="624"/>
      <c r="I78" s="16"/>
      <c r="J78" s="16"/>
      <c r="K78" s="16"/>
      <c r="L78" s="16"/>
      <c r="M78" s="16"/>
      <c r="N78" s="16"/>
      <c r="O78" s="16"/>
      <c r="P78" s="16"/>
      <c r="Q78" s="16"/>
      <c r="R78" s="16"/>
      <c r="S78" s="16"/>
      <c r="T78" s="16"/>
      <c r="U78" s="16"/>
    </row>
    <row r="79" spans="2:21" ht="27" customHeight="1">
      <c r="B79" s="16"/>
      <c r="C79" s="16"/>
      <c r="D79" s="16"/>
      <c r="E79" s="16"/>
      <c r="F79" s="16"/>
      <c r="G79" s="16"/>
      <c r="H79" s="624"/>
      <c r="I79" s="16"/>
      <c r="J79" s="16"/>
      <c r="K79" s="16"/>
      <c r="L79" s="16"/>
      <c r="M79" s="16"/>
      <c r="N79" s="16"/>
      <c r="O79" s="16"/>
      <c r="P79" s="16"/>
      <c r="Q79" s="16"/>
      <c r="R79" s="16"/>
      <c r="S79" s="16"/>
      <c r="T79" s="16"/>
      <c r="U79" s="16"/>
    </row>
    <row r="80" spans="2:21" ht="27" customHeight="1">
      <c r="B80" s="16"/>
      <c r="C80" s="16"/>
      <c r="D80" s="16"/>
      <c r="E80" s="16"/>
      <c r="F80" s="16"/>
      <c r="G80" s="16"/>
      <c r="H80" s="624"/>
      <c r="I80" s="16"/>
      <c r="J80" s="16"/>
      <c r="K80" s="16"/>
      <c r="L80" s="16"/>
      <c r="M80" s="16"/>
      <c r="N80" s="16"/>
      <c r="O80" s="16"/>
      <c r="P80" s="16"/>
      <c r="Q80" s="16"/>
      <c r="R80" s="16"/>
      <c r="S80" s="16"/>
      <c r="T80" s="16"/>
      <c r="U80" s="16"/>
    </row>
    <row r="81" spans="2:21" ht="27" customHeight="1">
      <c r="B81" s="16"/>
      <c r="C81" s="16"/>
      <c r="D81" s="16"/>
      <c r="E81" s="16"/>
      <c r="F81" s="16"/>
      <c r="G81" s="16"/>
      <c r="H81" s="624"/>
      <c r="I81" s="16"/>
      <c r="J81" s="16"/>
      <c r="K81" s="16"/>
      <c r="L81" s="16"/>
      <c r="M81" s="16"/>
      <c r="N81" s="16"/>
      <c r="O81" s="16"/>
      <c r="P81" s="16"/>
      <c r="Q81" s="16"/>
      <c r="R81" s="16"/>
      <c r="S81" s="16"/>
      <c r="T81" s="16"/>
      <c r="U81" s="16"/>
    </row>
    <row r="82" spans="2:21" ht="27" customHeight="1">
      <c r="B82" s="16"/>
      <c r="C82" s="16"/>
      <c r="D82" s="16"/>
      <c r="E82" s="16"/>
      <c r="F82" s="16"/>
      <c r="G82" s="16"/>
      <c r="H82" s="624"/>
      <c r="I82" s="16"/>
      <c r="J82" s="16"/>
      <c r="K82" s="16"/>
      <c r="L82" s="16"/>
      <c r="M82" s="16"/>
      <c r="N82" s="16"/>
      <c r="O82" s="16"/>
      <c r="P82" s="16"/>
      <c r="Q82" s="16"/>
      <c r="R82" s="16"/>
      <c r="S82" s="16"/>
      <c r="T82" s="16"/>
      <c r="U82" s="16"/>
    </row>
    <row r="83" spans="2:21" ht="27" customHeight="1">
      <c r="B83" s="16"/>
      <c r="C83" s="16"/>
      <c r="D83" s="16"/>
      <c r="E83" s="16"/>
      <c r="F83" s="16"/>
      <c r="G83" s="16"/>
      <c r="H83" s="624"/>
      <c r="I83" s="16"/>
      <c r="J83" s="16"/>
      <c r="K83" s="16"/>
      <c r="L83" s="16"/>
      <c r="M83" s="16"/>
      <c r="N83" s="16"/>
      <c r="O83" s="16"/>
      <c r="P83" s="16"/>
      <c r="Q83" s="16"/>
      <c r="R83" s="16"/>
      <c r="S83" s="16"/>
      <c r="T83" s="16"/>
      <c r="U83" s="16"/>
    </row>
    <row r="84" spans="2:21" ht="27" customHeight="1">
      <c r="B84" s="16"/>
      <c r="C84" s="16"/>
      <c r="D84" s="16"/>
      <c r="E84" s="16"/>
      <c r="F84" s="16"/>
      <c r="G84" s="16"/>
      <c r="H84" s="624"/>
      <c r="I84" s="16"/>
      <c r="J84" s="16"/>
      <c r="K84" s="16"/>
      <c r="L84" s="16"/>
      <c r="M84" s="16"/>
      <c r="N84" s="16"/>
      <c r="O84" s="16"/>
      <c r="P84" s="16"/>
      <c r="Q84" s="16"/>
      <c r="R84" s="16"/>
      <c r="S84" s="16"/>
      <c r="T84" s="16"/>
      <c r="U84" s="16"/>
    </row>
    <row r="85" spans="2:21" ht="27" customHeight="1">
      <c r="B85" s="16"/>
      <c r="C85" s="16"/>
      <c r="D85" s="16"/>
      <c r="E85" s="16"/>
      <c r="F85" s="16"/>
      <c r="G85" s="16"/>
      <c r="H85" s="624"/>
      <c r="I85" s="16"/>
      <c r="J85" s="16"/>
      <c r="K85" s="16"/>
      <c r="L85" s="16"/>
      <c r="M85" s="16"/>
      <c r="N85" s="16"/>
      <c r="O85" s="16"/>
      <c r="P85" s="16"/>
      <c r="Q85" s="16"/>
      <c r="R85" s="16"/>
      <c r="S85" s="16"/>
      <c r="T85" s="16"/>
      <c r="U85" s="16"/>
    </row>
    <row r="86" spans="2:21" ht="27" customHeight="1">
      <c r="B86" s="16"/>
      <c r="C86" s="16"/>
      <c r="D86" s="16"/>
      <c r="E86" s="16"/>
      <c r="F86" s="16"/>
      <c r="G86" s="16"/>
      <c r="H86" s="624"/>
      <c r="I86" s="16"/>
      <c r="J86" s="16"/>
      <c r="K86" s="16"/>
      <c r="L86" s="16"/>
      <c r="M86" s="16"/>
      <c r="N86" s="16"/>
      <c r="O86" s="16"/>
      <c r="P86" s="16"/>
      <c r="Q86" s="16"/>
      <c r="R86" s="16"/>
      <c r="S86" s="16"/>
      <c r="T86" s="16"/>
      <c r="U86" s="16"/>
    </row>
    <row r="87" spans="2:21" ht="27" customHeight="1">
      <c r="B87" s="16"/>
      <c r="C87" s="16"/>
      <c r="D87" s="16"/>
      <c r="E87" s="16"/>
      <c r="F87" s="16"/>
      <c r="G87" s="16"/>
      <c r="H87" s="624"/>
      <c r="I87" s="16"/>
      <c r="J87" s="16"/>
      <c r="K87" s="16"/>
      <c r="L87" s="16"/>
      <c r="M87" s="16"/>
      <c r="N87" s="16"/>
      <c r="O87" s="16"/>
      <c r="P87" s="16"/>
      <c r="Q87" s="16"/>
      <c r="R87" s="16"/>
      <c r="S87" s="16"/>
      <c r="T87" s="16"/>
      <c r="U87" s="16"/>
    </row>
    <row r="88" spans="2:21" ht="27" customHeight="1">
      <c r="B88" s="16"/>
      <c r="C88" s="16"/>
      <c r="D88" s="16"/>
      <c r="E88" s="16"/>
      <c r="F88" s="16"/>
      <c r="G88" s="16"/>
      <c r="H88" s="624"/>
      <c r="I88" s="16"/>
      <c r="J88" s="16"/>
      <c r="K88" s="16"/>
      <c r="L88" s="16"/>
      <c r="M88" s="16"/>
      <c r="N88" s="16"/>
      <c r="O88" s="16"/>
      <c r="P88" s="16"/>
      <c r="Q88" s="16"/>
      <c r="R88" s="16"/>
      <c r="S88" s="16"/>
      <c r="T88" s="16"/>
      <c r="U88" s="16"/>
    </row>
    <row r="89" spans="2:21" ht="27" customHeight="1">
      <c r="B89" s="16"/>
      <c r="C89" s="16"/>
      <c r="D89" s="16"/>
      <c r="E89" s="16"/>
      <c r="F89" s="16"/>
      <c r="G89" s="16"/>
      <c r="H89" s="624"/>
      <c r="I89" s="16"/>
      <c r="J89" s="16"/>
      <c r="K89" s="16"/>
      <c r="L89" s="16"/>
      <c r="M89" s="16"/>
      <c r="N89" s="16"/>
      <c r="O89" s="16"/>
      <c r="P89" s="16"/>
      <c r="Q89" s="16"/>
      <c r="R89" s="16"/>
      <c r="S89" s="16"/>
      <c r="T89" s="16"/>
      <c r="U89" s="16"/>
    </row>
    <row r="90" spans="2:21" ht="27" customHeight="1">
      <c r="B90" s="16"/>
      <c r="C90" s="16"/>
      <c r="D90" s="16"/>
      <c r="E90" s="16"/>
      <c r="F90" s="16"/>
      <c r="G90" s="16"/>
      <c r="H90" s="624"/>
      <c r="I90" s="16"/>
      <c r="J90" s="16"/>
      <c r="K90" s="16"/>
      <c r="L90" s="16"/>
      <c r="M90" s="16"/>
      <c r="N90" s="16"/>
      <c r="O90" s="16"/>
      <c r="P90" s="16"/>
      <c r="Q90" s="16"/>
      <c r="R90" s="16"/>
      <c r="S90" s="16"/>
      <c r="T90" s="16"/>
      <c r="U90" s="16"/>
    </row>
    <row r="91" spans="2:21" ht="27" customHeight="1">
      <c r="B91" s="16"/>
      <c r="C91" s="16"/>
      <c r="D91" s="16"/>
      <c r="E91" s="16"/>
      <c r="F91" s="16"/>
      <c r="G91" s="16"/>
      <c r="H91" s="624"/>
      <c r="I91" s="16"/>
      <c r="J91" s="16"/>
      <c r="K91" s="16"/>
      <c r="L91" s="16"/>
      <c r="M91" s="16"/>
      <c r="N91" s="16"/>
      <c r="O91" s="16"/>
      <c r="P91" s="16"/>
      <c r="Q91" s="16"/>
      <c r="R91" s="16"/>
      <c r="S91" s="16"/>
      <c r="T91" s="16"/>
      <c r="U91" s="16"/>
    </row>
    <row r="92" spans="2:21" ht="27" customHeight="1">
      <c r="B92" s="16"/>
      <c r="C92" s="16"/>
      <c r="D92" s="16"/>
      <c r="E92" s="16"/>
      <c r="F92" s="16"/>
      <c r="G92" s="16"/>
      <c r="H92" s="624"/>
      <c r="I92" s="16"/>
      <c r="J92" s="16"/>
      <c r="K92" s="16"/>
      <c r="L92" s="16"/>
      <c r="M92" s="16"/>
      <c r="N92" s="16"/>
      <c r="O92" s="16"/>
      <c r="P92" s="16"/>
      <c r="Q92" s="16"/>
      <c r="R92" s="16"/>
      <c r="S92" s="16"/>
      <c r="T92" s="16"/>
      <c r="U92" s="16"/>
    </row>
    <row r="93" spans="2:21" ht="27" customHeight="1">
      <c r="B93" s="16"/>
      <c r="C93" s="16"/>
      <c r="D93" s="16"/>
      <c r="E93" s="16"/>
      <c r="F93" s="16"/>
      <c r="G93" s="16"/>
      <c r="H93" s="624"/>
      <c r="I93" s="16"/>
      <c r="J93" s="16"/>
      <c r="K93" s="16"/>
      <c r="L93" s="16"/>
      <c r="M93" s="16"/>
      <c r="N93" s="16"/>
      <c r="O93" s="16"/>
      <c r="P93" s="16"/>
      <c r="Q93" s="16"/>
      <c r="R93" s="16"/>
      <c r="S93" s="16"/>
      <c r="T93" s="16"/>
      <c r="U93" s="16"/>
    </row>
    <row r="94" spans="2:21" ht="27" customHeight="1">
      <c r="B94" s="16"/>
      <c r="C94" s="16"/>
      <c r="D94" s="16"/>
      <c r="E94" s="16"/>
      <c r="F94" s="16"/>
      <c r="G94" s="16"/>
      <c r="H94" s="624"/>
      <c r="I94" s="16"/>
      <c r="J94" s="16"/>
      <c r="K94" s="16"/>
      <c r="L94" s="16"/>
      <c r="M94" s="16"/>
      <c r="N94" s="16"/>
      <c r="O94" s="16"/>
      <c r="P94" s="16"/>
      <c r="Q94" s="16"/>
      <c r="R94" s="16"/>
      <c r="S94" s="16"/>
      <c r="T94" s="16"/>
      <c r="U94" s="16"/>
    </row>
    <row r="95" spans="2:21" ht="27" customHeight="1">
      <c r="B95" s="16"/>
      <c r="C95" s="16"/>
      <c r="D95" s="16"/>
      <c r="E95" s="16"/>
      <c r="F95" s="16"/>
      <c r="G95" s="16"/>
      <c r="H95" s="624"/>
      <c r="I95" s="16"/>
      <c r="J95" s="16"/>
      <c r="K95" s="16"/>
      <c r="L95" s="16"/>
      <c r="M95" s="16"/>
      <c r="N95" s="16"/>
      <c r="O95" s="16"/>
      <c r="P95" s="16"/>
      <c r="Q95" s="16"/>
      <c r="R95" s="16"/>
      <c r="S95" s="16"/>
      <c r="T95" s="16"/>
      <c r="U95" s="16"/>
    </row>
    <row r="96" spans="2:21" ht="27" customHeight="1">
      <c r="B96" s="16"/>
      <c r="C96" s="16"/>
      <c r="D96" s="16"/>
      <c r="E96" s="16"/>
      <c r="F96" s="16"/>
      <c r="G96" s="16"/>
      <c r="H96" s="624"/>
      <c r="I96" s="16"/>
      <c r="J96" s="16"/>
      <c r="K96" s="16"/>
      <c r="L96" s="16"/>
      <c r="M96" s="16"/>
      <c r="N96" s="16"/>
      <c r="O96" s="16"/>
      <c r="P96" s="16"/>
      <c r="Q96" s="16"/>
      <c r="R96" s="16"/>
      <c r="S96" s="16"/>
      <c r="T96" s="16"/>
      <c r="U96" s="16"/>
    </row>
    <row r="97" spans="2:21" ht="27" customHeight="1">
      <c r="B97" s="16"/>
      <c r="C97" s="16"/>
      <c r="D97" s="16"/>
      <c r="E97" s="16"/>
      <c r="F97" s="16"/>
      <c r="G97" s="16"/>
      <c r="H97" s="624"/>
      <c r="I97" s="16"/>
      <c r="J97" s="16"/>
      <c r="K97" s="16"/>
      <c r="L97" s="16"/>
      <c r="M97" s="16"/>
      <c r="N97" s="16"/>
      <c r="O97" s="16"/>
      <c r="P97" s="16"/>
      <c r="Q97" s="16"/>
      <c r="R97" s="16"/>
      <c r="S97" s="16"/>
      <c r="T97" s="16"/>
      <c r="U97" s="16"/>
    </row>
    <row r="98" spans="2:21" ht="27" customHeight="1">
      <c r="B98" s="16"/>
      <c r="C98" s="16"/>
      <c r="D98" s="16"/>
      <c r="E98" s="16"/>
      <c r="F98" s="16"/>
      <c r="G98" s="16"/>
      <c r="H98" s="624"/>
      <c r="I98" s="16"/>
      <c r="J98" s="16"/>
      <c r="K98" s="16"/>
      <c r="L98" s="16"/>
      <c r="M98" s="16"/>
      <c r="N98" s="16"/>
      <c r="O98" s="16"/>
      <c r="P98" s="16"/>
      <c r="Q98" s="16"/>
      <c r="R98" s="16"/>
      <c r="S98" s="16"/>
      <c r="T98" s="16"/>
      <c r="U98" s="16"/>
    </row>
    <row r="99" spans="2:21" ht="27" customHeight="1">
      <c r="B99" s="16"/>
      <c r="C99" s="16"/>
      <c r="D99" s="16"/>
      <c r="E99" s="16"/>
      <c r="F99" s="16"/>
      <c r="G99" s="16"/>
      <c r="H99" s="624"/>
      <c r="I99" s="16"/>
      <c r="J99" s="16"/>
      <c r="K99" s="16"/>
      <c r="L99" s="16"/>
      <c r="M99" s="16"/>
      <c r="N99" s="16"/>
      <c r="O99" s="16"/>
      <c r="P99" s="16"/>
      <c r="Q99" s="16"/>
      <c r="R99" s="16"/>
      <c r="S99" s="16"/>
      <c r="T99" s="16"/>
      <c r="U99" s="16"/>
    </row>
    <row r="100" spans="2:21" ht="27" customHeight="1">
      <c r="B100" s="16"/>
      <c r="C100" s="16"/>
      <c r="D100" s="16"/>
      <c r="E100" s="16"/>
      <c r="F100" s="16"/>
      <c r="G100" s="16"/>
      <c r="H100" s="624"/>
      <c r="I100" s="16"/>
      <c r="J100" s="16"/>
      <c r="K100" s="16"/>
      <c r="L100" s="16"/>
      <c r="M100" s="16"/>
      <c r="N100" s="16"/>
      <c r="O100" s="16"/>
      <c r="P100" s="16"/>
      <c r="Q100" s="16"/>
      <c r="R100" s="16"/>
      <c r="S100" s="16"/>
      <c r="T100" s="16"/>
      <c r="U100" s="16"/>
    </row>
    <row r="101" spans="2:21" ht="27" customHeight="1">
      <c r="B101" s="16"/>
      <c r="C101" s="16"/>
      <c r="D101" s="16"/>
      <c r="E101" s="16"/>
      <c r="F101" s="16"/>
      <c r="G101" s="16"/>
      <c r="H101" s="624"/>
      <c r="I101" s="16"/>
      <c r="J101" s="16"/>
      <c r="K101" s="16"/>
      <c r="L101" s="16"/>
      <c r="M101" s="16"/>
      <c r="N101" s="16"/>
      <c r="O101" s="16"/>
      <c r="P101" s="16"/>
      <c r="Q101" s="16"/>
      <c r="R101" s="16"/>
      <c r="S101" s="16"/>
      <c r="T101" s="16"/>
      <c r="U101" s="16"/>
    </row>
    <row r="102" spans="2:21" ht="27" customHeight="1">
      <c r="B102" s="16"/>
      <c r="C102" s="16"/>
      <c r="D102" s="16"/>
      <c r="E102" s="16"/>
      <c r="F102" s="16"/>
      <c r="G102" s="16"/>
      <c r="H102" s="624"/>
      <c r="I102" s="16"/>
      <c r="J102" s="16"/>
      <c r="K102" s="16"/>
      <c r="L102" s="16"/>
      <c r="M102" s="16"/>
      <c r="N102" s="16"/>
      <c r="O102" s="16"/>
      <c r="P102" s="16"/>
      <c r="Q102" s="16"/>
      <c r="R102" s="16"/>
      <c r="S102" s="16"/>
      <c r="T102" s="16"/>
      <c r="U102" s="16"/>
    </row>
    <row r="103" spans="2:21" ht="27" customHeight="1">
      <c r="B103" s="16"/>
      <c r="C103" s="16"/>
      <c r="D103" s="16"/>
      <c r="E103" s="16"/>
      <c r="F103" s="16"/>
      <c r="G103" s="16"/>
      <c r="H103" s="624"/>
      <c r="I103" s="16"/>
      <c r="J103" s="16"/>
      <c r="K103" s="16"/>
      <c r="L103" s="16"/>
      <c r="M103" s="16"/>
      <c r="N103" s="16"/>
      <c r="O103" s="16"/>
      <c r="P103" s="16"/>
      <c r="Q103" s="16"/>
      <c r="R103" s="16"/>
      <c r="S103" s="16"/>
      <c r="T103" s="16"/>
      <c r="U103" s="16"/>
    </row>
    <row r="104" spans="2:21" ht="27" customHeight="1">
      <c r="B104" s="16"/>
      <c r="C104" s="16"/>
      <c r="D104" s="16"/>
      <c r="E104" s="16"/>
      <c r="F104" s="16"/>
      <c r="G104" s="16"/>
      <c r="H104" s="624"/>
      <c r="I104" s="16"/>
      <c r="J104" s="16"/>
      <c r="K104" s="16"/>
      <c r="L104" s="16"/>
      <c r="M104" s="16"/>
      <c r="N104" s="16"/>
      <c r="O104" s="16"/>
      <c r="P104" s="16"/>
      <c r="Q104" s="16"/>
      <c r="R104" s="16"/>
      <c r="S104" s="16"/>
      <c r="T104" s="16"/>
      <c r="U104" s="16"/>
    </row>
    <row r="105" spans="2:21" ht="27" customHeight="1">
      <c r="B105" s="16"/>
      <c r="C105" s="16"/>
      <c r="D105" s="16"/>
      <c r="E105" s="16"/>
      <c r="F105" s="16"/>
      <c r="G105" s="16"/>
      <c r="H105" s="624"/>
      <c r="I105" s="16"/>
      <c r="J105" s="16"/>
      <c r="K105" s="16"/>
      <c r="L105" s="16"/>
      <c r="M105" s="16"/>
      <c r="N105" s="16"/>
      <c r="O105" s="16"/>
      <c r="P105" s="16"/>
      <c r="Q105" s="16"/>
      <c r="R105" s="16"/>
      <c r="S105" s="16"/>
      <c r="T105" s="16"/>
      <c r="U105" s="16"/>
    </row>
    <row r="106" spans="2:21" ht="27" customHeight="1">
      <c r="B106" s="16"/>
      <c r="C106" s="16"/>
      <c r="D106" s="16"/>
      <c r="E106" s="16"/>
      <c r="F106" s="16"/>
      <c r="G106" s="16"/>
      <c r="H106" s="624"/>
      <c r="I106" s="16"/>
      <c r="J106" s="16"/>
      <c r="K106" s="16"/>
      <c r="L106" s="16"/>
      <c r="M106" s="16"/>
      <c r="N106" s="16"/>
      <c r="O106" s="16"/>
      <c r="P106" s="16"/>
      <c r="Q106" s="16"/>
      <c r="R106" s="16"/>
      <c r="S106" s="16"/>
      <c r="T106" s="16"/>
      <c r="U106" s="16"/>
    </row>
    <row r="107" spans="2:21" ht="27" customHeight="1">
      <c r="B107" s="16"/>
      <c r="C107" s="16"/>
      <c r="D107" s="16"/>
      <c r="E107" s="16"/>
      <c r="F107" s="16"/>
      <c r="G107" s="16"/>
      <c r="H107" s="624"/>
      <c r="I107" s="16"/>
      <c r="J107" s="16"/>
      <c r="K107" s="16"/>
      <c r="L107" s="16"/>
      <c r="M107" s="16"/>
      <c r="N107" s="16"/>
      <c r="O107" s="16"/>
      <c r="P107" s="16"/>
      <c r="Q107" s="16"/>
      <c r="R107" s="16"/>
      <c r="S107" s="16"/>
      <c r="T107" s="16"/>
      <c r="U107" s="16"/>
    </row>
    <row r="108" spans="2:21" ht="27" customHeight="1">
      <c r="B108" s="16"/>
      <c r="C108" s="16"/>
      <c r="D108" s="16"/>
      <c r="E108" s="16"/>
      <c r="F108" s="16"/>
      <c r="G108" s="16"/>
      <c r="H108" s="624"/>
      <c r="I108" s="16"/>
      <c r="J108" s="16"/>
      <c r="K108" s="16"/>
      <c r="L108" s="16"/>
      <c r="M108" s="16"/>
      <c r="N108" s="16"/>
      <c r="O108" s="16"/>
      <c r="P108" s="16"/>
      <c r="Q108" s="16"/>
      <c r="R108" s="16"/>
      <c r="S108" s="16"/>
      <c r="T108" s="16"/>
      <c r="U108" s="16"/>
    </row>
    <row r="109" spans="2:21" ht="27" customHeight="1">
      <c r="B109" s="16"/>
      <c r="C109" s="16"/>
      <c r="D109" s="16"/>
      <c r="E109" s="16"/>
      <c r="F109" s="16"/>
      <c r="G109" s="16"/>
      <c r="H109" s="624"/>
      <c r="I109" s="16"/>
      <c r="J109" s="16"/>
      <c r="K109" s="16"/>
      <c r="L109" s="16"/>
      <c r="M109" s="16"/>
      <c r="N109" s="16"/>
      <c r="O109" s="16"/>
      <c r="P109" s="16"/>
      <c r="Q109" s="16"/>
      <c r="R109" s="16"/>
      <c r="S109" s="16"/>
      <c r="T109" s="16"/>
      <c r="U109" s="16"/>
    </row>
    <row r="110" spans="2:21" ht="27" customHeight="1">
      <c r="B110" s="16"/>
      <c r="C110" s="16"/>
      <c r="D110" s="16"/>
      <c r="E110" s="16"/>
      <c r="F110" s="16"/>
      <c r="G110" s="16"/>
      <c r="H110" s="624"/>
      <c r="I110" s="16"/>
      <c r="J110" s="16"/>
      <c r="K110" s="16"/>
      <c r="L110" s="16"/>
      <c r="M110" s="16"/>
      <c r="N110" s="16"/>
      <c r="O110" s="16"/>
      <c r="P110" s="16"/>
      <c r="Q110" s="16"/>
      <c r="R110" s="16"/>
      <c r="S110" s="16"/>
      <c r="T110" s="16"/>
      <c r="U110" s="16"/>
    </row>
    <row r="111" spans="2:21" ht="27" customHeight="1">
      <c r="B111" s="16"/>
      <c r="C111" s="16"/>
      <c r="D111" s="16"/>
      <c r="E111" s="16"/>
      <c r="F111" s="16"/>
      <c r="G111" s="16"/>
      <c r="H111" s="624"/>
      <c r="I111" s="16"/>
      <c r="J111" s="16"/>
      <c r="K111" s="16"/>
      <c r="L111" s="16"/>
      <c r="M111" s="16"/>
      <c r="N111" s="16"/>
      <c r="O111" s="16"/>
      <c r="P111" s="16"/>
      <c r="Q111" s="16"/>
      <c r="R111" s="16"/>
      <c r="S111" s="16"/>
      <c r="T111" s="16"/>
      <c r="U111" s="16"/>
    </row>
    <row r="112" spans="2:21" ht="27" customHeight="1">
      <c r="B112" s="16"/>
      <c r="C112" s="16"/>
      <c r="D112" s="16"/>
      <c r="E112" s="16"/>
      <c r="F112" s="16"/>
      <c r="G112" s="16"/>
      <c r="H112" s="624"/>
      <c r="I112" s="16"/>
      <c r="J112" s="16"/>
      <c r="K112" s="16"/>
      <c r="L112" s="16"/>
      <c r="M112" s="16"/>
      <c r="N112" s="16"/>
      <c r="O112" s="16"/>
      <c r="P112" s="16"/>
      <c r="Q112" s="16"/>
      <c r="R112" s="16"/>
      <c r="S112" s="16"/>
      <c r="T112" s="16"/>
      <c r="U112" s="16"/>
    </row>
    <row r="113" spans="2:21" ht="27" customHeight="1">
      <c r="B113" s="16"/>
      <c r="C113" s="16"/>
      <c r="D113" s="16"/>
      <c r="E113" s="16"/>
      <c r="F113" s="16"/>
      <c r="G113" s="16"/>
      <c r="H113" s="624"/>
      <c r="I113" s="16"/>
      <c r="J113" s="16"/>
      <c r="K113" s="16"/>
      <c r="L113" s="16"/>
      <c r="M113" s="16"/>
      <c r="N113" s="16"/>
      <c r="O113" s="16"/>
      <c r="P113" s="16"/>
      <c r="Q113" s="16"/>
      <c r="R113" s="16"/>
      <c r="S113" s="16"/>
      <c r="T113" s="16"/>
      <c r="U113" s="16"/>
    </row>
    <row r="114" spans="2:21" ht="27" customHeight="1">
      <c r="B114" s="16"/>
      <c r="C114" s="16"/>
      <c r="D114" s="16"/>
      <c r="E114" s="16"/>
      <c r="F114" s="16"/>
      <c r="G114" s="16"/>
      <c r="H114" s="624"/>
      <c r="I114" s="16"/>
      <c r="J114" s="16"/>
      <c r="K114" s="16"/>
      <c r="L114" s="16"/>
      <c r="M114" s="16"/>
      <c r="N114" s="16"/>
      <c r="O114" s="16"/>
      <c r="P114" s="16"/>
      <c r="Q114" s="16"/>
      <c r="R114" s="16"/>
      <c r="S114" s="16"/>
      <c r="T114" s="16"/>
      <c r="U114" s="16"/>
    </row>
    <row r="115" spans="2:21" ht="27" customHeight="1">
      <c r="B115" s="16"/>
      <c r="C115" s="16"/>
      <c r="D115" s="16"/>
      <c r="E115" s="16"/>
      <c r="F115" s="16"/>
      <c r="G115" s="16"/>
      <c r="H115" s="624"/>
      <c r="I115" s="16"/>
      <c r="J115" s="16"/>
      <c r="K115" s="16"/>
      <c r="L115" s="16"/>
      <c r="M115" s="16"/>
      <c r="N115" s="16"/>
      <c r="O115" s="16"/>
      <c r="P115" s="16"/>
      <c r="Q115" s="16"/>
      <c r="R115" s="16"/>
      <c r="S115" s="16"/>
      <c r="T115" s="16"/>
      <c r="U115" s="16"/>
    </row>
    <row r="116" spans="2:21" ht="27" customHeight="1">
      <c r="B116" s="16"/>
      <c r="C116" s="16"/>
      <c r="D116" s="16"/>
      <c r="E116" s="16"/>
      <c r="F116" s="16"/>
      <c r="G116" s="16"/>
      <c r="H116" s="624"/>
      <c r="I116" s="16"/>
      <c r="J116" s="16"/>
      <c r="K116" s="16"/>
      <c r="L116" s="16"/>
      <c r="M116" s="16"/>
      <c r="N116" s="16"/>
      <c r="O116" s="16"/>
      <c r="P116" s="16"/>
      <c r="Q116" s="16"/>
      <c r="R116" s="16"/>
      <c r="S116" s="16"/>
      <c r="T116" s="16"/>
      <c r="U116" s="16"/>
    </row>
    <row r="117" spans="2:21" ht="27" customHeight="1">
      <c r="B117" s="16"/>
      <c r="C117" s="16"/>
      <c r="D117" s="16"/>
      <c r="E117" s="16"/>
      <c r="F117" s="16"/>
      <c r="G117" s="16"/>
      <c r="H117" s="624"/>
      <c r="I117" s="16"/>
      <c r="J117" s="16"/>
      <c r="K117" s="16"/>
      <c r="L117" s="16"/>
      <c r="M117" s="16"/>
      <c r="N117" s="16"/>
      <c r="O117" s="16"/>
      <c r="P117" s="16"/>
      <c r="Q117" s="16"/>
      <c r="R117" s="16"/>
      <c r="S117" s="16"/>
      <c r="T117" s="16"/>
      <c r="U117" s="16"/>
    </row>
    <row r="118" spans="2:21" ht="27" customHeight="1">
      <c r="B118" s="16"/>
      <c r="C118" s="16"/>
      <c r="D118" s="16"/>
      <c r="E118" s="16"/>
      <c r="F118" s="16"/>
      <c r="G118" s="16"/>
      <c r="H118" s="624"/>
      <c r="I118" s="16"/>
      <c r="J118" s="16"/>
      <c r="K118" s="16"/>
      <c r="L118" s="16"/>
      <c r="M118" s="16"/>
      <c r="N118" s="16"/>
      <c r="O118" s="16"/>
      <c r="P118" s="16"/>
      <c r="Q118" s="16"/>
      <c r="R118" s="16"/>
      <c r="S118" s="16"/>
      <c r="T118" s="16"/>
      <c r="U118" s="16"/>
    </row>
    <row r="119" spans="2:21" ht="27" customHeight="1">
      <c r="B119" s="16"/>
      <c r="C119" s="16"/>
      <c r="D119" s="16"/>
      <c r="E119" s="16"/>
      <c r="F119" s="16"/>
      <c r="G119" s="16"/>
      <c r="H119" s="624"/>
      <c r="I119" s="16"/>
      <c r="J119" s="16"/>
      <c r="K119" s="16"/>
      <c r="L119" s="16"/>
      <c r="M119" s="16"/>
      <c r="N119" s="16"/>
      <c r="O119" s="16"/>
      <c r="P119" s="16"/>
      <c r="Q119" s="16"/>
      <c r="R119" s="16"/>
      <c r="S119" s="16"/>
      <c r="T119" s="16"/>
      <c r="U119" s="16"/>
    </row>
    <row r="120" spans="2:21" ht="27" customHeight="1">
      <c r="B120" s="16"/>
      <c r="C120" s="16"/>
      <c r="D120" s="16"/>
      <c r="E120" s="16"/>
      <c r="F120" s="16"/>
      <c r="G120" s="16"/>
      <c r="H120" s="624"/>
      <c r="I120" s="16"/>
      <c r="J120" s="16"/>
      <c r="K120" s="16"/>
      <c r="L120" s="16"/>
      <c r="M120" s="16"/>
      <c r="N120" s="16"/>
      <c r="O120" s="16"/>
      <c r="P120" s="16"/>
      <c r="Q120" s="16"/>
      <c r="R120" s="16"/>
      <c r="S120" s="16"/>
      <c r="T120" s="16"/>
      <c r="U120" s="16"/>
    </row>
    <row r="121" spans="2:21" ht="27" customHeight="1">
      <c r="B121" s="16"/>
      <c r="C121" s="16"/>
      <c r="D121" s="16"/>
      <c r="E121" s="16"/>
      <c r="F121" s="16"/>
      <c r="G121" s="16"/>
      <c r="H121" s="624"/>
      <c r="I121" s="16"/>
      <c r="J121" s="16"/>
      <c r="K121" s="16"/>
      <c r="L121" s="16"/>
      <c r="M121" s="16"/>
      <c r="N121" s="16"/>
      <c r="O121" s="16"/>
      <c r="P121" s="16"/>
      <c r="Q121" s="16"/>
      <c r="R121" s="16"/>
      <c r="S121" s="16"/>
      <c r="T121" s="16"/>
      <c r="U121" s="16"/>
    </row>
    <row r="122" spans="2:21" ht="27" customHeight="1">
      <c r="B122" s="16"/>
      <c r="C122" s="16"/>
      <c r="D122" s="16"/>
      <c r="E122" s="16"/>
      <c r="F122" s="16"/>
      <c r="G122" s="16"/>
      <c r="H122" s="624"/>
      <c r="I122" s="16"/>
      <c r="J122" s="16"/>
      <c r="K122" s="16"/>
      <c r="L122" s="16"/>
      <c r="M122" s="16"/>
      <c r="N122" s="16"/>
      <c r="O122" s="16"/>
      <c r="P122" s="16"/>
      <c r="Q122" s="16"/>
      <c r="R122" s="16"/>
      <c r="S122" s="16"/>
      <c r="T122" s="16"/>
      <c r="U122" s="16"/>
    </row>
    <row r="123" spans="2:21" ht="27" customHeight="1">
      <c r="B123" s="16"/>
      <c r="C123" s="16"/>
      <c r="D123" s="16"/>
      <c r="E123" s="16"/>
      <c r="F123" s="16"/>
      <c r="G123" s="16"/>
      <c r="H123" s="624"/>
      <c r="I123" s="16"/>
      <c r="J123" s="16"/>
      <c r="K123" s="16"/>
      <c r="L123" s="16"/>
      <c r="M123" s="16"/>
      <c r="N123" s="16"/>
      <c r="O123" s="16"/>
      <c r="P123" s="16"/>
      <c r="Q123" s="16"/>
      <c r="R123" s="16"/>
      <c r="S123" s="16"/>
      <c r="T123" s="16"/>
      <c r="U123" s="16"/>
    </row>
    <row r="124" spans="2:21" ht="27" customHeight="1">
      <c r="B124" s="16"/>
      <c r="C124" s="16"/>
      <c r="D124" s="16"/>
      <c r="E124" s="16"/>
      <c r="F124" s="16"/>
      <c r="G124" s="16"/>
      <c r="H124" s="624"/>
      <c r="I124" s="16"/>
      <c r="J124" s="16"/>
      <c r="K124" s="16"/>
      <c r="L124" s="16"/>
      <c r="M124" s="16"/>
      <c r="N124" s="16"/>
      <c r="O124" s="16"/>
      <c r="P124" s="16"/>
      <c r="Q124" s="16"/>
      <c r="R124" s="16"/>
      <c r="S124" s="16"/>
      <c r="T124" s="16"/>
      <c r="U124" s="16"/>
    </row>
    <row r="125" spans="2:21" ht="27" customHeight="1">
      <c r="B125" s="16"/>
      <c r="C125" s="16"/>
      <c r="D125" s="16"/>
      <c r="E125" s="16"/>
      <c r="F125" s="16"/>
      <c r="G125" s="16"/>
      <c r="H125" s="624"/>
      <c r="I125" s="16"/>
      <c r="J125" s="16"/>
      <c r="K125" s="16"/>
      <c r="L125" s="16"/>
      <c r="M125" s="16"/>
      <c r="N125" s="16"/>
      <c r="O125" s="16"/>
      <c r="P125" s="16"/>
      <c r="Q125" s="16"/>
      <c r="R125" s="16"/>
      <c r="S125" s="16"/>
      <c r="T125" s="16"/>
      <c r="U125" s="16"/>
    </row>
    <row r="126" spans="2:21" ht="27" customHeight="1">
      <c r="B126" s="16"/>
      <c r="C126" s="16"/>
      <c r="D126" s="16"/>
      <c r="E126" s="16"/>
      <c r="F126" s="16"/>
      <c r="G126" s="16"/>
      <c r="H126" s="624"/>
      <c r="I126" s="16"/>
      <c r="J126" s="16"/>
      <c r="K126" s="16"/>
      <c r="L126" s="16"/>
      <c r="M126" s="16"/>
      <c r="N126" s="16"/>
      <c r="O126" s="16"/>
      <c r="P126" s="16"/>
      <c r="Q126" s="16"/>
      <c r="R126" s="16"/>
      <c r="S126" s="16"/>
      <c r="T126" s="16"/>
      <c r="U126" s="16"/>
    </row>
    <row r="127" spans="2:21" ht="27" customHeight="1">
      <c r="B127" s="16"/>
      <c r="C127" s="16"/>
      <c r="D127" s="16"/>
      <c r="E127" s="16"/>
      <c r="F127" s="16"/>
      <c r="G127" s="16"/>
      <c r="H127" s="624"/>
      <c r="I127" s="16"/>
      <c r="J127" s="16"/>
      <c r="K127" s="16"/>
      <c r="L127" s="16"/>
      <c r="M127" s="16"/>
      <c r="N127" s="16"/>
      <c r="O127" s="16"/>
      <c r="P127" s="16"/>
      <c r="Q127" s="16"/>
      <c r="R127" s="16"/>
      <c r="S127" s="16"/>
      <c r="T127" s="16"/>
      <c r="U127" s="16"/>
    </row>
    <row r="128" spans="2:21" ht="27" customHeight="1">
      <c r="B128" s="16"/>
      <c r="C128" s="16"/>
      <c r="D128" s="16"/>
      <c r="E128" s="16"/>
      <c r="F128" s="16"/>
      <c r="G128" s="16"/>
      <c r="H128" s="624"/>
      <c r="I128" s="16"/>
      <c r="J128" s="16"/>
      <c r="K128" s="16"/>
      <c r="L128" s="16"/>
      <c r="M128" s="16"/>
      <c r="N128" s="16"/>
      <c r="O128" s="16"/>
      <c r="P128" s="16"/>
      <c r="Q128" s="16"/>
      <c r="R128" s="16"/>
      <c r="S128" s="16"/>
      <c r="T128" s="16"/>
      <c r="U128" s="16"/>
    </row>
    <row r="129" spans="2:21" ht="27" customHeight="1">
      <c r="B129" s="16"/>
      <c r="C129" s="16"/>
      <c r="D129" s="16"/>
      <c r="E129" s="16"/>
      <c r="F129" s="16"/>
      <c r="G129" s="16"/>
      <c r="H129" s="624"/>
      <c r="I129" s="16"/>
      <c r="J129" s="16"/>
      <c r="K129" s="16"/>
      <c r="L129" s="16"/>
      <c r="M129" s="16"/>
      <c r="N129" s="16"/>
      <c r="O129" s="16"/>
      <c r="P129" s="16"/>
      <c r="Q129" s="16"/>
      <c r="R129" s="16"/>
      <c r="S129" s="16"/>
      <c r="T129" s="16"/>
      <c r="U129" s="16"/>
    </row>
    <row r="130" spans="2:21" ht="27" customHeight="1">
      <c r="B130" s="16"/>
      <c r="C130" s="16"/>
      <c r="D130" s="16"/>
      <c r="E130" s="16"/>
      <c r="F130" s="16"/>
      <c r="G130" s="16"/>
      <c r="H130" s="624"/>
      <c r="I130" s="16"/>
      <c r="J130" s="16"/>
      <c r="K130" s="16"/>
      <c r="L130" s="16"/>
      <c r="M130" s="16"/>
      <c r="N130" s="16"/>
      <c r="O130" s="16"/>
      <c r="P130" s="16"/>
      <c r="Q130" s="16"/>
      <c r="R130" s="16"/>
      <c r="S130" s="16"/>
      <c r="T130" s="16"/>
      <c r="U130" s="16"/>
    </row>
    <row r="131" spans="2:21" ht="27" customHeight="1">
      <c r="B131" s="16"/>
      <c r="C131" s="16"/>
      <c r="D131" s="16"/>
      <c r="E131" s="16"/>
      <c r="F131" s="16"/>
      <c r="G131" s="16"/>
      <c r="H131" s="624"/>
      <c r="I131" s="16"/>
      <c r="J131" s="16"/>
      <c r="K131" s="16"/>
      <c r="L131" s="16"/>
      <c r="M131" s="16"/>
      <c r="N131" s="16"/>
      <c r="O131" s="16"/>
      <c r="P131" s="16"/>
      <c r="Q131" s="16"/>
      <c r="R131" s="16"/>
      <c r="S131" s="16"/>
      <c r="T131" s="16"/>
      <c r="U131" s="16"/>
    </row>
    <row r="132" spans="2:21" ht="27" customHeight="1">
      <c r="B132" s="16"/>
      <c r="C132" s="16"/>
      <c r="D132" s="16"/>
      <c r="E132" s="16"/>
      <c r="F132" s="16"/>
      <c r="G132" s="16"/>
      <c r="H132" s="624"/>
      <c r="I132" s="16"/>
      <c r="J132" s="16"/>
      <c r="K132" s="16"/>
      <c r="L132" s="16"/>
      <c r="M132" s="16"/>
      <c r="N132" s="16"/>
      <c r="O132" s="16"/>
      <c r="P132" s="16"/>
      <c r="Q132" s="16"/>
      <c r="R132" s="16"/>
      <c r="S132" s="16"/>
      <c r="T132" s="16"/>
      <c r="U132" s="16"/>
    </row>
    <row r="133" spans="2:21" ht="27" customHeight="1">
      <c r="B133" s="16"/>
      <c r="C133" s="16"/>
      <c r="D133" s="16"/>
      <c r="E133" s="16"/>
      <c r="F133" s="16"/>
      <c r="G133" s="16"/>
      <c r="H133" s="624"/>
      <c r="I133" s="16"/>
      <c r="J133" s="16"/>
      <c r="K133" s="16"/>
      <c r="L133" s="16"/>
      <c r="M133" s="16"/>
      <c r="N133" s="16"/>
      <c r="O133" s="16"/>
      <c r="P133" s="16"/>
      <c r="Q133" s="16"/>
      <c r="R133" s="16"/>
      <c r="S133" s="16"/>
      <c r="T133" s="16"/>
      <c r="U133" s="16"/>
    </row>
    <row r="134" spans="2:21" ht="27" customHeight="1">
      <c r="B134" s="16"/>
      <c r="C134" s="16"/>
      <c r="D134" s="16"/>
      <c r="E134" s="16"/>
      <c r="F134" s="16"/>
      <c r="G134" s="16"/>
      <c r="H134" s="624"/>
      <c r="I134" s="16"/>
      <c r="J134" s="16"/>
      <c r="K134" s="16"/>
      <c r="L134" s="16"/>
      <c r="M134" s="16"/>
      <c r="N134" s="16"/>
      <c r="O134" s="16"/>
      <c r="P134" s="16"/>
      <c r="Q134" s="16"/>
      <c r="R134" s="16"/>
      <c r="S134" s="16"/>
      <c r="T134" s="16"/>
      <c r="U134" s="16"/>
    </row>
    <row r="135" spans="2:21" ht="27" customHeight="1">
      <c r="B135" s="16"/>
      <c r="C135" s="16"/>
      <c r="D135" s="16"/>
      <c r="E135" s="16"/>
      <c r="F135" s="16"/>
      <c r="G135" s="16"/>
      <c r="H135" s="624"/>
      <c r="I135" s="16"/>
      <c r="J135" s="16"/>
      <c r="K135" s="16"/>
      <c r="L135" s="16"/>
      <c r="M135" s="16"/>
      <c r="N135" s="16"/>
      <c r="O135" s="16"/>
      <c r="P135" s="16"/>
      <c r="Q135" s="16"/>
      <c r="R135" s="16"/>
      <c r="S135" s="16"/>
      <c r="T135" s="16"/>
      <c r="U135" s="16"/>
    </row>
    <row r="136" spans="2:21" ht="27" customHeight="1">
      <c r="B136" s="16"/>
      <c r="C136" s="16"/>
      <c r="D136" s="16"/>
      <c r="E136" s="16"/>
      <c r="F136" s="16"/>
      <c r="G136" s="16"/>
      <c r="H136" s="624"/>
      <c r="I136" s="16"/>
      <c r="J136" s="16"/>
      <c r="K136" s="16"/>
      <c r="L136" s="16"/>
      <c r="M136" s="16"/>
      <c r="N136" s="16"/>
      <c r="O136" s="16"/>
      <c r="P136" s="16"/>
      <c r="Q136" s="16"/>
      <c r="R136" s="16"/>
      <c r="S136" s="16"/>
      <c r="T136" s="16"/>
      <c r="U136" s="16"/>
    </row>
    <row r="137" spans="2:21" ht="27" customHeight="1">
      <c r="B137" s="16"/>
      <c r="C137" s="16"/>
      <c r="D137" s="16"/>
      <c r="E137" s="16"/>
      <c r="F137" s="16"/>
      <c r="G137" s="16"/>
      <c r="H137" s="624"/>
      <c r="I137" s="16"/>
      <c r="J137" s="16"/>
      <c r="K137" s="16"/>
      <c r="L137" s="16"/>
      <c r="M137" s="16"/>
      <c r="N137" s="16"/>
      <c r="O137" s="16"/>
      <c r="P137" s="16"/>
      <c r="Q137" s="16"/>
      <c r="R137" s="16"/>
      <c r="S137" s="16"/>
      <c r="T137" s="16"/>
      <c r="U137" s="16"/>
    </row>
    <row r="138" spans="2:21" ht="27" customHeight="1">
      <c r="B138" s="16"/>
      <c r="C138" s="16"/>
      <c r="D138" s="16"/>
      <c r="E138" s="16"/>
      <c r="F138" s="16"/>
      <c r="G138" s="16"/>
      <c r="H138" s="624"/>
      <c r="I138" s="16"/>
      <c r="J138" s="16"/>
      <c r="K138" s="16"/>
      <c r="L138" s="16"/>
      <c r="M138" s="16"/>
      <c r="N138" s="16"/>
      <c r="O138" s="16"/>
      <c r="P138" s="16"/>
      <c r="Q138" s="16"/>
      <c r="R138" s="16"/>
      <c r="S138" s="16"/>
      <c r="T138" s="16"/>
      <c r="U138" s="16"/>
    </row>
    <row r="139" spans="2:21" ht="27" customHeight="1">
      <c r="B139" s="16"/>
      <c r="C139" s="16"/>
      <c r="D139" s="16"/>
      <c r="E139" s="16"/>
      <c r="F139" s="16"/>
      <c r="G139" s="16"/>
      <c r="H139" s="624"/>
      <c r="I139" s="16"/>
      <c r="J139" s="16"/>
      <c r="K139" s="16"/>
      <c r="L139" s="16"/>
      <c r="M139" s="16"/>
      <c r="N139" s="16"/>
      <c r="O139" s="16"/>
      <c r="P139" s="16"/>
      <c r="Q139" s="16"/>
      <c r="R139" s="16"/>
      <c r="S139" s="16"/>
      <c r="T139" s="16"/>
      <c r="U139" s="16"/>
    </row>
    <row r="140" spans="2:21" ht="27" customHeight="1">
      <c r="B140" s="16"/>
      <c r="C140" s="16"/>
      <c r="D140" s="16"/>
      <c r="E140" s="16"/>
      <c r="F140" s="16"/>
      <c r="G140" s="16"/>
      <c r="H140" s="624"/>
      <c r="I140" s="16"/>
      <c r="J140" s="16"/>
      <c r="K140" s="16"/>
      <c r="L140" s="16"/>
      <c r="M140" s="16"/>
      <c r="N140" s="16"/>
      <c r="O140" s="16"/>
      <c r="P140" s="16"/>
      <c r="Q140" s="16"/>
      <c r="R140" s="16"/>
      <c r="S140" s="16"/>
      <c r="T140" s="16"/>
      <c r="U140" s="16"/>
    </row>
    <row r="141" spans="2:21" ht="27" customHeight="1">
      <c r="B141" s="16"/>
      <c r="C141" s="16"/>
      <c r="D141" s="16"/>
      <c r="E141" s="16"/>
      <c r="F141" s="16"/>
      <c r="G141" s="16"/>
      <c r="H141" s="624"/>
      <c r="I141" s="16"/>
      <c r="J141" s="16"/>
      <c r="K141" s="16"/>
      <c r="L141" s="16"/>
      <c r="M141" s="16"/>
      <c r="N141" s="16"/>
      <c r="O141" s="16"/>
      <c r="P141" s="16"/>
      <c r="Q141" s="16"/>
      <c r="R141" s="16"/>
      <c r="S141" s="16"/>
      <c r="T141" s="16"/>
      <c r="U141" s="16"/>
    </row>
    <row r="142" spans="2:21" ht="27" customHeight="1">
      <c r="B142" s="16"/>
      <c r="C142" s="16"/>
      <c r="D142" s="16"/>
      <c r="E142" s="16"/>
      <c r="F142" s="16"/>
      <c r="G142" s="16"/>
      <c r="H142" s="624"/>
      <c r="I142" s="16"/>
      <c r="J142" s="16"/>
      <c r="K142" s="16"/>
      <c r="L142" s="16"/>
      <c r="M142" s="16"/>
      <c r="N142" s="16"/>
      <c r="O142" s="16"/>
      <c r="P142" s="16"/>
      <c r="Q142" s="16"/>
      <c r="R142" s="16"/>
      <c r="S142" s="16"/>
      <c r="T142" s="16"/>
      <c r="U142" s="16"/>
    </row>
    <row r="143" spans="2:21" ht="27" customHeight="1">
      <c r="B143" s="16"/>
      <c r="C143" s="16"/>
      <c r="D143" s="16"/>
      <c r="E143" s="16"/>
      <c r="F143" s="16"/>
      <c r="G143" s="16"/>
      <c r="H143" s="624"/>
      <c r="I143" s="16"/>
      <c r="J143" s="16"/>
      <c r="K143" s="16"/>
      <c r="L143" s="16"/>
      <c r="M143" s="16"/>
      <c r="N143" s="16"/>
      <c r="O143" s="16"/>
      <c r="P143" s="16"/>
      <c r="Q143" s="16"/>
      <c r="R143" s="16"/>
      <c r="S143" s="16"/>
      <c r="T143" s="16"/>
      <c r="U143" s="16"/>
    </row>
    <row r="144" spans="2:21" ht="27" customHeight="1">
      <c r="B144" s="16"/>
      <c r="C144" s="16"/>
      <c r="D144" s="16"/>
      <c r="E144" s="16"/>
      <c r="F144" s="16"/>
      <c r="G144" s="16"/>
      <c r="H144" s="624"/>
      <c r="I144" s="16"/>
      <c r="J144" s="16"/>
      <c r="K144" s="16"/>
      <c r="L144" s="16"/>
      <c r="M144" s="16"/>
      <c r="N144" s="16"/>
      <c r="O144" s="16"/>
      <c r="P144" s="16"/>
      <c r="Q144" s="16"/>
      <c r="R144" s="16"/>
      <c r="S144" s="16"/>
      <c r="T144" s="16"/>
      <c r="U144" s="16"/>
    </row>
    <row r="145" spans="2:21" ht="27" customHeight="1">
      <c r="B145" s="16"/>
      <c r="C145" s="16"/>
      <c r="D145" s="16"/>
      <c r="E145" s="16"/>
      <c r="F145" s="16"/>
      <c r="G145" s="16"/>
      <c r="H145" s="624"/>
      <c r="I145" s="16"/>
      <c r="J145" s="16"/>
      <c r="K145" s="16"/>
      <c r="L145" s="16"/>
      <c r="M145" s="16"/>
      <c r="N145" s="16"/>
      <c r="O145" s="16"/>
      <c r="P145" s="16"/>
      <c r="Q145" s="16"/>
      <c r="R145" s="16"/>
      <c r="S145" s="16"/>
      <c r="T145" s="16"/>
      <c r="U145" s="16"/>
    </row>
    <row r="146" spans="2:21" ht="27" customHeight="1">
      <c r="B146" s="16"/>
      <c r="C146" s="16"/>
      <c r="D146" s="16"/>
      <c r="E146" s="16"/>
      <c r="F146" s="16"/>
      <c r="G146" s="16"/>
      <c r="H146" s="624"/>
      <c r="I146" s="16"/>
      <c r="J146" s="16"/>
      <c r="K146" s="16"/>
      <c r="L146" s="16"/>
      <c r="M146" s="16"/>
      <c r="N146" s="16"/>
      <c r="O146" s="16"/>
      <c r="P146" s="16"/>
      <c r="Q146" s="16"/>
      <c r="R146" s="16"/>
      <c r="S146" s="16"/>
      <c r="T146" s="16"/>
      <c r="U146" s="16"/>
    </row>
    <row r="147" spans="2:21" ht="27" customHeight="1">
      <c r="B147" s="16"/>
      <c r="C147" s="16"/>
      <c r="D147" s="16"/>
      <c r="E147" s="16"/>
      <c r="F147" s="16"/>
      <c r="G147" s="16"/>
      <c r="H147" s="624"/>
      <c r="I147" s="16"/>
      <c r="J147" s="16"/>
      <c r="K147" s="16"/>
      <c r="L147" s="16"/>
      <c r="M147" s="16"/>
      <c r="N147" s="16"/>
      <c r="O147" s="16"/>
      <c r="P147" s="16"/>
      <c r="Q147" s="16"/>
      <c r="R147" s="16"/>
      <c r="S147" s="16"/>
      <c r="T147" s="16"/>
      <c r="U147" s="16"/>
    </row>
    <row r="148" spans="2:21" ht="27" customHeight="1">
      <c r="B148" s="16"/>
      <c r="C148" s="16"/>
      <c r="D148" s="16"/>
      <c r="E148" s="16"/>
      <c r="F148" s="16"/>
      <c r="G148" s="16"/>
      <c r="H148" s="624"/>
      <c r="I148" s="16"/>
      <c r="J148" s="16"/>
      <c r="K148" s="16"/>
      <c r="L148" s="16"/>
      <c r="M148" s="16"/>
      <c r="N148" s="16"/>
      <c r="O148" s="16"/>
      <c r="P148" s="16"/>
      <c r="Q148" s="16"/>
      <c r="R148" s="16"/>
      <c r="S148" s="16"/>
      <c r="T148" s="16"/>
      <c r="U148" s="16"/>
    </row>
    <row r="149" spans="2:21" ht="27" customHeight="1">
      <c r="B149" s="16"/>
      <c r="C149" s="16"/>
      <c r="D149" s="16"/>
      <c r="E149" s="16"/>
      <c r="F149" s="16"/>
      <c r="G149" s="16"/>
      <c r="H149" s="624"/>
      <c r="I149" s="16"/>
      <c r="J149" s="16"/>
      <c r="K149" s="16"/>
      <c r="L149" s="16"/>
      <c r="M149" s="16"/>
      <c r="N149" s="16"/>
      <c r="O149" s="16"/>
      <c r="P149" s="16"/>
      <c r="Q149" s="16"/>
      <c r="R149" s="16"/>
      <c r="S149" s="16"/>
      <c r="T149" s="16"/>
      <c r="U149" s="16"/>
    </row>
    <row r="150" spans="2:21" ht="27" customHeight="1">
      <c r="B150" s="16"/>
      <c r="C150" s="16"/>
      <c r="D150" s="16"/>
      <c r="E150" s="16"/>
      <c r="F150" s="16"/>
      <c r="G150" s="16"/>
      <c r="H150" s="624"/>
      <c r="I150" s="16"/>
      <c r="J150" s="16"/>
      <c r="K150" s="16"/>
      <c r="L150" s="16"/>
      <c r="M150" s="16"/>
      <c r="N150" s="16"/>
      <c r="O150" s="16"/>
      <c r="P150" s="16"/>
      <c r="Q150" s="16"/>
      <c r="R150" s="16"/>
      <c r="S150" s="16"/>
      <c r="T150" s="16"/>
      <c r="U150" s="16"/>
    </row>
    <row r="151" spans="2:21" ht="27" customHeight="1">
      <c r="B151" s="16"/>
      <c r="C151" s="16"/>
      <c r="D151" s="16"/>
      <c r="E151" s="16"/>
      <c r="F151" s="16"/>
      <c r="G151" s="16"/>
      <c r="H151" s="624"/>
      <c r="I151" s="16"/>
      <c r="J151" s="16"/>
      <c r="K151" s="16"/>
      <c r="L151" s="16"/>
      <c r="M151" s="16"/>
      <c r="N151" s="16"/>
      <c r="O151" s="16"/>
      <c r="P151" s="16"/>
      <c r="Q151" s="16"/>
      <c r="R151" s="16"/>
      <c r="S151" s="16"/>
      <c r="T151" s="16"/>
      <c r="U151" s="16"/>
    </row>
    <row r="152" spans="2:21" ht="27" customHeight="1">
      <c r="B152" s="16"/>
      <c r="C152" s="16"/>
      <c r="D152" s="16"/>
      <c r="E152" s="16"/>
      <c r="F152" s="16"/>
      <c r="G152" s="16"/>
      <c r="H152" s="624"/>
      <c r="I152" s="16"/>
      <c r="J152" s="16"/>
      <c r="K152" s="16"/>
      <c r="L152" s="16"/>
      <c r="M152" s="16"/>
      <c r="N152" s="16"/>
      <c r="O152" s="16"/>
      <c r="P152" s="16"/>
      <c r="Q152" s="16"/>
      <c r="R152" s="16"/>
      <c r="S152" s="16"/>
      <c r="T152" s="16"/>
      <c r="U152" s="16"/>
    </row>
    <row r="153" spans="2:21" ht="27" customHeight="1">
      <c r="B153" s="16"/>
      <c r="C153" s="16"/>
      <c r="D153" s="16"/>
      <c r="E153" s="16"/>
      <c r="F153" s="16"/>
      <c r="G153" s="16"/>
      <c r="H153" s="624"/>
      <c r="I153" s="16"/>
      <c r="J153" s="16"/>
      <c r="K153" s="16"/>
      <c r="L153" s="16"/>
      <c r="M153" s="16"/>
      <c r="N153" s="16"/>
      <c r="O153" s="16"/>
      <c r="P153" s="16"/>
      <c r="Q153" s="16"/>
      <c r="R153" s="16"/>
      <c r="S153" s="16"/>
      <c r="T153" s="16"/>
      <c r="U153" s="16"/>
    </row>
    <row r="154" spans="2:21" ht="27" customHeight="1">
      <c r="B154" s="16"/>
      <c r="C154" s="16"/>
      <c r="D154" s="16"/>
      <c r="E154" s="16"/>
      <c r="F154" s="16"/>
      <c r="G154" s="16"/>
      <c r="H154" s="624"/>
      <c r="I154" s="16"/>
      <c r="J154" s="16"/>
      <c r="K154" s="16"/>
      <c r="L154" s="16"/>
      <c r="M154" s="16"/>
      <c r="N154" s="16"/>
      <c r="O154" s="16"/>
      <c r="P154" s="16"/>
      <c r="Q154" s="16"/>
      <c r="R154" s="16"/>
      <c r="S154" s="16"/>
      <c r="T154" s="16"/>
      <c r="U154" s="16"/>
    </row>
    <row r="155" spans="2:21" ht="27" customHeight="1">
      <c r="B155" s="16"/>
      <c r="C155" s="16"/>
      <c r="D155" s="16"/>
      <c r="E155" s="16"/>
      <c r="F155" s="16"/>
      <c r="G155" s="16"/>
      <c r="H155" s="624"/>
      <c r="I155" s="16"/>
      <c r="J155" s="16"/>
      <c r="K155" s="16"/>
      <c r="L155" s="16"/>
      <c r="M155" s="16"/>
      <c r="N155" s="16"/>
      <c r="O155" s="16"/>
      <c r="P155" s="16"/>
      <c r="Q155" s="16"/>
      <c r="R155" s="16"/>
      <c r="S155" s="16"/>
      <c r="T155" s="16"/>
      <c r="U155" s="16"/>
    </row>
    <row r="156" spans="2:21" ht="27" customHeight="1">
      <c r="B156" s="16"/>
      <c r="C156" s="16"/>
      <c r="D156" s="16"/>
      <c r="E156" s="16"/>
      <c r="F156" s="16"/>
      <c r="G156" s="16"/>
      <c r="H156" s="624"/>
      <c r="I156" s="16"/>
      <c r="J156" s="16"/>
      <c r="K156" s="16"/>
      <c r="L156" s="16"/>
      <c r="M156" s="16"/>
      <c r="N156" s="16"/>
      <c r="O156" s="16"/>
      <c r="P156" s="16"/>
      <c r="Q156" s="16"/>
      <c r="R156" s="16"/>
      <c r="S156" s="16"/>
      <c r="T156" s="16"/>
      <c r="U156" s="16"/>
    </row>
    <row r="157" spans="2:21" ht="27" customHeight="1">
      <c r="B157" s="16"/>
      <c r="C157" s="16"/>
      <c r="D157" s="16"/>
      <c r="E157" s="16"/>
      <c r="F157" s="16"/>
      <c r="G157" s="16"/>
      <c r="H157" s="624"/>
      <c r="I157" s="16"/>
      <c r="J157" s="16"/>
      <c r="K157" s="16"/>
      <c r="L157" s="16"/>
      <c r="M157" s="16"/>
      <c r="N157" s="16"/>
      <c r="O157" s="16"/>
      <c r="P157" s="16"/>
      <c r="Q157" s="16"/>
      <c r="R157" s="16"/>
      <c r="S157" s="16"/>
      <c r="T157" s="16"/>
      <c r="U157" s="16"/>
    </row>
    <row r="158" spans="2:21" ht="27" customHeight="1">
      <c r="B158" s="16"/>
      <c r="C158" s="16"/>
      <c r="D158" s="16"/>
      <c r="E158" s="16"/>
      <c r="F158" s="16"/>
      <c r="G158" s="16"/>
      <c r="H158" s="624"/>
      <c r="I158" s="16"/>
      <c r="J158" s="16"/>
      <c r="K158" s="16"/>
      <c r="L158" s="16"/>
      <c r="M158" s="16"/>
      <c r="N158" s="16"/>
      <c r="O158" s="16"/>
      <c r="P158" s="16"/>
      <c r="Q158" s="16"/>
      <c r="R158" s="16"/>
      <c r="S158" s="16"/>
      <c r="T158" s="16"/>
      <c r="U158" s="16"/>
    </row>
    <row r="159" spans="2:21" ht="27" customHeight="1">
      <c r="B159" s="16"/>
      <c r="C159" s="16"/>
      <c r="D159" s="16"/>
      <c r="E159" s="16"/>
      <c r="F159" s="16"/>
      <c r="G159" s="16"/>
      <c r="H159" s="624"/>
      <c r="I159" s="16"/>
      <c r="J159" s="16"/>
      <c r="K159" s="16"/>
      <c r="L159" s="16"/>
      <c r="M159" s="16"/>
      <c r="N159" s="16"/>
      <c r="O159" s="16"/>
      <c r="P159" s="16"/>
      <c r="Q159" s="16"/>
      <c r="R159" s="16"/>
      <c r="S159" s="16"/>
      <c r="T159" s="16"/>
      <c r="U159" s="16"/>
    </row>
    <row r="160" spans="2:21" ht="27" customHeight="1">
      <c r="B160" s="16"/>
      <c r="C160" s="16"/>
      <c r="D160" s="16"/>
      <c r="E160" s="16"/>
      <c r="F160" s="16"/>
      <c r="G160" s="16"/>
      <c r="H160" s="624"/>
      <c r="I160" s="16"/>
      <c r="J160" s="16"/>
      <c r="K160" s="16"/>
      <c r="L160" s="16"/>
      <c r="M160" s="16"/>
      <c r="N160" s="16"/>
      <c r="O160" s="16"/>
      <c r="P160" s="16"/>
      <c r="Q160" s="16"/>
      <c r="R160" s="16"/>
      <c r="S160" s="16"/>
      <c r="T160" s="16"/>
      <c r="U160" s="16"/>
    </row>
    <row r="161" spans="2:21" ht="27" customHeight="1">
      <c r="B161" s="16"/>
      <c r="C161" s="16"/>
      <c r="D161" s="16"/>
      <c r="E161" s="16"/>
      <c r="F161" s="16"/>
      <c r="G161" s="16"/>
      <c r="H161" s="624"/>
      <c r="I161" s="16"/>
      <c r="J161" s="16"/>
      <c r="K161" s="16"/>
      <c r="L161" s="16"/>
      <c r="M161" s="16"/>
      <c r="N161" s="16"/>
      <c r="O161" s="16"/>
      <c r="P161" s="16"/>
      <c r="Q161" s="16"/>
      <c r="R161" s="16"/>
      <c r="S161" s="16"/>
      <c r="T161" s="16"/>
      <c r="U161" s="16"/>
    </row>
    <row r="162" spans="2:21" ht="27" customHeight="1">
      <c r="B162" s="16"/>
      <c r="C162" s="16"/>
      <c r="D162" s="16"/>
      <c r="E162" s="16"/>
      <c r="F162" s="16"/>
      <c r="G162" s="16"/>
      <c r="H162" s="624"/>
      <c r="I162" s="16"/>
      <c r="J162" s="16"/>
      <c r="K162" s="16"/>
      <c r="L162" s="16"/>
      <c r="M162" s="16"/>
      <c r="N162" s="16"/>
      <c r="O162" s="16"/>
      <c r="P162" s="16"/>
      <c r="Q162" s="16"/>
      <c r="R162" s="16"/>
      <c r="S162" s="16"/>
      <c r="T162" s="16"/>
      <c r="U162" s="16"/>
    </row>
    <row r="163" spans="2:21" ht="27" customHeight="1">
      <c r="B163" s="16"/>
      <c r="C163" s="16"/>
      <c r="D163" s="16"/>
      <c r="E163" s="16"/>
      <c r="F163" s="16"/>
      <c r="G163" s="16"/>
      <c r="H163" s="624"/>
      <c r="I163" s="16"/>
      <c r="J163" s="16"/>
      <c r="K163" s="16"/>
      <c r="L163" s="16"/>
      <c r="M163" s="16"/>
      <c r="N163" s="16"/>
      <c r="O163" s="16"/>
      <c r="P163" s="16"/>
      <c r="Q163" s="16"/>
      <c r="R163" s="16"/>
      <c r="S163" s="16"/>
      <c r="T163" s="16"/>
      <c r="U163" s="16"/>
    </row>
    <row r="164" spans="2:21" ht="27" customHeight="1">
      <c r="B164" s="16"/>
      <c r="C164" s="16"/>
      <c r="D164" s="16"/>
      <c r="E164" s="16"/>
      <c r="F164" s="16"/>
      <c r="G164" s="16"/>
      <c r="H164" s="624"/>
      <c r="I164" s="16"/>
      <c r="J164" s="16"/>
      <c r="K164" s="16"/>
      <c r="L164" s="16"/>
      <c r="M164" s="16"/>
      <c r="N164" s="16"/>
      <c r="O164" s="16"/>
      <c r="P164" s="16"/>
      <c r="Q164" s="16"/>
      <c r="R164" s="16"/>
      <c r="S164" s="16"/>
      <c r="T164" s="16"/>
      <c r="U164" s="16"/>
    </row>
    <row r="165" spans="2:21" ht="27" customHeight="1">
      <c r="B165" s="16"/>
      <c r="C165" s="16"/>
      <c r="D165" s="16"/>
      <c r="E165" s="16"/>
      <c r="F165" s="16"/>
      <c r="G165" s="16"/>
      <c r="H165" s="624"/>
      <c r="I165" s="16"/>
      <c r="J165" s="16"/>
      <c r="K165" s="16"/>
      <c r="L165" s="16"/>
      <c r="M165" s="16"/>
      <c r="N165" s="16"/>
      <c r="O165" s="16"/>
      <c r="P165" s="16"/>
      <c r="Q165" s="16"/>
      <c r="R165" s="16"/>
      <c r="S165" s="16"/>
      <c r="T165" s="16"/>
      <c r="U165" s="16"/>
    </row>
    <row r="166" spans="2:21" ht="27" customHeight="1">
      <c r="B166" s="16"/>
      <c r="C166" s="16"/>
      <c r="D166" s="16"/>
      <c r="E166" s="16"/>
      <c r="F166" s="16"/>
      <c r="G166" s="16"/>
      <c r="H166" s="624"/>
      <c r="I166" s="16"/>
      <c r="J166" s="16"/>
      <c r="K166" s="16"/>
      <c r="L166" s="16"/>
      <c r="M166" s="16"/>
      <c r="N166" s="16"/>
      <c r="O166" s="16"/>
      <c r="P166" s="16"/>
      <c r="Q166" s="16"/>
      <c r="R166" s="16"/>
      <c r="S166" s="16"/>
      <c r="T166" s="16"/>
      <c r="U166" s="16"/>
    </row>
    <row r="167" spans="2:21" ht="27" customHeight="1">
      <c r="B167" s="16"/>
      <c r="C167" s="16"/>
      <c r="D167" s="16"/>
      <c r="E167" s="16"/>
      <c r="F167" s="16"/>
      <c r="G167" s="16"/>
      <c r="H167" s="624"/>
      <c r="I167" s="16"/>
      <c r="J167" s="16"/>
      <c r="K167" s="16"/>
      <c r="L167" s="16"/>
      <c r="M167" s="16"/>
      <c r="N167" s="16"/>
      <c r="O167" s="16"/>
      <c r="P167" s="16"/>
      <c r="Q167" s="16"/>
      <c r="R167" s="16"/>
      <c r="S167" s="16"/>
      <c r="T167" s="16"/>
      <c r="U167" s="16"/>
    </row>
    <row r="168" spans="2:21" ht="27" customHeight="1">
      <c r="B168" s="16"/>
      <c r="C168" s="16"/>
      <c r="D168" s="16"/>
      <c r="E168" s="16"/>
      <c r="F168" s="16"/>
      <c r="G168" s="16"/>
      <c r="H168" s="624"/>
      <c r="I168" s="16"/>
      <c r="J168" s="16"/>
      <c r="K168" s="16"/>
      <c r="L168" s="16"/>
      <c r="M168" s="16"/>
      <c r="N168" s="16"/>
      <c r="O168" s="16"/>
      <c r="P168" s="16"/>
      <c r="Q168" s="16"/>
      <c r="R168" s="16"/>
      <c r="S168" s="16"/>
      <c r="T168" s="16"/>
      <c r="U168" s="16"/>
    </row>
    <row r="169" spans="2:21" ht="27" customHeight="1">
      <c r="B169" s="16"/>
      <c r="C169" s="16"/>
      <c r="D169" s="16"/>
      <c r="E169" s="16"/>
      <c r="F169" s="16"/>
      <c r="G169" s="16"/>
      <c r="H169" s="624"/>
      <c r="I169" s="16"/>
      <c r="J169" s="16"/>
      <c r="K169" s="16"/>
      <c r="L169" s="16"/>
      <c r="M169" s="16"/>
      <c r="N169" s="16"/>
      <c r="O169" s="16"/>
      <c r="P169" s="16"/>
      <c r="Q169" s="16"/>
      <c r="R169" s="16"/>
      <c r="S169" s="16"/>
      <c r="T169" s="16"/>
      <c r="U169" s="16"/>
    </row>
    <row r="170" spans="2:21" ht="27" customHeight="1">
      <c r="B170" s="16"/>
      <c r="C170" s="16"/>
      <c r="D170" s="16"/>
      <c r="E170" s="16"/>
      <c r="F170" s="16"/>
      <c r="G170" s="16"/>
      <c r="H170" s="624"/>
      <c r="I170" s="16"/>
      <c r="J170" s="16"/>
      <c r="K170" s="16"/>
      <c r="L170" s="16"/>
      <c r="M170" s="16"/>
      <c r="N170" s="16"/>
      <c r="O170" s="16"/>
      <c r="P170" s="16"/>
      <c r="Q170" s="16"/>
      <c r="R170" s="16"/>
      <c r="S170" s="16"/>
      <c r="T170" s="16"/>
      <c r="U170" s="16"/>
    </row>
    <row r="171" spans="2:21" ht="27" customHeight="1">
      <c r="B171" s="16"/>
      <c r="C171" s="16"/>
      <c r="D171" s="16"/>
      <c r="E171" s="16"/>
      <c r="F171" s="16"/>
      <c r="G171" s="16"/>
      <c r="H171" s="624"/>
      <c r="I171" s="16"/>
      <c r="J171" s="16"/>
      <c r="K171" s="16"/>
      <c r="L171" s="16"/>
      <c r="M171" s="16"/>
      <c r="N171" s="16"/>
      <c r="O171" s="16"/>
      <c r="P171" s="16"/>
      <c r="Q171" s="16"/>
      <c r="R171" s="16"/>
      <c r="S171" s="16"/>
      <c r="T171" s="16"/>
      <c r="U171" s="16"/>
    </row>
    <row r="172" spans="2:21" ht="27" customHeight="1">
      <c r="B172" s="16"/>
      <c r="C172" s="16"/>
      <c r="D172" s="16"/>
      <c r="E172" s="16"/>
      <c r="F172" s="16"/>
      <c r="G172" s="16"/>
      <c r="H172" s="624"/>
      <c r="I172" s="16"/>
      <c r="J172" s="16"/>
      <c r="K172" s="16"/>
      <c r="L172" s="16"/>
      <c r="M172" s="16"/>
      <c r="N172" s="16"/>
      <c r="O172" s="16"/>
      <c r="P172" s="16"/>
      <c r="Q172" s="16"/>
      <c r="R172" s="16"/>
      <c r="S172" s="16"/>
      <c r="T172" s="16"/>
      <c r="U172" s="16"/>
    </row>
    <row r="173" spans="2:21" ht="27" customHeight="1">
      <c r="B173" s="16"/>
      <c r="C173" s="16"/>
      <c r="D173" s="16"/>
      <c r="E173" s="16"/>
      <c r="F173" s="16"/>
      <c r="G173" s="16"/>
      <c r="H173" s="624"/>
      <c r="I173" s="16"/>
      <c r="J173" s="16"/>
      <c r="K173" s="16"/>
      <c r="L173" s="16"/>
      <c r="M173" s="16"/>
      <c r="N173" s="16"/>
      <c r="O173" s="16"/>
      <c r="P173" s="16"/>
      <c r="Q173" s="16"/>
      <c r="R173" s="16"/>
      <c r="S173" s="16"/>
      <c r="T173" s="16"/>
      <c r="U173" s="16"/>
    </row>
    <row r="174" spans="2:21" ht="27" customHeight="1">
      <c r="B174" s="16"/>
      <c r="C174" s="16"/>
      <c r="D174" s="16"/>
      <c r="E174" s="16"/>
      <c r="F174" s="16"/>
      <c r="G174" s="16"/>
      <c r="H174" s="624"/>
      <c r="I174" s="16"/>
      <c r="J174" s="16"/>
      <c r="K174" s="16"/>
      <c r="L174" s="16"/>
      <c r="M174" s="16"/>
      <c r="N174" s="16"/>
      <c r="O174" s="16"/>
      <c r="P174" s="16"/>
      <c r="Q174" s="16"/>
      <c r="R174" s="16"/>
      <c r="S174" s="16"/>
      <c r="T174" s="16"/>
      <c r="U174" s="16"/>
    </row>
    <row r="175" spans="2:21" ht="27" customHeight="1">
      <c r="B175" s="16"/>
      <c r="C175" s="16"/>
      <c r="D175" s="16"/>
      <c r="E175" s="16"/>
      <c r="F175" s="16"/>
      <c r="G175" s="16"/>
      <c r="H175" s="624"/>
      <c r="I175" s="16"/>
      <c r="J175" s="16"/>
      <c r="K175" s="16"/>
      <c r="L175" s="16"/>
      <c r="M175" s="16"/>
      <c r="N175" s="16"/>
      <c r="O175" s="16"/>
      <c r="P175" s="16"/>
      <c r="Q175" s="16"/>
      <c r="R175" s="16"/>
      <c r="S175" s="16"/>
      <c r="T175" s="16"/>
      <c r="U175" s="16"/>
    </row>
    <row r="176" spans="2:21" ht="27" customHeight="1">
      <c r="B176" s="16"/>
      <c r="C176" s="16"/>
      <c r="D176" s="16"/>
      <c r="E176" s="16"/>
      <c r="F176" s="16"/>
      <c r="G176" s="16"/>
      <c r="H176" s="624"/>
      <c r="I176" s="16"/>
      <c r="J176" s="16"/>
      <c r="K176" s="16"/>
      <c r="L176" s="16"/>
      <c r="M176" s="16"/>
      <c r="N176" s="16"/>
      <c r="O176" s="16"/>
      <c r="P176" s="16"/>
      <c r="Q176" s="16"/>
      <c r="R176" s="16"/>
      <c r="S176" s="16"/>
      <c r="T176" s="16"/>
      <c r="U176" s="16"/>
    </row>
    <row r="177" spans="2:21" ht="27" customHeight="1">
      <c r="B177" s="16"/>
      <c r="C177" s="16"/>
      <c r="D177" s="16"/>
      <c r="E177" s="16"/>
      <c r="F177" s="16"/>
      <c r="G177" s="16"/>
      <c r="H177" s="624"/>
      <c r="I177" s="16"/>
      <c r="J177" s="16"/>
      <c r="K177" s="16"/>
      <c r="L177" s="16"/>
      <c r="M177" s="16"/>
      <c r="N177" s="16"/>
      <c r="O177" s="16"/>
      <c r="P177" s="16"/>
      <c r="Q177" s="16"/>
      <c r="R177" s="16"/>
      <c r="S177" s="16"/>
      <c r="T177" s="16"/>
      <c r="U177" s="16"/>
    </row>
    <row r="178" spans="2:21" ht="27" customHeight="1">
      <c r="B178" s="16"/>
      <c r="C178" s="16"/>
      <c r="D178" s="16"/>
      <c r="E178" s="16"/>
      <c r="F178" s="16"/>
      <c r="G178" s="16"/>
      <c r="H178" s="624"/>
      <c r="I178" s="16"/>
      <c r="J178" s="16"/>
      <c r="K178" s="16"/>
      <c r="L178" s="16"/>
      <c r="M178" s="16"/>
      <c r="N178" s="16"/>
      <c r="O178" s="16"/>
      <c r="P178" s="16"/>
      <c r="Q178" s="16"/>
      <c r="R178" s="16"/>
      <c r="S178" s="16"/>
      <c r="T178" s="16"/>
      <c r="U178" s="16"/>
    </row>
    <row r="179" spans="2:21" ht="27" customHeight="1">
      <c r="B179" s="16"/>
      <c r="C179" s="16"/>
      <c r="D179" s="16"/>
      <c r="E179" s="16"/>
      <c r="F179" s="16"/>
      <c r="G179" s="16"/>
      <c r="H179" s="624"/>
      <c r="I179" s="16"/>
      <c r="J179" s="16"/>
      <c r="K179" s="16"/>
      <c r="L179" s="16"/>
      <c r="M179" s="16"/>
      <c r="N179" s="16"/>
      <c r="O179" s="16"/>
      <c r="P179" s="16"/>
      <c r="Q179" s="16"/>
      <c r="R179" s="16"/>
      <c r="S179" s="16"/>
      <c r="T179" s="16"/>
      <c r="U179" s="16"/>
    </row>
    <row r="180" spans="2:21" ht="27" customHeight="1">
      <c r="B180" s="16"/>
      <c r="C180" s="16"/>
      <c r="D180" s="16"/>
      <c r="E180" s="16"/>
      <c r="F180" s="16"/>
      <c r="G180" s="16"/>
      <c r="H180" s="624"/>
      <c r="I180" s="16"/>
      <c r="J180" s="16"/>
      <c r="K180" s="16"/>
      <c r="L180" s="16"/>
      <c r="M180" s="16"/>
      <c r="N180" s="16"/>
      <c r="O180" s="16"/>
      <c r="P180" s="16"/>
      <c r="Q180" s="16"/>
      <c r="R180" s="16"/>
      <c r="S180" s="16"/>
      <c r="T180" s="16"/>
      <c r="U180" s="16"/>
    </row>
    <row r="181" spans="2:21" ht="27" customHeight="1">
      <c r="B181" s="16"/>
      <c r="C181" s="16"/>
      <c r="D181" s="16"/>
      <c r="E181" s="16"/>
      <c r="F181" s="16"/>
      <c r="G181" s="16"/>
      <c r="H181" s="624"/>
      <c r="I181" s="16"/>
      <c r="J181" s="16"/>
      <c r="K181" s="16"/>
      <c r="L181" s="16"/>
      <c r="M181" s="16"/>
      <c r="N181" s="16"/>
      <c r="O181" s="16"/>
      <c r="P181" s="16"/>
      <c r="Q181" s="16"/>
      <c r="R181" s="16"/>
      <c r="S181" s="16"/>
      <c r="T181" s="16"/>
      <c r="U181" s="16"/>
    </row>
    <row r="182" spans="2:21" ht="27" customHeight="1">
      <c r="B182" s="16"/>
      <c r="C182" s="16"/>
      <c r="D182" s="16"/>
      <c r="E182" s="16"/>
      <c r="F182" s="16"/>
      <c r="G182" s="16"/>
      <c r="H182" s="624"/>
      <c r="I182" s="16"/>
      <c r="J182" s="16"/>
      <c r="K182" s="16"/>
      <c r="L182" s="16"/>
      <c r="M182" s="16"/>
      <c r="N182" s="16"/>
      <c r="O182" s="16"/>
      <c r="P182" s="16"/>
      <c r="Q182" s="16"/>
      <c r="R182" s="16"/>
      <c r="S182" s="16"/>
      <c r="T182" s="16"/>
      <c r="U182" s="16"/>
    </row>
    <row r="183" spans="2:21" ht="27" customHeight="1">
      <c r="B183" s="16"/>
      <c r="C183" s="16"/>
      <c r="D183" s="16"/>
      <c r="E183" s="16"/>
      <c r="F183" s="16"/>
      <c r="G183" s="16"/>
      <c r="H183" s="624"/>
      <c r="I183" s="16"/>
      <c r="J183" s="16"/>
      <c r="K183" s="16"/>
      <c r="L183" s="16"/>
      <c r="M183" s="16"/>
      <c r="N183" s="16"/>
      <c r="O183" s="16"/>
      <c r="P183" s="16"/>
      <c r="Q183" s="16"/>
      <c r="R183" s="16"/>
      <c r="S183" s="16"/>
      <c r="T183" s="16"/>
      <c r="U183" s="16"/>
    </row>
    <row r="184" spans="2:21" ht="27" customHeight="1">
      <c r="B184" s="16"/>
      <c r="C184" s="16"/>
      <c r="D184" s="16"/>
      <c r="E184" s="16"/>
      <c r="F184" s="16"/>
      <c r="G184" s="16"/>
      <c r="H184" s="624"/>
      <c r="I184" s="16"/>
      <c r="J184" s="16"/>
      <c r="K184" s="16"/>
      <c r="L184" s="16"/>
      <c r="M184" s="16"/>
      <c r="N184" s="16"/>
      <c r="O184" s="16"/>
      <c r="P184" s="16"/>
      <c r="Q184" s="16"/>
      <c r="R184" s="16"/>
      <c r="S184" s="16"/>
      <c r="T184" s="16"/>
      <c r="U184" s="16"/>
    </row>
    <row r="185" spans="2:21" ht="27" customHeight="1">
      <c r="B185" s="16"/>
      <c r="C185" s="16"/>
      <c r="D185" s="16"/>
      <c r="E185" s="16"/>
      <c r="F185" s="16"/>
      <c r="G185" s="16"/>
      <c r="H185" s="624"/>
      <c r="I185" s="16"/>
      <c r="J185" s="16"/>
      <c r="K185" s="16"/>
      <c r="L185" s="16"/>
      <c r="M185" s="16"/>
      <c r="N185" s="16"/>
      <c r="O185" s="16"/>
      <c r="P185" s="16"/>
      <c r="Q185" s="16"/>
      <c r="R185" s="16"/>
      <c r="S185" s="16"/>
      <c r="T185" s="16"/>
      <c r="U185" s="16"/>
    </row>
    <row r="186" spans="2:21" ht="27" customHeight="1">
      <c r="B186" s="16"/>
      <c r="C186" s="16"/>
      <c r="D186" s="16"/>
      <c r="E186" s="16"/>
      <c r="F186" s="16"/>
      <c r="G186" s="16"/>
      <c r="H186" s="624"/>
      <c r="I186" s="16"/>
      <c r="J186" s="16"/>
      <c r="K186" s="16"/>
      <c r="L186" s="16"/>
      <c r="M186" s="16"/>
      <c r="N186" s="16"/>
      <c r="O186" s="16"/>
      <c r="P186" s="16"/>
      <c r="Q186" s="16"/>
      <c r="R186" s="16"/>
      <c r="S186" s="16"/>
      <c r="T186" s="16"/>
      <c r="U186" s="16"/>
    </row>
    <row r="187" spans="2:21" ht="27" customHeight="1">
      <c r="B187" s="16"/>
      <c r="C187" s="16"/>
      <c r="D187" s="16"/>
      <c r="E187" s="16"/>
      <c r="F187" s="16"/>
      <c r="G187" s="16"/>
      <c r="H187" s="624"/>
      <c r="I187" s="16"/>
      <c r="J187" s="16"/>
      <c r="K187" s="16"/>
      <c r="L187" s="16"/>
      <c r="M187" s="16"/>
      <c r="N187" s="16"/>
      <c r="O187" s="16"/>
      <c r="P187" s="16"/>
      <c r="Q187" s="16"/>
      <c r="R187" s="16"/>
      <c r="S187" s="16"/>
      <c r="T187" s="16"/>
      <c r="U187" s="16"/>
    </row>
    <row r="188" spans="2:21" ht="27" customHeight="1">
      <c r="B188" s="16"/>
      <c r="C188" s="16"/>
      <c r="D188" s="16"/>
      <c r="E188" s="16"/>
      <c r="F188" s="16"/>
      <c r="G188" s="16"/>
      <c r="H188" s="624"/>
      <c r="I188" s="16"/>
      <c r="J188" s="16"/>
      <c r="K188" s="16"/>
      <c r="L188" s="16"/>
      <c r="M188" s="16"/>
      <c r="N188" s="16"/>
      <c r="O188" s="16"/>
      <c r="P188" s="16"/>
      <c r="Q188" s="16"/>
      <c r="R188" s="16"/>
      <c r="S188" s="16"/>
      <c r="T188" s="16"/>
      <c r="U188" s="16"/>
    </row>
    <row r="189" spans="2:21" ht="27" customHeight="1">
      <c r="B189" s="16"/>
      <c r="C189" s="16"/>
      <c r="D189" s="16"/>
      <c r="E189" s="16"/>
      <c r="F189" s="16"/>
      <c r="G189" s="16"/>
      <c r="H189" s="624"/>
      <c r="I189" s="16"/>
      <c r="J189" s="16"/>
      <c r="K189" s="16"/>
      <c r="L189" s="16"/>
      <c r="M189" s="16"/>
      <c r="N189" s="16"/>
      <c r="O189" s="16"/>
      <c r="P189" s="16"/>
      <c r="Q189" s="16"/>
      <c r="R189" s="16"/>
      <c r="S189" s="16"/>
      <c r="T189" s="16"/>
      <c r="U189" s="16"/>
    </row>
    <row r="190" spans="2:21" ht="27" customHeight="1">
      <c r="B190" s="16"/>
      <c r="C190" s="16"/>
      <c r="D190" s="16"/>
      <c r="E190" s="16"/>
      <c r="F190" s="16"/>
      <c r="G190" s="16"/>
      <c r="H190" s="624"/>
      <c r="I190" s="16"/>
      <c r="J190" s="16"/>
      <c r="K190" s="16"/>
      <c r="L190" s="16"/>
      <c r="M190" s="16"/>
      <c r="N190" s="16"/>
      <c r="O190" s="16"/>
      <c r="P190" s="16"/>
      <c r="Q190" s="16"/>
      <c r="R190" s="16"/>
      <c r="S190" s="16"/>
      <c r="T190" s="16"/>
      <c r="U190" s="16"/>
    </row>
    <row r="191" spans="2:21" ht="27" customHeight="1">
      <c r="B191" s="16"/>
      <c r="C191" s="16"/>
      <c r="D191" s="16"/>
      <c r="E191" s="16"/>
      <c r="F191" s="16"/>
      <c r="G191" s="16"/>
      <c r="H191" s="624"/>
      <c r="I191" s="16"/>
      <c r="J191" s="16"/>
      <c r="K191" s="16"/>
      <c r="L191" s="16"/>
      <c r="M191" s="16"/>
      <c r="N191" s="16"/>
      <c r="O191" s="16"/>
      <c r="P191" s="16"/>
      <c r="Q191" s="16"/>
      <c r="R191" s="16"/>
      <c r="S191" s="16"/>
      <c r="T191" s="16"/>
      <c r="U191" s="16"/>
    </row>
    <row r="192" spans="2:21" ht="27" customHeight="1">
      <c r="B192" s="16"/>
      <c r="C192" s="16"/>
      <c r="D192" s="16"/>
      <c r="E192" s="16"/>
      <c r="F192" s="16"/>
      <c r="G192" s="16"/>
      <c r="H192" s="624"/>
      <c r="I192" s="16"/>
      <c r="J192" s="16"/>
      <c r="K192" s="16"/>
      <c r="L192" s="16"/>
      <c r="M192" s="16"/>
      <c r="N192" s="16"/>
      <c r="O192" s="16"/>
      <c r="P192" s="16"/>
      <c r="Q192" s="16"/>
      <c r="R192" s="16"/>
      <c r="S192" s="16"/>
      <c r="T192" s="16"/>
      <c r="U192" s="16"/>
    </row>
    <row r="193" spans="2:21" ht="27" customHeight="1">
      <c r="B193" s="16"/>
      <c r="C193" s="16"/>
      <c r="D193" s="16"/>
      <c r="E193" s="16"/>
      <c r="F193" s="16"/>
      <c r="G193" s="16"/>
      <c r="H193" s="624"/>
      <c r="I193" s="16"/>
      <c r="J193" s="16"/>
      <c r="K193" s="16"/>
      <c r="L193" s="16"/>
      <c r="M193" s="16"/>
      <c r="N193" s="16"/>
      <c r="O193" s="16"/>
      <c r="P193" s="16"/>
      <c r="Q193" s="16"/>
      <c r="R193" s="16"/>
      <c r="S193" s="16"/>
      <c r="T193" s="16"/>
      <c r="U193" s="16"/>
    </row>
    <row r="194" spans="2:21" ht="27" customHeight="1">
      <c r="B194" s="16"/>
      <c r="C194" s="16"/>
      <c r="D194" s="16"/>
      <c r="E194" s="16"/>
      <c r="F194" s="16"/>
      <c r="G194" s="16"/>
      <c r="H194" s="624"/>
      <c r="I194" s="16"/>
      <c r="J194" s="16"/>
      <c r="K194" s="16"/>
      <c r="L194" s="16"/>
      <c r="M194" s="16"/>
      <c r="N194" s="16"/>
      <c r="O194" s="16"/>
      <c r="P194" s="16"/>
      <c r="Q194" s="16"/>
      <c r="R194" s="16"/>
      <c r="S194" s="16"/>
      <c r="T194" s="16"/>
      <c r="U194" s="16"/>
    </row>
    <row r="195" spans="2:21" ht="27" customHeight="1">
      <c r="B195" s="16"/>
      <c r="C195" s="16"/>
      <c r="D195" s="16"/>
      <c r="E195" s="16"/>
      <c r="F195" s="16"/>
      <c r="G195" s="16"/>
      <c r="H195" s="624"/>
      <c r="I195" s="16"/>
      <c r="J195" s="16"/>
      <c r="K195" s="16"/>
      <c r="L195" s="16"/>
      <c r="M195" s="16"/>
      <c r="N195" s="16"/>
      <c r="O195" s="16"/>
      <c r="P195" s="16"/>
      <c r="Q195" s="16"/>
      <c r="R195" s="16"/>
      <c r="S195" s="16"/>
      <c r="T195" s="16"/>
      <c r="U195" s="16"/>
    </row>
    <row r="196" spans="2:21" ht="27" customHeight="1">
      <c r="B196" s="16"/>
      <c r="C196" s="16"/>
      <c r="D196" s="16"/>
      <c r="E196" s="16"/>
      <c r="F196" s="16"/>
      <c r="G196" s="16"/>
      <c r="H196" s="624"/>
      <c r="I196" s="16"/>
      <c r="J196" s="16"/>
      <c r="K196" s="16"/>
      <c r="L196" s="16"/>
      <c r="M196" s="16"/>
      <c r="N196" s="16"/>
      <c r="O196" s="16"/>
      <c r="P196" s="16"/>
      <c r="Q196" s="16"/>
      <c r="R196" s="16"/>
      <c r="S196" s="16"/>
      <c r="T196" s="16"/>
      <c r="U196" s="16"/>
    </row>
    <row r="197" spans="2:21" ht="27" customHeight="1">
      <c r="B197" s="16"/>
      <c r="C197" s="16"/>
      <c r="D197" s="16"/>
      <c r="E197" s="16"/>
      <c r="F197" s="16"/>
      <c r="G197" s="16"/>
      <c r="H197" s="624"/>
      <c r="I197" s="16"/>
      <c r="J197" s="16"/>
      <c r="K197" s="16"/>
      <c r="L197" s="16"/>
      <c r="M197" s="16"/>
      <c r="N197" s="16"/>
      <c r="O197" s="16"/>
      <c r="P197" s="16"/>
      <c r="Q197" s="16"/>
      <c r="R197" s="16"/>
      <c r="S197" s="16"/>
      <c r="T197" s="16"/>
      <c r="U197" s="16"/>
    </row>
    <row r="198" spans="2:21" ht="27" customHeight="1">
      <c r="B198" s="16"/>
      <c r="C198" s="16"/>
      <c r="D198" s="16"/>
      <c r="E198" s="16"/>
      <c r="F198" s="16"/>
      <c r="G198" s="16"/>
      <c r="H198" s="624"/>
      <c r="I198" s="16"/>
      <c r="J198" s="16"/>
      <c r="K198" s="16"/>
      <c r="L198" s="16"/>
      <c r="M198" s="16"/>
      <c r="N198" s="16"/>
      <c r="O198" s="16"/>
      <c r="P198" s="16"/>
      <c r="Q198" s="16"/>
      <c r="R198" s="16"/>
      <c r="S198" s="16"/>
      <c r="T198" s="16"/>
      <c r="U198" s="16"/>
    </row>
    <row r="199" spans="2:21" ht="27" customHeight="1">
      <c r="B199" s="16"/>
      <c r="C199" s="16"/>
      <c r="D199" s="16"/>
      <c r="E199" s="16"/>
      <c r="F199" s="16"/>
      <c r="G199" s="16"/>
      <c r="H199" s="624"/>
      <c r="I199" s="16"/>
      <c r="J199" s="16"/>
      <c r="K199" s="16"/>
      <c r="L199" s="16"/>
      <c r="M199" s="16"/>
      <c r="N199" s="16"/>
      <c r="O199" s="16"/>
      <c r="P199" s="16"/>
      <c r="Q199" s="16"/>
      <c r="R199" s="16"/>
      <c r="S199" s="16"/>
      <c r="T199" s="16"/>
      <c r="U199" s="16"/>
    </row>
    <row r="200" spans="2:21" ht="27" customHeight="1">
      <c r="B200" s="16"/>
      <c r="C200" s="16"/>
      <c r="D200" s="16"/>
      <c r="E200" s="16"/>
      <c r="F200" s="16"/>
      <c r="G200" s="16"/>
      <c r="H200" s="624"/>
      <c r="I200" s="16"/>
      <c r="J200" s="16"/>
      <c r="K200" s="16"/>
      <c r="L200" s="16"/>
      <c r="M200" s="16"/>
      <c r="N200" s="16"/>
      <c r="O200" s="16"/>
      <c r="P200" s="16"/>
      <c r="Q200" s="16"/>
      <c r="R200" s="16"/>
      <c r="S200" s="16"/>
      <c r="T200" s="16"/>
      <c r="U200" s="16"/>
    </row>
    <row r="201" spans="2:21" ht="27" customHeight="1">
      <c r="B201" s="16"/>
      <c r="C201" s="16"/>
      <c r="D201" s="16"/>
      <c r="E201" s="16"/>
      <c r="F201" s="16"/>
      <c r="G201" s="16"/>
      <c r="H201" s="624"/>
      <c r="I201" s="16"/>
      <c r="J201" s="16"/>
      <c r="K201" s="16"/>
      <c r="L201" s="16"/>
      <c r="M201" s="16"/>
      <c r="N201" s="16"/>
      <c r="O201" s="16"/>
      <c r="P201" s="16"/>
      <c r="Q201" s="16"/>
      <c r="R201" s="16"/>
      <c r="S201" s="16"/>
      <c r="T201" s="16"/>
      <c r="U201" s="16"/>
    </row>
    <row r="202" spans="2:21" ht="27" customHeight="1">
      <c r="B202" s="16"/>
      <c r="C202" s="16"/>
      <c r="D202" s="16"/>
      <c r="E202" s="16"/>
      <c r="F202" s="16"/>
      <c r="G202" s="16"/>
      <c r="H202" s="624"/>
      <c r="I202" s="16"/>
      <c r="J202" s="16"/>
      <c r="K202" s="16"/>
      <c r="L202" s="16"/>
      <c r="M202" s="16"/>
      <c r="N202" s="16"/>
      <c r="O202" s="16"/>
      <c r="P202" s="16"/>
      <c r="Q202" s="16"/>
      <c r="R202" s="16"/>
      <c r="S202" s="16"/>
      <c r="T202" s="16"/>
      <c r="U202" s="16"/>
    </row>
    <row r="203" spans="2:21" ht="27" customHeight="1">
      <c r="B203" s="16"/>
      <c r="C203" s="16"/>
      <c r="D203" s="16"/>
      <c r="E203" s="16"/>
      <c r="F203" s="16"/>
      <c r="G203" s="16"/>
      <c r="H203" s="624"/>
      <c r="I203" s="16"/>
      <c r="J203" s="16"/>
      <c r="K203" s="16"/>
      <c r="L203" s="16"/>
      <c r="M203" s="16"/>
      <c r="N203" s="16"/>
      <c r="O203" s="16"/>
      <c r="P203" s="16"/>
      <c r="Q203" s="16"/>
      <c r="R203" s="16"/>
      <c r="S203" s="16"/>
      <c r="T203" s="16"/>
      <c r="U203" s="16"/>
    </row>
    <row r="204" spans="2:21" ht="27" customHeight="1">
      <c r="B204" s="16"/>
      <c r="C204" s="16"/>
      <c r="D204" s="16"/>
      <c r="E204" s="16"/>
      <c r="F204" s="16"/>
      <c r="G204" s="16"/>
      <c r="H204" s="624"/>
      <c r="I204" s="16"/>
      <c r="J204" s="16"/>
      <c r="K204" s="16"/>
      <c r="L204" s="16"/>
      <c r="M204" s="16"/>
      <c r="N204" s="16"/>
      <c r="O204" s="16"/>
      <c r="P204" s="16"/>
      <c r="Q204" s="16"/>
      <c r="R204" s="16"/>
      <c r="S204" s="16"/>
      <c r="T204" s="16"/>
      <c r="U204" s="16"/>
    </row>
    <row r="205" spans="2:21" ht="27" customHeight="1">
      <c r="B205" s="16"/>
      <c r="C205" s="16"/>
      <c r="D205" s="16"/>
      <c r="E205" s="16"/>
      <c r="F205" s="16"/>
      <c r="G205" s="16"/>
      <c r="H205" s="624"/>
      <c r="I205" s="16"/>
      <c r="J205" s="16"/>
      <c r="K205" s="16"/>
      <c r="L205" s="16"/>
      <c r="M205" s="16"/>
      <c r="N205" s="16"/>
      <c r="O205" s="16"/>
      <c r="P205" s="16"/>
      <c r="Q205" s="16"/>
      <c r="R205" s="16"/>
      <c r="S205" s="16"/>
      <c r="T205" s="16"/>
      <c r="U205" s="16"/>
    </row>
    <row r="206" spans="2:21" ht="27" customHeight="1">
      <c r="B206" s="16"/>
      <c r="C206" s="16"/>
      <c r="D206" s="16"/>
      <c r="E206" s="16"/>
      <c r="F206" s="16"/>
      <c r="G206" s="16"/>
      <c r="H206" s="624"/>
      <c r="I206" s="16"/>
      <c r="J206" s="16"/>
      <c r="K206" s="16"/>
      <c r="L206" s="16"/>
      <c r="M206" s="16"/>
      <c r="N206" s="16"/>
      <c r="O206" s="16"/>
      <c r="P206" s="16"/>
      <c r="Q206" s="16"/>
      <c r="R206" s="16"/>
      <c r="S206" s="16"/>
      <c r="T206" s="16"/>
      <c r="U206" s="16"/>
    </row>
    <row r="207" spans="2:21" ht="27" customHeight="1">
      <c r="B207" s="16"/>
      <c r="C207" s="16"/>
      <c r="D207" s="16"/>
      <c r="E207" s="16"/>
      <c r="F207" s="16"/>
      <c r="G207" s="16"/>
      <c r="H207" s="624"/>
      <c r="I207" s="16"/>
      <c r="J207" s="16"/>
      <c r="K207" s="16"/>
      <c r="L207" s="16"/>
      <c r="M207" s="16"/>
      <c r="N207" s="16"/>
      <c r="O207" s="16"/>
      <c r="P207" s="16"/>
      <c r="Q207" s="16"/>
      <c r="R207" s="16"/>
      <c r="S207" s="16"/>
      <c r="T207" s="16"/>
      <c r="U207" s="16"/>
    </row>
    <row r="208" spans="2:21" ht="27" customHeight="1">
      <c r="B208" s="16"/>
      <c r="C208" s="16"/>
      <c r="D208" s="16"/>
      <c r="E208" s="16"/>
      <c r="F208" s="16"/>
      <c r="G208" s="16"/>
      <c r="H208" s="624"/>
      <c r="I208" s="16"/>
      <c r="J208" s="16"/>
      <c r="K208" s="16"/>
      <c r="L208" s="16"/>
      <c r="M208" s="16"/>
      <c r="N208" s="16"/>
      <c r="O208" s="16"/>
      <c r="P208" s="16"/>
      <c r="Q208" s="16"/>
      <c r="R208" s="16"/>
      <c r="S208" s="16"/>
      <c r="T208" s="16"/>
      <c r="U208" s="16"/>
    </row>
    <row r="209" spans="2:21" ht="27" customHeight="1">
      <c r="B209" s="16"/>
      <c r="C209" s="16"/>
      <c r="D209" s="16"/>
      <c r="E209" s="16"/>
      <c r="F209" s="16"/>
      <c r="G209" s="16"/>
      <c r="H209" s="624"/>
      <c r="I209" s="16"/>
      <c r="J209" s="16"/>
      <c r="K209" s="16"/>
      <c r="L209" s="16"/>
      <c r="M209" s="16"/>
      <c r="N209" s="16"/>
      <c r="O209" s="16"/>
      <c r="P209" s="16"/>
      <c r="Q209" s="16"/>
      <c r="R209" s="16"/>
      <c r="S209" s="16"/>
      <c r="T209" s="16"/>
      <c r="U209" s="16"/>
    </row>
    <row r="210" spans="2:21" ht="27" customHeight="1">
      <c r="B210" s="16"/>
      <c r="C210" s="16"/>
      <c r="D210" s="16"/>
      <c r="E210" s="16"/>
      <c r="F210" s="16"/>
      <c r="G210" s="16"/>
      <c r="H210" s="624"/>
      <c r="I210" s="16"/>
      <c r="J210" s="16"/>
      <c r="K210" s="16"/>
      <c r="L210" s="16"/>
      <c r="M210" s="16"/>
      <c r="N210" s="16"/>
      <c r="O210" s="16"/>
      <c r="P210" s="16"/>
      <c r="Q210" s="16"/>
      <c r="R210" s="16"/>
      <c r="S210" s="16"/>
      <c r="T210" s="16"/>
      <c r="U210" s="16"/>
    </row>
    <row r="211" spans="2:21" ht="27" customHeight="1">
      <c r="B211" s="16"/>
      <c r="C211" s="16"/>
      <c r="D211" s="16"/>
      <c r="E211" s="16"/>
      <c r="F211" s="16"/>
      <c r="G211" s="16"/>
      <c r="H211" s="624"/>
      <c r="I211" s="16"/>
      <c r="J211" s="16"/>
      <c r="K211" s="16"/>
      <c r="L211" s="16"/>
      <c r="M211" s="16"/>
      <c r="N211" s="16"/>
      <c r="O211" s="16"/>
      <c r="P211" s="16"/>
      <c r="Q211" s="16"/>
      <c r="R211" s="16"/>
      <c r="S211" s="16"/>
      <c r="T211" s="16"/>
      <c r="U211" s="16"/>
    </row>
    <row r="212" spans="2:21" ht="27" customHeight="1">
      <c r="B212" s="16"/>
      <c r="C212" s="16"/>
      <c r="D212" s="16"/>
      <c r="E212" s="16"/>
      <c r="F212" s="16"/>
      <c r="G212" s="16"/>
      <c r="H212" s="624"/>
      <c r="I212" s="16"/>
      <c r="J212" s="16"/>
      <c r="K212" s="16"/>
      <c r="L212" s="16"/>
      <c r="M212" s="16"/>
      <c r="N212" s="16"/>
      <c r="O212" s="16"/>
      <c r="P212" s="16"/>
      <c r="Q212" s="16"/>
      <c r="R212" s="16"/>
      <c r="S212" s="16"/>
      <c r="T212" s="16"/>
      <c r="U212" s="16"/>
    </row>
    <row r="213" spans="2:21" ht="27" customHeight="1">
      <c r="B213" s="16"/>
      <c r="C213" s="16"/>
      <c r="D213" s="16"/>
      <c r="E213" s="16"/>
      <c r="F213" s="16"/>
      <c r="G213" s="16"/>
      <c r="H213" s="624"/>
      <c r="I213" s="16"/>
      <c r="J213" s="16"/>
      <c r="K213" s="16"/>
      <c r="L213" s="16"/>
      <c r="M213" s="16"/>
      <c r="N213" s="16"/>
      <c r="O213" s="16"/>
      <c r="P213" s="16"/>
      <c r="Q213" s="16"/>
      <c r="R213" s="16"/>
      <c r="S213" s="16"/>
      <c r="T213" s="16"/>
      <c r="U213" s="16"/>
    </row>
    <row r="214" spans="2:21" ht="27" customHeight="1">
      <c r="B214" s="16"/>
      <c r="C214" s="16"/>
      <c r="D214" s="16"/>
      <c r="E214" s="16"/>
      <c r="F214" s="16"/>
      <c r="G214" s="16"/>
      <c r="H214" s="624"/>
      <c r="I214" s="16"/>
      <c r="J214" s="16"/>
      <c r="K214" s="16"/>
      <c r="L214" s="16"/>
      <c r="M214" s="16"/>
      <c r="N214" s="16"/>
      <c r="O214" s="16"/>
      <c r="P214" s="16"/>
      <c r="Q214" s="16"/>
      <c r="R214" s="16"/>
      <c r="S214" s="16"/>
      <c r="T214" s="16"/>
      <c r="U214" s="16"/>
    </row>
    <row r="215" spans="2:21" ht="27" customHeight="1">
      <c r="B215" s="16"/>
      <c r="C215" s="16"/>
      <c r="D215" s="16"/>
      <c r="E215" s="16"/>
      <c r="F215" s="16"/>
      <c r="G215" s="16"/>
      <c r="H215" s="624"/>
      <c r="I215" s="16"/>
      <c r="J215" s="16"/>
      <c r="K215" s="16"/>
      <c r="L215" s="16"/>
      <c r="M215" s="16"/>
      <c r="N215" s="16"/>
      <c r="O215" s="16"/>
      <c r="P215" s="16"/>
      <c r="Q215" s="16"/>
      <c r="R215" s="16"/>
      <c r="S215" s="16"/>
      <c r="T215" s="16"/>
      <c r="U215" s="16"/>
    </row>
    <row r="216" spans="2:21" ht="27" customHeight="1">
      <c r="B216" s="16"/>
      <c r="C216" s="16"/>
      <c r="D216" s="16"/>
      <c r="E216" s="16"/>
      <c r="F216" s="16"/>
      <c r="G216" s="16"/>
      <c r="H216" s="624"/>
      <c r="I216" s="16"/>
      <c r="J216" s="16"/>
      <c r="K216" s="16"/>
      <c r="L216" s="16"/>
      <c r="M216" s="16"/>
      <c r="N216" s="16"/>
      <c r="O216" s="16"/>
      <c r="P216" s="16"/>
      <c r="Q216" s="16"/>
      <c r="R216" s="16"/>
      <c r="S216" s="16"/>
      <c r="T216" s="16"/>
      <c r="U216" s="16"/>
    </row>
    <row r="217" spans="2:21" ht="27" customHeight="1">
      <c r="B217" s="16"/>
      <c r="C217" s="16"/>
      <c r="D217" s="16"/>
      <c r="E217" s="16"/>
      <c r="F217" s="16"/>
      <c r="G217" s="16"/>
      <c r="H217" s="624"/>
      <c r="I217" s="16"/>
      <c r="J217" s="16"/>
      <c r="K217" s="16"/>
      <c r="L217" s="16"/>
      <c r="M217" s="16"/>
      <c r="N217" s="16"/>
      <c r="O217" s="16"/>
      <c r="P217" s="16"/>
      <c r="Q217" s="16"/>
      <c r="R217" s="16"/>
      <c r="S217" s="16"/>
      <c r="T217" s="16"/>
      <c r="U217" s="16"/>
    </row>
    <row r="218" spans="2:21" ht="27" customHeight="1">
      <c r="B218" s="16"/>
      <c r="C218" s="16"/>
      <c r="D218" s="16"/>
      <c r="E218" s="16"/>
      <c r="F218" s="16"/>
      <c r="G218" s="16"/>
      <c r="H218" s="624"/>
      <c r="I218" s="16"/>
      <c r="J218" s="16"/>
      <c r="K218" s="16"/>
      <c r="L218" s="16"/>
      <c r="M218" s="16"/>
      <c r="N218" s="16"/>
      <c r="O218" s="16"/>
      <c r="P218" s="16"/>
      <c r="Q218" s="16"/>
      <c r="R218" s="16"/>
      <c r="S218" s="16"/>
      <c r="T218" s="16"/>
      <c r="U218" s="16"/>
    </row>
    <row r="219" spans="2:21" ht="27" customHeight="1">
      <c r="B219" s="16"/>
      <c r="C219" s="16"/>
      <c r="D219" s="16"/>
      <c r="E219" s="16"/>
      <c r="F219" s="16"/>
      <c r="G219" s="16"/>
      <c r="H219" s="624"/>
      <c r="I219" s="16"/>
      <c r="J219" s="16"/>
      <c r="K219" s="16"/>
      <c r="L219" s="16"/>
      <c r="M219" s="16"/>
      <c r="N219" s="16"/>
      <c r="O219" s="16"/>
      <c r="P219" s="16"/>
      <c r="Q219" s="16"/>
      <c r="R219" s="16"/>
      <c r="S219" s="16"/>
      <c r="T219" s="16"/>
      <c r="U219" s="16"/>
    </row>
    <row r="220" spans="2:21" ht="27" customHeight="1">
      <c r="B220" s="16"/>
      <c r="C220" s="16"/>
      <c r="D220" s="16"/>
      <c r="E220" s="16"/>
      <c r="F220" s="16"/>
      <c r="G220" s="16"/>
      <c r="H220" s="624"/>
      <c r="I220" s="16"/>
      <c r="J220" s="16"/>
      <c r="K220" s="16"/>
      <c r="L220" s="16"/>
      <c r="M220" s="16"/>
      <c r="N220" s="16"/>
      <c r="O220" s="16"/>
      <c r="P220" s="16"/>
      <c r="Q220" s="16"/>
      <c r="R220" s="16"/>
      <c r="S220" s="16"/>
      <c r="T220" s="16"/>
      <c r="U220" s="16"/>
    </row>
    <row r="221" spans="2:21" ht="27" customHeight="1">
      <c r="B221" s="16"/>
      <c r="C221" s="16"/>
      <c r="D221" s="16"/>
      <c r="E221" s="16"/>
      <c r="F221" s="16"/>
      <c r="G221" s="16"/>
      <c r="H221" s="624"/>
      <c r="I221" s="16"/>
      <c r="J221" s="16"/>
      <c r="K221" s="16"/>
      <c r="L221" s="16"/>
      <c r="M221" s="16"/>
      <c r="N221" s="16"/>
      <c r="O221" s="16"/>
      <c r="P221" s="16"/>
      <c r="Q221" s="16"/>
      <c r="R221" s="16"/>
      <c r="S221" s="16"/>
      <c r="T221" s="16"/>
      <c r="U221" s="16"/>
    </row>
    <row r="222" spans="2:21" ht="27" customHeight="1">
      <c r="B222" s="16"/>
      <c r="C222" s="16"/>
      <c r="D222" s="16"/>
      <c r="E222" s="16"/>
      <c r="F222" s="16"/>
      <c r="G222" s="16"/>
      <c r="H222" s="624"/>
      <c r="I222" s="16"/>
      <c r="J222" s="16"/>
      <c r="K222" s="16"/>
      <c r="L222" s="16"/>
      <c r="M222" s="16"/>
      <c r="N222" s="16"/>
      <c r="O222" s="16"/>
      <c r="P222" s="16"/>
      <c r="Q222" s="16"/>
      <c r="R222" s="16"/>
      <c r="S222" s="16"/>
      <c r="T222" s="16"/>
      <c r="U222" s="16"/>
    </row>
    <row r="223" spans="2:21" ht="27" customHeight="1">
      <c r="B223" s="16"/>
      <c r="C223" s="16"/>
      <c r="D223" s="16"/>
      <c r="E223" s="16"/>
      <c r="F223" s="16"/>
      <c r="G223" s="16"/>
      <c r="H223" s="624"/>
      <c r="I223" s="16"/>
      <c r="J223" s="16"/>
      <c r="K223" s="16"/>
      <c r="L223" s="16"/>
      <c r="M223" s="16"/>
      <c r="N223" s="16"/>
      <c r="O223" s="16"/>
      <c r="P223" s="16"/>
      <c r="Q223" s="16"/>
      <c r="R223" s="16"/>
      <c r="S223" s="16"/>
      <c r="T223" s="16"/>
      <c r="U223" s="16"/>
    </row>
    <row r="224" spans="2:21" ht="27" customHeight="1">
      <c r="B224" s="16"/>
      <c r="C224" s="16"/>
      <c r="D224" s="16"/>
      <c r="E224" s="16"/>
      <c r="F224" s="16"/>
      <c r="G224" s="16"/>
      <c r="H224" s="624"/>
      <c r="I224" s="16"/>
      <c r="J224" s="16"/>
      <c r="K224" s="16"/>
      <c r="L224" s="16"/>
      <c r="M224" s="16"/>
      <c r="N224" s="16"/>
      <c r="O224" s="16"/>
      <c r="P224" s="16"/>
      <c r="Q224" s="16"/>
      <c r="R224" s="16"/>
      <c r="S224" s="16"/>
      <c r="T224" s="16"/>
      <c r="U224" s="16"/>
    </row>
    <row r="225" spans="2:21" ht="27" customHeight="1">
      <c r="B225" s="16"/>
      <c r="C225" s="16"/>
      <c r="D225" s="16"/>
      <c r="E225" s="16"/>
      <c r="F225" s="16"/>
      <c r="G225" s="16"/>
      <c r="H225" s="624"/>
      <c r="I225" s="16"/>
      <c r="J225" s="16"/>
      <c r="K225" s="16"/>
      <c r="L225" s="16"/>
      <c r="M225" s="16"/>
      <c r="N225" s="16"/>
      <c r="O225" s="16"/>
      <c r="P225" s="16"/>
      <c r="Q225" s="16"/>
      <c r="R225" s="16"/>
      <c r="S225" s="16"/>
      <c r="T225" s="16"/>
      <c r="U225" s="16"/>
    </row>
    <row r="226" spans="2:21" ht="13.5" customHeight="1">
      <c r="H226" s="624"/>
    </row>
    <row r="227" spans="2:21" ht="13.5" customHeight="1">
      <c r="H227" s="624"/>
    </row>
    <row r="228" spans="2:21" ht="13.5" customHeight="1">
      <c r="H228" s="624"/>
    </row>
    <row r="229" spans="2:21" ht="13.5" customHeight="1">
      <c r="H229" s="624"/>
    </row>
    <row r="230" spans="2:21" ht="13.5" customHeight="1">
      <c r="H230" s="624"/>
    </row>
    <row r="231" spans="2:21" ht="13.5" customHeight="1">
      <c r="H231" s="624"/>
    </row>
    <row r="232" spans="2:21" ht="13.5" customHeight="1">
      <c r="H232" s="624"/>
    </row>
    <row r="233" spans="2:21" ht="13.5" customHeight="1">
      <c r="H233" s="624"/>
    </row>
    <row r="234" spans="2:21" ht="13.5" customHeight="1">
      <c r="H234" s="624"/>
    </row>
    <row r="235" spans="2:21" ht="13.5" customHeight="1">
      <c r="H235" s="624"/>
    </row>
    <row r="236" spans="2:21" ht="13.5" customHeight="1">
      <c r="H236" s="624"/>
    </row>
    <row r="237" spans="2:21" ht="13.5" customHeight="1">
      <c r="H237" s="624"/>
    </row>
    <row r="238" spans="2:21" ht="13.5" customHeight="1">
      <c r="H238" s="624"/>
    </row>
    <row r="239" spans="2:21" ht="13.5" customHeight="1">
      <c r="H239" s="624"/>
    </row>
    <row r="240" spans="2:21" ht="13.5" customHeight="1">
      <c r="H240" s="624"/>
    </row>
    <row r="241" spans="8:8" ht="13.5" customHeight="1">
      <c r="H241" s="624"/>
    </row>
    <row r="242" spans="8:8" ht="13.5" customHeight="1">
      <c r="H242" s="624"/>
    </row>
    <row r="243" spans="8:8" ht="13.5" customHeight="1">
      <c r="H243" s="624"/>
    </row>
    <row r="244" spans="8:8" ht="13.5" customHeight="1">
      <c r="H244" s="624"/>
    </row>
    <row r="245" spans="8:8" ht="13.5" customHeight="1">
      <c r="H245" s="624"/>
    </row>
    <row r="246" spans="8:8" ht="13.5" customHeight="1">
      <c r="H246" s="624"/>
    </row>
    <row r="247" spans="8:8" ht="13.5" customHeight="1">
      <c r="H247" s="624"/>
    </row>
    <row r="248" spans="8:8" ht="13.5" customHeight="1">
      <c r="H248" s="624"/>
    </row>
    <row r="249" spans="8:8" ht="13.5" customHeight="1">
      <c r="H249" s="624"/>
    </row>
    <row r="250" spans="8:8" ht="13.5" customHeight="1">
      <c r="H250" s="624"/>
    </row>
    <row r="251" spans="8:8" ht="13.5" customHeight="1">
      <c r="H251" s="624"/>
    </row>
    <row r="252" spans="8:8" ht="13.5" customHeight="1">
      <c r="H252" s="624"/>
    </row>
    <row r="253" spans="8:8" ht="13.5" customHeight="1">
      <c r="H253" s="624"/>
    </row>
    <row r="254" spans="8:8" ht="13.5" customHeight="1">
      <c r="H254" s="624"/>
    </row>
    <row r="255" spans="8:8" ht="13.5" customHeight="1">
      <c r="H255" s="624"/>
    </row>
    <row r="256" spans="8:8" ht="13.5" customHeight="1">
      <c r="H256" s="624"/>
    </row>
    <row r="257" spans="8:8" ht="13.5" customHeight="1">
      <c r="H257" s="624"/>
    </row>
    <row r="258" spans="8:8" ht="13.5" customHeight="1">
      <c r="H258" s="624"/>
    </row>
    <row r="259" spans="8:8" ht="13.5" customHeight="1">
      <c r="H259" s="624"/>
    </row>
    <row r="260" spans="8:8" ht="13.5" customHeight="1">
      <c r="H260" s="624"/>
    </row>
    <row r="261" spans="8:8" ht="13.5" customHeight="1">
      <c r="H261" s="624"/>
    </row>
    <row r="262" spans="8:8" ht="13.5" customHeight="1">
      <c r="H262" s="624"/>
    </row>
    <row r="263" spans="8:8" ht="13.5" customHeight="1">
      <c r="H263" s="624"/>
    </row>
    <row r="264" spans="8:8" ht="13.5" customHeight="1">
      <c r="H264" s="624"/>
    </row>
    <row r="265" spans="8:8" ht="13.5" customHeight="1">
      <c r="H265" s="624"/>
    </row>
    <row r="266" spans="8:8" ht="13.5" customHeight="1">
      <c r="H266" s="624"/>
    </row>
    <row r="267" spans="8:8" ht="13.5" customHeight="1">
      <c r="H267" s="624"/>
    </row>
    <row r="268" spans="8:8" ht="13.5" customHeight="1">
      <c r="H268" s="624"/>
    </row>
    <row r="269" spans="8:8" ht="13.5" customHeight="1">
      <c r="H269" s="624"/>
    </row>
    <row r="270" spans="8:8" ht="13.5" customHeight="1">
      <c r="H270" s="624"/>
    </row>
    <row r="271" spans="8:8" ht="13.5" customHeight="1">
      <c r="H271" s="624"/>
    </row>
    <row r="272" spans="8:8" ht="13.5" customHeight="1">
      <c r="H272" s="624"/>
    </row>
    <row r="273" spans="8:8" ht="13.5" customHeight="1">
      <c r="H273" s="624"/>
    </row>
    <row r="274" spans="8:8" ht="13.5" customHeight="1">
      <c r="H274" s="624"/>
    </row>
    <row r="275" spans="8:8" ht="13.5" customHeight="1">
      <c r="H275" s="624"/>
    </row>
    <row r="276" spans="8:8" ht="13.5" customHeight="1">
      <c r="H276" s="624"/>
    </row>
    <row r="277" spans="8:8" ht="13.5" customHeight="1">
      <c r="H277" s="624"/>
    </row>
    <row r="278" spans="8:8" ht="13.5" customHeight="1">
      <c r="H278" s="624"/>
    </row>
    <row r="279" spans="8:8" ht="13.5" customHeight="1">
      <c r="H279" s="624"/>
    </row>
    <row r="280" spans="8:8" ht="13.5" customHeight="1">
      <c r="H280" s="624"/>
    </row>
    <row r="281" spans="8:8" ht="13.5" customHeight="1">
      <c r="H281" s="624"/>
    </row>
    <row r="282" spans="8:8" ht="13.5" customHeight="1">
      <c r="H282" s="624"/>
    </row>
    <row r="283" spans="8:8" ht="13.5" customHeight="1">
      <c r="H283" s="624"/>
    </row>
    <row r="284" spans="8:8" ht="13.5" customHeight="1">
      <c r="H284" s="624"/>
    </row>
    <row r="285" spans="8:8" ht="13.5" customHeight="1">
      <c r="H285" s="624"/>
    </row>
    <row r="286" spans="8:8" ht="13.5" customHeight="1">
      <c r="H286" s="624"/>
    </row>
    <row r="287" spans="8:8" ht="13.5" customHeight="1">
      <c r="H287" s="624"/>
    </row>
    <row r="288" spans="8:8" ht="13.5" customHeight="1">
      <c r="H288" s="624"/>
    </row>
    <row r="289" spans="8:8" ht="13.5" customHeight="1">
      <c r="H289" s="624"/>
    </row>
    <row r="290" spans="8:8" ht="13.5" customHeight="1">
      <c r="H290" s="624"/>
    </row>
    <row r="291" spans="8:8" ht="13.5" customHeight="1">
      <c r="H291" s="624"/>
    </row>
    <row r="292" spans="8:8" ht="13.5" customHeight="1">
      <c r="H292" s="624"/>
    </row>
    <row r="293" spans="8:8" ht="13.5" customHeight="1">
      <c r="H293" s="624"/>
    </row>
    <row r="294" spans="8:8" ht="13.5" customHeight="1">
      <c r="H294" s="624"/>
    </row>
    <row r="295" spans="8:8" ht="13.5" customHeight="1">
      <c r="H295" s="624"/>
    </row>
    <row r="296" spans="8:8" ht="13.5" customHeight="1">
      <c r="H296" s="624"/>
    </row>
    <row r="297" spans="8:8" ht="13.5" customHeight="1">
      <c r="H297" s="624"/>
    </row>
    <row r="298" spans="8:8" ht="13.5" customHeight="1">
      <c r="H298" s="624"/>
    </row>
    <row r="299" spans="8:8" ht="13.5" customHeight="1">
      <c r="H299" s="624"/>
    </row>
    <row r="300" spans="8:8" ht="13.5" customHeight="1">
      <c r="H300" s="624"/>
    </row>
    <row r="301" spans="8:8" ht="13.5" customHeight="1">
      <c r="H301" s="624"/>
    </row>
    <row r="302" spans="8:8" ht="13.5" customHeight="1">
      <c r="H302" s="624"/>
    </row>
    <row r="303" spans="8:8" ht="13.5" customHeight="1">
      <c r="H303" s="624"/>
    </row>
    <row r="304" spans="8:8" ht="13.5" customHeight="1">
      <c r="H304" s="624"/>
    </row>
    <row r="305" spans="8:8" ht="13.5" customHeight="1">
      <c r="H305" s="624"/>
    </row>
    <row r="306" spans="8:8" ht="13.5" customHeight="1">
      <c r="H306" s="624"/>
    </row>
    <row r="307" spans="8:8" ht="13.5" customHeight="1">
      <c r="H307" s="624"/>
    </row>
    <row r="308" spans="8:8" ht="13.5" customHeight="1">
      <c r="H308" s="624"/>
    </row>
    <row r="309" spans="8:8" ht="13.5" customHeight="1">
      <c r="H309" s="624"/>
    </row>
    <row r="310" spans="8:8" ht="13.5" customHeight="1">
      <c r="H310" s="624"/>
    </row>
    <row r="311" spans="8:8" ht="13.5" customHeight="1">
      <c r="H311" s="624"/>
    </row>
    <row r="312" spans="8:8" ht="13.5" customHeight="1">
      <c r="H312" s="624"/>
    </row>
    <row r="313" spans="8:8" ht="13.5" customHeight="1">
      <c r="H313" s="624"/>
    </row>
    <row r="314" spans="8:8" ht="13.5" customHeight="1">
      <c r="H314" s="624"/>
    </row>
    <row r="315" spans="8:8" ht="13.5" customHeight="1">
      <c r="H315" s="624"/>
    </row>
    <row r="316" spans="8:8" ht="13.5" customHeight="1">
      <c r="H316" s="624"/>
    </row>
    <row r="317" spans="8:8" ht="13.5" customHeight="1">
      <c r="H317" s="624"/>
    </row>
    <row r="318" spans="8:8" ht="13.5" customHeight="1">
      <c r="H318" s="624"/>
    </row>
    <row r="319" spans="8:8" ht="13.5" customHeight="1">
      <c r="H319" s="624"/>
    </row>
    <row r="320" spans="8:8" ht="13.5" customHeight="1">
      <c r="H320" s="624"/>
    </row>
    <row r="321" spans="8:8" ht="13.5" customHeight="1">
      <c r="H321" s="624"/>
    </row>
    <row r="322" spans="8:8" ht="13.5" customHeight="1">
      <c r="H322" s="624"/>
    </row>
    <row r="323" spans="8:8" ht="13.5" customHeight="1">
      <c r="H323" s="624"/>
    </row>
    <row r="324" spans="8:8" ht="13.5" customHeight="1">
      <c r="H324" s="624"/>
    </row>
    <row r="325" spans="8:8" ht="13.5" customHeight="1">
      <c r="H325" s="624"/>
    </row>
    <row r="326" spans="8:8" ht="13.5" customHeight="1">
      <c r="H326" s="624"/>
    </row>
    <row r="327" spans="8:8" ht="13.5" customHeight="1">
      <c r="H327" s="624"/>
    </row>
    <row r="328" spans="8:8" ht="13.5" customHeight="1">
      <c r="H328" s="624"/>
    </row>
    <row r="329" spans="8:8" ht="13.5" customHeight="1">
      <c r="H329" s="624"/>
    </row>
    <row r="330" spans="8:8" ht="13.5" customHeight="1">
      <c r="H330" s="624"/>
    </row>
    <row r="331" spans="8:8" ht="13.5" customHeight="1">
      <c r="H331" s="624"/>
    </row>
    <row r="332" spans="8:8" ht="13.5" customHeight="1">
      <c r="H332" s="624"/>
    </row>
    <row r="333" spans="8:8" ht="13.5" customHeight="1">
      <c r="H333" s="624"/>
    </row>
    <row r="334" spans="8:8" ht="13.5" customHeight="1">
      <c r="H334" s="624"/>
    </row>
    <row r="335" spans="8:8" ht="13.5" customHeight="1">
      <c r="H335" s="624"/>
    </row>
    <row r="336" spans="8:8" ht="13.5" customHeight="1">
      <c r="H336" s="624"/>
    </row>
    <row r="337" spans="8:8" ht="13.5" customHeight="1">
      <c r="H337" s="624"/>
    </row>
    <row r="338" spans="8:8" ht="13.5" customHeight="1">
      <c r="H338" s="624"/>
    </row>
    <row r="339" spans="8:8" ht="13.5" customHeight="1">
      <c r="H339" s="624"/>
    </row>
    <row r="340" spans="8:8" ht="13.5" customHeight="1">
      <c r="H340" s="624"/>
    </row>
    <row r="341" spans="8:8" ht="13.5" customHeight="1">
      <c r="H341" s="624"/>
    </row>
    <row r="342" spans="8:8" ht="13.5" customHeight="1">
      <c r="H342" s="624"/>
    </row>
    <row r="343" spans="8:8" ht="13.5" customHeight="1">
      <c r="H343" s="624"/>
    </row>
    <row r="344" spans="8:8" ht="13.5" customHeight="1">
      <c r="H344" s="624"/>
    </row>
    <row r="345" spans="8:8" ht="13.5" customHeight="1">
      <c r="H345" s="624"/>
    </row>
    <row r="346" spans="8:8" ht="13.5" customHeight="1">
      <c r="H346" s="624"/>
    </row>
    <row r="347" spans="8:8" ht="13.5" customHeight="1">
      <c r="H347" s="624"/>
    </row>
    <row r="348" spans="8:8" ht="13.5" customHeight="1">
      <c r="H348" s="624"/>
    </row>
    <row r="349" spans="8:8" ht="13.5" customHeight="1">
      <c r="H349" s="624"/>
    </row>
    <row r="350" spans="8:8" ht="13.5" customHeight="1">
      <c r="H350" s="624"/>
    </row>
    <row r="351" spans="8:8" ht="13.5" customHeight="1">
      <c r="H351" s="624"/>
    </row>
    <row r="352" spans="8:8" ht="13.5" customHeight="1">
      <c r="H352" s="624"/>
    </row>
    <row r="353" spans="8:8" ht="13.5" customHeight="1">
      <c r="H353" s="624"/>
    </row>
    <row r="354" spans="8:8" ht="13.5" customHeight="1">
      <c r="H354" s="624"/>
    </row>
    <row r="355" spans="8:8" ht="13.5" customHeight="1">
      <c r="H355" s="624"/>
    </row>
    <row r="356" spans="8:8" ht="13.5" customHeight="1">
      <c r="H356" s="624"/>
    </row>
    <row r="357" spans="8:8" ht="13.5" customHeight="1">
      <c r="H357" s="624"/>
    </row>
    <row r="358" spans="8:8" ht="13.5" customHeight="1">
      <c r="H358" s="624"/>
    </row>
    <row r="359" spans="8:8" ht="13.5" customHeight="1">
      <c r="H359" s="624"/>
    </row>
    <row r="360" spans="8:8" ht="13.5" customHeight="1">
      <c r="H360" s="624"/>
    </row>
    <row r="361" spans="8:8" ht="13.5" customHeight="1">
      <c r="H361" s="624"/>
    </row>
    <row r="362" spans="8:8" ht="13.5" customHeight="1">
      <c r="H362" s="624"/>
    </row>
    <row r="363" spans="8:8" ht="13.5" customHeight="1">
      <c r="H363" s="624"/>
    </row>
    <row r="364" spans="8:8" ht="13.5" customHeight="1">
      <c r="H364" s="624"/>
    </row>
    <row r="365" spans="8:8" ht="13.5" customHeight="1">
      <c r="H365" s="624"/>
    </row>
    <row r="366" spans="8:8" ht="13.5" customHeight="1">
      <c r="H366" s="624"/>
    </row>
    <row r="367" spans="8:8" ht="13.5" customHeight="1">
      <c r="H367" s="624"/>
    </row>
    <row r="368" spans="8:8" ht="13.5" customHeight="1">
      <c r="H368" s="624"/>
    </row>
    <row r="369" spans="8:8" ht="13.5" customHeight="1">
      <c r="H369" s="624"/>
    </row>
    <row r="370" spans="8:8" ht="13.5" customHeight="1">
      <c r="H370" s="624"/>
    </row>
    <row r="371" spans="8:8" ht="13.5" customHeight="1">
      <c r="H371" s="624"/>
    </row>
    <row r="372" spans="8:8" ht="13.5" customHeight="1">
      <c r="H372" s="624"/>
    </row>
    <row r="373" spans="8:8" ht="13.5" customHeight="1">
      <c r="H373" s="624"/>
    </row>
    <row r="374" spans="8:8" ht="13.5" customHeight="1">
      <c r="H374" s="624"/>
    </row>
    <row r="375" spans="8:8" ht="13.5" customHeight="1">
      <c r="H375" s="624"/>
    </row>
    <row r="376" spans="8:8" ht="13.5" customHeight="1">
      <c r="H376" s="624"/>
    </row>
    <row r="377" spans="8:8" ht="13.5" customHeight="1">
      <c r="H377" s="624"/>
    </row>
    <row r="378" spans="8:8" ht="13.5" customHeight="1">
      <c r="H378" s="624"/>
    </row>
    <row r="379" spans="8:8" ht="13.5" customHeight="1">
      <c r="H379" s="624"/>
    </row>
    <row r="380" spans="8:8" ht="13.5" customHeight="1">
      <c r="H380" s="624"/>
    </row>
    <row r="381" spans="8:8" ht="13.5" customHeight="1">
      <c r="H381" s="624"/>
    </row>
    <row r="382" spans="8:8" ht="13.5" customHeight="1">
      <c r="H382" s="624"/>
    </row>
    <row r="383" spans="8:8" ht="13.5" customHeight="1">
      <c r="H383" s="624"/>
    </row>
    <row r="384" spans="8:8" ht="13.5" customHeight="1">
      <c r="H384" s="624"/>
    </row>
    <row r="385" spans="8:8" ht="13.5" customHeight="1">
      <c r="H385" s="624"/>
    </row>
    <row r="386" spans="8:8" ht="13.5" customHeight="1">
      <c r="H386" s="624"/>
    </row>
    <row r="387" spans="8:8" ht="13.5" customHeight="1">
      <c r="H387" s="624"/>
    </row>
    <row r="388" spans="8:8" ht="13.5" customHeight="1">
      <c r="H388" s="624"/>
    </row>
    <row r="389" spans="8:8" ht="13.5" customHeight="1">
      <c r="H389" s="624"/>
    </row>
    <row r="390" spans="8:8" ht="13.5" customHeight="1">
      <c r="H390" s="624"/>
    </row>
    <row r="391" spans="8:8" ht="13.5" customHeight="1">
      <c r="H391" s="624"/>
    </row>
    <row r="392" spans="8:8" ht="13.5" customHeight="1">
      <c r="H392" s="624"/>
    </row>
    <row r="393" spans="8:8" ht="13.5" customHeight="1">
      <c r="H393" s="624"/>
    </row>
    <row r="394" spans="8:8" ht="13.5" customHeight="1">
      <c r="H394" s="624"/>
    </row>
    <row r="395" spans="8:8" ht="13.5" customHeight="1">
      <c r="H395" s="624"/>
    </row>
    <row r="396" spans="8:8" ht="13.5" customHeight="1">
      <c r="H396" s="624"/>
    </row>
    <row r="397" spans="8:8" ht="13.5" customHeight="1">
      <c r="H397" s="624"/>
    </row>
    <row r="398" spans="8:8" ht="13.5" customHeight="1">
      <c r="H398" s="624"/>
    </row>
    <row r="399" spans="8:8" ht="13.5" customHeight="1">
      <c r="H399" s="624"/>
    </row>
    <row r="400" spans="8:8" ht="13.5" customHeight="1">
      <c r="H400" s="624"/>
    </row>
    <row r="401" spans="8:8" ht="13.5" customHeight="1">
      <c r="H401" s="624"/>
    </row>
    <row r="402" spans="8:8" ht="13.5" customHeight="1">
      <c r="H402" s="624"/>
    </row>
    <row r="403" spans="8:8" ht="13.5" customHeight="1">
      <c r="H403" s="624"/>
    </row>
    <row r="404" spans="8:8" ht="13.5" customHeight="1">
      <c r="H404" s="624"/>
    </row>
    <row r="405" spans="8:8" ht="13.5" customHeight="1">
      <c r="H405" s="624"/>
    </row>
    <row r="406" spans="8:8" ht="13.5" customHeight="1">
      <c r="H406" s="624"/>
    </row>
    <row r="407" spans="8:8" ht="13.5" customHeight="1">
      <c r="H407" s="624"/>
    </row>
    <row r="408" spans="8:8" ht="13.5" customHeight="1">
      <c r="H408" s="624"/>
    </row>
    <row r="409" spans="8:8" ht="13.5" customHeight="1">
      <c r="H409" s="624"/>
    </row>
    <row r="410" spans="8:8" ht="13.5" customHeight="1">
      <c r="H410" s="624"/>
    </row>
    <row r="411" spans="8:8" ht="13.5" customHeight="1">
      <c r="H411" s="624"/>
    </row>
    <row r="412" spans="8:8" ht="13.5" customHeight="1">
      <c r="H412" s="624"/>
    </row>
    <row r="413" spans="8:8" ht="13.5" customHeight="1">
      <c r="H413" s="624"/>
    </row>
    <row r="414" spans="8:8" ht="13.5" customHeight="1">
      <c r="H414" s="624"/>
    </row>
    <row r="415" spans="8:8" ht="13.5" customHeight="1">
      <c r="H415" s="624"/>
    </row>
    <row r="416" spans="8:8" ht="13.5" customHeight="1">
      <c r="H416" s="624"/>
    </row>
    <row r="417" spans="8:8" ht="13.5" customHeight="1">
      <c r="H417" s="624"/>
    </row>
    <row r="418" spans="8:8" ht="13.5" customHeight="1">
      <c r="H418" s="624"/>
    </row>
    <row r="419" spans="8:8" ht="13.5" customHeight="1">
      <c r="H419" s="624"/>
    </row>
    <row r="420" spans="8:8" ht="13.5" customHeight="1">
      <c r="H420" s="624"/>
    </row>
    <row r="421" spans="8:8" ht="13.5" customHeight="1">
      <c r="H421" s="624"/>
    </row>
    <row r="422" spans="8:8" ht="13.5" customHeight="1">
      <c r="H422" s="624"/>
    </row>
    <row r="423" spans="8:8" ht="13.5" customHeight="1">
      <c r="H423" s="624"/>
    </row>
    <row r="424" spans="8:8" ht="13.5" customHeight="1">
      <c r="H424" s="624"/>
    </row>
    <row r="425" spans="8:8" ht="13.5" customHeight="1">
      <c r="H425" s="624"/>
    </row>
    <row r="426" spans="8:8" ht="13.5" customHeight="1">
      <c r="H426" s="624"/>
    </row>
    <row r="427" spans="8:8" ht="13.5" customHeight="1">
      <c r="H427" s="624"/>
    </row>
    <row r="428" spans="8:8" ht="13.5" customHeight="1">
      <c r="H428" s="624"/>
    </row>
    <row r="429" spans="8:8" ht="13.5" customHeight="1">
      <c r="H429" s="624"/>
    </row>
    <row r="430" spans="8:8" ht="13.5" customHeight="1">
      <c r="H430" s="624"/>
    </row>
    <row r="431" spans="8:8" ht="13.5" customHeight="1">
      <c r="H431" s="624"/>
    </row>
    <row r="432" spans="8:8" ht="13.5" customHeight="1">
      <c r="H432" s="624"/>
    </row>
    <row r="433" spans="8:8" ht="13.5" customHeight="1">
      <c r="H433" s="624"/>
    </row>
    <row r="434" spans="8:8" ht="13.5" customHeight="1">
      <c r="H434" s="624"/>
    </row>
    <row r="435" spans="8:8" ht="13.5" customHeight="1">
      <c r="H435" s="624"/>
    </row>
    <row r="436" spans="8:8" ht="13.5" customHeight="1">
      <c r="H436" s="624"/>
    </row>
    <row r="437" spans="8:8" ht="13.5" customHeight="1">
      <c r="H437" s="624"/>
    </row>
    <row r="438" spans="8:8" ht="13.5" customHeight="1">
      <c r="H438" s="624"/>
    </row>
    <row r="439" spans="8:8" ht="13.5" customHeight="1">
      <c r="H439" s="624"/>
    </row>
    <row r="440" spans="8:8" ht="13.5" customHeight="1">
      <c r="H440" s="624"/>
    </row>
    <row r="441" spans="8:8" ht="13.5" customHeight="1">
      <c r="H441" s="624"/>
    </row>
    <row r="442" spans="8:8" ht="13.5" customHeight="1">
      <c r="H442" s="624"/>
    </row>
    <row r="443" spans="8:8" ht="13.5" customHeight="1">
      <c r="H443" s="624"/>
    </row>
    <row r="444" spans="8:8" ht="13.5" customHeight="1">
      <c r="H444" s="624"/>
    </row>
    <row r="445" spans="8:8" ht="13.5" customHeight="1">
      <c r="H445" s="624"/>
    </row>
    <row r="446" spans="8:8" ht="13.5" customHeight="1">
      <c r="H446" s="624"/>
    </row>
    <row r="447" spans="8:8" ht="13.5" customHeight="1">
      <c r="H447" s="624"/>
    </row>
    <row r="448" spans="8:8" ht="13.5" customHeight="1">
      <c r="H448" s="624"/>
    </row>
    <row r="449" spans="8:8" ht="13.5" customHeight="1">
      <c r="H449" s="624"/>
    </row>
    <row r="450" spans="8:8" ht="13.5" customHeight="1">
      <c r="H450" s="624"/>
    </row>
    <row r="451" spans="8:8" ht="13.5" customHeight="1">
      <c r="H451" s="624"/>
    </row>
    <row r="452" spans="8:8" ht="13.5" customHeight="1">
      <c r="H452" s="624"/>
    </row>
    <row r="453" spans="8:8" ht="13.5" customHeight="1">
      <c r="H453" s="624"/>
    </row>
    <row r="454" spans="8:8" ht="13.5" customHeight="1">
      <c r="H454" s="624"/>
    </row>
    <row r="455" spans="8:8" ht="13.5" customHeight="1">
      <c r="H455" s="624"/>
    </row>
    <row r="456" spans="8:8" ht="13.5" customHeight="1">
      <c r="H456" s="624"/>
    </row>
    <row r="457" spans="8:8" ht="13.5" customHeight="1">
      <c r="H457" s="624"/>
    </row>
    <row r="458" spans="8:8" ht="13.5" customHeight="1">
      <c r="H458" s="624"/>
    </row>
    <row r="459" spans="8:8" ht="13.5" customHeight="1">
      <c r="H459" s="624"/>
    </row>
    <row r="460" spans="8:8" ht="13.5" customHeight="1">
      <c r="H460" s="624"/>
    </row>
    <row r="461" spans="8:8" ht="13.5" customHeight="1">
      <c r="H461" s="624"/>
    </row>
    <row r="462" spans="8:8" ht="13.5" customHeight="1">
      <c r="H462" s="624"/>
    </row>
    <row r="463" spans="8:8" ht="13.5" customHeight="1">
      <c r="H463" s="624"/>
    </row>
    <row r="464" spans="8:8" ht="13.5" customHeight="1">
      <c r="H464" s="624"/>
    </row>
    <row r="465" spans="8:8" ht="13.5" customHeight="1">
      <c r="H465" s="624"/>
    </row>
    <row r="466" spans="8:8" ht="13.5" customHeight="1">
      <c r="H466" s="624"/>
    </row>
    <row r="467" spans="8:8" ht="13.5" customHeight="1">
      <c r="H467" s="624"/>
    </row>
    <row r="468" spans="8:8" ht="13.5" customHeight="1">
      <c r="H468" s="624"/>
    </row>
    <row r="469" spans="8:8" ht="13.5" customHeight="1">
      <c r="H469" s="624"/>
    </row>
    <row r="470" spans="8:8" ht="13.5" customHeight="1">
      <c r="H470" s="624"/>
    </row>
    <row r="471" spans="8:8" ht="13.5" customHeight="1">
      <c r="H471" s="624"/>
    </row>
    <row r="472" spans="8:8" ht="13.5" customHeight="1">
      <c r="H472" s="624"/>
    </row>
    <row r="473" spans="8:8" ht="13.5" customHeight="1">
      <c r="H473" s="624"/>
    </row>
    <row r="474" spans="8:8" ht="13.5" customHeight="1">
      <c r="H474" s="624"/>
    </row>
    <row r="475" spans="8:8" ht="13.5" customHeight="1">
      <c r="H475" s="624"/>
    </row>
    <row r="476" spans="8:8" ht="13.5" customHeight="1">
      <c r="H476" s="624"/>
    </row>
    <row r="477" spans="8:8" ht="13.5" customHeight="1">
      <c r="H477" s="624"/>
    </row>
    <row r="478" spans="8:8" ht="13.5" customHeight="1">
      <c r="H478" s="624"/>
    </row>
    <row r="479" spans="8:8" ht="13.5" customHeight="1">
      <c r="H479" s="624"/>
    </row>
    <row r="480" spans="8:8" ht="13.5" customHeight="1">
      <c r="H480" s="624"/>
    </row>
    <row r="481" spans="8:8" ht="13.5" customHeight="1">
      <c r="H481" s="624"/>
    </row>
    <row r="482" spans="8:8" ht="13.5" customHeight="1">
      <c r="H482" s="624"/>
    </row>
    <row r="483" spans="8:8" ht="13.5" customHeight="1">
      <c r="H483" s="624"/>
    </row>
    <row r="484" spans="8:8" ht="13.5" customHeight="1">
      <c r="H484" s="624"/>
    </row>
    <row r="485" spans="8:8" ht="13.5" customHeight="1">
      <c r="H485" s="624"/>
    </row>
    <row r="486" spans="8:8" ht="13.5" customHeight="1">
      <c r="H486" s="624"/>
    </row>
    <row r="487" spans="8:8" ht="13.5" customHeight="1">
      <c r="H487" s="624"/>
    </row>
    <row r="488" spans="8:8" ht="13.5" customHeight="1">
      <c r="H488" s="624"/>
    </row>
    <row r="489" spans="8:8" ht="13.5" customHeight="1">
      <c r="H489" s="624"/>
    </row>
    <row r="490" spans="8:8" ht="13.5" customHeight="1">
      <c r="H490" s="624"/>
    </row>
    <row r="491" spans="8:8" ht="13.5" customHeight="1">
      <c r="H491" s="624"/>
    </row>
    <row r="492" spans="8:8" ht="13.5" customHeight="1">
      <c r="H492" s="624"/>
    </row>
    <row r="493" spans="8:8" ht="13.5" customHeight="1">
      <c r="H493" s="624"/>
    </row>
    <row r="494" spans="8:8" ht="13.5" customHeight="1">
      <c r="H494" s="624"/>
    </row>
    <row r="495" spans="8:8" ht="13.5" customHeight="1">
      <c r="H495" s="624"/>
    </row>
    <row r="496" spans="8:8" ht="13.5" customHeight="1">
      <c r="H496" s="624"/>
    </row>
    <row r="497" spans="8:8" ht="13.5" customHeight="1">
      <c r="H497" s="624"/>
    </row>
    <row r="498" spans="8:8" ht="13.5" customHeight="1">
      <c r="H498" s="624"/>
    </row>
    <row r="499" spans="8:8" ht="13.5" customHeight="1">
      <c r="H499" s="624"/>
    </row>
    <row r="500" spans="8:8" ht="13.5" customHeight="1">
      <c r="H500" s="624"/>
    </row>
    <row r="501" spans="8:8" ht="13.5" customHeight="1">
      <c r="H501" s="624"/>
    </row>
    <row r="502" spans="8:8" ht="13.5" customHeight="1">
      <c r="H502" s="624"/>
    </row>
    <row r="503" spans="8:8" ht="13.5" customHeight="1">
      <c r="H503" s="624"/>
    </row>
    <row r="504" spans="8:8" ht="13.5" customHeight="1">
      <c r="H504" s="624"/>
    </row>
    <row r="505" spans="8:8" ht="13.5" customHeight="1">
      <c r="H505" s="624"/>
    </row>
    <row r="506" spans="8:8" ht="13.5" customHeight="1">
      <c r="H506" s="624"/>
    </row>
    <row r="507" spans="8:8" ht="13.5" customHeight="1">
      <c r="H507" s="624"/>
    </row>
    <row r="508" spans="8:8" ht="13.5" customHeight="1">
      <c r="H508" s="624"/>
    </row>
    <row r="509" spans="8:8" ht="13.5" customHeight="1">
      <c r="H509" s="624"/>
    </row>
    <row r="510" spans="8:8" ht="13.5" customHeight="1">
      <c r="H510" s="624"/>
    </row>
    <row r="511" spans="8:8" ht="13.5" customHeight="1">
      <c r="H511" s="624"/>
    </row>
    <row r="512" spans="8:8" ht="13.5" customHeight="1">
      <c r="H512" s="624"/>
    </row>
    <row r="513" spans="8:8" ht="13.5" customHeight="1">
      <c r="H513" s="624"/>
    </row>
    <row r="514" spans="8:8" ht="13.5" customHeight="1">
      <c r="H514" s="624"/>
    </row>
    <row r="515" spans="8:8" ht="13.5" customHeight="1">
      <c r="H515" s="624"/>
    </row>
    <row r="516" spans="8:8" ht="13.5" customHeight="1">
      <c r="H516" s="624"/>
    </row>
    <row r="517" spans="8:8" ht="13.5" customHeight="1">
      <c r="H517" s="624"/>
    </row>
    <row r="518" spans="8:8" ht="13.5" customHeight="1">
      <c r="H518" s="624"/>
    </row>
    <row r="519" spans="8:8" ht="13.5" customHeight="1">
      <c r="H519" s="624"/>
    </row>
    <row r="520" spans="8:8" ht="13.5" customHeight="1">
      <c r="H520" s="624"/>
    </row>
    <row r="521" spans="8:8" ht="13.5" customHeight="1">
      <c r="H521" s="624"/>
    </row>
    <row r="522" spans="8:8" ht="13.5" customHeight="1">
      <c r="H522" s="624"/>
    </row>
    <row r="523" spans="8:8" ht="13.5" customHeight="1">
      <c r="H523" s="624"/>
    </row>
    <row r="524" spans="8:8" ht="13.5" customHeight="1">
      <c r="H524" s="624"/>
    </row>
    <row r="525" spans="8:8" ht="13.5" customHeight="1">
      <c r="H525" s="624"/>
    </row>
    <row r="526" spans="8:8" ht="13.5" customHeight="1">
      <c r="H526" s="624"/>
    </row>
    <row r="527" spans="8:8" ht="13.5" customHeight="1">
      <c r="H527" s="624"/>
    </row>
    <row r="528" spans="8:8" ht="13.5" customHeight="1">
      <c r="H528" s="624"/>
    </row>
    <row r="529" spans="8:8" ht="13.5" customHeight="1">
      <c r="H529" s="624"/>
    </row>
    <row r="530" spans="8:8" ht="13.5" customHeight="1">
      <c r="H530" s="624"/>
    </row>
    <row r="531" spans="8:8" ht="13.5" customHeight="1">
      <c r="H531" s="624"/>
    </row>
    <row r="532" spans="8:8" ht="13.5" customHeight="1">
      <c r="H532" s="624"/>
    </row>
    <row r="533" spans="8:8" ht="13.5" customHeight="1">
      <c r="H533" s="624"/>
    </row>
    <row r="534" spans="8:8" ht="13.5" customHeight="1">
      <c r="H534" s="624"/>
    </row>
    <row r="535" spans="8:8" ht="13.5" customHeight="1">
      <c r="H535" s="624"/>
    </row>
    <row r="536" spans="8:8" ht="13.5" customHeight="1">
      <c r="H536" s="624"/>
    </row>
    <row r="537" spans="8:8" ht="13.5" customHeight="1">
      <c r="H537" s="624"/>
    </row>
    <row r="538" spans="8:8" ht="13.5" customHeight="1">
      <c r="H538" s="624"/>
    </row>
    <row r="539" spans="8:8" ht="13.5" customHeight="1">
      <c r="H539" s="624"/>
    </row>
    <row r="540" spans="8:8" ht="13.5" customHeight="1">
      <c r="H540" s="624"/>
    </row>
    <row r="541" spans="8:8" ht="13.5" customHeight="1">
      <c r="H541" s="624"/>
    </row>
    <row r="542" spans="8:8" ht="13.5" customHeight="1">
      <c r="H542" s="624"/>
    </row>
    <row r="543" spans="8:8" ht="13.5" customHeight="1">
      <c r="H543" s="624"/>
    </row>
    <row r="544" spans="8:8" ht="13.5" customHeight="1">
      <c r="H544" s="624"/>
    </row>
    <row r="545" spans="8:8" ht="13.5" customHeight="1">
      <c r="H545" s="624"/>
    </row>
    <row r="546" spans="8:8" ht="13.5" customHeight="1">
      <c r="H546" s="624"/>
    </row>
    <row r="547" spans="8:8" ht="13.5" customHeight="1">
      <c r="H547" s="624"/>
    </row>
    <row r="548" spans="8:8" ht="13.5" customHeight="1">
      <c r="H548" s="624"/>
    </row>
    <row r="549" spans="8:8" ht="13.5" customHeight="1">
      <c r="H549" s="624"/>
    </row>
    <row r="550" spans="8:8" ht="13.5" customHeight="1">
      <c r="H550" s="624"/>
    </row>
    <row r="551" spans="8:8" ht="13.5" customHeight="1">
      <c r="H551" s="624"/>
    </row>
    <row r="552" spans="8:8" ht="13.5" customHeight="1">
      <c r="H552" s="624"/>
    </row>
    <row r="553" spans="8:8" ht="13.5" customHeight="1">
      <c r="H553" s="624"/>
    </row>
    <row r="554" spans="8:8" ht="13.5" customHeight="1">
      <c r="H554" s="624"/>
    </row>
    <row r="555" spans="8:8" ht="13.5" customHeight="1">
      <c r="H555" s="624"/>
    </row>
    <row r="556" spans="8:8" ht="13.5" customHeight="1">
      <c r="H556" s="624"/>
    </row>
    <row r="557" spans="8:8" ht="13.5" customHeight="1">
      <c r="H557" s="624"/>
    </row>
    <row r="558" spans="8:8" ht="13.5" customHeight="1">
      <c r="H558" s="624"/>
    </row>
    <row r="559" spans="8:8" ht="13.5" customHeight="1">
      <c r="H559" s="624"/>
    </row>
    <row r="560" spans="8:8" ht="13.5" customHeight="1">
      <c r="H560" s="624"/>
    </row>
    <row r="561" spans="8:8" ht="13.5" customHeight="1">
      <c r="H561" s="624"/>
    </row>
    <row r="562" spans="8:8" ht="13.5" customHeight="1">
      <c r="H562" s="624"/>
    </row>
    <row r="563" spans="8:8" ht="13.5" customHeight="1">
      <c r="H563" s="624"/>
    </row>
    <row r="564" spans="8:8" ht="13.5" customHeight="1">
      <c r="H564" s="624"/>
    </row>
    <row r="565" spans="8:8" ht="13.5" customHeight="1">
      <c r="H565" s="624"/>
    </row>
    <row r="566" spans="8:8" ht="13.5" customHeight="1">
      <c r="H566" s="624"/>
    </row>
    <row r="567" spans="8:8" ht="13.5" customHeight="1">
      <c r="H567" s="624"/>
    </row>
    <row r="568" spans="8:8" ht="13.5" customHeight="1">
      <c r="H568" s="624"/>
    </row>
    <row r="569" spans="8:8" ht="13.5" customHeight="1">
      <c r="H569" s="624"/>
    </row>
    <row r="570" spans="8:8" ht="13.5" customHeight="1">
      <c r="H570" s="624"/>
    </row>
    <row r="571" spans="8:8" ht="13.5" customHeight="1">
      <c r="H571" s="624"/>
    </row>
    <row r="572" spans="8:8" ht="13.5" customHeight="1">
      <c r="H572" s="624"/>
    </row>
    <row r="573" spans="8:8" ht="13.5" customHeight="1">
      <c r="H573" s="624"/>
    </row>
    <row r="574" spans="8:8" ht="13.5" customHeight="1">
      <c r="H574" s="624"/>
    </row>
    <row r="575" spans="8:8" ht="13.5" customHeight="1">
      <c r="H575" s="624"/>
    </row>
    <row r="576" spans="8:8" ht="13.5" customHeight="1">
      <c r="H576" s="624"/>
    </row>
    <row r="577" spans="8:8" ht="13.5" customHeight="1">
      <c r="H577" s="624"/>
    </row>
    <row r="578" spans="8:8" ht="13.5" customHeight="1">
      <c r="H578" s="624"/>
    </row>
    <row r="579" spans="8:8" ht="13.5" customHeight="1">
      <c r="H579" s="624"/>
    </row>
    <row r="580" spans="8:8" ht="13.5" customHeight="1">
      <c r="H580" s="624"/>
    </row>
    <row r="581" spans="8:8" ht="13.5" customHeight="1">
      <c r="H581" s="624"/>
    </row>
    <row r="582" spans="8:8" ht="13.5" customHeight="1">
      <c r="H582" s="624"/>
    </row>
    <row r="583" spans="8:8" ht="13.5" customHeight="1">
      <c r="H583" s="624"/>
    </row>
    <row r="584" spans="8:8" ht="13.5" customHeight="1">
      <c r="H584" s="624"/>
    </row>
    <row r="585" spans="8:8" ht="13.5" customHeight="1">
      <c r="H585" s="624"/>
    </row>
    <row r="586" spans="8:8" ht="13.5" customHeight="1">
      <c r="H586" s="624"/>
    </row>
    <row r="587" spans="8:8" ht="13.5" customHeight="1">
      <c r="H587" s="624"/>
    </row>
    <row r="588" spans="8:8" ht="13.5" customHeight="1">
      <c r="H588" s="624"/>
    </row>
    <row r="589" spans="8:8" ht="13.5" customHeight="1">
      <c r="H589" s="624"/>
    </row>
    <row r="590" spans="8:8" ht="13.5" customHeight="1">
      <c r="H590" s="624"/>
    </row>
    <row r="591" spans="8:8" ht="13.5" customHeight="1">
      <c r="H591" s="624"/>
    </row>
    <row r="592" spans="8:8" ht="13.5" customHeight="1">
      <c r="H592" s="624"/>
    </row>
    <row r="593" spans="8:8" ht="13.5" customHeight="1">
      <c r="H593" s="624"/>
    </row>
    <row r="594" spans="8:8" ht="13.5" customHeight="1">
      <c r="H594" s="624"/>
    </row>
    <row r="595" spans="8:8" ht="13.5" customHeight="1">
      <c r="H595" s="624"/>
    </row>
    <row r="596" spans="8:8" ht="13.5" customHeight="1">
      <c r="H596" s="624"/>
    </row>
    <row r="597" spans="8:8" ht="13.5" customHeight="1">
      <c r="H597" s="624"/>
    </row>
    <row r="598" spans="8:8" ht="13.5" customHeight="1">
      <c r="H598" s="624"/>
    </row>
    <row r="599" spans="8:8" ht="13.5" customHeight="1">
      <c r="H599" s="624"/>
    </row>
    <row r="600" spans="8:8" ht="13.5" customHeight="1">
      <c r="H600" s="624"/>
    </row>
    <row r="601" spans="8:8" ht="13.5" customHeight="1">
      <c r="H601" s="624"/>
    </row>
    <row r="602" spans="8:8" ht="13.5" customHeight="1">
      <c r="H602" s="624"/>
    </row>
    <row r="603" spans="8:8" ht="13.5" customHeight="1">
      <c r="H603" s="624"/>
    </row>
    <row r="604" spans="8:8" ht="13.5" customHeight="1">
      <c r="H604" s="624"/>
    </row>
    <row r="605" spans="8:8" ht="13.5" customHeight="1">
      <c r="H605" s="624"/>
    </row>
    <row r="606" spans="8:8" ht="13.5" customHeight="1">
      <c r="H606" s="624"/>
    </row>
    <row r="607" spans="8:8" ht="13.5" customHeight="1">
      <c r="H607" s="624"/>
    </row>
    <row r="608" spans="8:8" ht="13.5" customHeight="1">
      <c r="H608" s="624"/>
    </row>
    <row r="609" spans="8:8" ht="13.5" customHeight="1">
      <c r="H609" s="624"/>
    </row>
    <row r="610" spans="8:8" ht="13.5" customHeight="1">
      <c r="H610" s="624"/>
    </row>
    <row r="611" spans="8:8" ht="13.5" customHeight="1">
      <c r="H611" s="624"/>
    </row>
    <row r="612" spans="8:8" ht="13.5" customHeight="1">
      <c r="H612" s="624"/>
    </row>
    <row r="613" spans="8:8" ht="13.5" customHeight="1">
      <c r="H613" s="624"/>
    </row>
    <row r="614" spans="8:8" ht="13.5" customHeight="1">
      <c r="H614" s="624"/>
    </row>
    <row r="615" spans="8:8" ht="13.5" customHeight="1">
      <c r="H615" s="624"/>
    </row>
    <row r="616" spans="8:8" ht="13.5" customHeight="1">
      <c r="H616" s="624"/>
    </row>
    <row r="617" spans="8:8" ht="13.5" customHeight="1">
      <c r="H617" s="624"/>
    </row>
    <row r="618" spans="8:8" ht="13.5" customHeight="1">
      <c r="H618" s="624"/>
    </row>
    <row r="619" spans="8:8" ht="13.5" customHeight="1">
      <c r="H619" s="624"/>
    </row>
    <row r="620" spans="8:8" ht="13.5" customHeight="1">
      <c r="H620" s="624"/>
    </row>
    <row r="621" spans="8:8" ht="13.5" customHeight="1">
      <c r="H621" s="624"/>
    </row>
    <row r="622" spans="8:8" ht="13.5" customHeight="1">
      <c r="H622" s="624"/>
    </row>
    <row r="623" spans="8:8" ht="13.5" customHeight="1">
      <c r="H623" s="624"/>
    </row>
    <row r="624" spans="8:8" ht="13.5" customHeight="1">
      <c r="H624" s="624"/>
    </row>
    <row r="625" spans="8:8" ht="13.5" customHeight="1">
      <c r="H625" s="624"/>
    </row>
    <row r="626" spans="8:8" ht="13.5" customHeight="1">
      <c r="H626" s="624"/>
    </row>
    <row r="627" spans="8:8" ht="13.5" customHeight="1">
      <c r="H627" s="624"/>
    </row>
    <row r="628" spans="8:8" ht="13.5" customHeight="1">
      <c r="H628" s="624"/>
    </row>
    <row r="629" spans="8:8" ht="13.5" customHeight="1">
      <c r="H629" s="624"/>
    </row>
    <row r="630" spans="8:8" ht="13.5" customHeight="1">
      <c r="H630" s="624"/>
    </row>
    <row r="631" spans="8:8" ht="13.5" customHeight="1">
      <c r="H631" s="624"/>
    </row>
    <row r="632" spans="8:8" ht="13.5" customHeight="1">
      <c r="H632" s="624"/>
    </row>
    <row r="633" spans="8:8" ht="13.5" customHeight="1">
      <c r="H633" s="624"/>
    </row>
    <row r="634" spans="8:8" ht="13.5" customHeight="1">
      <c r="H634" s="624"/>
    </row>
    <row r="635" spans="8:8" ht="13.5" customHeight="1">
      <c r="H635" s="624"/>
    </row>
    <row r="636" spans="8:8" ht="13.5" customHeight="1">
      <c r="H636" s="624"/>
    </row>
    <row r="637" spans="8:8" ht="13.5" customHeight="1">
      <c r="H637" s="624"/>
    </row>
    <row r="638" spans="8:8" ht="13.5" customHeight="1">
      <c r="H638" s="624"/>
    </row>
    <row r="639" spans="8:8" ht="13.5" customHeight="1">
      <c r="H639" s="624"/>
    </row>
    <row r="640" spans="8:8" ht="13.5" customHeight="1">
      <c r="H640" s="624"/>
    </row>
    <row r="641" spans="8:8" ht="13.5" customHeight="1">
      <c r="H641" s="624"/>
    </row>
    <row r="642" spans="8:8" ht="13.5" customHeight="1">
      <c r="H642" s="624"/>
    </row>
    <row r="643" spans="8:8" ht="13.5" customHeight="1">
      <c r="H643" s="624"/>
    </row>
    <row r="644" spans="8:8" ht="13.5" customHeight="1">
      <c r="H644" s="624"/>
    </row>
    <row r="645" spans="8:8" ht="13.5" customHeight="1">
      <c r="H645" s="624"/>
    </row>
    <row r="646" spans="8:8" ht="13.5" customHeight="1">
      <c r="H646" s="624"/>
    </row>
    <row r="647" spans="8:8" ht="13.5" customHeight="1">
      <c r="H647" s="624"/>
    </row>
    <row r="648" spans="8:8" ht="13.5" customHeight="1">
      <c r="H648" s="624"/>
    </row>
    <row r="649" spans="8:8" ht="13.5" customHeight="1">
      <c r="H649" s="624"/>
    </row>
    <row r="650" spans="8:8" ht="13.5" customHeight="1">
      <c r="H650" s="624"/>
    </row>
    <row r="651" spans="8:8" ht="13.5" customHeight="1">
      <c r="H651" s="624"/>
    </row>
    <row r="652" spans="8:8" ht="13.5" customHeight="1">
      <c r="H652" s="624"/>
    </row>
    <row r="653" spans="8:8" ht="13.5" customHeight="1">
      <c r="H653" s="624"/>
    </row>
    <row r="654" spans="8:8" ht="13.5" customHeight="1">
      <c r="H654" s="624"/>
    </row>
    <row r="655" spans="8:8" ht="13.5" customHeight="1">
      <c r="H655" s="624"/>
    </row>
    <row r="656" spans="8:8" ht="13.5" customHeight="1">
      <c r="H656" s="624"/>
    </row>
    <row r="657" spans="8:8" ht="13.5" customHeight="1">
      <c r="H657" s="624"/>
    </row>
    <row r="658" spans="8:8" ht="13.5" customHeight="1">
      <c r="H658" s="624"/>
    </row>
    <row r="659" spans="8:8" ht="13.5" customHeight="1">
      <c r="H659" s="624"/>
    </row>
    <row r="660" spans="8:8" ht="13.5" customHeight="1">
      <c r="H660" s="624"/>
    </row>
    <row r="661" spans="8:8" ht="13.5" customHeight="1">
      <c r="H661" s="624"/>
    </row>
    <row r="662" spans="8:8" ht="13.5" customHeight="1">
      <c r="H662" s="624"/>
    </row>
    <row r="663" spans="8:8" ht="13.5" customHeight="1">
      <c r="H663" s="624"/>
    </row>
    <row r="664" spans="8:8" ht="13.5" customHeight="1">
      <c r="H664" s="624"/>
    </row>
    <row r="665" spans="8:8" ht="13.5" customHeight="1">
      <c r="H665" s="624"/>
    </row>
    <row r="666" spans="8:8" ht="13.5" customHeight="1">
      <c r="H666" s="624"/>
    </row>
    <row r="667" spans="8:8" ht="13.5" customHeight="1">
      <c r="H667" s="624"/>
    </row>
    <row r="668" spans="8:8" ht="13.5" customHeight="1">
      <c r="H668" s="624"/>
    </row>
    <row r="669" spans="8:8" ht="13.5" customHeight="1">
      <c r="H669" s="624"/>
    </row>
    <row r="670" spans="8:8" ht="13.5" customHeight="1">
      <c r="H670" s="624"/>
    </row>
    <row r="671" spans="8:8" ht="13.5" customHeight="1">
      <c r="H671" s="624"/>
    </row>
    <row r="672" spans="8:8" ht="13.5" customHeight="1">
      <c r="H672" s="624"/>
    </row>
    <row r="673" spans="8:8" ht="13.5" customHeight="1">
      <c r="H673" s="624"/>
    </row>
    <row r="674" spans="8:8" ht="13.5" customHeight="1">
      <c r="H674" s="624"/>
    </row>
    <row r="675" spans="8:8" ht="13.5" customHeight="1">
      <c r="H675" s="624"/>
    </row>
    <row r="676" spans="8:8" ht="13.5" customHeight="1">
      <c r="H676" s="624"/>
    </row>
    <row r="677" spans="8:8" ht="13.5" customHeight="1">
      <c r="H677" s="624"/>
    </row>
    <row r="678" spans="8:8" ht="13.5" customHeight="1">
      <c r="H678" s="624"/>
    </row>
    <row r="679" spans="8:8" ht="13.5" customHeight="1">
      <c r="H679" s="624"/>
    </row>
    <row r="680" spans="8:8" ht="13.5" customHeight="1">
      <c r="H680" s="624"/>
    </row>
    <row r="681" spans="8:8" ht="13.5" customHeight="1">
      <c r="H681" s="624"/>
    </row>
    <row r="682" spans="8:8" ht="13.5" customHeight="1">
      <c r="H682" s="624"/>
    </row>
    <row r="683" spans="8:8" ht="13.5" customHeight="1">
      <c r="H683" s="624"/>
    </row>
    <row r="684" spans="8:8" ht="13.5" customHeight="1">
      <c r="H684" s="624"/>
    </row>
    <row r="685" spans="8:8" ht="13.5" customHeight="1">
      <c r="H685" s="624"/>
    </row>
    <row r="686" spans="8:8" ht="13.5" customHeight="1">
      <c r="H686" s="624"/>
    </row>
    <row r="687" spans="8:8" ht="13.5" customHeight="1">
      <c r="H687" s="624"/>
    </row>
    <row r="688" spans="8:8" ht="13.5" customHeight="1">
      <c r="H688" s="624"/>
    </row>
    <row r="689" spans="8:8" ht="13.5" customHeight="1">
      <c r="H689" s="624"/>
    </row>
    <row r="690" spans="8:8" ht="13.5" customHeight="1">
      <c r="H690" s="624"/>
    </row>
    <row r="691" spans="8:8" ht="13.5" customHeight="1">
      <c r="H691" s="624"/>
    </row>
    <row r="692" spans="8:8" ht="13.5" customHeight="1">
      <c r="H692" s="624"/>
    </row>
    <row r="693" spans="8:8" ht="13.5" customHeight="1">
      <c r="H693" s="624"/>
    </row>
    <row r="694" spans="8:8" ht="13.5" customHeight="1">
      <c r="H694" s="624"/>
    </row>
    <row r="695" spans="8:8" ht="13.5" customHeight="1">
      <c r="H695" s="624"/>
    </row>
    <row r="696" spans="8:8" ht="13.5" customHeight="1">
      <c r="H696" s="624"/>
    </row>
    <row r="697" spans="8:8" ht="13.5" customHeight="1">
      <c r="H697" s="624"/>
    </row>
    <row r="698" spans="8:8" ht="13.5" customHeight="1">
      <c r="H698" s="624"/>
    </row>
    <row r="699" spans="8:8" ht="13.5" customHeight="1">
      <c r="H699" s="624"/>
    </row>
    <row r="700" spans="8:8" ht="13.5" customHeight="1">
      <c r="H700" s="624"/>
    </row>
    <row r="701" spans="8:8" ht="13.5" customHeight="1">
      <c r="H701" s="624"/>
    </row>
    <row r="702" spans="8:8" ht="13.5" customHeight="1">
      <c r="H702" s="624"/>
    </row>
    <row r="703" spans="8:8" ht="13.5" customHeight="1">
      <c r="H703" s="624"/>
    </row>
    <row r="704" spans="8:8" ht="13.5" customHeight="1">
      <c r="H704" s="624"/>
    </row>
    <row r="705" spans="8:8" ht="13.5" customHeight="1">
      <c r="H705" s="624"/>
    </row>
    <row r="706" spans="8:8" ht="13.5" customHeight="1">
      <c r="H706" s="624"/>
    </row>
    <row r="707" spans="8:8" ht="13.5" customHeight="1">
      <c r="H707" s="624"/>
    </row>
    <row r="708" spans="8:8" ht="13.5" customHeight="1">
      <c r="H708" s="624"/>
    </row>
    <row r="709" spans="8:8" ht="13.5" customHeight="1">
      <c r="H709" s="624"/>
    </row>
    <row r="710" spans="8:8" ht="13.5" customHeight="1">
      <c r="H710" s="624"/>
    </row>
    <row r="711" spans="8:8" ht="13.5" customHeight="1">
      <c r="H711" s="624"/>
    </row>
    <row r="712" spans="8:8" ht="13.5" customHeight="1">
      <c r="H712" s="624"/>
    </row>
    <row r="713" spans="8:8" ht="13.5" customHeight="1">
      <c r="H713" s="624"/>
    </row>
    <row r="714" spans="8:8" ht="13.5" customHeight="1">
      <c r="H714" s="624"/>
    </row>
    <row r="715" spans="8:8" ht="13.5" customHeight="1">
      <c r="H715" s="624"/>
    </row>
    <row r="716" spans="8:8" ht="13.5" customHeight="1">
      <c r="H716" s="624"/>
    </row>
    <row r="717" spans="8:8" ht="13.5" customHeight="1">
      <c r="H717" s="624"/>
    </row>
    <row r="718" spans="8:8" ht="13.5" customHeight="1">
      <c r="H718" s="624"/>
    </row>
    <row r="719" spans="8:8" ht="13.5" customHeight="1">
      <c r="H719" s="624"/>
    </row>
    <row r="720" spans="8:8" ht="13.5" customHeight="1">
      <c r="H720" s="624"/>
    </row>
    <row r="721" spans="8:8" ht="13.5" customHeight="1">
      <c r="H721" s="624"/>
    </row>
    <row r="722" spans="8:8" ht="13.5" customHeight="1">
      <c r="H722" s="624"/>
    </row>
    <row r="723" spans="8:8" ht="13.5" customHeight="1">
      <c r="H723" s="624"/>
    </row>
    <row r="724" spans="8:8" ht="13.5" customHeight="1">
      <c r="H724" s="624"/>
    </row>
    <row r="725" spans="8:8" ht="13.5" customHeight="1">
      <c r="H725" s="624"/>
    </row>
    <row r="726" spans="8:8" ht="13.5" customHeight="1">
      <c r="H726" s="624"/>
    </row>
    <row r="727" spans="8:8" ht="13.5" customHeight="1">
      <c r="H727" s="624"/>
    </row>
    <row r="728" spans="8:8" ht="13.5" customHeight="1">
      <c r="H728" s="624"/>
    </row>
    <row r="729" spans="8:8" ht="13.5" customHeight="1">
      <c r="H729" s="624"/>
    </row>
    <row r="730" spans="8:8" ht="13.5" customHeight="1">
      <c r="H730" s="624"/>
    </row>
    <row r="731" spans="8:8" ht="13.5" customHeight="1">
      <c r="H731" s="624"/>
    </row>
    <row r="732" spans="8:8" ht="13.5" customHeight="1">
      <c r="H732" s="624"/>
    </row>
    <row r="733" spans="8:8" ht="13.5" customHeight="1">
      <c r="H733" s="624"/>
    </row>
    <row r="734" spans="8:8" ht="13.5" customHeight="1">
      <c r="H734" s="624"/>
    </row>
    <row r="735" spans="8:8" ht="13.5" customHeight="1">
      <c r="H735" s="624"/>
    </row>
    <row r="736" spans="8:8" ht="13.5" customHeight="1">
      <c r="H736" s="624"/>
    </row>
    <row r="737" spans="8:8" ht="13.5" customHeight="1">
      <c r="H737" s="624"/>
    </row>
    <row r="738" spans="8:8" ht="13.5" customHeight="1">
      <c r="H738" s="624"/>
    </row>
    <row r="739" spans="8:8" ht="13.5" customHeight="1">
      <c r="H739" s="624"/>
    </row>
    <row r="740" spans="8:8" ht="13.5" customHeight="1">
      <c r="H740" s="624"/>
    </row>
    <row r="741" spans="8:8" ht="13.5" customHeight="1">
      <c r="H741" s="624"/>
    </row>
    <row r="742" spans="8:8" ht="13.5" customHeight="1">
      <c r="H742" s="624"/>
    </row>
    <row r="743" spans="8:8" ht="13.5" customHeight="1">
      <c r="H743" s="624"/>
    </row>
    <row r="744" spans="8:8" ht="13.5" customHeight="1">
      <c r="H744" s="624"/>
    </row>
    <row r="745" spans="8:8" ht="13.5" customHeight="1">
      <c r="H745" s="624"/>
    </row>
    <row r="746" spans="8:8" ht="13.5" customHeight="1">
      <c r="H746" s="624"/>
    </row>
    <row r="747" spans="8:8" ht="13.5" customHeight="1">
      <c r="H747" s="624"/>
    </row>
    <row r="748" spans="8:8" ht="13.5" customHeight="1">
      <c r="H748" s="624"/>
    </row>
    <row r="749" spans="8:8" ht="13.5" customHeight="1">
      <c r="H749" s="624"/>
    </row>
    <row r="750" spans="8:8" ht="13.5" customHeight="1">
      <c r="H750" s="624"/>
    </row>
    <row r="751" spans="8:8" ht="13.5" customHeight="1">
      <c r="H751" s="624"/>
    </row>
    <row r="752" spans="8:8" ht="13.5" customHeight="1">
      <c r="H752" s="624"/>
    </row>
    <row r="753" spans="8:8" ht="13.5" customHeight="1">
      <c r="H753" s="624"/>
    </row>
    <row r="754" spans="8:8" ht="13.5" customHeight="1">
      <c r="H754" s="624"/>
    </row>
    <row r="755" spans="8:8" ht="13.5" customHeight="1">
      <c r="H755" s="624"/>
    </row>
    <row r="756" spans="8:8" ht="13.5" customHeight="1">
      <c r="H756" s="624"/>
    </row>
    <row r="757" spans="8:8" ht="13.5" customHeight="1">
      <c r="H757" s="624"/>
    </row>
    <row r="758" spans="8:8" ht="13.5" customHeight="1">
      <c r="H758" s="624"/>
    </row>
    <row r="759" spans="8:8" ht="13.5" customHeight="1">
      <c r="H759" s="624"/>
    </row>
    <row r="760" spans="8:8" ht="13.5" customHeight="1">
      <c r="H760" s="624"/>
    </row>
    <row r="761" spans="8:8" ht="13.5" customHeight="1">
      <c r="H761" s="624"/>
    </row>
    <row r="762" spans="8:8" ht="13.5" customHeight="1">
      <c r="H762" s="624"/>
    </row>
    <row r="763" spans="8:8" ht="13.5" customHeight="1">
      <c r="H763" s="624"/>
    </row>
    <row r="764" spans="8:8" ht="13.5" customHeight="1">
      <c r="H764" s="624"/>
    </row>
    <row r="765" spans="8:8" ht="13.5" customHeight="1">
      <c r="H765" s="624"/>
    </row>
    <row r="766" spans="8:8" ht="13.5" customHeight="1">
      <c r="H766" s="624"/>
    </row>
    <row r="767" spans="8:8" ht="13.5" customHeight="1">
      <c r="H767" s="624"/>
    </row>
    <row r="768" spans="8:8" ht="13.5" customHeight="1">
      <c r="H768" s="624"/>
    </row>
    <row r="769" spans="8:8" ht="13.5" customHeight="1">
      <c r="H769" s="624"/>
    </row>
    <row r="770" spans="8:8" ht="13.5" customHeight="1">
      <c r="H770" s="624"/>
    </row>
    <row r="771" spans="8:8" ht="13.5" customHeight="1">
      <c r="H771" s="624"/>
    </row>
    <row r="772" spans="8:8" ht="13.5" customHeight="1">
      <c r="H772" s="624"/>
    </row>
    <row r="773" spans="8:8" ht="13.5" customHeight="1">
      <c r="H773" s="624"/>
    </row>
    <row r="774" spans="8:8" ht="13.5" customHeight="1">
      <c r="H774" s="624"/>
    </row>
    <row r="775" spans="8:8" ht="13.5" customHeight="1">
      <c r="H775" s="624"/>
    </row>
    <row r="776" spans="8:8" ht="13.5" customHeight="1">
      <c r="H776" s="624"/>
    </row>
    <row r="777" spans="8:8" ht="13.5" customHeight="1">
      <c r="H777" s="624"/>
    </row>
    <row r="778" spans="8:8" ht="13.5" customHeight="1">
      <c r="H778" s="624"/>
    </row>
    <row r="779" spans="8:8" ht="13.5" customHeight="1">
      <c r="H779" s="624"/>
    </row>
    <row r="780" spans="8:8" ht="13.5" customHeight="1">
      <c r="H780" s="624"/>
    </row>
    <row r="781" spans="8:8" ht="13.5" customHeight="1">
      <c r="H781" s="624"/>
    </row>
    <row r="782" spans="8:8" ht="13.5" customHeight="1">
      <c r="H782" s="624"/>
    </row>
    <row r="783" spans="8:8" ht="13.5" customHeight="1">
      <c r="H783" s="624"/>
    </row>
    <row r="784" spans="8:8" ht="13.5" customHeight="1">
      <c r="H784" s="624"/>
    </row>
    <row r="785" spans="8:8" ht="13.5" customHeight="1">
      <c r="H785" s="624"/>
    </row>
    <row r="786" spans="8:8" ht="13.5" customHeight="1">
      <c r="H786" s="624"/>
    </row>
    <row r="787" spans="8:8" ht="13.5" customHeight="1">
      <c r="H787" s="624"/>
    </row>
    <row r="788" spans="8:8" ht="13.5" customHeight="1">
      <c r="H788" s="624"/>
    </row>
    <row r="789" spans="8:8" ht="13.5" customHeight="1">
      <c r="H789" s="624"/>
    </row>
    <row r="790" spans="8:8" ht="13.5" customHeight="1">
      <c r="H790" s="624"/>
    </row>
    <row r="791" spans="8:8" ht="13.5" customHeight="1">
      <c r="H791" s="624"/>
    </row>
    <row r="792" spans="8:8" ht="13.5" customHeight="1">
      <c r="H792" s="624"/>
    </row>
    <row r="793" spans="8:8" ht="13.5" customHeight="1">
      <c r="H793" s="624"/>
    </row>
    <row r="794" spans="8:8" ht="13.5" customHeight="1">
      <c r="H794" s="624"/>
    </row>
    <row r="795" spans="8:8" ht="13.5" customHeight="1">
      <c r="H795" s="624"/>
    </row>
    <row r="796" spans="8:8" ht="13.5" customHeight="1">
      <c r="H796" s="624"/>
    </row>
    <row r="797" spans="8:8" ht="13.5" customHeight="1">
      <c r="H797" s="624"/>
    </row>
    <row r="798" spans="8:8" ht="13.5" customHeight="1">
      <c r="H798" s="624"/>
    </row>
    <row r="799" spans="8:8" ht="13.5" customHeight="1">
      <c r="H799" s="624"/>
    </row>
    <row r="800" spans="8:8" ht="13.5" customHeight="1">
      <c r="H800" s="624"/>
    </row>
    <row r="801" spans="8:8" ht="13.5" customHeight="1">
      <c r="H801" s="624"/>
    </row>
    <row r="802" spans="8:8" ht="13.5" customHeight="1">
      <c r="H802" s="624"/>
    </row>
    <row r="803" spans="8:8" ht="13.5" customHeight="1">
      <c r="H803" s="624"/>
    </row>
    <row r="804" spans="8:8" ht="13.5" customHeight="1">
      <c r="H804" s="624"/>
    </row>
    <row r="805" spans="8:8" ht="13.5" customHeight="1">
      <c r="H805" s="624"/>
    </row>
    <row r="806" spans="8:8" ht="13.5" customHeight="1">
      <c r="H806" s="624"/>
    </row>
    <row r="807" spans="8:8" ht="13.5" customHeight="1">
      <c r="H807" s="624"/>
    </row>
    <row r="808" spans="8:8" ht="13.5" customHeight="1">
      <c r="H808" s="624"/>
    </row>
    <row r="809" spans="8:8" ht="13.5" customHeight="1">
      <c r="H809" s="624"/>
    </row>
    <row r="810" spans="8:8" ht="13.5" customHeight="1">
      <c r="H810" s="624"/>
    </row>
    <row r="811" spans="8:8" ht="13.5" customHeight="1">
      <c r="H811" s="624"/>
    </row>
    <row r="812" spans="8:8" ht="13.5" customHeight="1">
      <c r="H812" s="624"/>
    </row>
    <row r="813" spans="8:8" ht="13.5" customHeight="1">
      <c r="H813" s="624"/>
    </row>
    <row r="814" spans="8:8" ht="13.5" customHeight="1">
      <c r="H814" s="624"/>
    </row>
    <row r="815" spans="8:8" ht="13.5" customHeight="1">
      <c r="H815" s="624"/>
    </row>
    <row r="816" spans="8:8" ht="13.5" customHeight="1">
      <c r="H816" s="624"/>
    </row>
    <row r="817" spans="8:8" ht="13.5" customHeight="1">
      <c r="H817" s="624"/>
    </row>
    <row r="818" spans="8:8" ht="13.5" customHeight="1">
      <c r="H818" s="624"/>
    </row>
    <row r="819" spans="8:8" ht="13.5" customHeight="1">
      <c r="H819" s="624"/>
    </row>
    <row r="820" spans="8:8" ht="13.5" customHeight="1">
      <c r="H820" s="624"/>
    </row>
    <row r="821" spans="8:8" ht="13.5" customHeight="1">
      <c r="H821" s="624"/>
    </row>
    <row r="822" spans="8:8" ht="13.5" customHeight="1">
      <c r="H822" s="624"/>
    </row>
    <row r="823" spans="8:8" ht="13.5" customHeight="1">
      <c r="H823" s="624"/>
    </row>
    <row r="824" spans="8:8" ht="13.5" customHeight="1">
      <c r="H824" s="624"/>
    </row>
    <row r="825" spans="8:8" ht="13.5" customHeight="1">
      <c r="H825" s="624"/>
    </row>
    <row r="826" spans="8:8" ht="13.5" customHeight="1">
      <c r="H826" s="624"/>
    </row>
    <row r="827" spans="8:8" ht="13.5" customHeight="1">
      <c r="H827" s="624"/>
    </row>
    <row r="828" spans="8:8" ht="13.5" customHeight="1">
      <c r="H828" s="624"/>
    </row>
    <row r="829" spans="8:8" ht="13.5" customHeight="1">
      <c r="H829" s="624"/>
    </row>
    <row r="830" spans="8:8" ht="13.5" customHeight="1">
      <c r="H830" s="624"/>
    </row>
    <row r="831" spans="8:8" ht="13.5" customHeight="1">
      <c r="H831" s="624"/>
    </row>
    <row r="832" spans="8:8" ht="13.5" customHeight="1">
      <c r="H832" s="624"/>
    </row>
    <row r="833" spans="8:8" ht="13.5" customHeight="1">
      <c r="H833" s="624"/>
    </row>
    <row r="834" spans="8:8" ht="13.5" customHeight="1">
      <c r="H834" s="624"/>
    </row>
    <row r="835" spans="8:8" ht="13.5" customHeight="1">
      <c r="H835" s="624"/>
    </row>
    <row r="836" spans="8:8" ht="13.5" customHeight="1">
      <c r="H836" s="624"/>
    </row>
    <row r="837" spans="8:8" ht="13.5" customHeight="1">
      <c r="H837" s="624"/>
    </row>
    <row r="838" spans="8:8" ht="13.5" customHeight="1">
      <c r="H838" s="624"/>
    </row>
    <row r="839" spans="8:8" ht="13.5" customHeight="1">
      <c r="H839" s="624"/>
    </row>
    <row r="840" spans="8:8" ht="13.5" customHeight="1">
      <c r="H840" s="624"/>
    </row>
    <row r="841" spans="8:8" ht="13.5" customHeight="1">
      <c r="H841" s="624"/>
    </row>
    <row r="842" spans="8:8" ht="13.5" customHeight="1">
      <c r="H842" s="624"/>
    </row>
    <row r="843" spans="8:8" ht="13.5" customHeight="1">
      <c r="H843" s="624"/>
    </row>
    <row r="844" spans="8:8" ht="13.5" customHeight="1">
      <c r="H844" s="624"/>
    </row>
    <row r="845" spans="8:8" ht="13.5" customHeight="1">
      <c r="H845" s="624"/>
    </row>
    <row r="846" spans="8:8" ht="13.5" customHeight="1">
      <c r="H846" s="624"/>
    </row>
    <row r="847" spans="8:8" ht="13.5" customHeight="1">
      <c r="H847" s="624"/>
    </row>
    <row r="848" spans="8:8" ht="13.5" customHeight="1">
      <c r="H848" s="624"/>
    </row>
    <row r="849" spans="8:8" ht="13.5" customHeight="1">
      <c r="H849" s="624"/>
    </row>
    <row r="850" spans="8:8" ht="13.5" customHeight="1">
      <c r="H850" s="624"/>
    </row>
    <row r="851" spans="8:8" ht="13.5" customHeight="1">
      <c r="H851" s="624"/>
    </row>
    <row r="852" spans="8:8" ht="13.5" customHeight="1">
      <c r="H852" s="624"/>
    </row>
    <row r="853" spans="8:8" ht="13.5" customHeight="1">
      <c r="H853" s="624"/>
    </row>
    <row r="854" spans="8:8" ht="13.5" customHeight="1">
      <c r="H854" s="624"/>
    </row>
    <row r="855" spans="8:8" ht="13.5" customHeight="1">
      <c r="H855" s="624"/>
    </row>
    <row r="856" spans="8:8" ht="13.5" customHeight="1">
      <c r="H856" s="624"/>
    </row>
    <row r="857" spans="8:8" ht="13.5" customHeight="1">
      <c r="H857" s="624"/>
    </row>
    <row r="858" spans="8:8" ht="13.5" customHeight="1">
      <c r="H858" s="624"/>
    </row>
    <row r="859" spans="8:8" ht="13.5" customHeight="1">
      <c r="H859" s="624"/>
    </row>
    <row r="860" spans="8:8" ht="13.5" customHeight="1">
      <c r="H860" s="624"/>
    </row>
    <row r="861" spans="8:8" ht="13.5" customHeight="1">
      <c r="H861" s="624"/>
    </row>
    <row r="862" spans="8:8" ht="13.5" customHeight="1">
      <c r="H862" s="624"/>
    </row>
    <row r="863" spans="8:8" ht="13.5" customHeight="1">
      <c r="H863" s="624"/>
    </row>
    <row r="864" spans="8:8" ht="13.5" customHeight="1">
      <c r="H864" s="624"/>
    </row>
    <row r="865" spans="8:8" ht="13.5" customHeight="1">
      <c r="H865" s="624"/>
    </row>
    <row r="866" spans="8:8" ht="13.5" customHeight="1">
      <c r="H866" s="624"/>
    </row>
    <row r="867" spans="8:8" ht="13.5" customHeight="1">
      <c r="H867" s="624"/>
    </row>
    <row r="868" spans="8:8" ht="13.5" customHeight="1">
      <c r="H868" s="624"/>
    </row>
    <row r="869" spans="8:8" ht="13.5" customHeight="1">
      <c r="H869" s="624"/>
    </row>
    <row r="870" spans="8:8" ht="13.5" customHeight="1">
      <c r="H870" s="624"/>
    </row>
    <row r="871" spans="8:8" ht="13.5" customHeight="1">
      <c r="H871" s="624"/>
    </row>
    <row r="872" spans="8:8" ht="13.5" customHeight="1">
      <c r="H872" s="624"/>
    </row>
    <row r="873" spans="8:8" ht="13.5" customHeight="1">
      <c r="H873" s="624"/>
    </row>
    <row r="874" spans="8:8" ht="13.5" customHeight="1">
      <c r="H874" s="624"/>
    </row>
    <row r="875" spans="8:8" ht="13.5" customHeight="1">
      <c r="H875" s="624"/>
    </row>
    <row r="876" spans="8:8" ht="13.5" customHeight="1">
      <c r="H876" s="624"/>
    </row>
    <row r="877" spans="8:8" ht="13.5" customHeight="1">
      <c r="H877" s="624"/>
    </row>
    <row r="878" spans="8:8" ht="13.5" customHeight="1">
      <c r="H878" s="624"/>
    </row>
    <row r="879" spans="8:8" ht="13.5" customHeight="1">
      <c r="H879" s="624"/>
    </row>
    <row r="880" spans="8:8" ht="13.5" customHeight="1">
      <c r="H880" s="624"/>
    </row>
    <row r="881" spans="8:8" ht="13.5" customHeight="1">
      <c r="H881" s="624"/>
    </row>
    <row r="882" spans="8:8" ht="13.5" customHeight="1">
      <c r="H882" s="624"/>
    </row>
    <row r="883" spans="8:8" ht="13.5" customHeight="1">
      <c r="H883" s="624"/>
    </row>
    <row r="884" spans="8:8" ht="13.5" customHeight="1">
      <c r="H884" s="624"/>
    </row>
    <row r="885" spans="8:8" ht="13.5" customHeight="1">
      <c r="H885" s="624"/>
    </row>
    <row r="886" spans="8:8" ht="13.5" customHeight="1">
      <c r="H886" s="624"/>
    </row>
    <row r="887" spans="8:8" ht="13.5" customHeight="1">
      <c r="H887" s="624"/>
    </row>
    <row r="888" spans="8:8" ht="13.5" customHeight="1">
      <c r="H888" s="624"/>
    </row>
    <row r="889" spans="8:8" ht="13.5" customHeight="1">
      <c r="H889" s="624"/>
    </row>
    <row r="890" spans="8:8" ht="13.5" customHeight="1">
      <c r="H890" s="624"/>
    </row>
    <row r="891" spans="8:8" ht="13.5" customHeight="1">
      <c r="H891" s="624"/>
    </row>
    <row r="892" spans="8:8" ht="13.5" customHeight="1">
      <c r="H892" s="624"/>
    </row>
    <row r="893" spans="8:8" ht="13.5" customHeight="1">
      <c r="H893" s="624"/>
    </row>
    <row r="894" spans="8:8" ht="13.5" customHeight="1">
      <c r="H894" s="624"/>
    </row>
    <row r="895" spans="8:8" ht="13.5" customHeight="1">
      <c r="H895" s="624"/>
    </row>
    <row r="896" spans="8:8" ht="13.5" customHeight="1">
      <c r="H896" s="624"/>
    </row>
    <row r="897" spans="8:8" ht="13.5" customHeight="1">
      <c r="H897" s="624"/>
    </row>
    <row r="898" spans="8:8" ht="13.5" customHeight="1">
      <c r="H898" s="624"/>
    </row>
    <row r="899" spans="8:8" ht="13.5" customHeight="1">
      <c r="H899" s="624"/>
    </row>
    <row r="900" spans="8:8" ht="13.5" customHeight="1">
      <c r="H900" s="624"/>
    </row>
    <row r="901" spans="8:8" ht="13.5" customHeight="1">
      <c r="H901" s="624"/>
    </row>
    <row r="902" spans="8:8" ht="13.5" customHeight="1">
      <c r="H902" s="624"/>
    </row>
    <row r="903" spans="8:8" ht="13.5" customHeight="1">
      <c r="H903" s="624"/>
    </row>
    <row r="904" spans="8:8" ht="13.5" customHeight="1">
      <c r="H904" s="624"/>
    </row>
    <row r="905" spans="8:8" ht="13.5" customHeight="1">
      <c r="H905" s="624"/>
    </row>
    <row r="906" spans="8:8" ht="13.5" customHeight="1">
      <c r="H906" s="624"/>
    </row>
    <row r="907" spans="8:8" ht="13.5" customHeight="1">
      <c r="H907" s="624"/>
    </row>
    <row r="908" spans="8:8" ht="13.5" customHeight="1">
      <c r="H908" s="624"/>
    </row>
    <row r="909" spans="8:8" ht="13.5" customHeight="1">
      <c r="H909" s="624"/>
    </row>
    <row r="910" spans="8:8" ht="13.5" customHeight="1">
      <c r="H910" s="624"/>
    </row>
    <row r="911" spans="8:8" ht="13.5" customHeight="1">
      <c r="H911" s="624"/>
    </row>
    <row r="912" spans="8:8" ht="13.5" customHeight="1">
      <c r="H912" s="624"/>
    </row>
    <row r="913" spans="8:8" ht="13.5" customHeight="1">
      <c r="H913" s="624"/>
    </row>
    <row r="914" spans="8:8" ht="13.5" customHeight="1">
      <c r="H914" s="624"/>
    </row>
    <row r="915" spans="8:8" ht="13.5" customHeight="1">
      <c r="H915" s="624"/>
    </row>
    <row r="916" spans="8:8" ht="13.5" customHeight="1">
      <c r="H916" s="624"/>
    </row>
    <row r="917" spans="8:8" ht="13.5" customHeight="1">
      <c r="H917" s="624"/>
    </row>
    <row r="918" spans="8:8" ht="13.5" customHeight="1">
      <c r="H918" s="624"/>
    </row>
    <row r="919" spans="8:8" ht="13.5" customHeight="1">
      <c r="H919" s="624"/>
    </row>
    <row r="920" spans="8:8" ht="13.5" customHeight="1">
      <c r="H920" s="624"/>
    </row>
    <row r="921" spans="8:8" ht="13.5" customHeight="1">
      <c r="H921" s="624"/>
    </row>
    <row r="922" spans="8:8" ht="13.5" customHeight="1">
      <c r="H922" s="624"/>
    </row>
    <row r="923" spans="8:8" ht="13.5" customHeight="1">
      <c r="H923" s="624"/>
    </row>
    <row r="924" spans="8:8" ht="13.5" customHeight="1">
      <c r="H924" s="624"/>
    </row>
    <row r="925" spans="8:8" ht="13.5" customHeight="1">
      <c r="H925" s="624"/>
    </row>
    <row r="926" spans="8:8" ht="13.5" customHeight="1">
      <c r="H926" s="624"/>
    </row>
    <row r="927" spans="8:8" ht="13.5" customHeight="1">
      <c r="H927" s="624"/>
    </row>
    <row r="928" spans="8:8" ht="13.5" customHeight="1">
      <c r="H928" s="624"/>
    </row>
    <row r="929" spans="8:8" ht="13.5" customHeight="1">
      <c r="H929" s="624"/>
    </row>
    <row r="930" spans="8:8" ht="13.5" customHeight="1">
      <c r="H930" s="624"/>
    </row>
    <row r="931" spans="8:8" ht="13.5" customHeight="1">
      <c r="H931" s="624"/>
    </row>
    <row r="932" spans="8:8" ht="13.5" customHeight="1">
      <c r="H932" s="624"/>
    </row>
    <row r="933" spans="8:8" ht="13.5" customHeight="1">
      <c r="H933" s="624"/>
    </row>
    <row r="934" spans="8:8" ht="13.5" customHeight="1">
      <c r="H934" s="624"/>
    </row>
    <row r="935" spans="8:8" ht="13.5" customHeight="1">
      <c r="H935" s="624"/>
    </row>
    <row r="936" spans="8:8" ht="13.5" customHeight="1">
      <c r="H936" s="624"/>
    </row>
    <row r="937" spans="8:8" ht="13.5" customHeight="1">
      <c r="H937" s="624"/>
    </row>
    <row r="938" spans="8:8" ht="13.5" customHeight="1">
      <c r="H938" s="624"/>
    </row>
    <row r="939" spans="8:8" ht="13.5" customHeight="1">
      <c r="H939" s="624"/>
    </row>
    <row r="940" spans="8:8" ht="13.5" customHeight="1">
      <c r="H940" s="624"/>
    </row>
    <row r="941" spans="8:8" ht="13.5" customHeight="1">
      <c r="H941" s="624"/>
    </row>
    <row r="942" spans="8:8" ht="13.5" customHeight="1">
      <c r="H942" s="624"/>
    </row>
    <row r="943" spans="8:8" ht="13.5" customHeight="1">
      <c r="H943" s="624"/>
    </row>
    <row r="944" spans="8:8" ht="13.5" customHeight="1">
      <c r="H944" s="624"/>
    </row>
    <row r="945" spans="8:8" ht="13.5" customHeight="1">
      <c r="H945" s="624"/>
    </row>
    <row r="946" spans="8:8" ht="13.5" customHeight="1">
      <c r="H946" s="624"/>
    </row>
    <row r="947" spans="8:8" ht="13.5" customHeight="1">
      <c r="H947" s="624"/>
    </row>
    <row r="948" spans="8:8" ht="13.5" customHeight="1">
      <c r="H948" s="624"/>
    </row>
    <row r="949" spans="8:8" ht="13.5" customHeight="1">
      <c r="H949" s="624"/>
    </row>
    <row r="950" spans="8:8" ht="13.5" customHeight="1">
      <c r="H950" s="624"/>
    </row>
    <row r="951" spans="8:8" ht="13.5" customHeight="1">
      <c r="H951" s="624"/>
    </row>
    <row r="952" spans="8:8" ht="13.5" customHeight="1">
      <c r="H952" s="624"/>
    </row>
    <row r="953" spans="8:8" ht="13.5" customHeight="1">
      <c r="H953" s="624"/>
    </row>
    <row r="954" spans="8:8" ht="13.5" customHeight="1">
      <c r="H954" s="624"/>
    </row>
    <row r="955" spans="8:8" ht="13.5" customHeight="1">
      <c r="H955" s="624"/>
    </row>
    <row r="956" spans="8:8" ht="13.5" customHeight="1">
      <c r="H956" s="624"/>
    </row>
    <row r="957" spans="8:8" ht="13.5" customHeight="1">
      <c r="H957" s="624"/>
    </row>
    <row r="958" spans="8:8" ht="13.5" customHeight="1">
      <c r="H958" s="624"/>
    </row>
    <row r="959" spans="8:8" ht="13.5" customHeight="1">
      <c r="H959" s="624"/>
    </row>
    <row r="960" spans="8:8" ht="13.5" customHeight="1">
      <c r="H960" s="624"/>
    </row>
    <row r="961" spans="8:8" ht="13.5" customHeight="1">
      <c r="H961" s="624"/>
    </row>
    <row r="962" spans="8:8" ht="13.5" customHeight="1">
      <c r="H962" s="624"/>
    </row>
    <row r="963" spans="8:8" ht="13.5" customHeight="1">
      <c r="H963" s="624"/>
    </row>
    <row r="964" spans="8:8" ht="13.5" customHeight="1">
      <c r="H964" s="624"/>
    </row>
    <row r="965" spans="8:8" ht="13.5" customHeight="1">
      <c r="H965" s="624"/>
    </row>
    <row r="966" spans="8:8" ht="13.5" customHeight="1">
      <c r="H966" s="624"/>
    </row>
    <row r="967" spans="8:8" ht="13.5" customHeight="1">
      <c r="H967" s="624"/>
    </row>
    <row r="968" spans="8:8" ht="13.5" customHeight="1">
      <c r="H968" s="624"/>
    </row>
    <row r="969" spans="8:8" ht="13.5" customHeight="1">
      <c r="H969" s="624"/>
    </row>
    <row r="970" spans="8:8" ht="13.5" customHeight="1">
      <c r="H970" s="624"/>
    </row>
    <row r="971" spans="8:8" ht="13.5" customHeight="1">
      <c r="H971" s="624"/>
    </row>
    <row r="972" spans="8:8" ht="13.5" customHeight="1">
      <c r="H972" s="624"/>
    </row>
    <row r="973" spans="8:8" ht="13.5" customHeight="1">
      <c r="H973" s="624"/>
    </row>
    <row r="974" spans="8:8" ht="13.5" customHeight="1">
      <c r="H974" s="624"/>
    </row>
    <row r="975" spans="8:8" ht="13.5" customHeight="1">
      <c r="H975" s="624"/>
    </row>
    <row r="976" spans="8:8" ht="13.5" customHeight="1">
      <c r="H976" s="624"/>
    </row>
    <row r="977" spans="8:8" ht="13.5" customHeight="1">
      <c r="H977" s="624"/>
    </row>
    <row r="978" spans="8:8" ht="13.5" customHeight="1">
      <c r="H978" s="624"/>
    </row>
    <row r="979" spans="8:8" ht="13.5" customHeight="1">
      <c r="H979" s="624"/>
    </row>
    <row r="980" spans="8:8" ht="13.5" customHeight="1">
      <c r="H980" s="624"/>
    </row>
    <row r="981" spans="8:8" ht="13.5" customHeight="1">
      <c r="H981" s="624"/>
    </row>
    <row r="982" spans="8:8" ht="13.5" customHeight="1">
      <c r="H982" s="624"/>
    </row>
    <row r="983" spans="8:8" ht="13.5" customHeight="1">
      <c r="H983" s="624"/>
    </row>
    <row r="984" spans="8:8" ht="13.5" customHeight="1">
      <c r="H984" s="624"/>
    </row>
    <row r="985" spans="8:8" ht="13.5" customHeight="1">
      <c r="H985" s="624"/>
    </row>
    <row r="986" spans="8:8" ht="13.5" customHeight="1">
      <c r="H986" s="624"/>
    </row>
    <row r="987" spans="8:8" ht="13.5" customHeight="1">
      <c r="H987" s="624"/>
    </row>
    <row r="988" spans="8:8" ht="13.5" customHeight="1">
      <c r="H988" s="624"/>
    </row>
    <row r="989" spans="8:8" ht="13.5" customHeight="1">
      <c r="H989" s="624"/>
    </row>
    <row r="990" spans="8:8" ht="13.5" customHeight="1">
      <c r="H990" s="624"/>
    </row>
    <row r="991" spans="8:8" ht="13.5" customHeight="1">
      <c r="H991" s="624"/>
    </row>
    <row r="992" spans="8:8" ht="13.5" customHeight="1">
      <c r="H992" s="624"/>
    </row>
    <row r="993" spans="8:8" ht="13.5" customHeight="1">
      <c r="H993" s="624"/>
    </row>
    <row r="994" spans="8:8" ht="13.5" customHeight="1">
      <c r="H994" s="624"/>
    </row>
    <row r="995" spans="8:8" ht="13.5" customHeight="1">
      <c r="H995" s="624"/>
    </row>
    <row r="996" spans="8:8" ht="13.5" customHeight="1">
      <c r="H996" s="624"/>
    </row>
    <row r="997" spans="8:8" ht="13.5" customHeight="1">
      <c r="H997" s="624"/>
    </row>
    <row r="998" spans="8:8" ht="13.5" customHeight="1">
      <c r="H998" s="624"/>
    </row>
    <row r="999" spans="8:8" ht="13.5" customHeight="1">
      <c r="H999" s="624"/>
    </row>
    <row r="1000" spans="8:8" ht="13.5" customHeight="1">
      <c r="H1000" s="624"/>
    </row>
    <row r="1001" spans="8:8" ht="13.5" customHeight="1">
      <c r="H1001" s="624"/>
    </row>
    <row r="1002" spans="8:8" ht="13.5" customHeight="1">
      <c r="H1002" s="624"/>
    </row>
    <row r="1003" spans="8:8" ht="13.5" customHeight="1">
      <c r="H1003" s="624"/>
    </row>
    <row r="1004" spans="8:8" ht="13.5" customHeight="1">
      <c r="H1004" s="624"/>
    </row>
    <row r="1005" spans="8:8" ht="13.5" customHeight="1">
      <c r="H1005" s="624"/>
    </row>
  </sheetData>
  <autoFilter ref="A1:U17" xr:uid="{00000000-0009-0000-0000-000006000000}"/>
  <mergeCells count="2">
    <mergeCell ref="B2:B3"/>
    <mergeCell ref="C2:C3"/>
  </mergeCells>
  <conditionalFormatting sqref="B5">
    <cfRule type="cellIs" dxfId="9" priority="3" operator="equal">
      <formula>"YL"</formula>
    </cfRule>
    <cfRule type="cellIs" dxfId="8" priority="4" operator="equal">
      <formula>"YL"</formula>
    </cfRule>
  </conditionalFormatting>
  <conditionalFormatting sqref="C2">
    <cfRule type="cellIs" dxfId="7" priority="5" operator="equal">
      <formula>"YL"</formula>
    </cfRule>
    <cfRule type="cellIs" dxfId="6" priority="6" operator="equal">
      <formula>"YL"</formula>
    </cfRule>
  </conditionalFormatting>
  <conditionalFormatting sqref="C4">
    <cfRule type="cellIs" dxfId="5" priority="7" operator="equal">
      <formula>"YL"</formula>
    </cfRule>
    <cfRule type="cellIs" dxfId="4" priority="8" operator="equal">
      <formula>"YL"</formula>
    </cfRule>
  </conditionalFormatting>
  <conditionalFormatting sqref="C7:C16">
    <cfRule type="cellIs" dxfId="3" priority="1" operator="equal">
      <formula>"YL"</formula>
    </cfRule>
    <cfRule type="cellIs" dxfId="2" priority="2" operator="equal">
      <formula>"YL"</formula>
    </cfRule>
  </conditionalFormatting>
  <pageMargins left="0.7" right="0.7" top="0.75" bottom="0.75" header="0" footer="0"/>
  <pageSetup orientation="landscape"/>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pane xSplit="5" ySplit="1" topLeftCell="F2" activePane="bottomRight" state="frozen"/>
      <selection pane="topRight"/>
      <selection pane="bottomLeft"/>
      <selection pane="bottomRight" activeCell="F2" sqref="F2"/>
    </sheetView>
  </sheetViews>
  <sheetFormatPr defaultColWidth="12.59765625" defaultRowHeight="15" customHeight="1"/>
  <cols>
    <col min="1" max="2" width="13.19921875" customWidth="1"/>
    <col min="3" max="3" width="26.19921875" customWidth="1"/>
    <col min="4" max="4" width="14.69921875" customWidth="1"/>
    <col min="5" max="5" width="16.5" customWidth="1"/>
    <col min="6" max="6" width="30.19921875" customWidth="1"/>
    <col min="7" max="7" width="9.59765625" customWidth="1"/>
    <col min="8" max="8" width="15.19921875" customWidth="1"/>
    <col min="9" max="9" width="15.8984375" customWidth="1"/>
    <col min="10" max="10" width="9.69921875" customWidth="1"/>
    <col min="11" max="11" width="9.09765625" customWidth="1"/>
    <col min="12" max="12" width="9.69921875" customWidth="1"/>
    <col min="13" max="26" width="8.59765625" customWidth="1"/>
  </cols>
  <sheetData>
    <row r="1" spans="1:26" ht="27.75" customHeight="1">
      <c r="A1" s="355" t="s">
        <v>537</v>
      </c>
      <c r="B1" s="355" t="s">
        <v>538</v>
      </c>
      <c r="C1" s="355" t="s">
        <v>539</v>
      </c>
      <c r="D1" s="355" t="s">
        <v>540</v>
      </c>
      <c r="E1" s="355" t="s">
        <v>541</v>
      </c>
      <c r="F1" s="355" t="s">
        <v>565</v>
      </c>
      <c r="G1" s="355" t="s">
        <v>542</v>
      </c>
      <c r="H1" s="355" t="s">
        <v>543</v>
      </c>
      <c r="I1" s="355" t="s">
        <v>544</v>
      </c>
      <c r="J1" s="355" t="s">
        <v>318</v>
      </c>
      <c r="K1" s="355" t="s">
        <v>3</v>
      </c>
      <c r="L1" s="355" t="s">
        <v>566</v>
      </c>
      <c r="M1" s="380"/>
      <c r="N1" s="380"/>
      <c r="O1" s="380"/>
      <c r="P1" s="380"/>
      <c r="Q1" s="380"/>
      <c r="R1" s="380"/>
      <c r="S1" s="380"/>
      <c r="T1" s="380"/>
      <c r="U1" s="380"/>
      <c r="V1" s="380"/>
      <c r="W1" s="380"/>
      <c r="X1" s="380"/>
      <c r="Y1" s="380"/>
      <c r="Z1" s="380"/>
    </row>
    <row r="2" spans="1:26" ht="13.5" customHeight="1">
      <c r="A2" s="472" t="s">
        <v>526</v>
      </c>
      <c r="B2" s="473" t="s">
        <v>567</v>
      </c>
      <c r="C2" s="473" t="s">
        <v>568</v>
      </c>
      <c r="D2" s="434">
        <v>0.8</v>
      </c>
      <c r="E2" s="474">
        <v>0.8</v>
      </c>
      <c r="F2" s="472" t="s">
        <v>569</v>
      </c>
      <c r="G2" s="475">
        <v>1</v>
      </c>
      <c r="H2" s="434">
        <v>0.8</v>
      </c>
      <c r="I2" s="491">
        <v>1</v>
      </c>
      <c r="J2" s="386" t="s">
        <v>570</v>
      </c>
      <c r="K2" s="472">
        <v>0</v>
      </c>
      <c r="L2" s="492">
        <v>0</v>
      </c>
      <c r="M2" s="112"/>
      <c r="N2" s="112"/>
      <c r="O2" s="112"/>
      <c r="P2" s="112"/>
      <c r="Q2" s="112"/>
      <c r="R2" s="112"/>
      <c r="S2" s="112"/>
      <c r="T2" s="112"/>
      <c r="U2" s="112"/>
      <c r="V2" s="112"/>
      <c r="W2" s="112"/>
      <c r="X2" s="112"/>
      <c r="Y2" s="112"/>
      <c r="Z2" s="112"/>
    </row>
    <row r="3" spans="1:26" ht="25.5" customHeight="1">
      <c r="A3" s="476" t="s">
        <v>307</v>
      </c>
      <c r="B3" s="476"/>
      <c r="C3" s="476"/>
      <c r="D3" s="454" t="s">
        <v>571</v>
      </c>
      <c r="E3" s="477"/>
      <c r="F3" s="476" t="s">
        <v>572</v>
      </c>
      <c r="G3" s="478">
        <v>1</v>
      </c>
      <c r="H3" s="479"/>
      <c r="I3" s="479">
        <v>1</v>
      </c>
      <c r="J3" s="386" t="s">
        <v>570</v>
      </c>
      <c r="K3" s="467">
        <v>6000</v>
      </c>
      <c r="L3" s="467">
        <v>6000</v>
      </c>
      <c r="M3" s="112"/>
      <c r="N3" s="112"/>
      <c r="O3" s="112"/>
      <c r="P3" s="112"/>
      <c r="Q3" s="112"/>
      <c r="R3" s="112"/>
      <c r="S3" s="112"/>
      <c r="T3" s="112"/>
      <c r="U3" s="112"/>
      <c r="V3" s="112"/>
      <c r="W3" s="112"/>
      <c r="X3" s="112"/>
      <c r="Y3" s="112"/>
      <c r="Z3" s="112"/>
    </row>
    <row r="4" spans="1:26" ht="13.5" customHeight="1">
      <c r="A4" s="480" t="s">
        <v>169</v>
      </c>
      <c r="B4" s="481"/>
      <c r="C4" s="481"/>
      <c r="D4" s="467"/>
      <c r="E4" s="467"/>
      <c r="F4" s="476" t="s">
        <v>573</v>
      </c>
      <c r="G4" s="478"/>
      <c r="H4" s="467"/>
      <c r="I4" s="479"/>
      <c r="J4" s="467"/>
      <c r="K4" s="467">
        <v>5000</v>
      </c>
      <c r="L4" s="467">
        <v>5000</v>
      </c>
      <c r="M4" s="112"/>
      <c r="N4" s="112"/>
      <c r="O4" s="112"/>
      <c r="P4" s="112"/>
      <c r="Q4" s="112"/>
      <c r="R4" s="112"/>
      <c r="S4" s="112"/>
      <c r="T4" s="112"/>
      <c r="U4" s="112"/>
      <c r="V4" s="112"/>
      <c r="W4" s="112"/>
      <c r="X4" s="112"/>
      <c r="Y4" s="112"/>
      <c r="Z4" s="112"/>
    </row>
    <row r="5" spans="1:26" ht="13.5" customHeight="1">
      <c r="A5" s="482" t="s">
        <v>449</v>
      </c>
      <c r="B5" s="481"/>
      <c r="C5" s="481"/>
      <c r="D5" s="467"/>
      <c r="E5" s="467"/>
      <c r="F5" s="476" t="s">
        <v>573</v>
      </c>
      <c r="G5" s="478"/>
      <c r="H5" s="467"/>
      <c r="I5" s="479"/>
      <c r="J5" s="467"/>
      <c r="K5" s="467">
        <v>5000</v>
      </c>
      <c r="L5" s="467">
        <v>5000</v>
      </c>
      <c r="M5" s="112"/>
      <c r="N5" s="112"/>
      <c r="O5" s="112"/>
      <c r="P5" s="112"/>
      <c r="Q5" s="112"/>
      <c r="R5" s="112"/>
      <c r="S5" s="112"/>
      <c r="T5" s="112"/>
      <c r="U5" s="112"/>
      <c r="V5" s="112"/>
      <c r="W5" s="112"/>
      <c r="X5" s="112"/>
      <c r="Y5" s="112"/>
      <c r="Z5" s="112"/>
    </row>
    <row r="6" spans="1:26" ht="13.5" customHeight="1">
      <c r="A6" s="443"/>
      <c r="B6" s="357"/>
      <c r="C6" s="357"/>
      <c r="D6" s="131"/>
      <c r="E6" s="131"/>
      <c r="F6" s="131"/>
      <c r="G6" s="131"/>
      <c r="H6" s="131"/>
      <c r="I6" s="131"/>
      <c r="J6" s="131"/>
      <c r="K6" s="443"/>
      <c r="L6" s="131"/>
    </row>
    <row r="7" spans="1:26" ht="13.5" customHeight="1">
      <c r="A7" s="443"/>
      <c r="B7" s="357"/>
      <c r="C7" s="357"/>
      <c r="D7" s="131"/>
      <c r="E7" s="131"/>
      <c r="F7" s="131"/>
      <c r="G7" s="131"/>
      <c r="H7" s="131"/>
      <c r="I7" s="131"/>
      <c r="J7" s="131"/>
      <c r="K7" s="443"/>
      <c r="L7" s="131"/>
    </row>
    <row r="8" spans="1:26" ht="13.5" customHeight="1">
      <c r="A8" s="444"/>
      <c r="B8" s="445"/>
      <c r="C8" s="445"/>
      <c r="D8" s="445"/>
      <c r="E8" s="445"/>
      <c r="F8" s="445"/>
      <c r="G8" s="445"/>
      <c r="H8" s="445"/>
      <c r="I8" s="445"/>
      <c r="J8" s="16"/>
      <c r="K8" s="445"/>
      <c r="L8" s="16"/>
    </row>
    <row r="9" spans="1:26" ht="13.5" customHeight="1">
      <c r="A9" s="444"/>
      <c r="B9" s="445"/>
      <c r="C9" s="462" t="s">
        <v>533</v>
      </c>
      <c r="D9" s="445"/>
      <c r="E9" s="445"/>
      <c r="F9" s="445"/>
      <c r="G9" s="445"/>
      <c r="H9" s="445"/>
      <c r="I9" s="445"/>
      <c r="J9" s="16"/>
      <c r="K9" s="445"/>
      <c r="L9" s="16"/>
    </row>
    <row r="10" spans="1:26" ht="13.5" customHeight="1">
      <c r="A10" s="445"/>
      <c r="B10" s="445"/>
      <c r="C10" s="445"/>
      <c r="D10" s="445"/>
      <c r="E10" s="445"/>
      <c r="F10" s="445"/>
      <c r="G10" s="445"/>
      <c r="H10" s="445"/>
      <c r="I10" s="445"/>
      <c r="J10" s="16"/>
      <c r="K10" s="445"/>
      <c r="L10" s="16"/>
    </row>
    <row r="11" spans="1:26" ht="13.5" customHeight="1">
      <c r="A11" s="464" t="s">
        <v>519</v>
      </c>
      <c r="B11" s="464" t="s">
        <v>520</v>
      </c>
      <c r="C11" s="464" t="s">
        <v>509</v>
      </c>
      <c r="D11" s="464" t="s">
        <v>521</v>
      </c>
      <c r="E11" s="464" t="s">
        <v>301</v>
      </c>
      <c r="F11" s="445"/>
      <c r="G11" s="445"/>
      <c r="H11" s="445"/>
      <c r="I11" s="445"/>
      <c r="J11" s="16"/>
      <c r="K11" s="445"/>
      <c r="L11" s="16"/>
    </row>
    <row r="12" spans="1:26" ht="13.5" customHeight="1">
      <c r="A12" s="465" t="s">
        <v>526</v>
      </c>
      <c r="B12" s="466">
        <v>0.7</v>
      </c>
      <c r="C12" s="466">
        <v>0.7</v>
      </c>
      <c r="D12" s="466">
        <v>0.8</v>
      </c>
      <c r="E12" s="466">
        <v>0.7</v>
      </c>
      <c r="F12" s="445"/>
      <c r="G12" s="445"/>
      <c r="H12" s="445"/>
      <c r="I12" s="445"/>
      <c r="J12" s="16"/>
      <c r="K12" s="445"/>
      <c r="L12" s="16"/>
    </row>
    <row r="13" spans="1:26" ht="13.5" customHeight="1">
      <c r="A13" s="465" t="s">
        <v>527</v>
      </c>
      <c r="B13" s="466">
        <v>0.9</v>
      </c>
      <c r="C13" s="466">
        <v>0.8</v>
      </c>
      <c r="D13" s="466">
        <v>0.8</v>
      </c>
      <c r="E13" s="466">
        <v>0.8</v>
      </c>
      <c r="F13" s="445"/>
      <c r="G13" s="445"/>
      <c r="H13" s="445"/>
      <c r="I13" s="445"/>
      <c r="J13" s="16"/>
      <c r="K13" s="445"/>
      <c r="L13" s="16"/>
    </row>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pane xSplit="4" ySplit="1" topLeftCell="E2" activePane="bottomRight" state="frozen"/>
      <selection pane="topRight"/>
      <selection pane="bottomLeft"/>
      <selection pane="bottomRight" activeCell="E2" sqref="E2"/>
    </sheetView>
  </sheetViews>
  <sheetFormatPr defaultColWidth="12.59765625" defaultRowHeight="15" customHeight="1"/>
  <cols>
    <col min="1" max="1" width="15.3984375" customWidth="1"/>
    <col min="2" max="2" width="11.09765625" customWidth="1"/>
    <col min="3" max="3" width="10.5" customWidth="1"/>
    <col min="4" max="4" width="25.19921875" customWidth="1"/>
    <col min="5" max="5" width="15.09765625" customWidth="1"/>
    <col min="6" max="7" width="12.8984375" customWidth="1"/>
    <col min="8" max="8" width="26.8984375" customWidth="1"/>
    <col min="9" max="9" width="21.59765625" customWidth="1"/>
    <col min="10" max="11" width="9.5" customWidth="1"/>
    <col min="12" max="12" width="10.5" customWidth="1"/>
    <col min="13" max="26" width="8.59765625" customWidth="1"/>
  </cols>
  <sheetData>
    <row r="1" spans="1:26" ht="45.75" customHeight="1">
      <c r="A1" s="574" t="s">
        <v>537</v>
      </c>
      <c r="B1" s="574" t="s">
        <v>538</v>
      </c>
      <c r="C1" s="574" t="s">
        <v>539</v>
      </c>
      <c r="D1" s="574" t="s">
        <v>540</v>
      </c>
      <c r="E1" s="574" t="s">
        <v>541</v>
      </c>
      <c r="F1" s="574" t="s">
        <v>565</v>
      </c>
      <c r="G1" s="574" t="s">
        <v>542</v>
      </c>
      <c r="H1" s="574" t="s">
        <v>543</v>
      </c>
      <c r="I1" s="574" t="s">
        <v>544</v>
      </c>
      <c r="J1" s="574" t="s">
        <v>318</v>
      </c>
      <c r="K1" s="574" t="s">
        <v>3</v>
      </c>
      <c r="L1" s="574" t="s">
        <v>566</v>
      </c>
      <c r="M1" s="112"/>
      <c r="N1" s="112"/>
      <c r="O1" s="112"/>
      <c r="P1" s="112"/>
      <c r="Q1" s="112"/>
      <c r="R1" s="112"/>
      <c r="S1" s="112"/>
      <c r="T1" s="112"/>
      <c r="U1" s="112"/>
      <c r="V1" s="112"/>
      <c r="W1" s="112"/>
      <c r="X1" s="112"/>
      <c r="Y1" s="112"/>
      <c r="Z1" s="112"/>
    </row>
    <row r="2" spans="1:26" ht="13.5" customHeight="1">
      <c r="A2" s="453" t="s">
        <v>307</v>
      </c>
      <c r="B2" s="453"/>
      <c r="C2" s="453"/>
      <c r="D2" s="454" t="s">
        <v>571</v>
      </c>
      <c r="E2" s="455"/>
      <c r="F2" s="453" t="s">
        <v>572</v>
      </c>
      <c r="G2" s="456">
        <v>1</v>
      </c>
      <c r="H2" s="457"/>
      <c r="I2" s="457">
        <v>1</v>
      </c>
      <c r="J2" s="131" t="s">
        <v>570</v>
      </c>
      <c r="K2" s="453">
        <v>6000</v>
      </c>
      <c r="L2" s="460">
        <v>6000</v>
      </c>
    </row>
    <row r="3" spans="1:26" ht="13.5" customHeight="1">
      <c r="A3" s="458" t="s">
        <v>169</v>
      </c>
      <c r="B3" s="459"/>
      <c r="C3" s="459"/>
      <c r="D3" s="460"/>
      <c r="E3" s="460"/>
      <c r="F3" s="453"/>
      <c r="G3" s="456"/>
      <c r="H3" s="460"/>
      <c r="I3" s="457"/>
      <c r="J3" s="460"/>
      <c r="K3" s="453">
        <v>5000</v>
      </c>
      <c r="L3" s="460">
        <v>5000</v>
      </c>
    </row>
    <row r="4" spans="1:26" ht="13.5" customHeight="1">
      <c r="A4" s="461" t="s">
        <v>449</v>
      </c>
      <c r="B4" s="459"/>
      <c r="C4" s="459"/>
      <c r="D4" s="460"/>
      <c r="E4" s="460"/>
      <c r="F4" s="453"/>
      <c r="G4" s="456"/>
      <c r="H4" s="460"/>
      <c r="I4" s="457"/>
      <c r="J4" s="460"/>
      <c r="K4" s="453">
        <v>5000</v>
      </c>
      <c r="L4" s="460">
        <v>5000</v>
      </c>
    </row>
    <row r="5" spans="1:26" ht="13.5" customHeight="1">
      <c r="A5" s="458" t="s">
        <v>574</v>
      </c>
      <c r="B5" s="453"/>
      <c r="C5" s="453"/>
      <c r="D5" s="460"/>
      <c r="E5" s="460"/>
      <c r="F5" s="453"/>
      <c r="G5" s="457"/>
      <c r="H5" s="460"/>
      <c r="I5" s="460"/>
      <c r="J5" s="460"/>
      <c r="K5" s="458"/>
      <c r="L5" s="460"/>
    </row>
    <row r="6" spans="1:26" ht="13.5" customHeight="1">
      <c r="A6" s="443"/>
      <c r="B6" s="357"/>
      <c r="C6" s="357"/>
      <c r="D6" s="131"/>
      <c r="E6" s="131"/>
      <c r="F6" s="131"/>
      <c r="G6" s="131"/>
      <c r="H6" s="131"/>
      <c r="I6" s="131"/>
      <c r="J6" s="131"/>
      <c r="K6" s="443"/>
      <c r="L6" s="131"/>
    </row>
    <row r="7" spans="1:26" ht="13.5" customHeight="1">
      <c r="A7" s="443"/>
      <c r="B7" s="357"/>
      <c r="C7" s="357"/>
      <c r="D7" s="131"/>
      <c r="E7" s="131"/>
      <c r="F7" s="131"/>
      <c r="G7" s="131"/>
      <c r="H7" s="131"/>
      <c r="I7" s="131"/>
      <c r="J7" s="131"/>
      <c r="K7" s="443"/>
      <c r="L7" s="131"/>
    </row>
    <row r="8" spans="1:26" ht="13.5" customHeight="1">
      <c r="A8" s="444"/>
      <c r="B8" s="445"/>
      <c r="C8" s="445"/>
      <c r="D8" s="445"/>
      <c r="E8" s="445"/>
      <c r="F8" s="445"/>
      <c r="G8" s="445"/>
      <c r="H8" s="445"/>
      <c r="I8" s="445"/>
      <c r="J8" s="16"/>
      <c r="K8" s="445"/>
      <c r="L8" s="16"/>
    </row>
    <row r="9" spans="1:26" ht="13.5" customHeight="1">
      <c r="A9" s="444"/>
      <c r="B9" s="445"/>
      <c r="C9" s="462" t="s">
        <v>534</v>
      </c>
      <c r="D9" s="463"/>
      <c r="E9" s="445"/>
      <c r="F9" s="445"/>
      <c r="G9" s="445"/>
      <c r="H9" s="445"/>
      <c r="I9" s="445"/>
      <c r="J9" s="16"/>
      <c r="K9" s="445"/>
      <c r="L9" s="16"/>
    </row>
    <row r="10" spans="1:26" ht="13.5" customHeight="1">
      <c r="A10" s="445"/>
      <c r="B10" s="445"/>
      <c r="C10" s="445"/>
      <c r="D10" s="445"/>
      <c r="E10" s="445"/>
      <c r="F10" s="445"/>
      <c r="G10" s="445"/>
      <c r="H10" s="445"/>
      <c r="I10" s="445"/>
      <c r="J10" s="16"/>
      <c r="K10" s="445"/>
      <c r="L10" s="16"/>
    </row>
    <row r="11" spans="1:26" ht="13.5" customHeight="1">
      <c r="A11" s="464" t="s">
        <v>519</v>
      </c>
      <c r="B11" s="464" t="s">
        <v>520</v>
      </c>
      <c r="C11" s="464" t="s">
        <v>509</v>
      </c>
      <c r="D11" s="464" t="s">
        <v>521</v>
      </c>
      <c r="E11" s="464" t="s">
        <v>301</v>
      </c>
      <c r="F11" s="445"/>
      <c r="G11" s="445"/>
      <c r="H11" s="445"/>
      <c r="I11" s="445"/>
      <c r="J11" s="16"/>
      <c r="K11" s="445"/>
      <c r="L11" s="16"/>
    </row>
    <row r="12" spans="1:26" ht="13.5" customHeight="1">
      <c r="A12" s="465" t="s">
        <v>527</v>
      </c>
      <c r="B12" s="466">
        <v>0.9</v>
      </c>
      <c r="C12" s="466">
        <v>0.8</v>
      </c>
      <c r="D12" s="466">
        <v>0.8</v>
      </c>
      <c r="E12" s="466">
        <v>0.8</v>
      </c>
      <c r="F12" s="445"/>
      <c r="G12" s="445"/>
      <c r="H12" s="445"/>
      <c r="I12" s="445"/>
      <c r="J12" s="16"/>
      <c r="K12" s="445"/>
      <c r="L12" s="16"/>
    </row>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84"/>
  <sheetViews>
    <sheetView topLeftCell="A809" workbookViewId="0">
      <selection activeCell="C821" sqref="C821:C822"/>
    </sheetView>
  </sheetViews>
  <sheetFormatPr defaultColWidth="12.59765625" defaultRowHeight="15" customHeight="1"/>
  <cols>
    <col min="1" max="1" width="19" customWidth="1"/>
    <col min="2" max="2" width="29.59765625" customWidth="1"/>
    <col min="3" max="3" width="21" customWidth="1"/>
    <col min="4" max="4" width="21.8984375" customWidth="1"/>
    <col min="5" max="5" width="30.5" customWidth="1"/>
    <col min="6" max="6" width="22.69921875" customWidth="1"/>
    <col min="7" max="7" width="2.69921875" customWidth="1"/>
    <col min="8" max="8" width="3.09765625" customWidth="1"/>
    <col min="9" max="9" width="12.69921875" customWidth="1"/>
    <col min="10" max="10" width="7.19921875" customWidth="1"/>
    <col min="11" max="11" width="3.5" customWidth="1"/>
    <col min="12" max="26" width="8.59765625" customWidth="1"/>
  </cols>
  <sheetData>
    <row r="1" spans="1:26" ht="14.25" customHeight="1">
      <c r="A1" s="502" t="s">
        <v>575</v>
      </c>
    </row>
    <row r="2" spans="1:26" ht="14.25" customHeight="1">
      <c r="A2" s="25"/>
      <c r="B2" s="503" t="s">
        <v>126</v>
      </c>
      <c r="C2" s="503" t="s">
        <v>576</v>
      </c>
      <c r="D2" s="503" t="s">
        <v>577</v>
      </c>
      <c r="E2" s="503" t="s">
        <v>578</v>
      </c>
    </row>
    <row r="3" spans="1:26" ht="14.25" customHeight="1">
      <c r="A3" s="503">
        <v>2020</v>
      </c>
      <c r="B3" s="229">
        <v>11500</v>
      </c>
      <c r="C3" s="229"/>
      <c r="D3" s="229"/>
      <c r="E3" s="229"/>
      <c r="F3" s="504"/>
    </row>
    <row r="4" spans="1:26" ht="14.25" customHeight="1">
      <c r="A4" s="503">
        <v>2021</v>
      </c>
      <c r="B4" s="229">
        <v>84000</v>
      </c>
      <c r="C4" s="229">
        <v>60000</v>
      </c>
      <c r="D4" s="229">
        <v>30000</v>
      </c>
      <c r="E4" s="229"/>
      <c r="F4" s="504">
        <v>100000</v>
      </c>
      <c r="G4" s="98" t="s">
        <v>579</v>
      </c>
    </row>
    <row r="5" spans="1:26" ht="14.25" customHeight="1">
      <c r="A5" s="503">
        <v>2022</v>
      </c>
      <c r="B5" s="229">
        <v>51630</v>
      </c>
      <c r="C5" s="229">
        <v>18500</v>
      </c>
      <c r="D5" s="229"/>
      <c r="E5" s="229"/>
      <c r="F5" s="504">
        <v>8500</v>
      </c>
      <c r="G5" s="98" t="s">
        <v>580</v>
      </c>
      <c r="L5" s="98">
        <v>38130</v>
      </c>
    </row>
    <row r="6" spans="1:26" ht="14.25" customHeight="1">
      <c r="A6" s="503">
        <v>2023</v>
      </c>
      <c r="B6" s="229">
        <v>15000</v>
      </c>
      <c r="C6" s="229" t="s">
        <v>581</v>
      </c>
      <c r="D6" s="229" t="s">
        <v>581</v>
      </c>
      <c r="E6" s="505"/>
      <c r="F6" s="504"/>
      <c r="L6" s="504">
        <f>L5+B3+B4</f>
        <v>133630</v>
      </c>
    </row>
    <row r="7" spans="1:26" ht="14.25" customHeight="1">
      <c r="A7" s="25" t="s">
        <v>126</v>
      </c>
      <c r="B7" s="229">
        <f t="shared" ref="B7:D7" si="0">SUM(B3:B6)</f>
        <v>162130</v>
      </c>
      <c r="C7" s="229">
        <f t="shared" si="0"/>
        <v>78500</v>
      </c>
      <c r="D7" s="506">
        <f t="shared" si="0"/>
        <v>30000</v>
      </c>
      <c r="E7" s="507">
        <f>B7-C7-D7</f>
        <v>53630</v>
      </c>
      <c r="F7" s="504"/>
      <c r="L7" s="504">
        <f>L6-F4-F5-3500</f>
        <v>21630</v>
      </c>
    </row>
    <row r="8" spans="1:26" ht="14.25" customHeight="1">
      <c r="D8" s="98"/>
      <c r="E8" s="508" t="s">
        <v>582</v>
      </c>
      <c r="H8" s="504">
        <f>B7-F4-F5</f>
        <v>53630</v>
      </c>
    </row>
    <row r="9" spans="1:26" ht="14.25" customHeight="1">
      <c r="A9" s="509"/>
      <c r="B9" s="509"/>
      <c r="C9" s="509"/>
      <c r="D9" s="509"/>
      <c r="E9" s="509"/>
      <c r="F9" s="509"/>
      <c r="G9" s="509"/>
      <c r="H9" s="509"/>
      <c r="I9" s="509"/>
      <c r="J9" s="509"/>
      <c r="K9" s="509"/>
      <c r="L9" s="509"/>
      <c r="M9" s="509"/>
      <c r="N9" s="509"/>
      <c r="O9" s="509"/>
      <c r="P9" s="509"/>
      <c r="Q9" s="509"/>
      <c r="R9" s="509"/>
      <c r="S9" s="509"/>
      <c r="T9" s="509"/>
      <c r="U9" s="509"/>
      <c r="V9" s="509"/>
      <c r="W9" s="509"/>
      <c r="X9" s="509"/>
      <c r="Y9" s="509"/>
      <c r="Z9" s="509"/>
    </row>
    <row r="10" spans="1:26" ht="14.25" customHeight="1"/>
    <row r="11" spans="1:26" ht="14.25" customHeight="1">
      <c r="A11" s="502" t="s">
        <v>583</v>
      </c>
      <c r="G11" s="98">
        <v>10000</v>
      </c>
    </row>
    <row r="12" spans="1:26" ht="14.25" customHeight="1">
      <c r="A12" s="25"/>
      <c r="B12" s="503" t="s">
        <v>126</v>
      </c>
      <c r="C12" s="503" t="s">
        <v>576</v>
      </c>
      <c r="D12" s="503" t="s">
        <v>577</v>
      </c>
      <c r="E12" s="503" t="s">
        <v>578</v>
      </c>
      <c r="J12" s="504">
        <f>SUM(B3:B4)-C4</f>
        <v>35500</v>
      </c>
      <c r="K12" s="504">
        <f>SUM(B5:B6)-C5+5500</f>
        <v>53630</v>
      </c>
    </row>
    <row r="13" spans="1:26" ht="14.25" customHeight="1">
      <c r="A13" s="503">
        <v>2020</v>
      </c>
      <c r="B13" s="229"/>
      <c r="C13" s="229"/>
      <c r="D13" s="229"/>
      <c r="E13" s="229"/>
    </row>
    <row r="14" spans="1:26" ht="14.25" customHeight="1">
      <c r="A14" s="503">
        <v>2021</v>
      </c>
      <c r="B14" s="229"/>
      <c r="C14" s="229"/>
      <c r="D14" s="229"/>
      <c r="E14" s="229"/>
    </row>
    <row r="15" spans="1:26" ht="14.25" customHeight="1">
      <c r="A15" s="503">
        <v>2022</v>
      </c>
      <c r="B15" s="229">
        <v>44919</v>
      </c>
      <c r="C15" s="229">
        <v>4919</v>
      </c>
      <c r="D15" s="229"/>
      <c r="E15" s="229"/>
    </row>
    <row r="16" spans="1:26" ht="14.25" customHeight="1">
      <c r="A16" s="503">
        <v>2023</v>
      </c>
      <c r="B16" s="229">
        <v>8043</v>
      </c>
      <c r="C16" s="229"/>
      <c r="D16" s="229"/>
      <c r="E16" s="505"/>
    </row>
    <row r="17" spans="1:26" ht="14.25" customHeight="1">
      <c r="A17" s="25" t="s">
        <v>126</v>
      </c>
      <c r="B17" s="229">
        <f t="shared" ref="B17:D17" si="1">SUM(B13:B16)</f>
        <v>52962</v>
      </c>
      <c r="C17" s="229">
        <f t="shared" si="1"/>
        <v>4919</v>
      </c>
      <c r="D17" s="506">
        <f t="shared" si="1"/>
        <v>0</v>
      </c>
      <c r="E17" s="507">
        <f>B17-C17-D17</f>
        <v>48043</v>
      </c>
      <c r="F17" s="510" t="s">
        <v>379</v>
      </c>
    </row>
    <row r="18" spans="1:26" ht="14.25" customHeight="1">
      <c r="D18" s="98"/>
      <c r="E18" s="508" t="s">
        <v>582</v>
      </c>
    </row>
    <row r="19" spans="1:26" ht="14.25" customHeight="1">
      <c r="A19" s="509"/>
      <c r="B19" s="509"/>
      <c r="C19" s="509"/>
      <c r="D19" s="509"/>
      <c r="E19" s="509"/>
      <c r="F19" s="509"/>
      <c r="G19" s="509"/>
      <c r="H19" s="509"/>
      <c r="I19" s="509"/>
      <c r="J19" s="509"/>
      <c r="K19" s="509"/>
      <c r="L19" s="509"/>
      <c r="M19" s="509"/>
      <c r="N19" s="509"/>
      <c r="O19" s="509"/>
      <c r="P19" s="509"/>
      <c r="Q19" s="509"/>
      <c r="R19" s="509"/>
      <c r="S19" s="509"/>
      <c r="T19" s="509"/>
      <c r="U19" s="509"/>
      <c r="V19" s="509"/>
      <c r="W19" s="509"/>
      <c r="X19" s="509"/>
      <c r="Y19" s="509"/>
      <c r="Z19" s="509"/>
    </row>
    <row r="20" spans="1:26" ht="14.25" customHeight="1"/>
    <row r="21" spans="1:26" ht="14.25" customHeight="1">
      <c r="A21" s="502" t="s">
        <v>95</v>
      </c>
    </row>
    <row r="22" spans="1:26" ht="14.25" customHeight="1">
      <c r="A22" s="25"/>
      <c r="B22" s="503" t="s">
        <v>126</v>
      </c>
      <c r="C22" s="503" t="s">
        <v>576</v>
      </c>
      <c r="D22" s="503" t="s">
        <v>577</v>
      </c>
      <c r="E22" s="503" t="s">
        <v>578</v>
      </c>
    </row>
    <row r="23" spans="1:26" ht="14.25" customHeight="1">
      <c r="A23" s="503">
        <v>2020</v>
      </c>
      <c r="B23" s="229"/>
      <c r="C23" s="229"/>
      <c r="D23" s="229"/>
      <c r="E23" s="229"/>
    </row>
    <row r="24" spans="1:26" ht="14.25" customHeight="1">
      <c r="A24" s="503">
        <v>2021</v>
      </c>
      <c r="B24" s="229">
        <v>91182</v>
      </c>
      <c r="C24" s="229">
        <v>78182</v>
      </c>
      <c r="D24" s="229"/>
      <c r="E24" s="229"/>
    </row>
    <row r="25" spans="1:26" ht="14.25" customHeight="1">
      <c r="A25" s="503">
        <v>2022</v>
      </c>
      <c r="B25" s="229"/>
      <c r="C25" s="229"/>
      <c r="D25" s="229"/>
      <c r="E25" s="229"/>
    </row>
    <row r="26" spans="1:26" ht="14.25" customHeight="1">
      <c r="A26" s="503">
        <v>2023</v>
      </c>
      <c r="B26" s="229"/>
      <c r="C26" s="229"/>
      <c r="D26" s="229"/>
      <c r="E26" s="505"/>
    </row>
    <row r="27" spans="1:26" ht="14.25" customHeight="1">
      <c r="A27" s="25" t="s">
        <v>126</v>
      </c>
      <c r="B27" s="229">
        <f t="shared" ref="B27:D27" si="2">SUM(B23:B26)</f>
        <v>91182</v>
      </c>
      <c r="C27" s="229">
        <f t="shared" si="2"/>
        <v>78182</v>
      </c>
      <c r="D27" s="506">
        <f t="shared" si="2"/>
        <v>0</v>
      </c>
      <c r="E27" s="507">
        <f>B27-C27-D27</f>
        <v>13000</v>
      </c>
    </row>
    <row r="28" spans="1:26" ht="14.25" customHeight="1">
      <c r="D28" s="98"/>
      <c r="E28" s="508" t="s">
        <v>582</v>
      </c>
    </row>
    <row r="29" spans="1:26" ht="14.25" customHeight="1">
      <c r="A29" s="509"/>
      <c r="B29" s="509"/>
      <c r="C29" s="509"/>
      <c r="D29" s="509"/>
      <c r="E29" s="509"/>
      <c r="F29" s="509"/>
      <c r="G29" s="509"/>
      <c r="H29" s="509"/>
      <c r="I29" s="509"/>
      <c r="J29" s="509"/>
      <c r="K29" s="509"/>
      <c r="L29" s="509"/>
      <c r="M29" s="509"/>
      <c r="N29" s="509"/>
      <c r="O29" s="509"/>
      <c r="P29" s="509"/>
      <c r="Q29" s="509"/>
      <c r="R29" s="509"/>
      <c r="S29" s="509"/>
      <c r="T29" s="509"/>
      <c r="U29" s="509"/>
      <c r="V29" s="509"/>
      <c r="W29" s="509"/>
      <c r="X29" s="509"/>
      <c r="Y29" s="509"/>
      <c r="Z29" s="509"/>
    </row>
    <row r="30" spans="1:26" ht="14.25" customHeight="1"/>
    <row r="31" spans="1:26" ht="14.25" customHeight="1">
      <c r="A31" s="502" t="s">
        <v>164</v>
      </c>
    </row>
    <row r="32" spans="1:26" ht="14.25" customHeight="1">
      <c r="A32" s="25"/>
      <c r="B32" s="503" t="s">
        <v>126</v>
      </c>
      <c r="C32" s="503" t="s">
        <v>576</v>
      </c>
      <c r="D32" s="503" t="s">
        <v>577</v>
      </c>
      <c r="E32" s="503" t="s">
        <v>578</v>
      </c>
    </row>
    <row r="33" spans="1:26" ht="14.25" customHeight="1">
      <c r="A33" s="503">
        <v>2019</v>
      </c>
      <c r="B33" s="229">
        <v>40500</v>
      </c>
      <c r="C33" s="229"/>
      <c r="D33" s="229"/>
      <c r="E33" s="229"/>
    </row>
    <row r="34" spans="1:26" ht="14.25" customHeight="1">
      <c r="A34" s="503">
        <v>2020</v>
      </c>
      <c r="B34" s="229">
        <v>69500</v>
      </c>
      <c r="C34" s="229">
        <v>50000</v>
      </c>
      <c r="D34" s="229">
        <v>48000</v>
      </c>
      <c r="E34" s="229"/>
    </row>
    <row r="35" spans="1:26" ht="14.25" customHeight="1">
      <c r="A35" s="503">
        <v>2021</v>
      </c>
      <c r="B35" s="229">
        <v>105000</v>
      </c>
      <c r="C35" s="229">
        <v>80000</v>
      </c>
      <c r="D35" s="229">
        <v>48000</v>
      </c>
      <c r="E35" s="229"/>
    </row>
    <row r="36" spans="1:26" ht="14.25" customHeight="1">
      <c r="A36" s="503">
        <v>2022</v>
      </c>
      <c r="B36" s="229">
        <v>53330</v>
      </c>
      <c r="C36" s="229">
        <v>21591</v>
      </c>
      <c r="D36" s="229"/>
      <c r="E36" s="229"/>
    </row>
    <row r="37" spans="1:26" ht="14.25" customHeight="1">
      <c r="A37" s="503">
        <v>2023</v>
      </c>
      <c r="B37" s="229">
        <v>10000</v>
      </c>
      <c r="C37" s="229">
        <v>10000</v>
      </c>
      <c r="D37" s="229"/>
      <c r="E37" s="505"/>
    </row>
    <row r="38" spans="1:26" ht="14.25" customHeight="1">
      <c r="A38" s="25" t="s">
        <v>126</v>
      </c>
      <c r="B38" s="229">
        <f t="shared" ref="B38:D38" si="3">SUM(B33:B37)</f>
        <v>278330</v>
      </c>
      <c r="C38" s="229">
        <f t="shared" si="3"/>
        <v>161591</v>
      </c>
      <c r="D38" s="506">
        <f t="shared" si="3"/>
        <v>96000</v>
      </c>
      <c r="E38" s="507">
        <f>B38-C38-D38</f>
        <v>20739</v>
      </c>
    </row>
    <row r="39" spans="1:26" ht="14.25" customHeight="1">
      <c r="D39" s="98"/>
      <c r="E39" s="508" t="s">
        <v>582</v>
      </c>
    </row>
    <row r="40" spans="1:26" ht="14.25" customHeight="1">
      <c r="A40" s="509"/>
      <c r="B40" s="509"/>
      <c r="C40" s="509"/>
      <c r="D40" s="509"/>
      <c r="E40" s="509"/>
      <c r="F40" s="509"/>
      <c r="G40" s="509"/>
      <c r="H40" s="509"/>
      <c r="I40" s="509"/>
      <c r="J40" s="509"/>
      <c r="K40" s="509"/>
      <c r="L40" s="509"/>
      <c r="M40" s="509"/>
      <c r="N40" s="509"/>
      <c r="O40" s="509"/>
      <c r="P40" s="509"/>
      <c r="Q40" s="509"/>
      <c r="R40" s="509"/>
      <c r="S40" s="509"/>
      <c r="T40" s="509"/>
      <c r="U40" s="509"/>
      <c r="V40" s="509"/>
      <c r="W40" s="509"/>
      <c r="X40" s="509"/>
      <c r="Y40" s="509"/>
      <c r="Z40" s="509"/>
    </row>
    <row r="41" spans="1:26" ht="14.25" customHeight="1"/>
    <row r="42" spans="1:26" ht="14.25" customHeight="1">
      <c r="A42" s="502" t="s">
        <v>429</v>
      </c>
    </row>
    <row r="43" spans="1:26" ht="14.25" customHeight="1">
      <c r="A43" s="25"/>
      <c r="B43" s="503" t="s">
        <v>126</v>
      </c>
      <c r="C43" s="503" t="s">
        <v>576</v>
      </c>
      <c r="D43" s="503" t="s">
        <v>577</v>
      </c>
      <c r="E43" s="503" t="s">
        <v>578</v>
      </c>
    </row>
    <row r="44" spans="1:26" ht="14.25" customHeight="1">
      <c r="A44" s="503">
        <v>2022</v>
      </c>
      <c r="B44" s="229">
        <v>34750</v>
      </c>
      <c r="C44" s="229">
        <v>18955</v>
      </c>
      <c r="D44" s="229"/>
      <c r="E44" s="229"/>
    </row>
    <row r="45" spans="1:26" ht="14.25" customHeight="1">
      <c r="A45" s="503">
        <v>2023</v>
      </c>
      <c r="B45" s="229">
        <v>12787</v>
      </c>
      <c r="C45" s="229"/>
      <c r="D45" s="229"/>
      <c r="E45" s="505"/>
    </row>
    <row r="46" spans="1:26" ht="14.25" customHeight="1">
      <c r="A46" s="25" t="s">
        <v>126</v>
      </c>
      <c r="B46" s="229">
        <f t="shared" ref="B46:D46" si="4">SUM(B44:B45)</f>
        <v>47537</v>
      </c>
      <c r="C46" s="229">
        <f t="shared" si="4"/>
        <v>18955</v>
      </c>
      <c r="D46" s="506">
        <f t="shared" si="4"/>
        <v>0</v>
      </c>
      <c r="E46" s="507">
        <f>B46-C46-D46</f>
        <v>28582</v>
      </c>
    </row>
    <row r="47" spans="1:26" ht="14.25" customHeight="1">
      <c r="D47" s="98"/>
      <c r="E47" s="508" t="s">
        <v>582</v>
      </c>
    </row>
    <row r="48" spans="1:26" ht="14.25" customHeight="1">
      <c r="A48" s="509"/>
      <c r="B48" s="509"/>
      <c r="C48" s="509"/>
      <c r="D48" s="509"/>
      <c r="E48" s="509"/>
      <c r="F48" s="509"/>
      <c r="G48" s="509"/>
      <c r="H48" s="509"/>
      <c r="I48" s="509"/>
      <c r="J48" s="509"/>
      <c r="K48" s="509"/>
      <c r="L48" s="509"/>
      <c r="M48" s="509"/>
      <c r="N48" s="509"/>
      <c r="O48" s="509"/>
      <c r="P48" s="509"/>
      <c r="Q48" s="509"/>
      <c r="R48" s="509"/>
      <c r="S48" s="509"/>
      <c r="T48" s="509"/>
      <c r="U48" s="509"/>
      <c r="V48" s="509"/>
      <c r="W48" s="509"/>
      <c r="X48" s="509"/>
      <c r="Y48" s="509"/>
      <c r="Z48" s="509"/>
    </row>
    <row r="49" spans="1:26" ht="14.25" customHeight="1"/>
    <row r="50" spans="1:26" ht="14.25" customHeight="1">
      <c r="A50" s="502" t="s">
        <v>165</v>
      </c>
    </row>
    <row r="51" spans="1:26" ht="14.25" customHeight="1">
      <c r="A51" s="503" t="s">
        <v>584</v>
      </c>
      <c r="B51" s="503" t="s">
        <v>394</v>
      </c>
      <c r="C51" s="503" t="s">
        <v>585</v>
      </c>
      <c r="D51" s="503" t="s">
        <v>586</v>
      </c>
    </row>
    <row r="52" spans="1:26" ht="14.25" customHeight="1">
      <c r="A52" s="25">
        <v>2021</v>
      </c>
      <c r="B52" s="229">
        <v>16782.608700000001</v>
      </c>
      <c r="C52" s="229">
        <v>0</v>
      </c>
      <c r="D52" s="511">
        <f t="shared" ref="D52:D54" si="5">B52-C52</f>
        <v>16782.608700000001</v>
      </c>
    </row>
    <row r="53" spans="1:26" ht="14.25" customHeight="1">
      <c r="A53" s="25">
        <v>2022</v>
      </c>
      <c r="B53" s="229">
        <v>55142.85714</v>
      </c>
      <c r="C53" s="229">
        <v>47142.85714</v>
      </c>
      <c r="D53" s="511">
        <f t="shared" si="5"/>
        <v>8000</v>
      </c>
    </row>
    <row r="54" spans="1:26" ht="14.25" customHeight="1">
      <c r="A54" s="25">
        <v>2023</v>
      </c>
      <c r="B54" s="229">
        <v>35000</v>
      </c>
      <c r="C54" s="229">
        <v>30000</v>
      </c>
      <c r="D54" s="511">
        <f t="shared" si="5"/>
        <v>5000</v>
      </c>
    </row>
    <row r="55" spans="1:26" ht="14.25" customHeight="1">
      <c r="A55" s="25"/>
      <c r="B55" s="512">
        <f t="shared" ref="B55:D55" si="6">SUM(B52:B54)</f>
        <v>106925.46584</v>
      </c>
      <c r="C55" s="512">
        <f t="shared" si="6"/>
        <v>77142.857140000007</v>
      </c>
      <c r="D55" s="513">
        <f t="shared" si="6"/>
        <v>29782.608700000001</v>
      </c>
    </row>
    <row r="56" spans="1:26" ht="14.25" customHeight="1">
      <c r="B56" s="514"/>
      <c r="C56" s="514"/>
      <c r="D56" s="515"/>
    </row>
    <row r="57" spans="1:26" ht="14.25" customHeight="1">
      <c r="A57" s="503"/>
      <c r="B57" s="503" t="s">
        <v>418</v>
      </c>
      <c r="C57" s="503"/>
      <c r="D57" s="503"/>
    </row>
    <row r="58" spans="1:26" ht="14.25" customHeight="1">
      <c r="A58" s="25">
        <v>2023</v>
      </c>
      <c r="B58" s="512">
        <v>69000</v>
      </c>
      <c r="C58" s="512">
        <v>27000</v>
      </c>
      <c r="D58" s="513">
        <f>B58-C58</f>
        <v>42000</v>
      </c>
    </row>
    <row r="59" spans="1:26" ht="14.25" customHeight="1"/>
    <row r="60" spans="1:26" ht="14.25" customHeight="1">
      <c r="A60" s="312" t="s">
        <v>587</v>
      </c>
      <c r="C60" s="312"/>
      <c r="D60" s="516">
        <f>SUM(D55+D58)</f>
        <v>71782.608699999997</v>
      </c>
    </row>
    <row r="61" spans="1:26" ht="14.25" customHeight="1">
      <c r="A61" s="509"/>
      <c r="B61" s="509"/>
      <c r="C61" s="509"/>
      <c r="D61" s="509"/>
      <c r="E61" s="509"/>
      <c r="F61" s="509"/>
      <c r="G61" s="509"/>
      <c r="H61" s="509"/>
      <c r="I61" s="509"/>
      <c r="J61" s="509"/>
      <c r="K61" s="509"/>
      <c r="L61" s="509"/>
      <c r="M61" s="509"/>
      <c r="N61" s="509"/>
      <c r="O61" s="509"/>
      <c r="P61" s="509"/>
      <c r="Q61" s="509"/>
      <c r="R61" s="509"/>
      <c r="S61" s="509"/>
      <c r="T61" s="509"/>
      <c r="U61" s="509"/>
      <c r="V61" s="509"/>
      <c r="W61" s="509"/>
      <c r="X61" s="509"/>
      <c r="Y61" s="509"/>
      <c r="Z61" s="509"/>
    </row>
    <row r="62" spans="1:26" ht="14.25" customHeight="1"/>
    <row r="63" spans="1:26" ht="14.25" customHeight="1">
      <c r="A63" s="1181" t="s">
        <v>588</v>
      </c>
      <c r="B63" s="1182"/>
      <c r="C63" s="1182"/>
    </row>
    <row r="64" spans="1:26" ht="14.25" customHeight="1">
      <c r="A64" s="517">
        <v>2021</v>
      </c>
      <c r="B64" s="25"/>
      <c r="C64" s="517">
        <v>2022</v>
      </c>
      <c r="D64" s="25"/>
      <c r="E64" s="517">
        <v>2023</v>
      </c>
      <c r="F64" s="25"/>
    </row>
    <row r="65" spans="1:26" ht="14.25" customHeight="1">
      <c r="A65" s="518" t="s">
        <v>589</v>
      </c>
      <c r="B65" s="74">
        <f>'2021'!I24</f>
        <v>6000</v>
      </c>
      <c r="C65" s="518" t="s">
        <v>49</v>
      </c>
      <c r="D65" s="519">
        <f>'2022'!G16</f>
        <v>6000</v>
      </c>
      <c r="E65" s="518" t="s">
        <v>49</v>
      </c>
      <c r="F65" s="25">
        <v>0</v>
      </c>
    </row>
    <row r="66" spans="1:26" ht="14.25" customHeight="1">
      <c r="A66" s="518" t="s">
        <v>6</v>
      </c>
      <c r="B66" s="74">
        <f>'2021'!J24</f>
        <v>6000</v>
      </c>
      <c r="C66" s="518" t="s">
        <v>50</v>
      </c>
      <c r="D66" s="519">
        <f>'2022'!H16</f>
        <v>6000</v>
      </c>
      <c r="E66" s="518" t="s">
        <v>50</v>
      </c>
      <c r="F66" s="25">
        <v>0</v>
      </c>
    </row>
    <row r="67" spans="1:26" ht="14.25" customHeight="1">
      <c r="A67" s="518" t="s">
        <v>53</v>
      </c>
      <c r="B67" s="23">
        <f>'2021'!K24</f>
        <v>5000</v>
      </c>
      <c r="C67" s="518" t="s">
        <v>51</v>
      </c>
      <c r="D67" s="519">
        <f>'2022'!I16</f>
        <v>4650</v>
      </c>
      <c r="E67" s="518" t="s">
        <v>51</v>
      </c>
      <c r="F67" s="25">
        <v>0</v>
      </c>
    </row>
    <row r="68" spans="1:26" ht="14.25" customHeight="1">
      <c r="A68" s="518" t="s">
        <v>8</v>
      </c>
      <c r="B68" s="23">
        <f>'2021'!L24</f>
        <v>6000</v>
      </c>
      <c r="C68" s="518" t="s">
        <v>52</v>
      </c>
      <c r="D68" s="519">
        <f>'2022'!J16</f>
        <v>5429</v>
      </c>
      <c r="E68" s="518" t="s">
        <v>52</v>
      </c>
      <c r="F68" s="25">
        <v>0</v>
      </c>
    </row>
    <row r="69" spans="1:26" ht="14.25" customHeight="1">
      <c r="A69" s="518" t="s">
        <v>9</v>
      </c>
      <c r="B69" s="23">
        <v>6000</v>
      </c>
      <c r="C69" s="518" t="s">
        <v>53</v>
      </c>
      <c r="D69" s="519">
        <f>'2022'!K16</f>
        <v>5000</v>
      </c>
      <c r="E69" s="518" t="s">
        <v>53</v>
      </c>
      <c r="F69" s="25">
        <v>0</v>
      </c>
    </row>
    <row r="70" spans="1:26" ht="14.25" customHeight="1">
      <c r="A70" s="518" t="s">
        <v>10</v>
      </c>
      <c r="B70" s="23">
        <v>6000</v>
      </c>
      <c r="C70" s="518" t="s">
        <v>54</v>
      </c>
      <c r="D70" s="25">
        <v>0</v>
      </c>
      <c r="E70" s="518"/>
      <c r="F70" s="25"/>
      <c r="G70" s="107"/>
      <c r="H70" s="98" t="s">
        <v>590</v>
      </c>
    </row>
    <row r="71" spans="1:26" ht="14.25" customHeight="1">
      <c r="A71" s="518" t="s">
        <v>591</v>
      </c>
      <c r="B71" s="23">
        <v>6000</v>
      </c>
      <c r="C71" s="518" t="s">
        <v>55</v>
      </c>
      <c r="D71" s="25">
        <v>0</v>
      </c>
      <c r="E71" s="518"/>
      <c r="F71" s="25"/>
      <c r="G71" s="520"/>
      <c r="H71" s="98" t="s">
        <v>592</v>
      </c>
    </row>
    <row r="72" spans="1:26" ht="14.25" customHeight="1">
      <c r="A72" s="518" t="s">
        <v>593</v>
      </c>
      <c r="B72" s="23">
        <v>6000</v>
      </c>
      <c r="C72" s="518" t="s">
        <v>56</v>
      </c>
      <c r="D72" s="25">
        <v>0</v>
      </c>
      <c r="E72" s="518"/>
      <c r="F72" s="25"/>
    </row>
    <row r="73" spans="1:26" ht="14.25" customHeight="1">
      <c r="A73" s="518" t="s">
        <v>594</v>
      </c>
      <c r="B73" s="23">
        <v>6000</v>
      </c>
      <c r="C73" s="518" t="s">
        <v>57</v>
      </c>
      <c r="D73" s="25">
        <v>0</v>
      </c>
      <c r="E73" s="518"/>
      <c r="F73" s="25"/>
    </row>
    <row r="74" spans="1:26" ht="14.25" customHeight="1">
      <c r="A74" s="518" t="s">
        <v>595</v>
      </c>
      <c r="B74" s="23">
        <v>6000</v>
      </c>
      <c r="C74" s="518" t="s">
        <v>12</v>
      </c>
      <c r="D74" s="25">
        <v>0</v>
      </c>
      <c r="E74" s="518"/>
      <c r="F74" s="25"/>
    </row>
    <row r="75" spans="1:26" ht="14.25" customHeight="1">
      <c r="A75" s="518"/>
      <c r="B75" s="25"/>
      <c r="C75" s="518" t="s">
        <v>13</v>
      </c>
      <c r="D75" s="25">
        <v>0</v>
      </c>
      <c r="E75" s="518"/>
      <c r="F75" s="25"/>
    </row>
    <row r="76" spans="1:26" ht="14.25" customHeight="1">
      <c r="A76" s="518"/>
      <c r="B76" s="25"/>
      <c r="C76" s="518" t="s">
        <v>14</v>
      </c>
      <c r="D76" s="25">
        <v>0</v>
      </c>
      <c r="E76" s="518"/>
      <c r="F76" s="25"/>
    </row>
    <row r="77" spans="1:26" ht="14.25" customHeight="1">
      <c r="A77" s="25"/>
      <c r="B77" s="518">
        <f>SUM(B65:B76)</f>
        <v>59000</v>
      </c>
      <c r="D77" s="521">
        <f>SUM(D65:D76)</f>
        <v>27079</v>
      </c>
      <c r="F77" s="518">
        <f>SUM(F65:F76)</f>
        <v>0</v>
      </c>
    </row>
    <row r="78" spans="1:26" ht="14.25" customHeight="1">
      <c r="A78" s="314" t="s">
        <v>15</v>
      </c>
      <c r="B78" s="1183">
        <f>SUM(B77+D77+F77)</f>
        <v>86079</v>
      </c>
      <c r="C78" s="1177"/>
      <c r="D78" s="1177"/>
      <c r="E78" s="1177"/>
      <c r="F78" s="1178"/>
    </row>
    <row r="79" spans="1:26" ht="14.25" customHeight="1">
      <c r="A79" s="1184" t="s">
        <v>596</v>
      </c>
      <c r="B79" s="1178"/>
      <c r="C79" s="187">
        <f>SUM(B65:B66)</f>
        <v>12000</v>
      </c>
    </row>
    <row r="80" spans="1:26" ht="14.25" customHeight="1">
      <c r="A80" s="509"/>
      <c r="B80" s="509"/>
      <c r="C80" s="509"/>
      <c r="D80" s="509"/>
      <c r="E80" s="509"/>
      <c r="F80" s="509"/>
      <c r="G80" s="509"/>
      <c r="H80" s="509"/>
      <c r="I80" s="509"/>
      <c r="J80" s="509"/>
      <c r="K80" s="509"/>
      <c r="L80" s="509"/>
      <c r="M80" s="509"/>
      <c r="N80" s="509"/>
      <c r="O80" s="509"/>
      <c r="P80" s="509"/>
      <c r="Q80" s="509"/>
      <c r="R80" s="509"/>
      <c r="S80" s="509"/>
      <c r="T80" s="509"/>
      <c r="U80" s="509"/>
      <c r="V80" s="509"/>
      <c r="W80" s="509"/>
      <c r="X80" s="509"/>
      <c r="Y80" s="509"/>
      <c r="Z80" s="509"/>
    </row>
    <row r="81" spans="1:26" ht="14.2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spans="1:26" ht="14.25" customHeight="1">
      <c r="A82" s="502" t="s">
        <v>597</v>
      </c>
    </row>
    <row r="83" spans="1:26" ht="14.25" customHeight="1">
      <c r="A83" s="522" t="s">
        <v>598</v>
      </c>
      <c r="B83" s="523"/>
    </row>
    <row r="84" spans="1:26" ht="14.25" customHeight="1">
      <c r="A84" s="524">
        <v>2022</v>
      </c>
      <c r="B84" s="25"/>
    </row>
    <row r="85" spans="1:26" ht="14.25" customHeight="1">
      <c r="A85" s="25" t="s">
        <v>57</v>
      </c>
      <c r="B85" s="25">
        <v>3000</v>
      </c>
    </row>
    <row r="86" spans="1:26" ht="14.25" customHeight="1">
      <c r="A86" s="25" t="s">
        <v>12</v>
      </c>
      <c r="B86" s="53">
        <v>7619.0476190476202</v>
      </c>
    </row>
    <row r="87" spans="1:26" ht="14.25" customHeight="1">
      <c r="A87" s="25" t="s">
        <v>13</v>
      </c>
      <c r="B87" s="53">
        <v>0</v>
      </c>
    </row>
    <row r="88" spans="1:26" ht="14.25" customHeight="1">
      <c r="A88" s="25" t="s">
        <v>14</v>
      </c>
      <c r="B88" s="25">
        <v>0</v>
      </c>
    </row>
    <row r="89" spans="1:26" ht="14.25" customHeight="1">
      <c r="A89" s="524">
        <v>2023</v>
      </c>
      <c r="B89" s="25"/>
    </row>
    <row r="90" spans="1:26" ht="14.25" customHeight="1">
      <c r="A90" s="25" t="s">
        <v>49</v>
      </c>
      <c r="B90" s="53">
        <v>0</v>
      </c>
    </row>
    <row r="91" spans="1:26" ht="14.25" customHeight="1">
      <c r="A91" s="25" t="s">
        <v>50</v>
      </c>
      <c r="B91" s="25">
        <v>0</v>
      </c>
    </row>
    <row r="92" spans="1:26" ht="14.25" customHeight="1">
      <c r="A92" s="25" t="s">
        <v>51</v>
      </c>
      <c r="B92" s="25">
        <v>0</v>
      </c>
    </row>
    <row r="93" spans="1:26" ht="14.25" customHeight="1">
      <c r="A93" s="25" t="s">
        <v>52</v>
      </c>
      <c r="B93" s="25">
        <v>10000</v>
      </c>
    </row>
    <row r="94" spans="1:26" ht="14.25" customHeight="1">
      <c r="A94" s="25" t="s">
        <v>53</v>
      </c>
      <c r="B94" s="25">
        <v>10000</v>
      </c>
    </row>
    <row r="95" spans="1:26" ht="14.25" customHeight="1">
      <c r="A95" s="25" t="s">
        <v>54</v>
      </c>
      <c r="B95" s="25">
        <v>10000</v>
      </c>
    </row>
    <row r="96" spans="1:26" ht="14.25" customHeight="1">
      <c r="A96" s="25" t="s">
        <v>55</v>
      </c>
      <c r="B96" s="53">
        <v>5714.2857142857101</v>
      </c>
    </row>
    <row r="97" spans="1:26" ht="14.25" customHeight="1">
      <c r="A97" s="25" t="s">
        <v>56</v>
      </c>
      <c r="B97" s="53">
        <v>10000</v>
      </c>
    </row>
    <row r="98" spans="1:26" ht="14.25" customHeight="1">
      <c r="A98" s="525" t="s">
        <v>599</v>
      </c>
      <c r="B98" s="526">
        <v>56333.333333333299</v>
      </c>
    </row>
    <row r="99" spans="1:26" ht="14.25" customHeight="1">
      <c r="A99" s="509"/>
      <c r="B99" s="509"/>
      <c r="C99" s="509"/>
      <c r="D99" s="509"/>
      <c r="E99" s="509"/>
      <c r="F99" s="509"/>
      <c r="G99" s="509"/>
      <c r="H99" s="509"/>
      <c r="I99" s="509"/>
      <c r="J99" s="509"/>
      <c r="K99" s="509"/>
      <c r="L99" s="509"/>
      <c r="M99" s="509"/>
      <c r="N99" s="509"/>
      <c r="O99" s="509"/>
      <c r="P99" s="509"/>
      <c r="Q99" s="509"/>
      <c r="R99" s="509"/>
      <c r="S99" s="509"/>
      <c r="T99" s="509"/>
      <c r="U99" s="509"/>
      <c r="V99" s="509"/>
      <c r="W99" s="509"/>
      <c r="X99" s="509"/>
      <c r="Y99" s="509"/>
      <c r="Z99" s="509"/>
    </row>
    <row r="100" spans="1:26" ht="14.25" customHeight="1">
      <c r="A100" s="502" t="s">
        <v>600</v>
      </c>
      <c r="B100" s="98"/>
      <c r="C100" s="98"/>
      <c r="D100" s="502" t="s">
        <v>601</v>
      </c>
      <c r="E100" s="98"/>
      <c r="F100" s="98"/>
      <c r="G100" s="98"/>
      <c r="H100" s="98"/>
      <c r="I100" s="98"/>
      <c r="J100" s="98"/>
      <c r="K100" s="98"/>
      <c r="L100" s="98"/>
      <c r="M100" s="98"/>
      <c r="N100" s="98"/>
      <c r="O100" s="98"/>
      <c r="P100" s="98"/>
      <c r="Q100" s="98"/>
      <c r="R100" s="98"/>
      <c r="S100" s="98"/>
      <c r="T100" s="98"/>
      <c r="U100" s="98"/>
      <c r="V100" s="98"/>
      <c r="W100" s="98"/>
      <c r="X100" s="98"/>
      <c r="Y100" s="98"/>
      <c r="Z100" s="98"/>
    </row>
    <row r="101" spans="1:26" ht="14.25" customHeight="1"/>
    <row r="102" spans="1:26" ht="14.25" customHeight="1">
      <c r="A102" s="522" t="s">
        <v>602</v>
      </c>
      <c r="B102" s="523"/>
      <c r="D102" s="522" t="s">
        <v>603</v>
      </c>
      <c r="E102" s="523"/>
    </row>
    <row r="103" spans="1:26" ht="14.25" customHeight="1">
      <c r="A103" s="527">
        <v>2022</v>
      </c>
      <c r="B103" s="98"/>
      <c r="D103" s="527">
        <v>2023</v>
      </c>
      <c r="E103" s="98"/>
    </row>
    <row r="104" spans="1:26" ht="14.25" customHeight="1">
      <c r="A104" s="4" t="s">
        <v>12</v>
      </c>
      <c r="B104" s="222">
        <v>6000</v>
      </c>
      <c r="D104" s="4" t="s">
        <v>12</v>
      </c>
      <c r="E104" s="222">
        <f>'2023'!R12</f>
        <v>3818.1818181818185</v>
      </c>
    </row>
    <row r="105" spans="1:26" ht="14.25" customHeight="1">
      <c r="A105" s="4" t="s">
        <v>13</v>
      </c>
      <c r="B105" s="222">
        <v>5000</v>
      </c>
      <c r="D105" s="4" t="s">
        <v>13</v>
      </c>
      <c r="E105" s="222">
        <f>'2023'!S12</f>
        <v>3000</v>
      </c>
    </row>
    <row r="106" spans="1:26" ht="14.25" customHeight="1">
      <c r="A106" s="4" t="s">
        <v>14</v>
      </c>
      <c r="B106" s="222">
        <v>5000</v>
      </c>
      <c r="D106" s="4" t="s">
        <v>14</v>
      </c>
      <c r="E106" s="222">
        <f>'2023'!T12</f>
        <v>5040</v>
      </c>
    </row>
    <row r="107" spans="1:26" ht="14.25" customHeight="1">
      <c r="A107" s="527">
        <v>2023</v>
      </c>
      <c r="B107" s="528"/>
      <c r="D107" s="527">
        <v>2024</v>
      </c>
      <c r="E107" s="528"/>
    </row>
    <row r="108" spans="1:26" ht="14.25" customHeight="1">
      <c r="A108" s="4" t="s">
        <v>49</v>
      </c>
      <c r="B108" s="222">
        <v>5000</v>
      </c>
      <c r="D108" s="4" t="s">
        <v>49</v>
      </c>
      <c r="E108" s="222" t="s">
        <v>604</v>
      </c>
    </row>
    <row r="109" spans="1:26" ht="14.25" customHeight="1">
      <c r="A109" s="4" t="s">
        <v>50</v>
      </c>
      <c r="B109" s="222">
        <v>2087</v>
      </c>
      <c r="D109" s="4" t="s">
        <v>50</v>
      </c>
      <c r="E109" s="222">
        <f>'2024'!J10</f>
        <v>10000</v>
      </c>
    </row>
    <row r="110" spans="1:26" ht="14.25" customHeight="1">
      <c r="A110" s="4" t="s">
        <v>51</v>
      </c>
      <c r="B110" s="222">
        <v>6000</v>
      </c>
      <c r="D110" s="524" t="s">
        <v>409</v>
      </c>
      <c r="E110" s="529">
        <f>SUM(E98:E109)</f>
        <v>21858.181818181816</v>
      </c>
    </row>
    <row r="111" spans="1:26" ht="14.25" customHeight="1">
      <c r="A111" s="4" t="s">
        <v>52</v>
      </c>
      <c r="B111" s="222">
        <v>5000</v>
      </c>
    </row>
    <row r="112" spans="1:26" ht="14.25" customHeight="1">
      <c r="A112" s="4" t="s">
        <v>53</v>
      </c>
      <c r="B112" s="222">
        <v>3000</v>
      </c>
    </row>
    <row r="113" spans="1:26" ht="14.25" customHeight="1">
      <c r="A113" s="4" t="s">
        <v>54</v>
      </c>
      <c r="B113" s="222">
        <v>0</v>
      </c>
    </row>
    <row r="114" spans="1:26" ht="14.25" customHeight="1">
      <c r="A114" s="4" t="s">
        <v>55</v>
      </c>
      <c r="B114" s="222">
        <v>0</v>
      </c>
    </row>
    <row r="115" spans="1:26" ht="14.25" customHeight="1">
      <c r="A115" s="4" t="s">
        <v>56</v>
      </c>
      <c r="B115" s="222">
        <v>4000</v>
      </c>
    </row>
    <row r="116" spans="1:26" ht="14.25" customHeight="1">
      <c r="A116" s="4" t="s">
        <v>57</v>
      </c>
      <c r="B116" s="222">
        <v>4000</v>
      </c>
    </row>
    <row r="117" spans="1:26" ht="14.25" customHeight="1">
      <c r="A117" s="524" t="s">
        <v>409</v>
      </c>
      <c r="B117" s="529">
        <f>SUM(B104:B116)</f>
        <v>45087</v>
      </c>
    </row>
    <row r="118" spans="1:26" ht="14.25" customHeight="1">
      <c r="A118" s="509"/>
      <c r="B118" s="509"/>
      <c r="C118" s="509"/>
      <c r="D118" s="509"/>
      <c r="E118" s="509"/>
      <c r="F118" s="509"/>
      <c r="G118" s="509"/>
      <c r="H118" s="509"/>
      <c r="I118" s="509"/>
      <c r="J118" s="509"/>
      <c r="K118" s="509"/>
      <c r="L118" s="509"/>
      <c r="M118" s="509"/>
      <c r="N118" s="509"/>
      <c r="O118" s="509"/>
      <c r="P118" s="509"/>
      <c r="Q118" s="509"/>
      <c r="R118" s="509"/>
      <c r="S118" s="509"/>
      <c r="T118" s="509"/>
      <c r="U118" s="509"/>
      <c r="V118" s="509"/>
      <c r="W118" s="509"/>
      <c r="X118" s="509"/>
      <c r="Y118" s="509"/>
      <c r="Z118" s="509"/>
    </row>
    <row r="119" spans="1:26" ht="14.25" customHeight="1">
      <c r="A119" s="502" t="s">
        <v>920</v>
      </c>
    </row>
    <row r="120" spans="1:26" ht="14.25" customHeight="1"/>
    <row r="121" spans="1:26" ht="14.25" customHeight="1">
      <c r="A121" s="522" t="s">
        <v>602</v>
      </c>
      <c r="B121" s="522"/>
      <c r="D121" s="522" t="s">
        <v>919</v>
      </c>
      <c r="E121" s="522"/>
    </row>
    <row r="122" spans="1:26" ht="14.25" customHeight="1">
      <c r="A122" s="527">
        <v>2022</v>
      </c>
      <c r="B122" s="98"/>
      <c r="D122" s="527">
        <v>2023</v>
      </c>
      <c r="E122" s="98"/>
    </row>
    <row r="123" spans="1:26" ht="14.25" customHeight="1">
      <c r="A123" s="4" t="s">
        <v>12</v>
      </c>
      <c r="B123" s="222">
        <v>4000</v>
      </c>
      <c r="C123" s="108"/>
      <c r="D123" s="4" t="s">
        <v>12</v>
      </c>
      <c r="E123" s="222">
        <v>5000</v>
      </c>
    </row>
    <row r="124" spans="1:26" ht="14.25" customHeight="1">
      <c r="A124" s="4" t="s">
        <v>13</v>
      </c>
      <c r="B124" s="222">
        <v>3000</v>
      </c>
      <c r="C124" s="108"/>
      <c r="D124" s="4" t="s">
        <v>13</v>
      </c>
      <c r="E124" s="222">
        <v>5000</v>
      </c>
    </row>
    <row r="125" spans="1:26" ht="14.25" customHeight="1">
      <c r="A125" s="4" t="s">
        <v>14</v>
      </c>
      <c r="B125" s="222">
        <v>3000</v>
      </c>
      <c r="C125" s="108"/>
      <c r="D125" s="4" t="s">
        <v>14</v>
      </c>
      <c r="E125" s="222">
        <v>5000</v>
      </c>
    </row>
    <row r="126" spans="1:26" ht="14.25" customHeight="1">
      <c r="A126" s="527">
        <v>2023</v>
      </c>
      <c r="B126" s="528"/>
      <c r="C126" s="108"/>
      <c r="D126" s="527">
        <v>2024</v>
      </c>
      <c r="E126" s="528"/>
    </row>
    <row r="127" spans="1:26" ht="14.25" customHeight="1">
      <c r="A127" s="4" t="s">
        <v>49</v>
      </c>
      <c r="B127" s="222">
        <v>3500</v>
      </c>
      <c r="C127" s="108"/>
      <c r="D127" s="4" t="s">
        <v>49</v>
      </c>
      <c r="E127" s="222">
        <v>3478</v>
      </c>
    </row>
    <row r="128" spans="1:26" ht="14.25" customHeight="1">
      <c r="A128" s="4" t="s">
        <v>50</v>
      </c>
      <c r="B128" s="222">
        <v>4000</v>
      </c>
      <c r="C128" s="108"/>
      <c r="D128" s="4" t="s">
        <v>50</v>
      </c>
      <c r="E128" s="222">
        <v>5000</v>
      </c>
    </row>
    <row r="129" spans="1:26" ht="14.25" customHeight="1">
      <c r="A129" s="4" t="s">
        <v>51</v>
      </c>
      <c r="B129" s="222">
        <v>5000</v>
      </c>
      <c r="C129" s="108"/>
      <c r="D129" s="4" t="s">
        <v>51</v>
      </c>
      <c r="E129" s="222">
        <v>4000</v>
      </c>
    </row>
    <row r="130" spans="1:26" ht="14.25" customHeight="1">
      <c r="A130" s="4" t="s">
        <v>52</v>
      </c>
      <c r="B130" s="222">
        <v>5000</v>
      </c>
      <c r="C130" s="108"/>
      <c r="D130" s="4" t="s">
        <v>52</v>
      </c>
      <c r="E130" s="222">
        <v>4565</v>
      </c>
    </row>
    <row r="131" spans="1:26" ht="14.25" customHeight="1">
      <c r="A131" s="4" t="s">
        <v>53</v>
      </c>
      <c r="B131" s="222">
        <v>3636</v>
      </c>
      <c r="C131" s="108"/>
      <c r="D131" s="4" t="s">
        <v>53</v>
      </c>
      <c r="E131" s="222">
        <v>5000</v>
      </c>
    </row>
    <row r="132" spans="1:26" ht="14.25" customHeight="1">
      <c r="A132" s="4" t="s">
        <v>54</v>
      </c>
      <c r="B132" s="222">
        <v>3000</v>
      </c>
      <c r="C132" s="108"/>
      <c r="D132" s="4" t="s">
        <v>54</v>
      </c>
      <c r="E132" s="222">
        <v>3333</v>
      </c>
    </row>
    <row r="133" spans="1:26" ht="14.25" customHeight="1">
      <c r="A133" s="4" t="s">
        <v>55</v>
      </c>
      <c r="B133" s="222">
        <v>5000</v>
      </c>
      <c r="C133" s="108"/>
      <c r="D133" s="4" t="s">
        <v>55</v>
      </c>
      <c r="E133" s="222">
        <v>4545</v>
      </c>
    </row>
    <row r="134" spans="1:26" ht="14.25" customHeight="1">
      <c r="A134" s="4" t="s">
        <v>56</v>
      </c>
      <c r="B134" s="222">
        <v>0</v>
      </c>
      <c r="C134" s="108"/>
      <c r="D134" s="4" t="s">
        <v>56</v>
      </c>
      <c r="E134" s="222">
        <v>3409</v>
      </c>
    </row>
    <row r="135" spans="1:26" ht="14.25" customHeight="1">
      <c r="A135" s="4" t="s">
        <v>57</v>
      </c>
      <c r="B135" s="222">
        <v>4000</v>
      </c>
      <c r="C135" s="108"/>
      <c r="D135" s="4" t="s">
        <v>57</v>
      </c>
      <c r="E135" s="222">
        <v>4318</v>
      </c>
    </row>
    <row r="136" spans="1:26" ht="14.25" customHeight="1">
      <c r="A136" s="530" t="s">
        <v>409</v>
      </c>
      <c r="B136" s="529">
        <f>SUM(B123:B135)</f>
        <v>43136</v>
      </c>
      <c r="C136" s="108"/>
      <c r="D136" s="4" t="s">
        <v>12</v>
      </c>
      <c r="E136" s="222">
        <v>4545</v>
      </c>
    </row>
    <row r="137" spans="1:26" ht="14.25" customHeight="1">
      <c r="A137" s="509"/>
      <c r="B137" s="509"/>
      <c r="C137" s="509"/>
      <c r="D137" s="530" t="s">
        <v>409</v>
      </c>
      <c r="E137" s="529">
        <f>SUM(E123:E136)</f>
        <v>57193</v>
      </c>
      <c r="F137" s="509"/>
      <c r="G137" s="509"/>
      <c r="H137" s="509"/>
      <c r="I137" s="509"/>
      <c r="J137" s="509"/>
      <c r="K137" s="509"/>
      <c r="L137" s="509"/>
      <c r="M137" s="509"/>
      <c r="N137" s="509"/>
      <c r="O137" s="509"/>
      <c r="P137" s="509"/>
      <c r="Q137" s="509"/>
      <c r="R137" s="509"/>
      <c r="S137" s="509"/>
      <c r="T137" s="509"/>
      <c r="U137" s="509"/>
      <c r="V137" s="509"/>
      <c r="W137" s="509"/>
      <c r="X137" s="509"/>
      <c r="Y137" s="509"/>
      <c r="Z137" s="509"/>
    </row>
    <row r="138" spans="1:26" ht="14.25" customHeight="1">
      <c r="A138" s="98"/>
      <c r="B138" s="98"/>
      <c r="C138" s="98"/>
      <c r="F138" s="98"/>
      <c r="G138" s="98"/>
      <c r="H138" s="98"/>
      <c r="I138" s="98"/>
      <c r="J138" s="98"/>
      <c r="K138" s="98"/>
      <c r="L138" s="98"/>
      <c r="M138" s="98"/>
      <c r="N138" s="98"/>
      <c r="O138" s="98"/>
      <c r="P138" s="98"/>
      <c r="Q138" s="98"/>
      <c r="R138" s="98"/>
      <c r="S138" s="98"/>
      <c r="T138" s="98"/>
      <c r="U138" s="98"/>
      <c r="V138" s="98"/>
      <c r="W138" s="98"/>
      <c r="X138" s="98"/>
      <c r="Y138" s="98"/>
      <c r="Z138" s="98"/>
    </row>
    <row r="139" spans="1:26" ht="14.25" customHeight="1">
      <c r="A139" s="98"/>
      <c r="B139" s="98"/>
      <c r="C139" s="98"/>
      <c r="F139" s="98"/>
      <c r="G139" s="98"/>
      <c r="H139" s="98"/>
      <c r="I139" s="98"/>
      <c r="J139" s="98"/>
      <c r="K139" s="98"/>
      <c r="L139" s="98"/>
      <c r="M139" s="98"/>
      <c r="N139" s="98"/>
      <c r="O139" s="98"/>
      <c r="P139" s="98"/>
      <c r="Q139" s="98"/>
      <c r="R139" s="98"/>
      <c r="S139" s="98"/>
      <c r="T139" s="98"/>
      <c r="U139" s="98"/>
      <c r="V139" s="98"/>
      <c r="W139" s="98"/>
      <c r="X139" s="98"/>
      <c r="Y139" s="98"/>
      <c r="Z139" s="98"/>
    </row>
    <row r="140" spans="1:26" ht="14.25" customHeight="1">
      <c r="A140" s="502" t="s">
        <v>253</v>
      </c>
    </row>
    <row r="141" spans="1:26" ht="14.25" customHeight="1"/>
    <row r="142" spans="1:26" ht="14.25" customHeight="1">
      <c r="A142" s="522" t="s">
        <v>602</v>
      </c>
      <c r="B142" s="522"/>
    </row>
    <row r="143" spans="1:26" ht="14.25" customHeight="1">
      <c r="A143" s="524">
        <v>2022</v>
      </c>
      <c r="C143" s="108"/>
    </row>
    <row r="144" spans="1:26" ht="14.25" customHeight="1">
      <c r="A144" s="4" t="s">
        <v>56</v>
      </c>
      <c r="B144" s="222">
        <f>'2022'!N40</f>
        <v>2173.913043478261</v>
      </c>
      <c r="C144" s="108"/>
    </row>
    <row r="145" spans="1:26" ht="14.25" customHeight="1">
      <c r="A145" s="4" t="s">
        <v>12</v>
      </c>
      <c r="B145" s="222">
        <f>'2022'!P40</f>
        <v>5000</v>
      </c>
      <c r="C145" s="108"/>
    </row>
    <row r="146" spans="1:26" ht="14.25" customHeight="1">
      <c r="A146" s="4" t="s">
        <v>13</v>
      </c>
      <c r="B146" s="222">
        <f>'2022'!Q40</f>
        <v>5000</v>
      </c>
      <c r="C146" s="108"/>
    </row>
    <row r="147" spans="1:26" ht="14.25" customHeight="1">
      <c r="A147" s="4" t="s">
        <v>14</v>
      </c>
      <c r="B147" s="222">
        <f>'2022'!R40</f>
        <v>4285.7142857142862</v>
      </c>
      <c r="C147" s="108"/>
    </row>
    <row r="148" spans="1:26" ht="14.25" customHeight="1">
      <c r="A148" s="524">
        <v>2023</v>
      </c>
      <c r="C148" s="108"/>
    </row>
    <row r="149" spans="1:26" ht="14.25" customHeight="1">
      <c r="A149" s="4" t="s">
        <v>49</v>
      </c>
      <c r="B149" s="222">
        <f>'To beDeleted'!I91</f>
        <v>4318.181818181818</v>
      </c>
      <c r="C149" s="108"/>
    </row>
    <row r="150" spans="1:26" ht="14.25" customHeight="1">
      <c r="A150" s="4" t="s">
        <v>50</v>
      </c>
      <c r="B150" s="222">
        <f>'To beDeleted'!J91</f>
        <v>5000</v>
      </c>
      <c r="C150" s="108"/>
    </row>
    <row r="151" spans="1:26" ht="14.25" customHeight="1">
      <c r="A151" s="4" t="s">
        <v>51</v>
      </c>
      <c r="B151" s="222">
        <f>'To beDeleted'!K91</f>
        <v>3500</v>
      </c>
      <c r="C151" s="108"/>
    </row>
    <row r="152" spans="1:26" ht="14.25" customHeight="1">
      <c r="A152" s="4" t="s">
        <v>52</v>
      </c>
      <c r="B152" s="222">
        <f>'To beDeleted'!L91</f>
        <v>4000</v>
      </c>
      <c r="C152" s="108"/>
    </row>
    <row r="153" spans="1:26" ht="14.25" customHeight="1">
      <c r="A153" s="4" t="s">
        <v>53</v>
      </c>
      <c r="B153" s="222">
        <f>'To beDeleted'!M91</f>
        <v>5000</v>
      </c>
      <c r="C153" s="108"/>
    </row>
    <row r="154" spans="1:26" ht="14.25" customHeight="1">
      <c r="A154" s="4" t="s">
        <v>54</v>
      </c>
      <c r="B154" s="222">
        <f>'To beDeleted'!N91</f>
        <v>3409.090909090909</v>
      </c>
      <c r="C154" s="108"/>
    </row>
    <row r="155" spans="1:26" ht="14.25" customHeight="1">
      <c r="A155" s="4" t="s">
        <v>55</v>
      </c>
      <c r="B155" s="222">
        <f>'To beDeleted'!O91</f>
        <v>3000</v>
      </c>
      <c r="C155" s="108"/>
    </row>
    <row r="156" spans="1:26" ht="14.25" customHeight="1">
      <c r="A156" s="4" t="s">
        <v>56</v>
      </c>
      <c r="B156" s="222">
        <f>'To beDeleted'!P91</f>
        <v>4000</v>
      </c>
      <c r="C156" s="108"/>
    </row>
    <row r="157" spans="1:26" ht="14.25" customHeight="1">
      <c r="A157" s="4" t="s">
        <v>57</v>
      </c>
      <c r="B157" s="222">
        <f>'To beDeleted'!Q91</f>
        <v>5000</v>
      </c>
      <c r="C157" s="108"/>
      <c r="D157" s="509"/>
      <c r="E157" s="509"/>
    </row>
    <row r="158" spans="1:26" ht="14.25" customHeight="1">
      <c r="A158" s="525" t="s">
        <v>605</v>
      </c>
      <c r="B158" s="529">
        <f>SUM(B144:B157)</f>
        <v>53686.900056465274</v>
      </c>
      <c r="C158" s="108"/>
    </row>
    <row r="159" spans="1:26" ht="14.25" customHeight="1">
      <c r="A159" s="509"/>
      <c r="B159" s="509"/>
      <c r="C159" s="509"/>
      <c r="F159" s="509"/>
      <c r="G159" s="509"/>
      <c r="H159" s="509"/>
      <c r="I159" s="509"/>
      <c r="J159" s="509"/>
      <c r="K159" s="509"/>
      <c r="L159" s="509"/>
      <c r="M159" s="509"/>
      <c r="N159" s="509"/>
      <c r="O159" s="509"/>
      <c r="P159" s="509"/>
      <c r="Q159" s="509"/>
      <c r="R159" s="509"/>
      <c r="S159" s="509"/>
      <c r="T159" s="509"/>
      <c r="U159" s="509"/>
      <c r="V159" s="509"/>
      <c r="W159" s="509"/>
      <c r="X159" s="509"/>
      <c r="Y159" s="509"/>
      <c r="Z159" s="509"/>
    </row>
    <row r="160" spans="1:26" ht="14.25" customHeight="1">
      <c r="A160" s="502" t="s">
        <v>525</v>
      </c>
    </row>
    <row r="161" spans="1:2" ht="14.25" customHeight="1"/>
    <row r="162" spans="1:2" ht="14.25" customHeight="1">
      <c r="A162" s="1185" t="s">
        <v>606</v>
      </c>
      <c r="B162" s="1182"/>
    </row>
    <row r="163" spans="1:2" ht="14.25" customHeight="1">
      <c r="A163" s="531">
        <v>2022</v>
      </c>
      <c r="B163" s="108"/>
    </row>
    <row r="164" spans="1:2" ht="14.25" customHeight="1">
      <c r="A164" s="27" t="s">
        <v>6</v>
      </c>
      <c r="B164" s="532">
        <v>6666.6666666666697</v>
      </c>
    </row>
    <row r="165" spans="1:2" ht="14.25" customHeight="1">
      <c r="A165" s="27" t="s">
        <v>53</v>
      </c>
      <c r="B165" s="532">
        <v>10000</v>
      </c>
    </row>
    <row r="166" spans="1:2" ht="14.25" customHeight="1">
      <c r="A166" s="27" t="s">
        <v>8</v>
      </c>
      <c r="B166" s="532">
        <v>10000</v>
      </c>
    </row>
    <row r="167" spans="1:2" ht="14.25" customHeight="1">
      <c r="A167" s="27" t="s">
        <v>9</v>
      </c>
      <c r="B167" s="532">
        <v>6000</v>
      </c>
    </row>
    <row r="168" spans="1:2" ht="14.25" customHeight="1">
      <c r="A168" s="27" t="s">
        <v>10</v>
      </c>
      <c r="B168" s="532">
        <v>10000</v>
      </c>
    </row>
    <row r="169" spans="1:2" ht="14.25" customHeight="1">
      <c r="A169" s="27" t="s">
        <v>591</v>
      </c>
      <c r="B169" s="532">
        <v>10000</v>
      </c>
    </row>
    <row r="170" spans="1:2" ht="14.25" customHeight="1">
      <c r="A170" s="27" t="s">
        <v>593</v>
      </c>
      <c r="B170" s="532">
        <v>10000</v>
      </c>
    </row>
    <row r="171" spans="1:2" ht="14.25" customHeight="1">
      <c r="A171" s="27" t="s">
        <v>594</v>
      </c>
      <c r="B171" s="532">
        <v>0</v>
      </c>
    </row>
    <row r="172" spans="1:2" ht="14.25" customHeight="1">
      <c r="A172" s="27" t="s">
        <v>595</v>
      </c>
      <c r="B172" s="532">
        <v>7142.8571428571404</v>
      </c>
    </row>
    <row r="173" spans="1:2" ht="14.25" customHeight="1">
      <c r="A173" s="531">
        <v>2023</v>
      </c>
      <c r="B173" s="533"/>
    </row>
    <row r="174" spans="1:2" ht="14.25" customHeight="1">
      <c r="A174" s="27" t="s">
        <v>49</v>
      </c>
      <c r="B174" s="532">
        <v>5909.0909090909099</v>
      </c>
    </row>
    <row r="175" spans="1:2" ht="14.25" customHeight="1">
      <c r="A175" s="27" t="s">
        <v>50</v>
      </c>
      <c r="B175" s="532">
        <v>10000</v>
      </c>
    </row>
    <row r="176" spans="1:2" ht="14.25" customHeight="1">
      <c r="A176" s="27" t="s">
        <v>51</v>
      </c>
      <c r="B176" s="532">
        <v>10000</v>
      </c>
    </row>
    <row r="177" spans="1:26" ht="14.25" customHeight="1">
      <c r="A177" s="27" t="s">
        <v>52</v>
      </c>
      <c r="B177" s="532">
        <v>5000</v>
      </c>
    </row>
    <row r="178" spans="1:26" ht="14.25" customHeight="1">
      <c r="A178" s="27" t="s">
        <v>53</v>
      </c>
      <c r="B178" s="532">
        <v>5000</v>
      </c>
    </row>
    <row r="179" spans="1:26" ht="14.25" customHeight="1">
      <c r="A179" s="27" t="s">
        <v>54</v>
      </c>
      <c r="B179" s="532">
        <v>7000</v>
      </c>
    </row>
    <row r="180" spans="1:26" ht="14.25" customHeight="1">
      <c r="A180" s="27" t="s">
        <v>55</v>
      </c>
      <c r="B180" s="532">
        <v>6000</v>
      </c>
    </row>
    <row r="181" spans="1:26" ht="14.25" customHeight="1">
      <c r="A181" s="27" t="s">
        <v>56</v>
      </c>
      <c r="B181" s="532">
        <v>6000</v>
      </c>
    </row>
    <row r="182" spans="1:26" ht="14.25" customHeight="1">
      <c r="A182" s="27" t="s">
        <v>57</v>
      </c>
      <c r="B182" s="532">
        <v>5000</v>
      </c>
      <c r="D182" s="509"/>
      <c r="E182" s="509"/>
    </row>
    <row r="183" spans="1:26" ht="14.25" customHeight="1">
      <c r="A183" s="27"/>
      <c r="B183" s="532">
        <v>129718.614718615</v>
      </c>
    </row>
    <row r="184" spans="1:26" ht="14.25" customHeight="1">
      <c r="A184" s="509"/>
      <c r="B184" s="509"/>
      <c r="C184" s="509"/>
      <c r="D184" s="510" t="s">
        <v>608</v>
      </c>
      <c r="F184" s="509"/>
      <c r="G184" s="509"/>
      <c r="H184" s="509"/>
      <c r="I184" s="509"/>
      <c r="J184" s="509"/>
      <c r="K184" s="509"/>
      <c r="L184" s="509"/>
      <c r="M184" s="509"/>
      <c r="N184" s="509"/>
      <c r="O184" s="509"/>
      <c r="P184" s="509"/>
      <c r="Q184" s="509"/>
      <c r="R184" s="509"/>
      <c r="S184" s="509"/>
      <c r="T184" s="509"/>
      <c r="U184" s="509"/>
      <c r="V184" s="509"/>
      <c r="W184" s="509"/>
      <c r="X184" s="509"/>
      <c r="Y184" s="509"/>
      <c r="Z184" s="509"/>
    </row>
    <row r="185" spans="1:26" ht="14.25" customHeight="1">
      <c r="A185" s="502" t="s">
        <v>429</v>
      </c>
      <c r="D185" s="522" t="s">
        <v>610</v>
      </c>
      <c r="E185" s="522"/>
    </row>
    <row r="186" spans="1:26" ht="14.25" customHeight="1">
      <c r="A186" s="108" t="s">
        <v>607</v>
      </c>
      <c r="D186" s="534">
        <v>2022</v>
      </c>
    </row>
    <row r="187" spans="1:26" ht="14.25" customHeight="1">
      <c r="A187" s="1185" t="s">
        <v>609</v>
      </c>
      <c r="B187" s="1182"/>
      <c r="D187" s="25" t="s">
        <v>55</v>
      </c>
      <c r="E187" s="222">
        <v>9000</v>
      </c>
    </row>
    <row r="188" spans="1:26" ht="14.25" customHeight="1">
      <c r="A188" s="527">
        <v>2022</v>
      </c>
      <c r="B188" s="16"/>
      <c r="D188" s="25" t="s">
        <v>56</v>
      </c>
      <c r="E188" s="222">
        <v>9000</v>
      </c>
    </row>
    <row r="189" spans="1:26" ht="14.25" customHeight="1">
      <c r="A189" s="4" t="s">
        <v>55</v>
      </c>
      <c r="B189" s="535">
        <v>4750</v>
      </c>
      <c r="D189" s="25" t="s">
        <v>57</v>
      </c>
      <c r="E189" s="222">
        <v>9000</v>
      </c>
    </row>
    <row r="190" spans="1:26" ht="14.25" customHeight="1">
      <c r="A190" s="4" t="s">
        <v>56</v>
      </c>
      <c r="B190" s="535">
        <v>5000</v>
      </c>
      <c r="D190" s="25" t="s">
        <v>12</v>
      </c>
      <c r="E190" s="222">
        <v>7500</v>
      </c>
    </row>
    <row r="191" spans="1:26" ht="14.25" customHeight="1">
      <c r="A191" s="4" t="s">
        <v>57</v>
      </c>
      <c r="B191" s="535">
        <v>5000</v>
      </c>
      <c r="D191" s="25" t="s">
        <v>13</v>
      </c>
      <c r="E191" s="222">
        <v>5000</v>
      </c>
    </row>
    <row r="192" spans="1:26" ht="14.25" customHeight="1">
      <c r="A192" s="4" t="s">
        <v>12</v>
      </c>
      <c r="B192" s="535">
        <v>5000</v>
      </c>
      <c r="D192" s="25" t="s">
        <v>14</v>
      </c>
      <c r="E192" s="222">
        <v>5000</v>
      </c>
    </row>
    <row r="193" spans="1:26" ht="14.25" customHeight="1">
      <c r="A193" s="4" t="s">
        <v>13</v>
      </c>
      <c r="B193" s="535">
        <v>5000</v>
      </c>
      <c r="D193" s="534">
        <v>2023</v>
      </c>
    </row>
    <row r="194" spans="1:26" ht="14.25" customHeight="1">
      <c r="A194" s="4" t="s">
        <v>14</v>
      </c>
      <c r="B194" s="535">
        <v>5000</v>
      </c>
      <c r="D194" s="25" t="s">
        <v>49</v>
      </c>
      <c r="E194" s="222">
        <v>4500</v>
      </c>
    </row>
    <row r="195" spans="1:26" ht="14.25" customHeight="1">
      <c r="A195" s="527">
        <v>2023</v>
      </c>
      <c r="B195" s="536"/>
      <c r="D195" s="25" t="s">
        <v>50</v>
      </c>
      <c r="E195" s="222">
        <v>7000</v>
      </c>
    </row>
    <row r="196" spans="1:26" ht="14.25" customHeight="1">
      <c r="A196" s="4" t="s">
        <v>49</v>
      </c>
      <c r="B196" s="535">
        <v>4090.9090909090901</v>
      </c>
      <c r="D196" s="25" t="s">
        <v>51</v>
      </c>
      <c r="E196" s="222">
        <v>0</v>
      </c>
    </row>
    <row r="197" spans="1:26" ht="14.25" customHeight="1">
      <c r="A197" s="4" t="s">
        <v>50</v>
      </c>
      <c r="B197" s="535">
        <v>3695.6521739130399</v>
      </c>
      <c r="D197" s="25" t="s">
        <v>52</v>
      </c>
      <c r="E197" s="222">
        <v>0</v>
      </c>
    </row>
    <row r="198" spans="1:26" ht="14.25" customHeight="1">
      <c r="A198" s="4" t="s">
        <v>51</v>
      </c>
      <c r="B198" s="535">
        <v>5000</v>
      </c>
      <c r="D198" s="25" t="s">
        <v>53</v>
      </c>
      <c r="E198" s="222">
        <v>0</v>
      </c>
    </row>
    <row r="199" spans="1:26" ht="14.25" customHeight="1">
      <c r="A199" s="4" t="s">
        <v>52</v>
      </c>
      <c r="B199" s="535">
        <v>5000</v>
      </c>
      <c r="D199" s="25" t="s">
        <v>54</v>
      </c>
      <c r="E199" s="222">
        <v>0</v>
      </c>
    </row>
    <row r="200" spans="1:26" ht="14.25" customHeight="1">
      <c r="A200" s="4" t="s">
        <v>53</v>
      </c>
      <c r="B200" s="535">
        <v>5000</v>
      </c>
      <c r="D200" s="25" t="s">
        <v>55</v>
      </c>
      <c r="E200" s="222">
        <v>0</v>
      </c>
    </row>
    <row r="201" spans="1:26" ht="14.25" customHeight="1">
      <c r="A201" s="4" t="s">
        <v>54</v>
      </c>
      <c r="B201" s="535">
        <v>5000</v>
      </c>
      <c r="D201" s="25" t="s">
        <v>56</v>
      </c>
      <c r="E201" s="222">
        <v>0</v>
      </c>
    </row>
    <row r="202" spans="1:26" ht="14.25" customHeight="1">
      <c r="A202" s="4" t="s">
        <v>55</v>
      </c>
      <c r="B202" s="535">
        <v>0</v>
      </c>
      <c r="D202" s="25" t="s">
        <v>57</v>
      </c>
      <c r="E202" s="222">
        <v>0</v>
      </c>
    </row>
    <row r="203" spans="1:26" ht="14.25" customHeight="1">
      <c r="A203" s="4" t="s">
        <v>56</v>
      </c>
      <c r="B203" s="535">
        <v>2000</v>
      </c>
      <c r="D203" s="525" t="s">
        <v>409</v>
      </c>
      <c r="E203" s="538">
        <f>SUM(E187:E202)</f>
        <v>56000</v>
      </c>
    </row>
    <row r="204" spans="1:26" ht="14.25" customHeight="1">
      <c r="A204" s="4" t="s">
        <v>57</v>
      </c>
      <c r="B204" s="535">
        <v>0</v>
      </c>
      <c r="D204" s="509"/>
      <c r="E204" s="509"/>
    </row>
    <row r="205" spans="1:26" ht="14.25" customHeight="1">
      <c r="A205" s="530" t="s">
        <v>409</v>
      </c>
      <c r="B205" s="537">
        <f>SUM(B189:B204)</f>
        <v>59536.561264822129</v>
      </c>
    </row>
    <row r="206" spans="1:26" ht="14.25" customHeight="1">
      <c r="A206" s="539"/>
      <c r="B206" s="509"/>
      <c r="C206" s="509"/>
      <c r="F206" s="509"/>
      <c r="G206" s="509"/>
      <c r="H206" s="509"/>
      <c r="I206" s="509"/>
      <c r="J206" s="509"/>
      <c r="K206" s="509"/>
      <c r="L206" s="509"/>
      <c r="M206" s="509"/>
      <c r="N206" s="509"/>
      <c r="O206" s="509"/>
      <c r="P206" s="509"/>
      <c r="Q206" s="509"/>
      <c r="R206" s="509"/>
      <c r="S206" s="509"/>
      <c r="T206" s="509"/>
      <c r="U206" s="509"/>
      <c r="V206" s="509"/>
      <c r="W206" s="509"/>
      <c r="X206" s="509"/>
      <c r="Y206" s="509"/>
      <c r="Z206" s="509"/>
    </row>
    <row r="207" spans="1:26" ht="14.25" customHeight="1">
      <c r="A207" s="502" t="s">
        <v>611</v>
      </c>
    </row>
    <row r="208" spans="1:26" ht="14.25" customHeight="1"/>
    <row r="209" spans="1:5" ht="14.25" customHeight="1">
      <c r="A209" s="522" t="s">
        <v>610</v>
      </c>
      <c r="B209" s="522"/>
    </row>
    <row r="210" spans="1:5" ht="14.25" customHeight="1">
      <c r="A210" s="534">
        <v>2022</v>
      </c>
      <c r="B210" s="25"/>
    </row>
    <row r="211" spans="1:5" ht="14.25" customHeight="1">
      <c r="A211" s="25" t="s">
        <v>57</v>
      </c>
      <c r="B211" s="222">
        <v>2727.2727272727302</v>
      </c>
    </row>
    <row r="212" spans="1:5" ht="14.25" customHeight="1">
      <c r="A212" s="25" t="s">
        <v>12</v>
      </c>
      <c r="B212" s="222">
        <v>4000</v>
      </c>
    </row>
    <row r="213" spans="1:5" ht="14.25" customHeight="1">
      <c r="A213" s="25" t="s">
        <v>13</v>
      </c>
      <c r="B213" s="222">
        <v>5000</v>
      </c>
    </row>
    <row r="214" spans="1:5" ht="14.25" customHeight="1">
      <c r="A214" s="25" t="s">
        <v>14</v>
      </c>
      <c r="B214" s="222">
        <v>5000</v>
      </c>
    </row>
    <row r="215" spans="1:5" ht="14.25" customHeight="1">
      <c r="A215" s="534">
        <v>2023</v>
      </c>
      <c r="B215" s="222"/>
    </row>
    <row r="216" spans="1:5" ht="14.25" customHeight="1">
      <c r="A216" s="25" t="s">
        <v>49</v>
      </c>
      <c r="B216" s="222">
        <v>5000</v>
      </c>
    </row>
    <row r="217" spans="1:5" ht="14.25" customHeight="1">
      <c r="A217" s="25" t="s">
        <v>50</v>
      </c>
      <c r="B217" s="222">
        <v>2000</v>
      </c>
    </row>
    <row r="218" spans="1:5" ht="14.25" customHeight="1">
      <c r="A218" s="25" t="s">
        <v>51</v>
      </c>
      <c r="B218" s="222">
        <v>6000</v>
      </c>
    </row>
    <row r="219" spans="1:5" ht="14.25" customHeight="1">
      <c r="A219" s="25" t="s">
        <v>52</v>
      </c>
      <c r="B219" s="222">
        <v>5000</v>
      </c>
    </row>
    <row r="220" spans="1:5" ht="14.25" customHeight="1">
      <c r="A220" s="25" t="s">
        <v>53</v>
      </c>
      <c r="B220" s="222">
        <v>0</v>
      </c>
    </row>
    <row r="221" spans="1:5" ht="14.25" customHeight="1">
      <c r="A221" s="25" t="s">
        <v>54</v>
      </c>
      <c r="B221" s="222">
        <v>5000</v>
      </c>
    </row>
    <row r="222" spans="1:5" ht="14.25" customHeight="1">
      <c r="A222" s="25" t="s">
        <v>55</v>
      </c>
      <c r="B222" s="222">
        <v>4000</v>
      </c>
    </row>
    <row r="223" spans="1:5" ht="14.25" customHeight="1">
      <c r="A223" s="25" t="s">
        <v>56</v>
      </c>
      <c r="B223" s="222">
        <v>2696</v>
      </c>
    </row>
    <row r="224" spans="1:5" ht="14.25" customHeight="1">
      <c r="A224" s="25" t="s">
        <v>57</v>
      </c>
      <c r="B224" s="222">
        <v>10000</v>
      </c>
      <c r="D224" s="509"/>
      <c r="E224" s="509"/>
    </row>
    <row r="225" spans="1:26" ht="14.25" customHeight="1">
      <c r="A225" s="525" t="s">
        <v>409</v>
      </c>
      <c r="B225" s="538">
        <f>SUM(B211:B224)</f>
        <v>56423.272727272728</v>
      </c>
    </row>
    <row r="226" spans="1:26" ht="14.25" customHeight="1">
      <c r="A226" s="539"/>
      <c r="B226" s="509"/>
      <c r="C226" s="509"/>
      <c r="F226" s="509"/>
      <c r="G226" s="509"/>
      <c r="H226" s="509"/>
      <c r="I226" s="509"/>
      <c r="J226" s="509"/>
      <c r="K226" s="509"/>
      <c r="L226" s="509"/>
      <c r="M226" s="509"/>
      <c r="N226" s="509"/>
      <c r="O226" s="509"/>
      <c r="P226" s="509"/>
      <c r="Q226" s="509"/>
      <c r="R226" s="509"/>
      <c r="S226" s="509"/>
      <c r="T226" s="509"/>
      <c r="U226" s="509"/>
      <c r="V226" s="509"/>
      <c r="W226" s="509"/>
      <c r="X226" s="509"/>
      <c r="Y226" s="509"/>
      <c r="Z226" s="509"/>
    </row>
    <row r="227" spans="1:26" ht="14.25" customHeight="1">
      <c r="A227" s="502" t="s">
        <v>612</v>
      </c>
    </row>
    <row r="228" spans="1:26" ht="14.25" customHeight="1"/>
    <row r="229" spans="1:26" ht="14.25" customHeight="1">
      <c r="A229" s="522" t="s">
        <v>602</v>
      </c>
      <c r="B229" s="522"/>
    </row>
    <row r="230" spans="1:26" ht="14.25" customHeight="1"/>
    <row r="231" spans="1:26" ht="14.25" customHeight="1">
      <c r="A231" s="524">
        <v>2022</v>
      </c>
      <c r="B231" s="25"/>
    </row>
    <row r="232" spans="1:26" ht="14.25" customHeight="1">
      <c r="A232" s="25" t="s">
        <v>12</v>
      </c>
      <c r="B232" s="222">
        <f>'2022'!P19</f>
        <v>3428.5714285714284</v>
      </c>
    </row>
    <row r="233" spans="1:26" ht="14.25" customHeight="1">
      <c r="A233" s="25" t="s">
        <v>13</v>
      </c>
      <c r="B233" s="222">
        <f>'2022'!Q19</f>
        <v>6000</v>
      </c>
    </row>
    <row r="234" spans="1:26" ht="14.25" customHeight="1">
      <c r="A234" s="25" t="s">
        <v>14</v>
      </c>
      <c r="B234" s="222">
        <f>'2022'!R19</f>
        <v>6000</v>
      </c>
    </row>
    <row r="235" spans="1:26" ht="14.25" customHeight="1">
      <c r="A235" s="524">
        <v>2023</v>
      </c>
      <c r="B235" s="222"/>
    </row>
    <row r="236" spans="1:26" ht="14.25" customHeight="1">
      <c r="A236" s="25" t="s">
        <v>49</v>
      </c>
      <c r="B236" s="222">
        <f>'2023'!I21</f>
        <v>6000</v>
      </c>
    </row>
    <row r="237" spans="1:26" ht="14.25" customHeight="1">
      <c r="A237" s="25" t="s">
        <v>50</v>
      </c>
      <c r="B237" s="222">
        <f>'2023'!J21</f>
        <v>3652.1739130434785</v>
      </c>
    </row>
    <row r="238" spans="1:26" ht="14.25" customHeight="1">
      <c r="A238" s="25" t="s">
        <v>51</v>
      </c>
      <c r="B238" s="222">
        <f>'2023'!K21</f>
        <v>6000</v>
      </c>
    </row>
    <row r="239" spans="1:26" ht="14.25" customHeight="1">
      <c r="A239" s="25" t="s">
        <v>52</v>
      </c>
      <c r="B239" s="222">
        <f>'2023'!L21</f>
        <v>6000</v>
      </c>
    </row>
    <row r="240" spans="1:26" ht="14.25" customHeight="1">
      <c r="A240" s="25" t="s">
        <v>53</v>
      </c>
      <c r="B240" s="222">
        <f>'2023'!M21</f>
        <v>6000</v>
      </c>
    </row>
    <row r="241" spans="1:26" ht="14.25" customHeight="1">
      <c r="A241" s="25" t="s">
        <v>54</v>
      </c>
      <c r="B241" s="222">
        <f>'2023'!N21</f>
        <v>6000</v>
      </c>
    </row>
    <row r="242" spans="1:26" ht="14.25" customHeight="1">
      <c r="A242" s="25" t="s">
        <v>55</v>
      </c>
      <c r="B242" s="222">
        <f>'2023'!O21</f>
        <v>6000</v>
      </c>
    </row>
    <row r="243" spans="1:26" ht="14.25" customHeight="1">
      <c r="A243" s="25" t="s">
        <v>56</v>
      </c>
      <c r="B243" s="222">
        <f>'2023'!P21</f>
        <v>6000</v>
      </c>
    </row>
    <row r="244" spans="1:26" ht="14.25" customHeight="1">
      <c r="A244" s="25" t="s">
        <v>57</v>
      </c>
      <c r="B244" s="222">
        <f>'2023'!Q21</f>
        <v>6000</v>
      </c>
    </row>
    <row r="245" spans="1:26" ht="14.25" customHeight="1">
      <c r="A245" s="525" t="s">
        <v>613</v>
      </c>
      <c r="B245" s="538">
        <f>SUM(B232:B244)</f>
        <v>67080.745341614907</v>
      </c>
    </row>
    <row r="246" spans="1:26" ht="14.25" customHeight="1">
      <c r="D246" s="509"/>
      <c r="E246" s="509"/>
    </row>
    <row r="247" spans="1:26" ht="30" customHeight="1">
      <c r="A247" s="540" t="s">
        <v>614</v>
      </c>
      <c r="B247" s="541">
        <f>B245/2</f>
        <v>33540.372670807454</v>
      </c>
    </row>
    <row r="248" spans="1:26" ht="14.25" customHeight="1">
      <c r="A248" s="539"/>
      <c r="B248" s="509"/>
      <c r="C248" s="509"/>
      <c r="F248" s="509"/>
      <c r="G248" s="509"/>
      <c r="H248" s="509"/>
      <c r="I248" s="509"/>
      <c r="J248" s="509"/>
      <c r="K248" s="509"/>
      <c r="L248" s="509"/>
      <c r="M248" s="509"/>
      <c r="N248" s="509"/>
      <c r="O248" s="509"/>
      <c r="P248" s="509"/>
      <c r="Q248" s="509"/>
      <c r="R248" s="509"/>
      <c r="S248" s="509"/>
      <c r="T248" s="509"/>
      <c r="U248" s="509"/>
      <c r="V248" s="509"/>
      <c r="W248" s="509"/>
      <c r="X248" s="509"/>
      <c r="Y248" s="509"/>
      <c r="Z248" s="509"/>
    </row>
    <row r="249" spans="1:26" ht="14.25" customHeight="1">
      <c r="A249" s="502" t="s">
        <v>250</v>
      </c>
    </row>
    <row r="250" spans="1:26" ht="14.25" customHeight="1"/>
    <row r="251" spans="1:26" ht="14.25" customHeight="1">
      <c r="A251" s="522" t="s">
        <v>602</v>
      </c>
      <c r="B251" s="522"/>
    </row>
    <row r="252" spans="1:26" ht="14.25" customHeight="1"/>
    <row r="253" spans="1:26" ht="14.25" customHeight="1">
      <c r="A253" s="524">
        <v>2022</v>
      </c>
      <c r="B253" s="25"/>
    </row>
    <row r="254" spans="1:26" ht="14.25" customHeight="1">
      <c r="A254" s="25" t="s">
        <v>12</v>
      </c>
      <c r="B254" s="222">
        <f>'2022'!P51</f>
        <v>2000</v>
      </c>
    </row>
    <row r="255" spans="1:26" ht="14.25" customHeight="1">
      <c r="A255" s="25" t="s">
        <v>13</v>
      </c>
      <c r="B255" s="222">
        <f>'2022'!Q51</f>
        <v>5500</v>
      </c>
    </row>
    <row r="256" spans="1:26" ht="14.25" customHeight="1">
      <c r="A256" s="25" t="s">
        <v>14</v>
      </c>
      <c r="B256" s="222">
        <f>'2022'!R51</f>
        <v>4571.4285714285716</v>
      </c>
    </row>
    <row r="257" spans="1:26" ht="14.25" customHeight="1">
      <c r="A257" s="524">
        <v>2023</v>
      </c>
      <c r="B257" s="222"/>
    </row>
    <row r="258" spans="1:26" ht="14.25" customHeight="1">
      <c r="A258" s="25" t="s">
        <v>49</v>
      </c>
      <c r="B258" s="222">
        <f>'2023'!I37</f>
        <v>0</v>
      </c>
    </row>
    <row r="259" spans="1:26" ht="14.25" customHeight="1">
      <c r="A259" s="25" t="s">
        <v>50</v>
      </c>
      <c r="B259" s="222">
        <f>'2023'!J37</f>
        <v>3000</v>
      </c>
    </row>
    <row r="260" spans="1:26" ht="14.25" customHeight="1">
      <c r="A260" s="25" t="s">
        <v>51</v>
      </c>
      <c r="B260" s="222">
        <f>'2023'!K37</f>
        <v>0</v>
      </c>
    </row>
    <row r="261" spans="1:26" ht="14.25" customHeight="1">
      <c r="A261" s="25" t="s">
        <v>52</v>
      </c>
      <c r="B261" s="222">
        <f>'2023'!L37</f>
        <v>0</v>
      </c>
    </row>
    <row r="262" spans="1:26" ht="14.25" customHeight="1">
      <c r="A262" s="25" t="s">
        <v>53</v>
      </c>
      <c r="B262" s="222">
        <f>'2023'!M37</f>
        <v>0</v>
      </c>
    </row>
    <row r="263" spans="1:26" ht="14.25" customHeight="1">
      <c r="A263" s="25" t="s">
        <v>54</v>
      </c>
      <c r="B263" s="222">
        <f>'2023'!N37</f>
        <v>2000</v>
      </c>
    </row>
    <row r="264" spans="1:26" ht="14.25" customHeight="1">
      <c r="A264" s="25" t="s">
        <v>55</v>
      </c>
      <c r="B264" s="222">
        <f>'2023'!O37</f>
        <v>0</v>
      </c>
    </row>
    <row r="265" spans="1:26" ht="14.25" customHeight="1">
      <c r="A265" s="25" t="s">
        <v>56</v>
      </c>
      <c r="B265" s="222">
        <f>'2023'!P37</f>
        <v>3000</v>
      </c>
    </row>
    <row r="266" spans="1:26" ht="14.25" customHeight="1">
      <c r="A266" s="25" t="s">
        <v>57</v>
      </c>
      <c r="B266" s="222">
        <f>'2023'!Q37</f>
        <v>0</v>
      </c>
      <c r="D266" s="509"/>
      <c r="E266" s="509"/>
    </row>
    <row r="267" spans="1:26" ht="14.25" customHeight="1">
      <c r="A267" s="525" t="s">
        <v>613</v>
      </c>
      <c r="B267" s="538">
        <f>SUM(B254:B266)</f>
        <v>20071.428571428572</v>
      </c>
    </row>
    <row r="268" spans="1:26" ht="14.25" customHeight="1">
      <c r="A268" s="539"/>
      <c r="B268" s="509"/>
      <c r="C268" s="509"/>
      <c r="F268" s="509"/>
      <c r="G268" s="509"/>
      <c r="H268" s="509"/>
      <c r="I268" s="509"/>
      <c r="J268" s="509"/>
      <c r="K268" s="509"/>
      <c r="L268" s="509"/>
      <c r="M268" s="509"/>
      <c r="N268" s="509"/>
      <c r="O268" s="509"/>
      <c r="P268" s="509"/>
      <c r="Q268" s="509"/>
      <c r="R268" s="509"/>
      <c r="S268" s="509"/>
      <c r="T268" s="509"/>
      <c r="U268" s="509"/>
      <c r="V268" s="509"/>
      <c r="W268" s="509"/>
      <c r="X268" s="509"/>
      <c r="Y268" s="509"/>
      <c r="Z268" s="509"/>
    </row>
    <row r="269" spans="1:26" ht="14.25" customHeight="1">
      <c r="A269" s="502" t="s">
        <v>615</v>
      </c>
    </row>
    <row r="270" spans="1:26" ht="14.25" customHeight="1"/>
    <row r="271" spans="1:26" ht="14.25" customHeight="1">
      <c r="A271" s="522" t="s">
        <v>616</v>
      </c>
      <c r="B271" s="522"/>
    </row>
    <row r="272" spans="1:26" ht="14.25" customHeight="1">
      <c r="A272" s="108"/>
      <c r="B272" s="108"/>
    </row>
    <row r="273" spans="1:5" ht="14.25" customHeight="1">
      <c r="A273" s="524">
        <v>2022</v>
      </c>
      <c r="B273" s="25"/>
    </row>
    <row r="274" spans="1:5" ht="14.25" customHeight="1">
      <c r="A274" s="4" t="s">
        <v>57</v>
      </c>
      <c r="B274" s="222">
        <f>'2022'!O7</f>
        <v>5000</v>
      </c>
    </row>
    <row r="275" spans="1:5" ht="14.25" customHeight="1">
      <c r="A275" s="4" t="s">
        <v>12</v>
      </c>
      <c r="B275" s="222">
        <f>'2022'!P7</f>
        <v>5000</v>
      </c>
    </row>
    <row r="276" spans="1:5" ht="14.25" customHeight="1">
      <c r="A276" s="4" t="s">
        <v>13</v>
      </c>
      <c r="B276" s="222">
        <f>'2022'!Q7</f>
        <v>4130.434782608696</v>
      </c>
    </row>
    <row r="277" spans="1:5" ht="14.25" customHeight="1">
      <c r="A277" s="4" t="s">
        <v>14</v>
      </c>
      <c r="B277" s="222">
        <f>'2022'!R7</f>
        <v>0</v>
      </c>
    </row>
    <row r="278" spans="1:5" ht="14.25" customHeight="1">
      <c r="A278" s="524">
        <v>2023</v>
      </c>
      <c r="B278" s="222"/>
    </row>
    <row r="279" spans="1:5" ht="14.25" customHeight="1">
      <c r="A279" s="4" t="s">
        <v>49</v>
      </c>
      <c r="B279" s="222">
        <f>'2023'!I8</f>
        <v>0</v>
      </c>
    </row>
    <row r="280" spans="1:5" ht="14.25" customHeight="1">
      <c r="A280" s="4" t="s">
        <v>50</v>
      </c>
      <c r="B280" s="222">
        <f>'2023'!J8</f>
        <v>5000</v>
      </c>
    </row>
    <row r="281" spans="1:5" ht="14.25" customHeight="1">
      <c r="A281" s="4" t="s">
        <v>51</v>
      </c>
      <c r="B281" s="222">
        <f>'2023'!K8</f>
        <v>5000</v>
      </c>
    </row>
    <row r="282" spans="1:5" ht="14.25" customHeight="1">
      <c r="A282" s="4" t="s">
        <v>52</v>
      </c>
      <c r="B282" s="222">
        <f>'2023'!L8</f>
        <v>5000</v>
      </c>
    </row>
    <row r="283" spans="1:5" ht="14.25" customHeight="1">
      <c r="A283" s="4" t="s">
        <v>53</v>
      </c>
      <c r="B283" s="222">
        <f>'2023'!M8</f>
        <v>0</v>
      </c>
    </row>
    <row r="284" spans="1:5" ht="14.25" customHeight="1">
      <c r="A284" s="4" t="s">
        <v>54</v>
      </c>
      <c r="B284" s="222">
        <f>'2023'!N8</f>
        <v>5000</v>
      </c>
    </row>
    <row r="285" spans="1:5" ht="14.25" customHeight="1">
      <c r="A285" s="4" t="s">
        <v>55</v>
      </c>
      <c r="B285" s="222">
        <f>'2023'!O8</f>
        <v>5000</v>
      </c>
    </row>
    <row r="286" spans="1:5" ht="14.25" customHeight="1">
      <c r="A286" s="4" t="s">
        <v>56</v>
      </c>
      <c r="B286" s="222">
        <f>'2023'!P8</f>
        <v>5000</v>
      </c>
    </row>
    <row r="287" spans="1:5" ht="14.25" customHeight="1">
      <c r="A287" s="4" t="s">
        <v>57</v>
      </c>
      <c r="B287" s="222">
        <f>'2023'!Q8</f>
        <v>5000</v>
      </c>
      <c r="D287" s="509"/>
      <c r="E287" s="509"/>
    </row>
    <row r="288" spans="1:5" ht="14.25" customHeight="1">
      <c r="A288" s="525" t="s">
        <v>409</v>
      </c>
      <c r="B288" s="538">
        <f>SUM(B274:B287)</f>
        <v>49130.434782608696</v>
      </c>
    </row>
    <row r="289" spans="1:26" ht="14.25" customHeight="1">
      <c r="A289" s="542"/>
      <c r="B289" s="509"/>
      <c r="C289" s="509"/>
      <c r="F289" s="509"/>
      <c r="G289" s="509"/>
      <c r="H289" s="509"/>
      <c r="I289" s="509"/>
      <c r="J289" s="509"/>
      <c r="K289" s="509"/>
      <c r="L289" s="509"/>
      <c r="M289" s="509"/>
      <c r="N289" s="509"/>
      <c r="O289" s="509"/>
      <c r="P289" s="509"/>
      <c r="Q289" s="509"/>
      <c r="R289" s="509"/>
      <c r="S289" s="509"/>
      <c r="T289" s="509"/>
      <c r="U289" s="509"/>
      <c r="V289" s="509"/>
      <c r="W289" s="509"/>
      <c r="X289" s="509"/>
      <c r="Y289" s="509"/>
      <c r="Z289" s="509"/>
    </row>
    <row r="290" spans="1:26" ht="14.25" customHeight="1">
      <c r="A290" s="502" t="s">
        <v>597</v>
      </c>
    </row>
    <row r="291" spans="1:26" ht="14.25" customHeight="1">
      <c r="A291" s="502"/>
    </row>
    <row r="292" spans="1:26" ht="14.25" customHeight="1">
      <c r="A292" s="522" t="s">
        <v>617</v>
      </c>
      <c r="B292" s="522"/>
    </row>
    <row r="293" spans="1:26" ht="14.25" customHeight="1"/>
    <row r="294" spans="1:26" ht="14.25" customHeight="1">
      <c r="A294" s="524">
        <v>2022</v>
      </c>
      <c r="B294" s="25"/>
    </row>
    <row r="295" spans="1:26" ht="14.25" customHeight="1">
      <c r="A295" s="4" t="s">
        <v>57</v>
      </c>
      <c r="B295" s="222">
        <v>3000</v>
      </c>
    </row>
    <row r="296" spans="1:26" ht="14.25" customHeight="1">
      <c r="A296" s="4" t="s">
        <v>12</v>
      </c>
      <c r="B296" s="222">
        <v>7619</v>
      </c>
    </row>
    <row r="297" spans="1:26" ht="14.25" customHeight="1">
      <c r="A297" s="4" t="s">
        <v>13</v>
      </c>
      <c r="B297" s="269" t="s">
        <v>581</v>
      </c>
    </row>
    <row r="298" spans="1:26" ht="14.25" customHeight="1">
      <c r="A298" s="4" t="s">
        <v>14</v>
      </c>
      <c r="B298" s="269" t="s">
        <v>581</v>
      </c>
    </row>
    <row r="299" spans="1:26" ht="14.25" customHeight="1">
      <c r="A299" s="524">
        <v>2023</v>
      </c>
      <c r="B299" s="222"/>
    </row>
    <row r="300" spans="1:26" ht="14.25" customHeight="1">
      <c r="A300" s="4" t="s">
        <v>49</v>
      </c>
      <c r="B300" s="543" t="s">
        <v>581</v>
      </c>
    </row>
    <row r="301" spans="1:26" ht="14.25" customHeight="1">
      <c r="A301" s="4" t="s">
        <v>50</v>
      </c>
      <c r="B301" s="543" t="s">
        <v>581</v>
      </c>
    </row>
    <row r="302" spans="1:26" ht="14.25" customHeight="1">
      <c r="A302" s="4" t="s">
        <v>51</v>
      </c>
      <c r="B302" s="543" t="s">
        <v>581</v>
      </c>
    </row>
    <row r="303" spans="1:26" ht="14.25" customHeight="1">
      <c r="A303" s="4" t="s">
        <v>52</v>
      </c>
      <c r="B303" s="222">
        <v>10000</v>
      </c>
    </row>
    <row r="304" spans="1:26" ht="14.25" customHeight="1">
      <c r="A304" s="4" t="s">
        <v>53</v>
      </c>
      <c r="B304" s="222">
        <v>10000</v>
      </c>
    </row>
    <row r="305" spans="1:26" ht="14.25" customHeight="1">
      <c r="A305" s="4" t="s">
        <v>54</v>
      </c>
      <c r="B305" s="222">
        <v>10000</v>
      </c>
    </row>
    <row r="306" spans="1:26" ht="14.25" customHeight="1">
      <c r="A306" s="4" t="s">
        <v>55</v>
      </c>
      <c r="B306" s="222">
        <v>5714</v>
      </c>
    </row>
    <row r="307" spans="1:26" ht="14.25" customHeight="1">
      <c r="A307" s="4" t="s">
        <v>56</v>
      </c>
      <c r="B307" s="222">
        <v>10000</v>
      </c>
    </row>
    <row r="308" spans="1:26" ht="14.25" customHeight="1">
      <c r="A308" s="4" t="s">
        <v>57</v>
      </c>
      <c r="B308" s="222">
        <v>2000</v>
      </c>
    </row>
    <row r="309" spans="1:26" ht="14.25" customHeight="1">
      <c r="A309" s="4" t="s">
        <v>12</v>
      </c>
      <c r="B309" s="222">
        <v>2000</v>
      </c>
      <c r="D309" s="509"/>
      <c r="E309" s="509"/>
    </row>
    <row r="310" spans="1:26" ht="14.25" customHeight="1">
      <c r="A310" s="525" t="s">
        <v>409</v>
      </c>
      <c r="B310" s="538">
        <f>SUM(B295:B309)</f>
        <v>60333</v>
      </c>
    </row>
    <row r="311" spans="1:26" ht="14.25" customHeight="1">
      <c r="A311" s="542"/>
      <c r="B311" s="509"/>
      <c r="C311" s="509"/>
      <c r="F311" s="509"/>
      <c r="G311" s="509"/>
      <c r="H311" s="509"/>
      <c r="I311" s="509"/>
      <c r="J311" s="509"/>
      <c r="K311" s="509"/>
      <c r="L311" s="509"/>
      <c r="M311" s="509"/>
      <c r="N311" s="509"/>
      <c r="O311" s="509"/>
      <c r="P311" s="509"/>
      <c r="Q311" s="509"/>
      <c r="R311" s="509"/>
      <c r="S311" s="509"/>
      <c r="T311" s="509"/>
      <c r="U311" s="509"/>
      <c r="V311" s="509"/>
      <c r="W311" s="509"/>
      <c r="X311" s="509"/>
      <c r="Y311" s="509"/>
      <c r="Z311" s="509"/>
    </row>
    <row r="312" spans="1:26" ht="14.25" customHeight="1">
      <c r="A312" s="502" t="s">
        <v>162</v>
      </c>
      <c r="D312" s="545"/>
      <c r="E312" s="545"/>
    </row>
    <row r="313" spans="1:26" ht="14.25" customHeight="1">
      <c r="A313" s="502"/>
      <c r="H313" s="544"/>
      <c r="I313" s="551"/>
      <c r="J313" s="551"/>
      <c r="K313" s="552"/>
    </row>
    <row r="314" spans="1:26" ht="14.25" customHeight="1">
      <c r="A314" s="545" t="s">
        <v>618</v>
      </c>
      <c r="B314" s="545"/>
      <c r="C314" s="545"/>
      <c r="D314" s="25"/>
      <c r="E314" s="547">
        <v>2023</v>
      </c>
      <c r="H314" s="546"/>
      <c r="I314" s="538" t="s">
        <v>418</v>
      </c>
      <c r="K314" s="553"/>
    </row>
    <row r="315" spans="1:26" ht="14.25" customHeight="1">
      <c r="D315" s="18">
        <f>'2022'!G35</f>
        <v>5000</v>
      </c>
      <c r="E315" s="548" t="s">
        <v>49</v>
      </c>
      <c r="H315" s="546"/>
      <c r="I315" s="554">
        <v>2022</v>
      </c>
      <c r="K315" s="553"/>
    </row>
    <row r="316" spans="1:26" ht="14.25" customHeight="1">
      <c r="A316" s="547">
        <v>2021</v>
      </c>
      <c r="B316" s="25"/>
      <c r="C316" s="547">
        <v>2022</v>
      </c>
      <c r="D316" s="18">
        <f>'2022'!H35</f>
        <v>5000</v>
      </c>
      <c r="E316" s="548" t="s">
        <v>50</v>
      </c>
      <c r="F316" s="25"/>
      <c r="H316" s="546"/>
      <c r="I316" s="510" t="s">
        <v>6</v>
      </c>
      <c r="J316" s="555">
        <v>9000</v>
      </c>
      <c r="K316" s="553"/>
    </row>
    <row r="317" spans="1:26" ht="14.25" customHeight="1">
      <c r="A317" s="548" t="s">
        <v>49</v>
      </c>
      <c r="B317" s="4" t="str">
        <f>'2021'!G41</f>
        <v>NA</v>
      </c>
      <c r="C317" s="548" t="s">
        <v>49</v>
      </c>
      <c r="D317" s="18">
        <f>'2022'!I35</f>
        <v>5000</v>
      </c>
      <c r="E317" s="548" t="s">
        <v>51</v>
      </c>
      <c r="F317" s="549">
        <f>'2023'!I42</f>
        <v>10000</v>
      </c>
      <c r="H317" s="546"/>
      <c r="I317" s="510" t="s">
        <v>53</v>
      </c>
      <c r="J317" s="555">
        <v>9000</v>
      </c>
      <c r="K317" s="553"/>
    </row>
    <row r="318" spans="1:26" ht="14.25" customHeight="1">
      <c r="A318" s="548" t="s">
        <v>50</v>
      </c>
      <c r="B318" s="4" t="str">
        <f>'2021'!H41</f>
        <v>NA</v>
      </c>
      <c r="C318" s="548" t="s">
        <v>50</v>
      </c>
      <c r="D318" s="18">
        <f>'2022'!J35</f>
        <v>5000</v>
      </c>
      <c r="E318" s="548" t="s">
        <v>52</v>
      </c>
      <c r="F318" s="549">
        <f>'2023'!J42</f>
        <v>10000</v>
      </c>
      <c r="H318" s="546"/>
      <c r="I318" s="510" t="s">
        <v>8</v>
      </c>
      <c r="J318" s="555">
        <v>9000</v>
      </c>
      <c r="K318" s="553"/>
    </row>
    <row r="319" spans="1:26" ht="14.25" customHeight="1">
      <c r="A319" s="548" t="s">
        <v>51</v>
      </c>
      <c r="B319" s="4" t="str">
        <f>'2021'!I41</f>
        <v>NA</v>
      </c>
      <c r="C319" s="548" t="s">
        <v>51</v>
      </c>
      <c r="D319" s="18">
        <f>'2022'!K35</f>
        <v>5000</v>
      </c>
      <c r="E319" s="548" t="s">
        <v>53</v>
      </c>
      <c r="F319" s="549">
        <f>'2023'!K42</f>
        <v>10000</v>
      </c>
      <c r="H319" s="546"/>
      <c r="I319" s="510" t="s">
        <v>9</v>
      </c>
      <c r="J319" s="556">
        <v>9000</v>
      </c>
      <c r="K319" s="553"/>
    </row>
    <row r="320" spans="1:26" ht="14.25" customHeight="1">
      <c r="A320" s="548" t="s">
        <v>52</v>
      </c>
      <c r="B320" s="4" t="str">
        <f>'2021'!J41</f>
        <v>NA</v>
      </c>
      <c r="C320" s="548" t="s">
        <v>52</v>
      </c>
      <c r="D320" s="549">
        <f>'2022'!L35</f>
        <v>5000</v>
      </c>
      <c r="E320" s="548" t="s">
        <v>54</v>
      </c>
      <c r="F320" s="549">
        <f>'2023'!L42</f>
        <v>10000</v>
      </c>
      <c r="H320" s="546"/>
      <c r="I320" s="510" t="s">
        <v>10</v>
      </c>
      <c r="J320" s="556">
        <v>9000</v>
      </c>
      <c r="K320" s="553"/>
    </row>
    <row r="321" spans="1:26" ht="14.25" customHeight="1">
      <c r="A321" s="548" t="s">
        <v>53</v>
      </c>
      <c r="B321" s="4">
        <f>'2021'!K41</f>
        <v>6000</v>
      </c>
      <c r="C321" s="548" t="s">
        <v>53</v>
      </c>
      <c r="D321" s="549">
        <f>'2022'!M35</f>
        <v>5000</v>
      </c>
      <c r="E321" s="548" t="s">
        <v>55</v>
      </c>
      <c r="F321" s="549">
        <f>'2023'!M42</f>
        <v>10000</v>
      </c>
      <c r="H321" s="546"/>
      <c r="I321" s="510" t="s">
        <v>591</v>
      </c>
      <c r="J321" s="556">
        <v>9000</v>
      </c>
      <c r="K321" s="553"/>
    </row>
    <row r="322" spans="1:26" ht="14.25" customHeight="1">
      <c r="A322" s="548" t="s">
        <v>54</v>
      </c>
      <c r="B322" s="4">
        <f>'2021'!L41</f>
        <v>6000</v>
      </c>
      <c r="C322" s="548" t="s">
        <v>54</v>
      </c>
      <c r="D322" s="549">
        <f>'2022'!N35</f>
        <v>5000</v>
      </c>
      <c r="E322" s="548" t="s">
        <v>56</v>
      </c>
      <c r="F322" s="549">
        <f>'2023'!N42</f>
        <v>10000</v>
      </c>
      <c r="H322" s="550"/>
      <c r="I322" s="557"/>
      <c r="J322" s="557"/>
      <c r="K322" s="558"/>
    </row>
    <row r="323" spans="1:26" ht="14.25" customHeight="1">
      <c r="A323" s="548" t="s">
        <v>55</v>
      </c>
      <c r="B323" s="559">
        <f>'2021'!M41</f>
        <v>6000</v>
      </c>
      <c r="C323" s="548" t="s">
        <v>55</v>
      </c>
      <c r="D323" s="549">
        <f>'2022'!O35</f>
        <v>10000</v>
      </c>
      <c r="E323" s="548" t="s">
        <v>57</v>
      </c>
      <c r="F323" s="549">
        <f>'2023'!O42</f>
        <v>10000</v>
      </c>
    </row>
    <row r="324" spans="1:26" ht="14.25" customHeight="1">
      <c r="A324" s="548" t="s">
        <v>56</v>
      </c>
      <c r="B324" s="559">
        <f>'2021'!N41</f>
        <v>6000</v>
      </c>
      <c r="C324" s="548" t="s">
        <v>56</v>
      </c>
      <c r="D324" s="549">
        <f>'2022'!P35</f>
        <v>10000</v>
      </c>
      <c r="E324" s="548" t="s">
        <v>12</v>
      </c>
      <c r="F324" s="549">
        <f>'2023'!P42</f>
        <v>10000</v>
      </c>
    </row>
    <row r="325" spans="1:26" ht="14.25" customHeight="1">
      <c r="A325" s="548" t="s">
        <v>57</v>
      </c>
      <c r="B325" s="4">
        <f>'2021'!O41</f>
        <v>5000</v>
      </c>
      <c r="C325" s="548" t="s">
        <v>57</v>
      </c>
      <c r="D325" s="549">
        <f>'2022'!Q35</f>
        <v>10000</v>
      </c>
      <c r="F325" s="549">
        <f>'2023'!Q42</f>
        <v>10000</v>
      </c>
    </row>
    <row r="326" spans="1:26" ht="14.25" customHeight="1">
      <c r="A326" s="548" t="s">
        <v>12</v>
      </c>
      <c r="B326" s="4">
        <f>'2021'!P41</f>
        <v>5000</v>
      </c>
      <c r="C326" s="548" t="s">
        <v>12</v>
      </c>
      <c r="D326" s="561">
        <f>'2022'!R35</f>
        <v>5714.2857142857147</v>
      </c>
      <c r="E326" s="98"/>
      <c r="F326" s="18">
        <f>'2023'!R42</f>
        <v>0</v>
      </c>
    </row>
    <row r="327" spans="1:26" ht="14.25" customHeight="1">
      <c r="A327" s="548" t="s">
        <v>13</v>
      </c>
      <c r="B327" s="18">
        <v>2826</v>
      </c>
      <c r="C327" s="548" t="s">
        <v>13</v>
      </c>
      <c r="D327" s="18">
        <f>SUM(D315:D326)</f>
        <v>75714.28571428571</v>
      </c>
      <c r="E327" s="18"/>
      <c r="F327" s="18">
        <v>0</v>
      </c>
    </row>
    <row r="328" spans="1:26" ht="14.25" customHeight="1">
      <c r="A328" s="560" t="s">
        <v>14</v>
      </c>
      <c r="B328" s="13">
        <f>'2021'!R41</f>
        <v>5000</v>
      </c>
      <c r="C328" s="560" t="s">
        <v>14</v>
      </c>
      <c r="F328" s="18">
        <v>0</v>
      </c>
    </row>
    <row r="329" spans="1:26" ht="14.25" customHeight="1">
      <c r="A329" s="25" t="s">
        <v>126</v>
      </c>
      <c r="B329" s="18">
        <f>SUM(B321:B328)</f>
        <v>41826</v>
      </c>
      <c r="C329" s="18"/>
      <c r="D329" s="562" t="s">
        <v>620</v>
      </c>
      <c r="E329" s="25"/>
      <c r="F329" s="18">
        <f>SUM(F317:F328)</f>
        <v>90000</v>
      </c>
    </row>
    <row r="330" spans="1:26" ht="14.25" customHeight="1">
      <c r="D330" s="25">
        <f>SUM(J316:J321)</f>
        <v>54000</v>
      </c>
      <c r="E330" s="25" t="s">
        <v>622</v>
      </c>
    </row>
    <row r="331" spans="1:26" ht="14.25" customHeight="1">
      <c r="B331" s="562" t="s">
        <v>619</v>
      </c>
      <c r="C331" s="25"/>
      <c r="D331" s="25">
        <f>D330-27000</f>
        <v>27000</v>
      </c>
      <c r="E331" s="25" t="s">
        <v>625</v>
      </c>
    </row>
    <row r="332" spans="1:26" ht="14.25" customHeight="1">
      <c r="B332" s="53">
        <f>SUM(B329+D327+F329)</f>
        <v>207540.28571428571</v>
      </c>
      <c r="C332" s="25" t="s">
        <v>621</v>
      </c>
      <c r="D332" s="566">
        <f>D331</f>
        <v>27000</v>
      </c>
      <c r="E332" s="25" t="s">
        <v>627</v>
      </c>
      <c r="F332" s="563" t="s">
        <v>623</v>
      </c>
    </row>
    <row r="333" spans="1:26" ht="14.25" customHeight="1">
      <c r="B333" s="53">
        <f>B332-SUM(B323:B324,D320:D326,F317:F325)</f>
        <v>54826</v>
      </c>
      <c r="C333" s="25" t="s">
        <v>624</v>
      </c>
      <c r="D333" s="509"/>
      <c r="E333" s="509"/>
      <c r="F333" s="564">
        <f>B334+D332</f>
        <v>80000</v>
      </c>
    </row>
    <row r="334" spans="1:26" ht="14.25" customHeight="1">
      <c r="B334" s="565">
        <f>B333-1826</f>
        <v>53000</v>
      </c>
      <c r="C334" s="25" t="s">
        <v>626</v>
      </c>
    </row>
    <row r="335" spans="1:26" ht="14.25" customHeight="1">
      <c r="A335" s="509"/>
      <c r="B335" s="509"/>
      <c r="C335" s="509"/>
      <c r="F335" s="509"/>
      <c r="G335" s="509"/>
      <c r="H335" s="509"/>
      <c r="I335" s="509"/>
      <c r="J335" s="509"/>
      <c r="K335" s="509"/>
      <c r="L335" s="509"/>
      <c r="M335" s="509"/>
      <c r="N335" s="509"/>
      <c r="O335" s="509"/>
      <c r="P335" s="509"/>
      <c r="Q335" s="509"/>
      <c r="R335" s="509"/>
      <c r="S335" s="509"/>
      <c r="T335" s="509"/>
      <c r="U335" s="509"/>
      <c r="V335" s="509"/>
      <c r="W335" s="509"/>
      <c r="X335" s="509"/>
      <c r="Y335" s="509"/>
      <c r="Z335" s="509"/>
    </row>
    <row r="336" spans="1:26" ht="14.25" customHeight="1">
      <c r="A336" s="502" t="s">
        <v>628</v>
      </c>
    </row>
    <row r="337" spans="1:2" ht="14.25" customHeight="1"/>
    <row r="338" spans="1:2" ht="14.25" customHeight="1">
      <c r="A338" s="522" t="s">
        <v>629</v>
      </c>
      <c r="B338" s="522"/>
    </row>
    <row r="339" spans="1:2" ht="14.25" customHeight="1">
      <c r="A339" s="524">
        <v>2022</v>
      </c>
      <c r="B339" s="25"/>
    </row>
    <row r="340" spans="1:2" ht="14.25" customHeight="1">
      <c r="A340" s="4" t="s">
        <v>57</v>
      </c>
      <c r="B340" s="222">
        <v>5000</v>
      </c>
    </row>
    <row r="341" spans="1:2" ht="14.25" customHeight="1">
      <c r="A341" s="4" t="s">
        <v>12</v>
      </c>
      <c r="B341" s="222">
        <v>1428.57142857143</v>
      </c>
    </row>
    <row r="342" spans="1:2" ht="14.25" customHeight="1">
      <c r="A342" s="4" t="s">
        <v>13</v>
      </c>
      <c r="B342" s="269">
        <v>5000</v>
      </c>
    </row>
    <row r="343" spans="1:2" ht="14.25" customHeight="1">
      <c r="A343" s="4" t="s">
        <v>14</v>
      </c>
      <c r="B343" s="269">
        <v>4000</v>
      </c>
    </row>
    <row r="344" spans="1:2" ht="14.25" customHeight="1">
      <c r="A344" s="524">
        <v>2023</v>
      </c>
      <c r="B344" s="222"/>
    </row>
    <row r="345" spans="1:2" ht="14.25" customHeight="1">
      <c r="A345" s="4" t="s">
        <v>49</v>
      </c>
      <c r="B345" s="543">
        <v>5000</v>
      </c>
    </row>
    <row r="346" spans="1:2" ht="14.25" customHeight="1">
      <c r="A346" s="4" t="s">
        <v>50</v>
      </c>
      <c r="B346" s="543">
        <v>3152.1739130434798</v>
      </c>
    </row>
    <row r="347" spans="1:2" ht="14.25" customHeight="1">
      <c r="A347" s="4" t="s">
        <v>51</v>
      </c>
      <c r="B347" s="543">
        <v>2750</v>
      </c>
    </row>
    <row r="348" spans="1:2" ht="14.25" customHeight="1">
      <c r="A348" s="4" t="s">
        <v>52</v>
      </c>
      <c r="B348" s="222">
        <v>5000</v>
      </c>
    </row>
    <row r="349" spans="1:2" ht="14.25" customHeight="1">
      <c r="A349" s="4" t="s">
        <v>53</v>
      </c>
      <c r="B349" s="222">
        <v>5000</v>
      </c>
    </row>
    <row r="350" spans="1:2" ht="14.25" customHeight="1">
      <c r="A350" s="4" t="s">
        <v>54</v>
      </c>
      <c r="B350" s="222">
        <v>0</v>
      </c>
    </row>
    <row r="351" spans="1:2" ht="14.25" customHeight="1">
      <c r="A351" s="4" t="s">
        <v>55</v>
      </c>
      <c r="B351" s="222">
        <v>2000</v>
      </c>
    </row>
    <row r="352" spans="1:2" ht="14.25" customHeight="1">
      <c r="A352" s="4" t="s">
        <v>56</v>
      </c>
      <c r="B352" s="222">
        <v>5000</v>
      </c>
    </row>
    <row r="353" spans="1:26" ht="14.25" customHeight="1">
      <c r="A353" s="4" t="s">
        <v>57</v>
      </c>
      <c r="B353" s="222">
        <v>4000</v>
      </c>
    </row>
    <row r="354" spans="1:26" ht="14.25" customHeight="1">
      <c r="A354" s="4" t="s">
        <v>12</v>
      </c>
      <c r="B354" s="222">
        <v>3863.6363636363599</v>
      </c>
      <c r="D354" s="509"/>
      <c r="E354" s="509"/>
    </row>
    <row r="355" spans="1:26" ht="14.25" customHeight="1">
      <c r="A355" s="525" t="s">
        <v>409</v>
      </c>
      <c r="B355" s="538">
        <v>51194.381705251297</v>
      </c>
    </row>
    <row r="356" spans="1:26" ht="14.25" customHeight="1">
      <c r="A356" s="509"/>
      <c r="B356" s="509"/>
      <c r="C356" s="509"/>
      <c r="F356" s="509"/>
      <c r="G356" s="509"/>
      <c r="H356" s="509"/>
      <c r="I356" s="509"/>
      <c r="J356" s="509"/>
      <c r="K356" s="509"/>
      <c r="L356" s="509"/>
      <c r="M356" s="509"/>
      <c r="N356" s="509"/>
      <c r="O356" s="509"/>
      <c r="P356" s="509"/>
      <c r="Q356" s="509"/>
      <c r="R356" s="509"/>
      <c r="S356" s="509"/>
      <c r="T356" s="509"/>
      <c r="U356" s="509"/>
      <c r="V356" s="509"/>
      <c r="W356" s="509"/>
      <c r="X356" s="509"/>
      <c r="Y356" s="509"/>
      <c r="Z356" s="509"/>
    </row>
    <row r="357" spans="1:26" ht="14.25" customHeight="1">
      <c r="A357" s="502" t="s">
        <v>260</v>
      </c>
    </row>
    <row r="358" spans="1:26" ht="14.25" customHeight="1"/>
    <row r="359" spans="1:26" ht="14.25" customHeight="1">
      <c r="A359" s="522" t="s">
        <v>629</v>
      </c>
      <c r="B359" s="522"/>
    </row>
    <row r="360" spans="1:26" ht="14.25" customHeight="1">
      <c r="A360" s="524">
        <v>2022</v>
      </c>
      <c r="B360" s="25"/>
    </row>
    <row r="361" spans="1:26" ht="14.25" customHeight="1">
      <c r="A361" s="4" t="s">
        <v>56</v>
      </c>
      <c r="B361" s="222">
        <v>10000</v>
      </c>
    </row>
    <row r="362" spans="1:26" ht="14.25" customHeight="1">
      <c r="A362" s="4" t="s">
        <v>57</v>
      </c>
      <c r="B362" s="222">
        <v>10000</v>
      </c>
    </row>
    <row r="363" spans="1:26" ht="14.25" customHeight="1">
      <c r="A363" s="4" t="s">
        <v>12</v>
      </c>
      <c r="B363" s="222">
        <v>10000</v>
      </c>
    </row>
    <row r="364" spans="1:26" ht="14.25" customHeight="1">
      <c r="A364" s="4" t="s">
        <v>13</v>
      </c>
      <c r="B364" s="222">
        <v>10000</v>
      </c>
    </row>
    <row r="365" spans="1:26" ht="14.25" customHeight="1">
      <c r="A365" s="4" t="s">
        <v>14</v>
      </c>
      <c r="B365" s="222">
        <v>10000</v>
      </c>
    </row>
    <row r="366" spans="1:26" ht="14.25" customHeight="1">
      <c r="A366" s="524">
        <v>2023</v>
      </c>
      <c r="B366" s="543"/>
    </row>
    <row r="367" spans="1:26" ht="14.25" customHeight="1">
      <c r="A367" s="4" t="s">
        <v>49</v>
      </c>
      <c r="B367" s="543">
        <v>3182</v>
      </c>
    </row>
    <row r="368" spans="1:26" ht="14.25" customHeight="1">
      <c r="A368" s="4" t="s">
        <v>50</v>
      </c>
      <c r="B368" s="543">
        <v>6087</v>
      </c>
    </row>
    <row r="369" spans="1:26" ht="14.25" customHeight="1">
      <c r="A369" s="4" t="s">
        <v>51</v>
      </c>
      <c r="B369" s="222">
        <v>10000</v>
      </c>
    </row>
    <row r="370" spans="1:26" ht="14.25" customHeight="1">
      <c r="A370" s="4" t="s">
        <v>52</v>
      </c>
      <c r="B370" s="222">
        <v>10000</v>
      </c>
    </row>
    <row r="371" spans="1:26" ht="14.25" customHeight="1">
      <c r="A371" s="4" t="s">
        <v>53</v>
      </c>
      <c r="B371" s="222">
        <v>10000</v>
      </c>
    </row>
    <row r="372" spans="1:26" ht="14.25" customHeight="1">
      <c r="A372" s="4" t="s">
        <v>54</v>
      </c>
      <c r="B372" s="222">
        <v>10000</v>
      </c>
    </row>
    <row r="373" spans="1:26" ht="14.25" customHeight="1">
      <c r="A373" s="4" t="s">
        <v>55</v>
      </c>
      <c r="B373" s="222">
        <v>6000</v>
      </c>
    </row>
    <row r="374" spans="1:26" ht="14.25" customHeight="1">
      <c r="A374" s="4" t="s">
        <v>56</v>
      </c>
      <c r="B374" s="222">
        <v>10000</v>
      </c>
      <c r="D374" s="98"/>
      <c r="E374" s="98"/>
    </row>
    <row r="375" spans="1:26" ht="14.25" customHeight="1">
      <c r="A375" s="4" t="s">
        <v>57</v>
      </c>
      <c r="B375" s="222">
        <v>5000</v>
      </c>
    </row>
    <row r="376" spans="1:26" ht="14.25" customHeight="1">
      <c r="A376" s="25" t="s">
        <v>12</v>
      </c>
      <c r="B376" s="222">
        <v>4000</v>
      </c>
      <c r="C376" s="98"/>
      <c r="D376" s="509"/>
      <c r="E376" s="509"/>
      <c r="F376" s="98"/>
      <c r="G376" s="98"/>
      <c r="H376" s="98"/>
      <c r="I376" s="98"/>
      <c r="J376" s="98"/>
      <c r="K376" s="98"/>
      <c r="L376" s="98"/>
      <c r="M376" s="98"/>
      <c r="N376" s="98"/>
      <c r="O376" s="98"/>
      <c r="P376" s="98"/>
      <c r="Q376" s="98"/>
      <c r="R376" s="98"/>
      <c r="S376" s="98"/>
      <c r="T376" s="98"/>
      <c r="U376" s="98"/>
      <c r="V376" s="98"/>
      <c r="W376" s="98"/>
      <c r="X376" s="98"/>
      <c r="Y376" s="98"/>
      <c r="Z376" s="98"/>
    </row>
    <row r="377" spans="1:26" ht="14.25" customHeight="1">
      <c r="A377" s="522" t="s">
        <v>409</v>
      </c>
      <c r="B377" s="567">
        <v>124269</v>
      </c>
    </row>
    <row r="378" spans="1:26" ht="14.25" customHeight="1">
      <c r="A378" s="509"/>
      <c r="B378" s="509"/>
      <c r="C378" s="509"/>
      <c r="F378" s="509"/>
      <c r="G378" s="509"/>
      <c r="H378" s="509"/>
      <c r="I378" s="509"/>
      <c r="J378" s="509"/>
      <c r="K378" s="509"/>
      <c r="L378" s="509"/>
      <c r="M378" s="509"/>
      <c r="N378" s="509"/>
      <c r="O378" s="509"/>
      <c r="P378" s="509"/>
      <c r="Q378" s="509"/>
      <c r="R378" s="509"/>
      <c r="S378" s="509"/>
      <c r="T378" s="509"/>
      <c r="U378" s="509"/>
      <c r="V378" s="509"/>
      <c r="W378" s="509"/>
      <c r="X378" s="509"/>
      <c r="Y378" s="509"/>
      <c r="Z378" s="509"/>
    </row>
    <row r="379" spans="1:26" ht="14.25" customHeight="1">
      <c r="A379" s="502" t="s">
        <v>583</v>
      </c>
    </row>
    <row r="380" spans="1:26" ht="14.25" customHeight="1"/>
    <row r="381" spans="1:26" ht="14.25" customHeight="1">
      <c r="A381" s="522" t="s">
        <v>630</v>
      </c>
      <c r="B381" s="522"/>
    </row>
    <row r="382" spans="1:26" ht="14.25" customHeight="1">
      <c r="A382" s="527">
        <v>2023</v>
      </c>
      <c r="B382" s="528"/>
    </row>
    <row r="383" spans="1:26" ht="14.25" customHeight="1">
      <c r="A383" s="4" t="s">
        <v>52</v>
      </c>
      <c r="B383" s="222">
        <f>'2023'!L10</f>
        <v>3000</v>
      </c>
    </row>
    <row r="384" spans="1:26" ht="14.25" customHeight="1">
      <c r="A384" s="4" t="s">
        <v>53</v>
      </c>
      <c r="B384" s="222">
        <f>'2023'!M10</f>
        <v>4900</v>
      </c>
    </row>
    <row r="385" spans="1:26" ht="14.25" customHeight="1">
      <c r="A385" s="4" t="s">
        <v>54</v>
      </c>
      <c r="B385" s="222">
        <f>'2023'!N10</f>
        <v>5700</v>
      </c>
    </row>
    <row r="386" spans="1:26" ht="14.25" customHeight="1">
      <c r="A386" s="4" t="s">
        <v>55</v>
      </c>
      <c r="B386" s="222">
        <f>'2023'!O10</f>
        <v>4200</v>
      </c>
    </row>
    <row r="387" spans="1:26" ht="14.25" customHeight="1">
      <c r="A387" s="4" t="s">
        <v>56</v>
      </c>
      <c r="B387" s="222">
        <f>'2023'!P10</f>
        <v>5500</v>
      </c>
    </row>
    <row r="388" spans="1:26" ht="14.25" customHeight="1">
      <c r="A388" s="4" t="s">
        <v>57</v>
      </c>
      <c r="B388" s="222">
        <f>'2023'!Q10</f>
        <v>0</v>
      </c>
    </row>
    <row r="389" spans="1:26" ht="14.25" customHeight="1">
      <c r="A389" s="4" t="s">
        <v>12</v>
      </c>
      <c r="B389" s="222">
        <f>'2023'!R10</f>
        <v>4090.909090909091</v>
      </c>
      <c r="D389" s="509"/>
      <c r="E389" s="509"/>
    </row>
    <row r="390" spans="1:26" ht="14.25" customHeight="1">
      <c r="A390" s="530" t="s">
        <v>409</v>
      </c>
      <c r="B390" s="538">
        <f>SUM(B382:B389)</f>
        <v>27390.909090909092</v>
      </c>
    </row>
    <row r="391" spans="1:26" ht="14.25" customHeight="1">
      <c r="A391" s="509"/>
      <c r="B391" s="509"/>
      <c r="C391" s="509"/>
      <c r="F391" s="509"/>
      <c r="G391" s="509"/>
      <c r="H391" s="509"/>
      <c r="I391" s="509"/>
      <c r="J391" s="509"/>
      <c r="K391" s="509"/>
      <c r="L391" s="509"/>
      <c r="M391" s="509"/>
      <c r="N391" s="509"/>
      <c r="O391" s="509"/>
      <c r="P391" s="509"/>
      <c r="Q391" s="509"/>
      <c r="R391" s="509"/>
      <c r="S391" s="509"/>
      <c r="T391" s="509"/>
      <c r="U391" s="509"/>
      <c r="V391" s="509"/>
      <c r="W391" s="509"/>
      <c r="X391" s="509"/>
      <c r="Y391" s="509"/>
      <c r="Z391" s="509"/>
    </row>
    <row r="392" spans="1:26" ht="14.25" customHeight="1">
      <c r="A392" s="502" t="s">
        <v>973</v>
      </c>
    </row>
    <row r="393" spans="1:26" ht="14.25" customHeight="1"/>
    <row r="394" spans="1:26" ht="14.25" customHeight="1">
      <c r="A394" s="522" t="s">
        <v>631</v>
      </c>
      <c r="B394" s="522"/>
    </row>
    <row r="395" spans="1:26" ht="14.25" customHeight="1">
      <c r="A395" s="527">
        <v>2023</v>
      </c>
    </row>
    <row r="396" spans="1:26" ht="14.25" customHeight="1">
      <c r="A396" s="25" t="s">
        <v>53</v>
      </c>
      <c r="B396" s="53">
        <v>5454.5454545454504</v>
      </c>
    </row>
    <row r="397" spans="1:26" ht="14.25" customHeight="1">
      <c r="A397" s="25" t="s">
        <v>8</v>
      </c>
      <c r="B397" s="25">
        <v>10000</v>
      </c>
    </row>
    <row r="398" spans="1:26" ht="14.25" customHeight="1">
      <c r="A398" s="25" t="s">
        <v>9</v>
      </c>
      <c r="B398" s="53">
        <v>10000</v>
      </c>
    </row>
    <row r="399" spans="1:26" ht="14.25" customHeight="1">
      <c r="A399" s="25" t="s">
        <v>10</v>
      </c>
      <c r="B399" s="53">
        <v>10000</v>
      </c>
    </row>
    <row r="400" spans="1:26" ht="14.25" customHeight="1">
      <c r="A400" s="25" t="s">
        <v>591</v>
      </c>
      <c r="B400" s="53">
        <v>10000</v>
      </c>
    </row>
    <row r="401" spans="1:26" ht="14.25" customHeight="1">
      <c r="A401" s="25" t="s">
        <v>593</v>
      </c>
      <c r="B401" s="25">
        <v>10000</v>
      </c>
      <c r="D401" s="509"/>
      <c r="E401" s="509"/>
    </row>
    <row r="402" spans="1:26" ht="14.25" customHeight="1">
      <c r="A402" s="525" t="s">
        <v>409</v>
      </c>
      <c r="B402" s="568">
        <v>55454.5454545455</v>
      </c>
      <c r="C402" s="312"/>
    </row>
    <row r="403" spans="1:26" ht="14.25" customHeight="1">
      <c r="A403" s="509"/>
      <c r="B403" s="509"/>
      <c r="C403" s="509"/>
      <c r="F403" s="509"/>
      <c r="G403" s="509"/>
      <c r="H403" s="509"/>
      <c r="I403" s="509"/>
      <c r="J403" s="509"/>
      <c r="K403" s="509"/>
      <c r="L403" s="509"/>
      <c r="M403" s="509"/>
      <c r="N403" s="509"/>
      <c r="O403" s="509"/>
      <c r="P403" s="509"/>
      <c r="Q403" s="509"/>
      <c r="R403" s="509"/>
      <c r="S403" s="509"/>
      <c r="T403" s="509"/>
      <c r="U403" s="509"/>
      <c r="V403" s="509"/>
      <c r="W403" s="509"/>
      <c r="X403" s="509"/>
      <c r="Y403" s="509"/>
      <c r="Z403" s="509"/>
    </row>
    <row r="404" spans="1:26" ht="14.25" customHeight="1">
      <c r="A404" s="502" t="s">
        <v>974</v>
      </c>
    </row>
    <row r="405" spans="1:26" ht="14.25" customHeight="1">
      <c r="A405" s="522" t="s">
        <v>631</v>
      </c>
      <c r="B405" s="522"/>
    </row>
    <row r="406" spans="1:26" ht="14.25" customHeight="1">
      <c r="A406" s="524">
        <v>2023</v>
      </c>
      <c r="B406" s="25"/>
    </row>
    <row r="407" spans="1:26" ht="14.25" customHeight="1">
      <c r="A407" s="25" t="s">
        <v>53</v>
      </c>
      <c r="B407" s="53">
        <v>5454.5454545454504</v>
      </c>
    </row>
    <row r="408" spans="1:26" ht="14.25" customHeight="1">
      <c r="A408" s="25" t="s">
        <v>8</v>
      </c>
      <c r="B408" s="25">
        <v>7000</v>
      </c>
    </row>
    <row r="409" spans="1:26" ht="14.25" customHeight="1">
      <c r="A409" s="25" t="s">
        <v>9</v>
      </c>
      <c r="B409" s="53">
        <v>10000</v>
      </c>
    </row>
    <row r="410" spans="1:26" ht="14.25" customHeight="1">
      <c r="A410" s="25" t="s">
        <v>10</v>
      </c>
      <c r="B410" s="53">
        <v>8260.8695652173901</v>
      </c>
    </row>
    <row r="411" spans="1:26" ht="14.25" customHeight="1">
      <c r="A411" s="25" t="s">
        <v>591</v>
      </c>
      <c r="B411" s="53">
        <v>5714.2857142857101</v>
      </c>
    </row>
    <row r="412" spans="1:26" ht="14.25" customHeight="1">
      <c r="A412" s="25" t="s">
        <v>593</v>
      </c>
      <c r="B412" s="53">
        <v>4000</v>
      </c>
    </row>
    <row r="413" spans="1:26" ht="14.25" customHeight="1">
      <c r="A413" s="25" t="s">
        <v>594</v>
      </c>
      <c r="B413" s="53">
        <v>7000</v>
      </c>
    </row>
    <row r="414" spans="1:26" ht="14.25" customHeight="1">
      <c r="A414" s="25" t="s">
        <v>595</v>
      </c>
      <c r="B414" s="53">
        <v>10000</v>
      </c>
    </row>
    <row r="415" spans="1:26" ht="14.25" customHeight="1">
      <c r="A415" s="524">
        <v>2024</v>
      </c>
      <c r="B415" s="53"/>
    </row>
    <row r="416" spans="1:26" ht="14.25" customHeight="1">
      <c r="A416" s="25" t="s">
        <v>907</v>
      </c>
      <c r="B416" s="53">
        <v>6522</v>
      </c>
    </row>
    <row r="417" spans="1:26" ht="14.25" customHeight="1">
      <c r="A417" s="25" t="s">
        <v>908</v>
      </c>
      <c r="B417" s="53">
        <v>7955</v>
      </c>
    </row>
    <row r="418" spans="1:26" ht="14.25" customHeight="1">
      <c r="A418" s="25" t="s">
        <v>589</v>
      </c>
      <c r="B418" s="53">
        <v>10000</v>
      </c>
    </row>
    <row r="419" spans="1:26" ht="14.25" customHeight="1">
      <c r="A419" s="25" t="s">
        <v>6</v>
      </c>
      <c r="B419" s="53">
        <v>7826</v>
      </c>
    </row>
    <row r="420" spans="1:26" ht="14.25" customHeight="1">
      <c r="A420" s="25" t="s">
        <v>53</v>
      </c>
      <c r="B420" s="53">
        <v>9091</v>
      </c>
    </row>
    <row r="421" spans="1:26" ht="14.25" customHeight="1">
      <c r="A421" s="25" t="s">
        <v>8</v>
      </c>
      <c r="B421" s="53">
        <v>7619</v>
      </c>
    </row>
    <row r="422" spans="1:26" ht="14.25" customHeight="1">
      <c r="A422" s="25" t="s">
        <v>9</v>
      </c>
      <c r="B422" s="53">
        <v>8864</v>
      </c>
    </row>
    <row r="423" spans="1:26" ht="14.25" customHeight="1">
      <c r="A423" s="25" t="s">
        <v>10</v>
      </c>
      <c r="B423" s="53">
        <v>409</v>
      </c>
    </row>
    <row r="424" spans="1:26" ht="14.25" customHeight="1">
      <c r="A424" s="525" t="s">
        <v>613</v>
      </c>
      <c r="B424" s="568">
        <f>SUM(B407:B423)</f>
        <v>115715.70073404856</v>
      </c>
    </row>
    <row r="425" spans="1:26" ht="14.25" customHeight="1">
      <c r="A425" s="312" t="s">
        <v>909</v>
      </c>
      <c r="B425" s="963">
        <v>42700</v>
      </c>
    </row>
    <row r="426" spans="1:26" ht="14.25" customHeight="1">
      <c r="A426" s="312" t="s">
        <v>910</v>
      </c>
      <c r="B426" s="963">
        <f>MIN(B424-B425)</f>
        <v>73015.700734048558</v>
      </c>
      <c r="D426" s="509"/>
      <c r="E426" s="509"/>
    </row>
    <row r="427" spans="1:26" ht="14.25" customHeight="1">
      <c r="A427" s="312"/>
      <c r="B427" s="963"/>
    </row>
    <row r="428" spans="1:26" ht="14.25" customHeight="1">
      <c r="A428" s="509"/>
      <c r="B428" s="509"/>
      <c r="C428" s="509"/>
      <c r="F428" s="509"/>
      <c r="G428" s="509"/>
      <c r="H428" s="509"/>
      <c r="I428" s="509"/>
      <c r="J428" s="509"/>
      <c r="K428" s="509"/>
      <c r="L428" s="509"/>
      <c r="M428" s="509"/>
      <c r="N428" s="509"/>
      <c r="O428" s="509"/>
      <c r="P428" s="509"/>
      <c r="Q428" s="509"/>
      <c r="R428" s="509"/>
      <c r="S428" s="509"/>
      <c r="T428" s="509"/>
      <c r="U428" s="509"/>
      <c r="V428" s="509"/>
      <c r="W428" s="509"/>
      <c r="X428" s="509"/>
      <c r="Y428" s="509"/>
      <c r="Z428" s="509"/>
    </row>
    <row r="429" spans="1:26" ht="14.25" customHeight="1">
      <c r="A429" s="502" t="s">
        <v>206</v>
      </c>
    </row>
    <row r="430" spans="1:26" ht="14.25" customHeight="1"/>
    <row r="431" spans="1:26" ht="14.25" customHeight="1">
      <c r="A431" s="522" t="s">
        <v>632</v>
      </c>
      <c r="B431" s="523"/>
    </row>
    <row r="432" spans="1:26" ht="14.25" customHeight="1">
      <c r="A432" s="524">
        <v>2022</v>
      </c>
      <c r="B432" s="53"/>
    </row>
    <row r="433" spans="1:26" ht="14.25" customHeight="1">
      <c r="A433" s="25" t="s">
        <v>57</v>
      </c>
      <c r="B433" s="53">
        <v>4090.9090909090901</v>
      </c>
    </row>
    <row r="434" spans="1:26" ht="14.25" customHeight="1">
      <c r="A434" s="25" t="s">
        <v>12</v>
      </c>
      <c r="B434" s="53">
        <v>10000</v>
      </c>
    </row>
    <row r="435" spans="1:26" ht="14.25" customHeight="1">
      <c r="A435" s="25" t="s">
        <v>13</v>
      </c>
      <c r="B435" s="53">
        <v>5000</v>
      </c>
    </row>
    <row r="436" spans="1:26" ht="14.25" customHeight="1">
      <c r="A436" s="25" t="s">
        <v>14</v>
      </c>
      <c r="B436" s="53">
        <v>10000</v>
      </c>
    </row>
    <row r="437" spans="1:26" ht="14.25" customHeight="1">
      <c r="A437" s="524">
        <v>2023</v>
      </c>
      <c r="B437" s="53"/>
    </row>
    <row r="438" spans="1:26" ht="14.25" customHeight="1">
      <c r="A438" s="25" t="s">
        <v>49</v>
      </c>
      <c r="B438" s="53">
        <v>2954.54545454545</v>
      </c>
    </row>
    <row r="439" spans="1:26" ht="14.25" customHeight="1">
      <c r="A439" s="25" t="s">
        <v>50</v>
      </c>
      <c r="B439" s="53">
        <v>0</v>
      </c>
    </row>
    <row r="440" spans="1:26" ht="14.25" customHeight="1">
      <c r="A440" s="25" t="s">
        <v>51</v>
      </c>
      <c r="B440" s="53">
        <v>10000</v>
      </c>
    </row>
    <row r="441" spans="1:26" ht="14.25" customHeight="1">
      <c r="A441" s="25" t="s">
        <v>52</v>
      </c>
      <c r="B441" s="53">
        <v>10000</v>
      </c>
    </row>
    <row r="442" spans="1:26" ht="14.25" customHeight="1">
      <c r="A442" s="25" t="s">
        <v>53</v>
      </c>
      <c r="B442" s="53">
        <v>10000</v>
      </c>
    </row>
    <row r="443" spans="1:26" ht="14.25" customHeight="1">
      <c r="A443" s="25" t="s">
        <v>54</v>
      </c>
      <c r="B443" s="53">
        <v>10000</v>
      </c>
    </row>
    <row r="444" spans="1:26" ht="14.25" customHeight="1">
      <c r="A444" s="25" t="s">
        <v>55</v>
      </c>
      <c r="B444" s="53">
        <v>10000</v>
      </c>
    </row>
    <row r="445" spans="1:26" ht="14.25" customHeight="1">
      <c r="A445" s="25" t="s">
        <v>56</v>
      </c>
      <c r="B445" s="53">
        <v>10000</v>
      </c>
    </row>
    <row r="446" spans="1:26" ht="14.25" customHeight="1">
      <c r="A446" s="25" t="s">
        <v>57</v>
      </c>
      <c r="B446" s="53">
        <v>10000</v>
      </c>
      <c r="D446" s="509"/>
      <c r="E446" s="509"/>
    </row>
    <row r="447" spans="1:26" ht="14.25" customHeight="1">
      <c r="A447" s="525" t="s">
        <v>613</v>
      </c>
      <c r="B447" s="568">
        <v>102045.454545455</v>
      </c>
    </row>
    <row r="448" spans="1:26" ht="14.25" customHeight="1">
      <c r="A448" s="509"/>
      <c r="B448" s="509"/>
      <c r="C448" s="509"/>
      <c r="F448" s="509"/>
      <c r="G448" s="509"/>
      <c r="H448" s="509"/>
      <c r="I448" s="509"/>
      <c r="J448" s="509"/>
      <c r="K448" s="509"/>
      <c r="L448" s="509"/>
      <c r="M448" s="509"/>
      <c r="N448" s="509"/>
      <c r="O448" s="509"/>
      <c r="P448" s="509"/>
      <c r="Q448" s="509"/>
      <c r="R448" s="509"/>
      <c r="S448" s="509"/>
      <c r="T448" s="509"/>
      <c r="U448" s="509"/>
      <c r="V448" s="509"/>
      <c r="W448" s="509"/>
      <c r="X448" s="509"/>
      <c r="Y448" s="509"/>
      <c r="Z448" s="509"/>
    </row>
    <row r="449" spans="1:2" ht="14.25" customHeight="1">
      <c r="A449" s="502" t="s">
        <v>633</v>
      </c>
    </row>
    <row r="450" spans="1:2" ht="14.25" customHeight="1"/>
    <row r="451" spans="1:2" ht="14.25" customHeight="1">
      <c r="A451" s="522" t="s">
        <v>632</v>
      </c>
      <c r="B451" s="523"/>
    </row>
    <row r="452" spans="1:2" ht="14.25" customHeight="1">
      <c r="A452" s="524">
        <v>2022</v>
      </c>
      <c r="B452" s="53"/>
    </row>
    <row r="453" spans="1:2" ht="14.25" customHeight="1">
      <c r="A453" s="25" t="s">
        <v>12</v>
      </c>
      <c r="B453" s="222">
        <v>6000</v>
      </c>
    </row>
    <row r="454" spans="1:2" ht="14.25" customHeight="1">
      <c r="A454" s="25" t="s">
        <v>13</v>
      </c>
      <c r="B454" s="222">
        <v>5000</v>
      </c>
    </row>
    <row r="455" spans="1:2" ht="14.25" customHeight="1">
      <c r="A455" s="25" t="s">
        <v>14</v>
      </c>
      <c r="B455" s="222">
        <v>5000</v>
      </c>
    </row>
    <row r="456" spans="1:2" ht="14.25" customHeight="1">
      <c r="A456" s="524">
        <v>2023</v>
      </c>
      <c r="B456" s="222"/>
    </row>
    <row r="457" spans="1:2" ht="14.25" customHeight="1">
      <c r="A457" s="25" t="s">
        <v>49</v>
      </c>
      <c r="B457" s="222">
        <v>5000</v>
      </c>
    </row>
    <row r="458" spans="1:2" ht="14.25" customHeight="1">
      <c r="A458" s="25" t="s">
        <v>50</v>
      </c>
      <c r="B458" s="222">
        <v>2086.95652173913</v>
      </c>
    </row>
    <row r="459" spans="1:2" ht="14.25" customHeight="1">
      <c r="A459" s="25" t="s">
        <v>51</v>
      </c>
      <c r="B459" s="222">
        <v>6000</v>
      </c>
    </row>
    <row r="460" spans="1:2" ht="14.25" customHeight="1">
      <c r="A460" s="25" t="s">
        <v>52</v>
      </c>
      <c r="B460" s="222">
        <v>5000</v>
      </c>
    </row>
    <row r="461" spans="1:2" ht="14.25" customHeight="1">
      <c r="A461" s="25" t="s">
        <v>53</v>
      </c>
      <c r="B461" s="222">
        <v>3000</v>
      </c>
    </row>
    <row r="462" spans="1:2" ht="14.25" customHeight="1">
      <c r="A462" s="25" t="s">
        <v>54</v>
      </c>
      <c r="B462" s="222">
        <v>0</v>
      </c>
    </row>
    <row r="463" spans="1:2" ht="14.25" customHeight="1">
      <c r="A463" s="25" t="s">
        <v>55</v>
      </c>
      <c r="B463" s="222">
        <v>0</v>
      </c>
    </row>
    <row r="464" spans="1:2" ht="14.25" customHeight="1">
      <c r="A464" s="25" t="s">
        <v>56</v>
      </c>
      <c r="B464" s="222">
        <v>4000</v>
      </c>
    </row>
    <row r="465" spans="1:26" ht="14.25" customHeight="1">
      <c r="A465" s="25" t="s">
        <v>57</v>
      </c>
      <c r="B465" s="222">
        <v>4000</v>
      </c>
      <c r="D465" s="509"/>
      <c r="E465" s="509"/>
    </row>
    <row r="466" spans="1:26" ht="14.25" customHeight="1">
      <c r="A466" s="525" t="s">
        <v>409</v>
      </c>
      <c r="B466" s="538">
        <v>45086.956521739099</v>
      </c>
    </row>
    <row r="467" spans="1:26" ht="14.25" customHeight="1">
      <c r="A467" s="509"/>
      <c r="B467" s="509"/>
      <c r="C467" s="509"/>
      <c r="F467" s="509"/>
      <c r="G467" s="509"/>
      <c r="H467" s="509"/>
      <c r="I467" s="509"/>
      <c r="J467" s="509"/>
      <c r="K467" s="509"/>
      <c r="L467" s="509"/>
      <c r="M467" s="509"/>
      <c r="N467" s="509"/>
      <c r="O467" s="509"/>
      <c r="P467" s="509"/>
      <c r="Q467" s="509"/>
      <c r="R467" s="509"/>
      <c r="S467" s="509"/>
      <c r="T467" s="509"/>
      <c r="U467" s="509"/>
      <c r="V467" s="509"/>
      <c r="W467" s="509"/>
      <c r="X467" s="509"/>
      <c r="Y467" s="509"/>
      <c r="Z467" s="509"/>
    </row>
    <row r="468" spans="1:26" ht="14.25" customHeight="1">
      <c r="A468" s="502" t="s">
        <v>634</v>
      </c>
    </row>
    <row r="469" spans="1:26" ht="14.25" customHeight="1"/>
    <row r="470" spans="1:26" ht="14.25" customHeight="1">
      <c r="A470" s="522" t="s">
        <v>635</v>
      </c>
      <c r="B470" s="523"/>
    </row>
    <row r="471" spans="1:26" ht="14.25" customHeight="1">
      <c r="A471" s="524">
        <v>2023</v>
      </c>
      <c r="B471" s="222"/>
    </row>
    <row r="472" spans="1:26" ht="14.25" customHeight="1">
      <c r="A472" s="25" t="s">
        <v>49</v>
      </c>
      <c r="B472" s="222">
        <v>10000</v>
      </c>
    </row>
    <row r="473" spans="1:26" ht="14.25" customHeight="1">
      <c r="A473" s="25" t="s">
        <v>50</v>
      </c>
      <c r="B473" s="222">
        <v>10000</v>
      </c>
    </row>
    <row r="474" spans="1:26" ht="14.25" customHeight="1">
      <c r="A474" s="25" t="s">
        <v>51</v>
      </c>
      <c r="B474" s="222">
        <v>10000</v>
      </c>
    </row>
    <row r="475" spans="1:26" ht="14.25" customHeight="1">
      <c r="A475" s="25" t="s">
        <v>52</v>
      </c>
      <c r="B475" s="222">
        <v>10000</v>
      </c>
    </row>
    <row r="476" spans="1:26" ht="14.25" customHeight="1">
      <c r="A476" s="25" t="s">
        <v>53</v>
      </c>
      <c r="B476" s="222">
        <v>10000</v>
      </c>
    </row>
    <row r="477" spans="1:26" ht="14.25" customHeight="1">
      <c r="A477" s="25" t="s">
        <v>54</v>
      </c>
      <c r="B477" s="222">
        <v>10000</v>
      </c>
    </row>
    <row r="478" spans="1:26" ht="14.25" customHeight="1">
      <c r="A478" s="25" t="s">
        <v>55</v>
      </c>
      <c r="B478" s="222">
        <v>10000</v>
      </c>
    </row>
    <row r="479" spans="1:26" ht="14.25" customHeight="1">
      <c r="A479" s="25" t="s">
        <v>56</v>
      </c>
      <c r="B479" s="222">
        <v>10000</v>
      </c>
    </row>
    <row r="480" spans="1:26" ht="14.25" customHeight="1">
      <c r="A480" s="25" t="s">
        <v>57</v>
      </c>
      <c r="B480" s="222">
        <v>7619.0476190476202</v>
      </c>
    </row>
    <row r="481" spans="1:26" ht="14.25" customHeight="1">
      <c r="A481" s="25" t="s">
        <v>12</v>
      </c>
      <c r="B481" s="222">
        <v>8000</v>
      </c>
      <c r="D481" s="509"/>
      <c r="E481" s="509"/>
    </row>
    <row r="482" spans="1:26" ht="14.25" customHeight="1">
      <c r="A482" s="525" t="s">
        <v>409</v>
      </c>
      <c r="B482" s="538">
        <v>95619.047619047604</v>
      </c>
    </row>
    <row r="483" spans="1:26" ht="14.25" customHeight="1">
      <c r="A483" s="509"/>
      <c r="B483" s="509"/>
      <c r="C483" s="509"/>
      <c r="F483" s="509"/>
      <c r="G483" s="509"/>
      <c r="H483" s="509"/>
      <c r="I483" s="509"/>
      <c r="J483" s="509"/>
      <c r="K483" s="509"/>
      <c r="L483" s="509"/>
      <c r="M483" s="509"/>
      <c r="N483" s="509"/>
      <c r="O483" s="509"/>
      <c r="P483" s="509"/>
      <c r="Q483" s="509"/>
      <c r="R483" s="509"/>
      <c r="S483" s="509"/>
      <c r="T483" s="509"/>
      <c r="U483" s="509"/>
      <c r="V483" s="509"/>
      <c r="W483" s="509"/>
      <c r="X483" s="509"/>
      <c r="Y483" s="509"/>
      <c r="Z483" s="509"/>
    </row>
    <row r="484" spans="1:26" ht="14.25" customHeight="1">
      <c r="A484" s="502" t="s">
        <v>636</v>
      </c>
    </row>
    <row r="485" spans="1:26" ht="14.25" customHeight="1"/>
    <row r="486" spans="1:26" ht="14.25" customHeight="1">
      <c r="A486" s="522" t="s">
        <v>637</v>
      </c>
      <c r="B486" s="522"/>
    </row>
    <row r="487" spans="1:26" ht="14.25" customHeight="1">
      <c r="A487" s="524">
        <v>2022</v>
      </c>
      <c r="B487" s="53"/>
    </row>
    <row r="488" spans="1:26" ht="14.25" customHeight="1">
      <c r="A488" s="25" t="s">
        <v>13</v>
      </c>
      <c r="B488" s="222">
        <v>6000</v>
      </c>
    </row>
    <row r="489" spans="1:26" ht="14.25" customHeight="1">
      <c r="A489" s="25" t="s">
        <v>14</v>
      </c>
      <c r="B489" s="222">
        <v>6000</v>
      </c>
    </row>
    <row r="490" spans="1:26" ht="14.25" customHeight="1">
      <c r="A490" s="524">
        <v>2023</v>
      </c>
      <c r="B490" s="222"/>
    </row>
    <row r="491" spans="1:26" ht="14.25" customHeight="1">
      <c r="A491" s="25" t="s">
        <v>49</v>
      </c>
      <c r="B491" s="222">
        <v>6000</v>
      </c>
    </row>
    <row r="492" spans="1:26" ht="14.25" customHeight="1">
      <c r="A492" s="25" t="s">
        <v>50</v>
      </c>
      <c r="B492" s="569">
        <v>3478.2608695652202</v>
      </c>
      <c r="C492" s="98" t="s">
        <v>425</v>
      </c>
    </row>
    <row r="493" spans="1:26" ht="14.25" customHeight="1">
      <c r="A493" s="25" t="s">
        <v>51</v>
      </c>
      <c r="B493" s="222">
        <v>6000</v>
      </c>
    </row>
    <row r="494" spans="1:26" ht="14.25" customHeight="1">
      <c r="A494" s="25" t="s">
        <v>52</v>
      </c>
      <c r="B494" s="222">
        <v>6000</v>
      </c>
    </row>
    <row r="495" spans="1:26" ht="14.25" customHeight="1">
      <c r="A495" s="25" t="s">
        <v>53</v>
      </c>
      <c r="B495" s="222">
        <v>6000</v>
      </c>
    </row>
    <row r="496" spans="1:26" ht="14.25" customHeight="1">
      <c r="A496" s="25" t="s">
        <v>54</v>
      </c>
      <c r="B496" s="222">
        <v>6000</v>
      </c>
    </row>
    <row r="497" spans="1:26" ht="14.25" customHeight="1">
      <c r="A497" s="25" t="s">
        <v>55</v>
      </c>
      <c r="B497" s="222">
        <v>6000</v>
      </c>
    </row>
    <row r="498" spans="1:26" ht="14.25" customHeight="1">
      <c r="A498" s="25" t="s">
        <v>56</v>
      </c>
      <c r="B498" s="222">
        <v>6000</v>
      </c>
    </row>
    <row r="499" spans="1:26" ht="14.25" customHeight="1">
      <c r="A499" s="25" t="s">
        <v>57</v>
      </c>
      <c r="B499" s="222">
        <v>6000</v>
      </c>
    </row>
    <row r="500" spans="1:26" ht="14.25" customHeight="1">
      <c r="A500" s="25" t="s">
        <v>12</v>
      </c>
      <c r="B500" s="222">
        <v>6000</v>
      </c>
      <c r="D500" s="509"/>
      <c r="E500" s="509"/>
    </row>
    <row r="501" spans="1:26" ht="14.25" customHeight="1">
      <c r="A501" s="525" t="s">
        <v>409</v>
      </c>
      <c r="B501" s="538">
        <v>66000</v>
      </c>
    </row>
    <row r="502" spans="1:26" ht="14.25" customHeight="1">
      <c r="A502" s="509"/>
      <c r="B502" s="509"/>
      <c r="C502" s="509"/>
      <c r="F502" s="509"/>
      <c r="G502" s="509"/>
      <c r="H502" s="509"/>
      <c r="I502" s="509"/>
      <c r="J502" s="509"/>
      <c r="K502" s="509"/>
      <c r="L502" s="509"/>
      <c r="M502" s="509"/>
      <c r="N502" s="509"/>
      <c r="O502" s="509"/>
      <c r="P502" s="509"/>
      <c r="Q502" s="509"/>
      <c r="R502" s="509"/>
      <c r="S502" s="509"/>
      <c r="T502" s="509"/>
      <c r="U502" s="509"/>
      <c r="V502" s="509"/>
      <c r="W502" s="509"/>
      <c r="X502" s="509"/>
      <c r="Y502" s="509"/>
      <c r="Z502" s="509"/>
    </row>
    <row r="503" spans="1:26" ht="14.25" customHeight="1">
      <c r="A503" s="502" t="s">
        <v>638</v>
      </c>
    </row>
    <row r="504" spans="1:26" ht="14.25" customHeight="1"/>
    <row r="505" spans="1:26" ht="14.25" customHeight="1">
      <c r="A505" s="522" t="s">
        <v>639</v>
      </c>
      <c r="B505" s="522"/>
    </row>
    <row r="506" spans="1:26" ht="14.25" customHeight="1">
      <c r="A506" s="524">
        <v>2023</v>
      </c>
      <c r="B506" s="53"/>
    </row>
    <row r="507" spans="1:26" ht="14.25" customHeight="1">
      <c r="A507" s="25" t="s">
        <v>51</v>
      </c>
      <c r="B507" s="222">
        <v>0</v>
      </c>
    </row>
    <row r="508" spans="1:26" ht="14.25" customHeight="1">
      <c r="A508" s="25" t="s">
        <v>52</v>
      </c>
      <c r="B508" s="222">
        <v>10000</v>
      </c>
    </row>
    <row r="509" spans="1:26" ht="14.25" customHeight="1">
      <c r="A509" s="25" t="s">
        <v>53</v>
      </c>
      <c r="B509" s="222">
        <v>10000</v>
      </c>
    </row>
    <row r="510" spans="1:26" ht="14.25" customHeight="1">
      <c r="A510" s="25" t="s">
        <v>54</v>
      </c>
      <c r="B510" s="222">
        <v>4000</v>
      </c>
    </row>
    <row r="511" spans="1:26" ht="14.25" customHeight="1">
      <c r="A511" s="25" t="s">
        <v>55</v>
      </c>
      <c r="B511" s="222">
        <v>4000</v>
      </c>
    </row>
    <row r="512" spans="1:26" ht="14.25" customHeight="1">
      <c r="A512" s="25" t="s">
        <v>56</v>
      </c>
      <c r="B512" s="222">
        <v>4000</v>
      </c>
    </row>
    <row r="513" spans="1:26" ht="14.25" customHeight="1">
      <c r="A513" s="25" t="s">
        <v>57</v>
      </c>
      <c r="B513" s="222">
        <v>8000</v>
      </c>
    </row>
    <row r="514" spans="1:26" ht="14.25" customHeight="1">
      <c r="A514" s="25" t="s">
        <v>12</v>
      </c>
      <c r="B514" s="222">
        <v>8000</v>
      </c>
      <c r="D514" s="509"/>
      <c r="E514" s="509"/>
    </row>
    <row r="515" spans="1:26" ht="13.5" customHeight="1">
      <c r="A515" s="525" t="s">
        <v>409</v>
      </c>
      <c r="B515" s="538">
        <v>48000</v>
      </c>
    </row>
    <row r="516" spans="1:26" ht="14.25" customHeight="1">
      <c r="A516" s="509"/>
      <c r="B516" s="509"/>
      <c r="C516" s="509"/>
      <c r="F516" s="509"/>
      <c r="G516" s="509"/>
      <c r="H516" s="509"/>
      <c r="I516" s="509"/>
      <c r="J516" s="509"/>
      <c r="K516" s="509"/>
      <c r="L516" s="509"/>
      <c r="M516" s="509"/>
      <c r="N516" s="509"/>
      <c r="O516" s="509"/>
      <c r="P516" s="509"/>
      <c r="Q516" s="509"/>
      <c r="R516" s="509"/>
      <c r="S516" s="509"/>
      <c r="T516" s="509"/>
      <c r="U516" s="509"/>
      <c r="V516" s="509"/>
      <c r="W516" s="509"/>
      <c r="X516" s="509"/>
      <c r="Y516" s="509"/>
      <c r="Z516" s="509"/>
    </row>
    <row r="517" spans="1:26" ht="14.25" customHeight="1">
      <c r="A517" s="502" t="s">
        <v>640</v>
      </c>
    </row>
    <row r="518" spans="1:26" ht="14.25" customHeight="1"/>
    <row r="519" spans="1:26" ht="14.25" customHeight="1">
      <c r="A519" s="522" t="s">
        <v>927</v>
      </c>
      <c r="B519" s="522"/>
    </row>
    <row r="520" spans="1:26" ht="14.25" customHeight="1">
      <c r="A520" s="524">
        <v>2023</v>
      </c>
      <c r="B520" s="53"/>
    </row>
    <row r="521" spans="1:26" ht="14.25" customHeight="1">
      <c r="A521" s="25" t="s">
        <v>53</v>
      </c>
      <c r="B521" s="53">
        <v>10000</v>
      </c>
    </row>
    <row r="522" spans="1:26" ht="14.25" customHeight="1">
      <c r="A522" s="25" t="s">
        <v>54</v>
      </c>
      <c r="B522" s="53">
        <v>10000</v>
      </c>
    </row>
    <row r="523" spans="1:26" ht="14.25" customHeight="1">
      <c r="A523" s="25" t="s">
        <v>55</v>
      </c>
      <c r="B523" s="53">
        <v>10000</v>
      </c>
    </row>
    <row r="524" spans="1:26" ht="14.25" customHeight="1">
      <c r="A524" s="25" t="s">
        <v>56</v>
      </c>
      <c r="B524" s="53">
        <v>10000</v>
      </c>
    </row>
    <row r="525" spans="1:26" ht="14.25" customHeight="1">
      <c r="A525" s="25" t="s">
        <v>57</v>
      </c>
      <c r="B525" s="53">
        <v>10000</v>
      </c>
    </row>
    <row r="526" spans="1:26" ht="14.25" customHeight="1">
      <c r="A526" s="25" t="s">
        <v>12</v>
      </c>
      <c r="B526" s="53">
        <v>10000</v>
      </c>
      <c r="D526" s="509"/>
      <c r="E526" s="509"/>
    </row>
    <row r="527" spans="1:26" ht="14.25" customHeight="1">
      <c r="A527" s="25" t="s">
        <v>13</v>
      </c>
      <c r="B527" s="53">
        <v>10000</v>
      </c>
      <c r="D527" s="98"/>
      <c r="E527" s="98"/>
    </row>
    <row r="528" spans="1:26" ht="14.25" customHeight="1">
      <c r="A528" s="25" t="s">
        <v>14</v>
      </c>
      <c r="B528" s="53">
        <v>10000</v>
      </c>
      <c r="D528" s="98"/>
      <c r="E528" s="98"/>
    </row>
    <row r="529" spans="1:26" ht="14.25" customHeight="1">
      <c r="A529" s="25">
        <v>2024</v>
      </c>
      <c r="B529" s="53"/>
      <c r="D529" s="98"/>
      <c r="E529" s="98"/>
    </row>
    <row r="530" spans="1:26" ht="14.25" customHeight="1">
      <c r="A530" s="25" t="s">
        <v>49</v>
      </c>
      <c r="B530" s="53">
        <v>10000</v>
      </c>
      <c r="D530" s="98"/>
      <c r="E530" s="98"/>
    </row>
    <row r="531" spans="1:26" ht="14.25" customHeight="1">
      <c r="A531" s="25" t="s">
        <v>50</v>
      </c>
      <c r="B531" s="53">
        <v>10000</v>
      </c>
      <c r="D531" s="98"/>
      <c r="E531" s="98"/>
    </row>
    <row r="532" spans="1:26" ht="14.25" customHeight="1">
      <c r="A532" s="25" t="s">
        <v>51</v>
      </c>
      <c r="B532" s="53">
        <v>10000</v>
      </c>
      <c r="D532" s="98"/>
      <c r="E532" s="98"/>
    </row>
    <row r="533" spans="1:26" ht="14.25" customHeight="1">
      <c r="A533" s="25" t="s">
        <v>52</v>
      </c>
      <c r="B533" s="53">
        <v>10000</v>
      </c>
      <c r="D533" s="98"/>
      <c r="E533" s="98"/>
    </row>
    <row r="534" spans="1:26" ht="14.25" customHeight="1">
      <c r="A534" s="25" t="s">
        <v>53</v>
      </c>
      <c r="B534" s="53">
        <v>10000</v>
      </c>
      <c r="D534" s="98"/>
      <c r="E534" s="98"/>
    </row>
    <row r="535" spans="1:26" ht="14.25" customHeight="1">
      <c r="A535" s="25" t="s">
        <v>54</v>
      </c>
      <c r="B535" s="53">
        <v>10000</v>
      </c>
      <c r="D535" s="98"/>
      <c r="E535" s="98"/>
    </row>
    <row r="536" spans="1:26" ht="14.25" customHeight="1">
      <c r="A536" s="25" t="s">
        <v>55</v>
      </c>
      <c r="B536" s="53">
        <v>10000</v>
      </c>
      <c r="D536" s="98"/>
      <c r="E536" s="98"/>
    </row>
    <row r="537" spans="1:26" ht="14.25" customHeight="1">
      <c r="A537" s="25" t="s">
        <v>56</v>
      </c>
      <c r="B537" s="53">
        <v>10000</v>
      </c>
      <c r="D537" s="98"/>
      <c r="E537" s="98"/>
    </row>
    <row r="538" spans="1:26" ht="14.25" customHeight="1">
      <c r="A538" s="25" t="s">
        <v>57</v>
      </c>
      <c r="B538" s="53">
        <v>10000</v>
      </c>
      <c r="D538" s="98"/>
      <c r="E538" s="98"/>
    </row>
    <row r="539" spans="1:26" ht="14.25" customHeight="1">
      <c r="A539" s="25" t="s">
        <v>926</v>
      </c>
      <c r="B539" s="53">
        <v>10000</v>
      </c>
      <c r="D539" s="98"/>
      <c r="E539" s="98"/>
    </row>
    <row r="540" spans="1:26" ht="14.25" customHeight="1">
      <c r="A540" s="25" t="s">
        <v>929</v>
      </c>
      <c r="B540" s="53">
        <v>5455</v>
      </c>
      <c r="D540" s="98"/>
      <c r="E540" s="98"/>
    </row>
    <row r="541" spans="1:26" ht="14.25" customHeight="1">
      <c r="A541" s="525" t="s">
        <v>409</v>
      </c>
      <c r="B541" s="538">
        <f>SUM(B521:B540)</f>
        <v>185455</v>
      </c>
      <c r="D541" s="98"/>
      <c r="E541" s="98"/>
    </row>
    <row r="542" spans="1:26" ht="14.25" customHeight="1">
      <c r="A542" s="509"/>
      <c r="B542" s="509"/>
      <c r="C542" s="509"/>
      <c r="F542" s="509"/>
      <c r="G542" s="509"/>
      <c r="H542" s="509"/>
      <c r="I542" s="509"/>
      <c r="J542" s="509"/>
      <c r="K542" s="509"/>
      <c r="L542" s="509"/>
      <c r="M542" s="509"/>
      <c r="N542" s="509"/>
      <c r="O542" s="509"/>
      <c r="P542" s="509"/>
      <c r="Q542" s="509"/>
      <c r="R542" s="509"/>
      <c r="S542" s="509"/>
      <c r="T542" s="509"/>
      <c r="U542" s="509"/>
      <c r="V542" s="509"/>
      <c r="W542" s="509"/>
      <c r="X542" s="509"/>
      <c r="Y542" s="509"/>
      <c r="Z542" s="509"/>
    </row>
    <row r="543" spans="1:26" ht="14.25" customHeight="1">
      <c r="A543" s="98"/>
      <c r="B543" s="98"/>
      <c r="C543" s="98"/>
      <c r="F543" s="98"/>
      <c r="G543" s="98"/>
      <c r="H543" s="98"/>
      <c r="I543" s="98"/>
      <c r="J543" s="98"/>
      <c r="K543" s="98"/>
      <c r="L543" s="98"/>
      <c r="M543" s="98"/>
      <c r="N543" s="98"/>
      <c r="O543" s="98"/>
      <c r="P543" s="98"/>
      <c r="Q543" s="98"/>
      <c r="R543" s="98"/>
      <c r="S543" s="98"/>
      <c r="T543" s="98"/>
      <c r="U543" s="98"/>
      <c r="V543" s="98"/>
      <c r="W543" s="98"/>
      <c r="X543" s="98"/>
      <c r="Y543" s="98"/>
      <c r="Z543" s="98"/>
    </row>
    <row r="544" spans="1:26" ht="14.25" customHeight="1">
      <c r="A544" s="502" t="s">
        <v>221</v>
      </c>
    </row>
    <row r="545" spans="1:5" ht="14.25" customHeight="1"/>
    <row r="546" spans="1:5" ht="14.25" customHeight="1">
      <c r="A546" s="522" t="s">
        <v>641</v>
      </c>
      <c r="B546" s="522"/>
    </row>
    <row r="547" spans="1:5" ht="14.25" customHeight="1">
      <c r="A547" s="527">
        <v>2023</v>
      </c>
    </row>
    <row r="548" spans="1:5" ht="14.25" customHeight="1">
      <c r="A548" s="25" t="s">
        <v>49</v>
      </c>
      <c r="B548" s="222">
        <f>'2023'!I25</f>
        <v>8000</v>
      </c>
    </row>
    <row r="549" spans="1:5" ht="14.25" customHeight="1">
      <c r="A549" s="25" t="s">
        <v>50</v>
      </c>
      <c r="B549" s="222">
        <f>'2023'!J25</f>
        <v>7826.086956521739</v>
      </c>
    </row>
    <row r="550" spans="1:5" ht="14.25" customHeight="1">
      <c r="A550" s="25" t="s">
        <v>51</v>
      </c>
      <c r="B550" s="222">
        <f>'2023'!K25</f>
        <v>10000</v>
      </c>
    </row>
    <row r="551" spans="1:5" ht="14.25" customHeight="1">
      <c r="A551" s="25" t="s">
        <v>52</v>
      </c>
      <c r="B551" s="222">
        <f>'2023'!L25</f>
        <v>10000</v>
      </c>
    </row>
    <row r="552" spans="1:5" ht="14.25" customHeight="1">
      <c r="A552" s="25" t="s">
        <v>53</v>
      </c>
      <c r="B552" s="222">
        <f>'2023'!M25</f>
        <v>10000</v>
      </c>
    </row>
    <row r="553" spans="1:5" ht="14.25" customHeight="1">
      <c r="A553" s="25" t="s">
        <v>54</v>
      </c>
      <c r="B553" s="222">
        <f>'2023'!N25</f>
        <v>8181.818181818182</v>
      </c>
    </row>
    <row r="554" spans="1:5" ht="14.25" customHeight="1">
      <c r="A554" s="25" t="s">
        <v>55</v>
      </c>
      <c r="B554" s="222">
        <f>'2023'!O25</f>
        <v>10000</v>
      </c>
    </row>
    <row r="555" spans="1:5" ht="14.25" customHeight="1">
      <c r="A555" s="25" t="s">
        <v>56</v>
      </c>
      <c r="B555" s="222">
        <f>'2023'!P25</f>
        <v>10000</v>
      </c>
    </row>
    <row r="556" spans="1:5" ht="14.25" customHeight="1">
      <c r="A556" s="25" t="s">
        <v>57</v>
      </c>
      <c r="B556" s="222">
        <f>'2023'!Q25</f>
        <v>10000</v>
      </c>
    </row>
    <row r="557" spans="1:5" ht="14.25" customHeight="1">
      <c r="A557" s="25" t="s">
        <v>12</v>
      </c>
      <c r="B557" s="222">
        <f>'2023'!R25</f>
        <v>10000</v>
      </c>
    </row>
    <row r="558" spans="1:5" ht="14.25" customHeight="1">
      <c r="A558" s="25" t="s">
        <v>13</v>
      </c>
      <c r="B558" s="222">
        <f>'2023'!S25</f>
        <v>10000</v>
      </c>
    </row>
    <row r="559" spans="1:5" ht="14.25" customHeight="1">
      <c r="A559" s="25" t="s">
        <v>14</v>
      </c>
      <c r="B559" s="222">
        <f>'2023'!T25</f>
        <v>10000</v>
      </c>
      <c r="D559" s="509"/>
      <c r="E559" s="509"/>
    </row>
    <row r="560" spans="1:5" ht="14.25" customHeight="1">
      <c r="A560" s="522" t="s">
        <v>126</v>
      </c>
      <c r="B560" s="567">
        <f>SUM(B548:B559)</f>
        <v>114007.90513833993</v>
      </c>
    </row>
    <row r="561" spans="1:26" ht="14.25" customHeight="1">
      <c r="A561" s="509"/>
      <c r="B561" s="509"/>
      <c r="C561" s="509"/>
      <c r="F561" s="509"/>
      <c r="G561" s="509"/>
      <c r="H561" s="509"/>
      <c r="I561" s="509"/>
      <c r="J561" s="509"/>
      <c r="K561" s="509"/>
      <c r="L561" s="509"/>
      <c r="M561" s="509"/>
      <c r="N561" s="509"/>
      <c r="O561" s="509"/>
      <c r="P561" s="509"/>
      <c r="Q561" s="509"/>
      <c r="R561" s="509"/>
      <c r="S561" s="509"/>
      <c r="T561" s="509"/>
      <c r="U561" s="509"/>
      <c r="V561" s="509"/>
      <c r="W561" s="509"/>
      <c r="X561" s="509"/>
      <c r="Y561" s="509"/>
      <c r="Z561" s="509"/>
    </row>
    <row r="562" spans="1:26" ht="14.25" customHeight="1">
      <c r="A562" s="502" t="s">
        <v>306</v>
      </c>
    </row>
    <row r="563" spans="1:26" ht="14.25" customHeight="1"/>
    <row r="564" spans="1:26" ht="14.25" customHeight="1">
      <c r="A564" s="522" t="s">
        <v>642</v>
      </c>
      <c r="B564" s="522"/>
    </row>
    <row r="565" spans="1:26" ht="14.25" customHeight="1">
      <c r="A565" s="527">
        <v>2022</v>
      </c>
    </row>
    <row r="566" spans="1:26" ht="14.25" customHeight="1">
      <c r="A566" s="25" t="s">
        <v>643</v>
      </c>
      <c r="B566" s="570">
        <f>4000/21*9+10000/21*12-1714</f>
        <v>5714.5714285714294</v>
      </c>
    </row>
    <row r="567" spans="1:26" ht="14.25" customHeight="1">
      <c r="A567" s="25" t="s">
        <v>13</v>
      </c>
      <c r="B567" s="25">
        <v>10000</v>
      </c>
    </row>
    <row r="568" spans="1:26" ht="14.25" customHeight="1">
      <c r="A568" s="4" t="s">
        <v>14</v>
      </c>
      <c r="B568" s="222">
        <f>'2022'!$R$52</f>
        <v>4761.9047619047624</v>
      </c>
    </row>
    <row r="569" spans="1:26" ht="14.25" customHeight="1">
      <c r="A569" s="524">
        <v>2023</v>
      </c>
      <c r="B569" s="25"/>
    </row>
    <row r="570" spans="1:26" ht="14.25" customHeight="1">
      <c r="A570" s="25" t="s">
        <v>49</v>
      </c>
      <c r="B570" s="25">
        <v>10000</v>
      </c>
    </row>
    <row r="571" spans="1:26" ht="14.25" customHeight="1">
      <c r="A571" s="25" t="s">
        <v>644</v>
      </c>
      <c r="B571" s="25">
        <v>5000</v>
      </c>
      <c r="D571" s="557"/>
    </row>
    <row r="572" spans="1:26" ht="14.25" customHeight="1">
      <c r="A572" s="25" t="s">
        <v>589</v>
      </c>
      <c r="B572" s="25">
        <v>0</v>
      </c>
    </row>
    <row r="573" spans="1:26" ht="14.25" customHeight="1">
      <c r="A573" s="25" t="s">
        <v>645</v>
      </c>
      <c r="B573" s="25">
        <v>5000</v>
      </c>
    </row>
    <row r="574" spans="1:26" ht="14.25" customHeight="1">
      <c r="A574" s="25" t="s">
        <v>53</v>
      </c>
      <c r="B574" s="25">
        <v>0</v>
      </c>
    </row>
    <row r="575" spans="1:26" ht="14.25" customHeight="1">
      <c r="A575" s="25" t="s">
        <v>54</v>
      </c>
      <c r="B575" s="25">
        <v>5000</v>
      </c>
    </row>
    <row r="576" spans="1:26" ht="14.25" customHeight="1">
      <c r="A576" s="25" t="s">
        <v>9</v>
      </c>
      <c r="B576" s="25">
        <v>5000</v>
      </c>
    </row>
    <row r="577" spans="1:26" ht="14.25" customHeight="1">
      <c r="A577" s="25" t="s">
        <v>56</v>
      </c>
      <c r="B577" s="25">
        <v>5000</v>
      </c>
    </row>
    <row r="578" spans="1:26" ht="14.25" customHeight="1">
      <c r="A578" s="25" t="s">
        <v>646</v>
      </c>
      <c r="B578" s="25">
        <v>10000</v>
      </c>
      <c r="D578" s="509"/>
      <c r="E578" s="509"/>
    </row>
    <row r="579" spans="1:26" ht="14.25" customHeight="1">
      <c r="A579" s="522" t="s">
        <v>126</v>
      </c>
      <c r="B579" s="567">
        <f>SUM(B566:B578)</f>
        <v>65476.476190476191</v>
      </c>
    </row>
    <row r="580" spans="1:26" ht="14.25" customHeight="1">
      <c r="A580" s="509"/>
      <c r="B580" s="509"/>
      <c r="C580" s="509"/>
      <c r="F580" s="509"/>
      <c r="G580" s="509"/>
      <c r="H580" s="509"/>
      <c r="I580" s="509"/>
      <c r="J580" s="509"/>
      <c r="K580" s="509"/>
      <c r="L580" s="509"/>
      <c r="M580" s="509"/>
      <c r="N580" s="509"/>
      <c r="O580" s="509"/>
      <c r="P580" s="509"/>
      <c r="Q580" s="509"/>
      <c r="R580" s="509"/>
      <c r="S580" s="509"/>
      <c r="T580" s="509"/>
      <c r="U580" s="509"/>
      <c r="V580" s="509"/>
      <c r="W580" s="509"/>
      <c r="X580" s="509"/>
      <c r="Y580" s="509"/>
      <c r="Z580" s="509"/>
    </row>
    <row r="581" spans="1:26" ht="14.25" customHeight="1">
      <c r="A581" s="502" t="s">
        <v>647</v>
      </c>
    </row>
    <row r="582" spans="1:26" ht="14.25" customHeight="1"/>
    <row r="583" spans="1:26" ht="14.25" customHeight="1">
      <c r="A583" s="522" t="s">
        <v>648</v>
      </c>
      <c r="B583" s="522"/>
    </row>
    <row r="584" spans="1:26" ht="14.25" customHeight="1">
      <c r="A584" s="524">
        <v>2023</v>
      </c>
      <c r="B584" s="25"/>
    </row>
    <row r="585" spans="1:26" ht="14.25" customHeight="1">
      <c r="A585" s="25" t="s">
        <v>49</v>
      </c>
      <c r="B585" s="25">
        <v>5818</v>
      </c>
    </row>
    <row r="586" spans="1:26" ht="14.25" customHeight="1">
      <c r="A586" s="25" t="s">
        <v>50</v>
      </c>
      <c r="B586" s="25">
        <v>5000</v>
      </c>
    </row>
    <row r="587" spans="1:26" ht="14.25" customHeight="1">
      <c r="A587" s="25" t="s">
        <v>589</v>
      </c>
      <c r="B587" s="25">
        <v>5000</v>
      </c>
    </row>
    <row r="588" spans="1:26" ht="14.25" customHeight="1">
      <c r="A588" s="25" t="s">
        <v>6</v>
      </c>
      <c r="B588" s="25">
        <v>5000</v>
      </c>
    </row>
    <row r="589" spans="1:26" ht="14.25" customHeight="1">
      <c r="A589" s="25" t="s">
        <v>53</v>
      </c>
      <c r="B589" s="25">
        <v>5000</v>
      </c>
    </row>
    <row r="590" spans="1:26" ht="14.25" customHeight="1">
      <c r="A590" s="25" t="s">
        <v>8</v>
      </c>
      <c r="B590" s="25">
        <v>5000</v>
      </c>
    </row>
    <row r="591" spans="1:26" ht="14.25" customHeight="1">
      <c r="A591" s="25" t="s">
        <v>649</v>
      </c>
      <c r="B591" s="25">
        <v>5000</v>
      </c>
    </row>
    <row r="592" spans="1:26" ht="14.25" customHeight="1">
      <c r="A592" s="25" t="s">
        <v>650</v>
      </c>
      <c r="B592" s="25">
        <v>5000</v>
      </c>
    </row>
    <row r="593" spans="1:26" ht="14.25" customHeight="1">
      <c r="A593" s="25" t="s">
        <v>11</v>
      </c>
      <c r="B593" s="25">
        <v>5000</v>
      </c>
    </row>
    <row r="594" spans="1:26" ht="14.25" customHeight="1">
      <c r="A594" s="25" t="s">
        <v>12</v>
      </c>
      <c r="B594" s="25">
        <v>5000</v>
      </c>
      <c r="D594" s="509"/>
      <c r="E594" s="509"/>
    </row>
    <row r="595" spans="1:26" ht="14.25" customHeight="1">
      <c r="A595" s="522" t="s">
        <v>126</v>
      </c>
      <c r="B595" s="522">
        <f>SUM(B585:B594)</f>
        <v>50818</v>
      </c>
    </row>
    <row r="596" spans="1:26" ht="14.25" customHeight="1">
      <c r="A596" s="509"/>
      <c r="B596" s="509"/>
      <c r="C596" s="509"/>
      <c r="F596" s="509"/>
      <c r="G596" s="509"/>
      <c r="H596" s="509"/>
      <c r="I596" s="509"/>
      <c r="J596" s="509"/>
      <c r="K596" s="509"/>
      <c r="L596" s="509"/>
      <c r="M596" s="509"/>
      <c r="N596" s="509"/>
      <c r="O596" s="509"/>
      <c r="P596" s="509"/>
      <c r="Q596" s="509"/>
      <c r="R596" s="509"/>
      <c r="S596" s="509"/>
      <c r="T596" s="509"/>
      <c r="U596" s="509"/>
      <c r="V596" s="509"/>
      <c r="W596" s="509"/>
      <c r="X596" s="509"/>
      <c r="Y596" s="509"/>
      <c r="Z596" s="509"/>
    </row>
    <row r="597" spans="1:26" ht="14.25" customHeight="1">
      <c r="A597" s="502" t="s">
        <v>240</v>
      </c>
    </row>
    <row r="598" spans="1:26" ht="14.25" customHeight="1"/>
    <row r="599" spans="1:26" ht="14.25" customHeight="1">
      <c r="A599" s="522" t="s">
        <v>651</v>
      </c>
      <c r="B599" s="522"/>
    </row>
    <row r="600" spans="1:26" ht="14.25" customHeight="1">
      <c r="A600" s="524">
        <v>2023</v>
      </c>
      <c r="B600" s="25"/>
    </row>
    <row r="601" spans="1:26" ht="14.25" customHeight="1">
      <c r="A601" s="25"/>
      <c r="B601" s="25"/>
    </row>
    <row r="602" spans="1:26" ht="14.25" customHeight="1">
      <c r="A602" s="25" t="s">
        <v>9</v>
      </c>
      <c r="B602" s="25">
        <v>5000</v>
      </c>
    </row>
    <row r="603" spans="1:26" ht="14.25" customHeight="1">
      <c r="A603" s="25" t="s">
        <v>10</v>
      </c>
      <c r="B603" s="25">
        <v>5000</v>
      </c>
    </row>
    <row r="604" spans="1:26" ht="14.25" customHeight="1">
      <c r="A604" s="25" t="s">
        <v>652</v>
      </c>
      <c r="B604" s="25">
        <v>5000</v>
      </c>
    </row>
    <row r="605" spans="1:26" ht="14.25" customHeight="1">
      <c r="A605" s="25" t="s">
        <v>12</v>
      </c>
      <c r="B605" s="25">
        <v>5000</v>
      </c>
    </row>
    <row r="606" spans="1:26" ht="14.25" customHeight="1">
      <c r="A606" s="25" t="s">
        <v>13</v>
      </c>
      <c r="B606" s="25"/>
    </row>
    <row r="607" spans="1:26" ht="14.25" customHeight="1">
      <c r="A607" s="25" t="s">
        <v>14</v>
      </c>
      <c r="B607" s="25"/>
    </row>
    <row r="608" spans="1:26" ht="14.25" customHeight="1">
      <c r="A608" s="25">
        <v>2024</v>
      </c>
      <c r="B608" s="25"/>
    </row>
    <row r="609" spans="1:26" ht="14.25" customHeight="1">
      <c r="A609" s="25" t="s">
        <v>49</v>
      </c>
      <c r="B609" s="25"/>
    </row>
    <row r="610" spans="1:26" ht="14.25" customHeight="1">
      <c r="A610" s="25" t="s">
        <v>50</v>
      </c>
      <c r="B610" s="25"/>
    </row>
    <row r="611" spans="1:26" ht="14.25" customHeight="1">
      <c r="A611" s="25" t="s">
        <v>51</v>
      </c>
      <c r="B611" s="25"/>
    </row>
    <row r="612" spans="1:26" ht="14.25" customHeight="1">
      <c r="A612" s="25" t="s">
        <v>52</v>
      </c>
      <c r="B612" s="25"/>
    </row>
    <row r="613" spans="1:26" ht="14.25" customHeight="1">
      <c r="A613" s="25" t="s">
        <v>53</v>
      </c>
      <c r="B613" s="25"/>
    </row>
    <row r="614" spans="1:26" ht="14.25" customHeight="1">
      <c r="A614" s="25" t="s">
        <v>54</v>
      </c>
      <c r="B614" s="25"/>
    </row>
    <row r="615" spans="1:26" ht="14.25" customHeight="1">
      <c r="A615" s="25" t="s">
        <v>55</v>
      </c>
      <c r="B615" s="25"/>
    </row>
    <row r="616" spans="1:26" ht="14.25" customHeight="1">
      <c r="A616" s="25" t="s">
        <v>56</v>
      </c>
      <c r="B616" s="98"/>
      <c r="D616" s="509"/>
      <c r="E616" s="509"/>
    </row>
    <row r="617" spans="1:26" ht="14.25" customHeight="1">
      <c r="A617" s="522" t="s">
        <v>126</v>
      </c>
      <c r="B617" s="522">
        <f>SUM(B602:B605)</f>
        <v>20000</v>
      </c>
    </row>
    <row r="618" spans="1:26" ht="14.25" customHeight="1">
      <c r="A618" s="509"/>
      <c r="B618" s="509"/>
      <c r="C618" s="509"/>
      <c r="F618" s="509"/>
      <c r="G618" s="509"/>
      <c r="H618" s="509"/>
      <c r="I618" s="509"/>
      <c r="J618" s="509"/>
      <c r="K618" s="509"/>
      <c r="L618" s="509"/>
      <c r="M618" s="509"/>
      <c r="N618" s="509"/>
      <c r="O618" s="509"/>
      <c r="P618" s="509"/>
      <c r="Q618" s="509"/>
      <c r="R618" s="509"/>
      <c r="S618" s="509"/>
      <c r="T618" s="509"/>
      <c r="U618" s="509"/>
      <c r="V618" s="509"/>
      <c r="W618" s="509"/>
      <c r="X618" s="509"/>
      <c r="Y618" s="509"/>
      <c r="Z618" s="509"/>
    </row>
    <row r="619" spans="1:26" ht="14.25" customHeight="1">
      <c r="A619" s="502" t="s">
        <v>244</v>
      </c>
    </row>
    <row r="620" spans="1:26" ht="14.25" customHeight="1"/>
    <row r="621" spans="1:26" ht="14.25" customHeight="1">
      <c r="A621" s="522" t="s">
        <v>653</v>
      </c>
      <c r="B621" s="522"/>
    </row>
    <row r="622" spans="1:26" ht="14.25" customHeight="1">
      <c r="A622" s="517">
        <v>2023</v>
      </c>
      <c r="B622" s="25"/>
    </row>
    <row r="623" spans="1:26" ht="14.25" customHeight="1">
      <c r="A623" s="25"/>
      <c r="B623" s="25"/>
    </row>
    <row r="624" spans="1:26" ht="14.25" customHeight="1">
      <c r="A624" s="25" t="s">
        <v>8</v>
      </c>
      <c r="B624" s="571">
        <v>6591</v>
      </c>
    </row>
    <row r="625" spans="1:26" ht="14.25" customHeight="1">
      <c r="A625" s="25" t="s">
        <v>9</v>
      </c>
      <c r="B625" s="25">
        <v>7000</v>
      </c>
    </row>
    <row r="626" spans="1:26" ht="14.25" customHeight="1">
      <c r="A626" s="25" t="s">
        <v>654</v>
      </c>
      <c r="B626" s="25">
        <v>7000</v>
      </c>
    </row>
    <row r="627" spans="1:26" ht="14.25" customHeight="1">
      <c r="A627" s="25" t="s">
        <v>655</v>
      </c>
      <c r="B627" s="25">
        <v>2000</v>
      </c>
    </row>
    <row r="628" spans="1:26" ht="14.25" customHeight="1">
      <c r="A628" s="25" t="s">
        <v>12</v>
      </c>
      <c r="B628" s="25">
        <v>7000</v>
      </c>
    </row>
    <row r="629" spans="1:26" ht="14.25" customHeight="1">
      <c r="A629" s="314"/>
      <c r="B629" s="25"/>
    </row>
    <row r="630" spans="1:26" ht="14.25" customHeight="1">
      <c r="A630" s="25"/>
      <c r="B630" s="25"/>
      <c r="D630" s="509"/>
      <c r="E630" s="509"/>
    </row>
    <row r="631" spans="1:26" ht="14.25" customHeight="1">
      <c r="A631" s="522" t="s">
        <v>126</v>
      </c>
      <c r="B631" s="572">
        <f>SUM(B624:B628)</f>
        <v>29591</v>
      </c>
    </row>
    <row r="632" spans="1:26" ht="14.25" customHeight="1">
      <c r="A632" s="509"/>
      <c r="B632" s="509"/>
      <c r="C632" s="509"/>
      <c r="F632" s="509"/>
      <c r="G632" s="509"/>
      <c r="H632" s="509"/>
      <c r="I632" s="509"/>
      <c r="J632" s="509"/>
      <c r="K632" s="509"/>
      <c r="L632" s="509"/>
      <c r="M632" s="509"/>
      <c r="N632" s="509"/>
      <c r="O632" s="509"/>
      <c r="P632" s="509"/>
      <c r="Q632" s="509"/>
      <c r="R632" s="509"/>
      <c r="S632" s="509"/>
      <c r="T632" s="509"/>
      <c r="U632" s="509"/>
      <c r="V632" s="509"/>
      <c r="W632" s="509"/>
      <c r="X632" s="509"/>
      <c r="Y632" s="509"/>
      <c r="Z632" s="509"/>
    </row>
    <row r="633" spans="1:26" ht="14.25" customHeight="1">
      <c r="A633" s="502" t="s">
        <v>656</v>
      </c>
    </row>
    <row r="634" spans="1:26" ht="14.25" customHeight="1"/>
    <row r="635" spans="1:26" ht="14.25" customHeight="1">
      <c r="A635" s="522" t="s">
        <v>657</v>
      </c>
      <c r="B635" s="522"/>
    </row>
    <row r="636" spans="1:26" ht="14.25" customHeight="1">
      <c r="A636" s="517" t="s">
        <v>49</v>
      </c>
      <c r="B636" s="222">
        <v>1455</v>
      </c>
    </row>
    <row r="637" spans="1:26" ht="14.25" customHeight="1">
      <c r="A637" s="25" t="s">
        <v>50</v>
      </c>
      <c r="B637" s="222">
        <v>8000</v>
      </c>
    </row>
    <row r="638" spans="1:26" ht="14.25" customHeight="1">
      <c r="A638" s="25" t="s">
        <v>51</v>
      </c>
      <c r="B638" s="222">
        <v>7000</v>
      </c>
    </row>
    <row r="639" spans="1:26" ht="14.25" customHeight="1">
      <c r="A639" s="25" t="s">
        <v>52</v>
      </c>
      <c r="B639" s="222">
        <v>7000</v>
      </c>
    </row>
    <row r="640" spans="1:26" ht="14.25" customHeight="1">
      <c r="A640" s="25" t="s">
        <v>53</v>
      </c>
      <c r="B640" s="222">
        <v>1818.1818181818201</v>
      </c>
    </row>
    <row r="641" spans="1:26" ht="14.25" customHeight="1">
      <c r="A641" s="25" t="s">
        <v>54</v>
      </c>
      <c r="B641" s="222">
        <v>5000</v>
      </c>
    </row>
    <row r="642" spans="1:26" ht="14.25" customHeight="1">
      <c r="A642" s="25" t="s">
        <v>55</v>
      </c>
      <c r="B642" s="222">
        <v>7000</v>
      </c>
    </row>
    <row r="643" spans="1:26" ht="14.25" customHeight="1">
      <c r="A643" s="25" t="s">
        <v>56</v>
      </c>
      <c r="B643" s="222">
        <v>7000</v>
      </c>
    </row>
    <row r="644" spans="1:26" ht="14.25" customHeight="1">
      <c r="A644" s="25" t="s">
        <v>57</v>
      </c>
      <c r="B644" s="222">
        <v>10000</v>
      </c>
    </row>
    <row r="645" spans="1:26" ht="14.25" customHeight="1">
      <c r="A645" s="25" t="s">
        <v>12</v>
      </c>
      <c r="B645" s="222">
        <v>10000</v>
      </c>
    </row>
    <row r="646" spans="1:26" ht="14.25" customHeight="1">
      <c r="A646" s="25" t="s">
        <v>13</v>
      </c>
      <c r="B646" s="222">
        <v>7826.0869565217399</v>
      </c>
    </row>
    <row r="647" spans="1:26" ht="14.25" customHeight="1">
      <c r="A647" s="25" t="s">
        <v>14</v>
      </c>
      <c r="B647" s="222">
        <v>5000</v>
      </c>
    </row>
    <row r="648" spans="1:26" ht="14.25" customHeight="1">
      <c r="A648" s="25" t="s">
        <v>49</v>
      </c>
      <c r="B648" s="222">
        <v>10000</v>
      </c>
      <c r="D648" s="509"/>
      <c r="E648" s="509"/>
    </row>
    <row r="649" spans="1:26" ht="14.25" customHeight="1">
      <c r="A649" s="525" t="s">
        <v>126</v>
      </c>
      <c r="B649" s="538">
        <f>SUM(B636:B648)</f>
        <v>87099.268774703567</v>
      </c>
    </row>
    <row r="650" spans="1:26" ht="14.25" customHeight="1">
      <c r="A650" s="509"/>
      <c r="B650" s="509"/>
      <c r="C650" s="509"/>
      <c r="F650" s="509"/>
      <c r="G650" s="509"/>
      <c r="H650" s="509"/>
      <c r="I650" s="509"/>
      <c r="J650" s="509"/>
      <c r="K650" s="509"/>
      <c r="L650" s="509"/>
      <c r="M650" s="509"/>
      <c r="N650" s="509"/>
      <c r="O650" s="509"/>
      <c r="P650" s="509"/>
      <c r="Q650" s="509"/>
      <c r="R650" s="509"/>
      <c r="S650" s="509"/>
      <c r="T650" s="509"/>
      <c r="U650" s="509"/>
      <c r="V650" s="509"/>
      <c r="W650" s="509"/>
      <c r="X650" s="509"/>
      <c r="Y650" s="509"/>
      <c r="Z650" s="509"/>
    </row>
    <row r="651" spans="1:26" ht="14.25" customHeight="1">
      <c r="A651" s="502" t="s">
        <v>313</v>
      </c>
    </row>
    <row r="652" spans="1:26" ht="14.25" customHeight="1"/>
    <row r="653" spans="1:26" ht="14.25" customHeight="1">
      <c r="A653" s="522" t="s">
        <v>658</v>
      </c>
      <c r="B653" s="522"/>
    </row>
    <row r="654" spans="1:26" ht="14.25" customHeight="1">
      <c r="A654" s="524">
        <v>2022</v>
      </c>
      <c r="B654" s="25"/>
    </row>
    <row r="655" spans="1:26" ht="14.25" customHeight="1">
      <c r="A655" s="25" t="s">
        <v>13</v>
      </c>
      <c r="B655" s="570">
        <f>10000/23*17</f>
        <v>7391.304347826087</v>
      </c>
    </row>
    <row r="656" spans="1:26" ht="14.25" customHeight="1">
      <c r="A656" s="25" t="s">
        <v>14</v>
      </c>
      <c r="B656" s="25">
        <v>5000</v>
      </c>
    </row>
    <row r="657" spans="1:26" ht="14.25" customHeight="1">
      <c r="A657" s="25"/>
      <c r="B657" s="25"/>
    </row>
    <row r="658" spans="1:26" ht="14.25" customHeight="1">
      <c r="A658" s="524">
        <v>2023</v>
      </c>
      <c r="B658" s="25"/>
    </row>
    <row r="659" spans="1:26" ht="14.25" customHeight="1">
      <c r="A659" s="25" t="s">
        <v>49</v>
      </c>
      <c r="B659" s="25">
        <v>3000</v>
      </c>
    </row>
    <row r="660" spans="1:26" ht="14.25" customHeight="1">
      <c r="A660" s="25" t="s">
        <v>50</v>
      </c>
      <c r="B660" s="25">
        <v>4000</v>
      </c>
    </row>
    <row r="661" spans="1:26" ht="14.25" customHeight="1">
      <c r="A661" s="25" t="s">
        <v>589</v>
      </c>
      <c r="B661" s="25">
        <v>5000</v>
      </c>
    </row>
    <row r="662" spans="1:26" ht="14.25" customHeight="1">
      <c r="A662" s="25" t="s">
        <v>659</v>
      </c>
      <c r="B662" s="25">
        <v>5000</v>
      </c>
    </row>
    <row r="663" spans="1:26" ht="14.25" customHeight="1">
      <c r="A663" s="25" t="s">
        <v>7</v>
      </c>
      <c r="B663" s="25">
        <v>5000</v>
      </c>
    </row>
    <row r="664" spans="1:26" ht="14.25" customHeight="1">
      <c r="A664" s="25" t="s">
        <v>8</v>
      </c>
      <c r="B664" s="25">
        <v>5000</v>
      </c>
    </row>
    <row r="665" spans="1:26" ht="14.25" customHeight="1">
      <c r="A665" s="25" t="s">
        <v>9</v>
      </c>
      <c r="B665" s="25">
        <v>5000</v>
      </c>
    </row>
    <row r="666" spans="1:26" ht="14.25" customHeight="1">
      <c r="A666" s="25" t="s">
        <v>654</v>
      </c>
      <c r="B666" s="25">
        <v>4000</v>
      </c>
    </row>
    <row r="667" spans="1:26" ht="14.25" customHeight="1">
      <c r="A667" s="25" t="s">
        <v>11</v>
      </c>
      <c r="B667" s="25">
        <v>6000</v>
      </c>
    </row>
    <row r="668" spans="1:26" ht="14.25" customHeight="1">
      <c r="A668" s="25" t="s">
        <v>12</v>
      </c>
      <c r="B668" s="53">
        <f>'2023'!$R$52</f>
        <v>7954.545454545455</v>
      </c>
      <c r="D668" s="509"/>
      <c r="E668" s="509"/>
    </row>
    <row r="669" spans="1:26" ht="14.25" customHeight="1">
      <c r="A669" s="522" t="s">
        <v>126</v>
      </c>
      <c r="B669" s="567">
        <f>SUM(B655:B668)</f>
        <v>62345.849802371544</v>
      </c>
    </row>
    <row r="670" spans="1:26" ht="14.25" customHeight="1">
      <c r="A670" s="509"/>
      <c r="B670" s="509"/>
      <c r="C670" s="509"/>
      <c r="F670" s="509"/>
      <c r="G670" s="509"/>
      <c r="H670" s="509"/>
      <c r="I670" s="509"/>
      <c r="J670" s="509"/>
      <c r="K670" s="509"/>
      <c r="L670" s="509"/>
      <c r="M670" s="509"/>
      <c r="N670" s="509"/>
      <c r="O670" s="509"/>
      <c r="P670" s="509"/>
      <c r="Q670" s="509"/>
      <c r="R670" s="509"/>
      <c r="S670" s="509"/>
      <c r="T670" s="509"/>
      <c r="U670" s="509"/>
      <c r="V670" s="509"/>
      <c r="W670" s="509"/>
      <c r="X670" s="509"/>
      <c r="Y670" s="509"/>
      <c r="Z670" s="509"/>
    </row>
    <row r="671" spans="1:26" ht="14.25" customHeight="1">
      <c r="A671" s="502" t="s">
        <v>228</v>
      </c>
    </row>
    <row r="672" spans="1:26" ht="14.25" customHeight="1"/>
    <row r="673" spans="1:26" ht="14.25" customHeight="1">
      <c r="A673" s="522" t="s">
        <v>660</v>
      </c>
      <c r="B673" s="522"/>
    </row>
    <row r="674" spans="1:26" ht="14.25" customHeight="1">
      <c r="A674" s="524">
        <v>2022</v>
      </c>
      <c r="B674" s="25"/>
    </row>
    <row r="675" spans="1:26" ht="14.25" customHeight="1">
      <c r="A675" s="25" t="s">
        <v>14</v>
      </c>
      <c r="B675" s="222">
        <f>'2022'!R30</f>
        <v>9000</v>
      </c>
    </row>
    <row r="676" spans="1:26" ht="14.25" customHeight="1">
      <c r="A676" s="524">
        <v>2023</v>
      </c>
      <c r="B676" s="222"/>
    </row>
    <row r="677" spans="1:26" ht="14.25" customHeight="1">
      <c r="A677" s="25" t="s">
        <v>49</v>
      </c>
      <c r="B677" s="222">
        <f>'2023'!I33</f>
        <v>9000</v>
      </c>
    </row>
    <row r="678" spans="1:26" ht="14.25" customHeight="1">
      <c r="A678" s="25" t="s">
        <v>50</v>
      </c>
      <c r="B678" s="222">
        <f>'2023'!J33</f>
        <v>10000</v>
      </c>
    </row>
    <row r="679" spans="1:26" ht="14.25" customHeight="1">
      <c r="A679" s="25" t="s">
        <v>589</v>
      </c>
      <c r="B679" s="222">
        <f>'2023'!K33</f>
        <v>10000</v>
      </c>
    </row>
    <row r="680" spans="1:26" ht="14.25" customHeight="1">
      <c r="A680" s="25" t="s">
        <v>659</v>
      </c>
      <c r="B680" s="222">
        <f>'2023'!L33</f>
        <v>10000</v>
      </c>
    </row>
    <row r="681" spans="1:26" ht="14.25" customHeight="1">
      <c r="A681" s="25" t="s">
        <v>7</v>
      </c>
      <c r="B681" s="222">
        <f>'2023'!M33</f>
        <v>0</v>
      </c>
    </row>
    <row r="682" spans="1:26" ht="14.25" customHeight="1">
      <c r="A682" s="25" t="s">
        <v>8</v>
      </c>
      <c r="B682" s="222">
        <f>'2023'!N33</f>
        <v>10000</v>
      </c>
    </row>
    <row r="683" spans="1:26" ht="14.25" customHeight="1">
      <c r="A683" s="25" t="s">
        <v>9</v>
      </c>
      <c r="B683" s="222">
        <f>'2023'!O33</f>
        <v>9000</v>
      </c>
    </row>
    <row r="684" spans="1:26" ht="14.25" customHeight="1">
      <c r="A684" s="25" t="s">
        <v>654</v>
      </c>
      <c r="B684" s="222">
        <f>'2023'!P33</f>
        <v>8000</v>
      </c>
    </row>
    <row r="685" spans="1:26" ht="14.25" customHeight="1">
      <c r="A685" s="25" t="s">
        <v>11</v>
      </c>
      <c r="B685" s="222">
        <f>'2023'!Q33</f>
        <v>8000</v>
      </c>
    </row>
    <row r="686" spans="1:26" ht="14.25" customHeight="1">
      <c r="A686" s="25" t="s">
        <v>12</v>
      </c>
      <c r="B686" s="222">
        <f>'2023'!R33</f>
        <v>10000</v>
      </c>
      <c r="D686" s="509"/>
      <c r="E686" s="509"/>
    </row>
    <row r="687" spans="1:26" ht="14.25" customHeight="1">
      <c r="A687" s="522" t="s">
        <v>126</v>
      </c>
      <c r="B687" s="567">
        <f>SUM(B675:B686)</f>
        <v>93000</v>
      </c>
    </row>
    <row r="688" spans="1:26" ht="14.25" customHeight="1">
      <c r="A688" s="509"/>
      <c r="B688" s="509"/>
      <c r="C688" s="509"/>
      <c r="F688" s="509"/>
      <c r="G688" s="509"/>
      <c r="H688" s="509"/>
      <c r="I688" s="509"/>
      <c r="J688" s="509"/>
      <c r="K688" s="509"/>
      <c r="L688" s="509"/>
      <c r="M688" s="509"/>
      <c r="N688" s="509"/>
      <c r="O688" s="509"/>
      <c r="P688" s="509"/>
      <c r="Q688" s="509"/>
      <c r="R688" s="509"/>
      <c r="S688" s="509"/>
      <c r="T688" s="509"/>
      <c r="U688" s="509"/>
      <c r="V688" s="509"/>
      <c r="W688" s="509"/>
      <c r="X688" s="509"/>
      <c r="Y688" s="509"/>
      <c r="Z688" s="509"/>
    </row>
    <row r="689" spans="1:2" ht="14.25" customHeight="1">
      <c r="A689" s="502" t="s">
        <v>376</v>
      </c>
    </row>
    <row r="690" spans="1:2" ht="14.25" customHeight="1"/>
    <row r="691" spans="1:2" ht="14.25" customHeight="1">
      <c r="A691" s="522" t="s">
        <v>661</v>
      </c>
      <c r="B691" s="522"/>
    </row>
    <row r="692" spans="1:2" ht="14.25" customHeight="1">
      <c r="A692" s="524">
        <v>2022</v>
      </c>
      <c r="B692" s="25"/>
    </row>
    <row r="693" spans="1:2" ht="14.25" customHeight="1">
      <c r="A693" s="25" t="s">
        <v>12</v>
      </c>
      <c r="B693" s="222">
        <f>'2022'!P56</f>
        <v>3500</v>
      </c>
    </row>
    <row r="694" spans="1:2" ht="14.25" customHeight="1">
      <c r="A694" s="25" t="s">
        <v>13</v>
      </c>
      <c r="B694" s="222">
        <f>'2022'!Q56</f>
        <v>4000</v>
      </c>
    </row>
    <row r="695" spans="1:2" ht="14.25" customHeight="1">
      <c r="A695" s="25" t="s">
        <v>14</v>
      </c>
      <c r="B695" s="222">
        <f>'2022'!R56</f>
        <v>5000</v>
      </c>
    </row>
    <row r="696" spans="1:2" ht="14.25" customHeight="1">
      <c r="A696" s="524">
        <v>2023</v>
      </c>
      <c r="B696" s="222"/>
    </row>
    <row r="697" spans="1:2" ht="14.25" customHeight="1">
      <c r="A697" s="25" t="s">
        <v>49</v>
      </c>
      <c r="B697" s="222">
        <f>'2023'!I38</f>
        <v>4000</v>
      </c>
    </row>
    <row r="698" spans="1:2" ht="14.25" customHeight="1">
      <c r="A698" s="25" t="s">
        <v>50</v>
      </c>
      <c r="B698" s="222">
        <f>'2023'!J38</f>
        <v>4000</v>
      </c>
    </row>
    <row r="699" spans="1:2" ht="14.25" customHeight="1">
      <c r="A699" s="25" t="s">
        <v>589</v>
      </c>
      <c r="B699" s="222">
        <f>'2023'!K38</f>
        <v>5000</v>
      </c>
    </row>
    <row r="700" spans="1:2" ht="14.25" customHeight="1">
      <c r="A700" s="25" t="s">
        <v>659</v>
      </c>
      <c r="B700" s="222">
        <f>'2023'!L38</f>
        <v>5000</v>
      </c>
    </row>
    <row r="701" spans="1:2" ht="14.25" customHeight="1">
      <c r="A701" s="25" t="s">
        <v>7</v>
      </c>
      <c r="B701" s="222">
        <f>'2023'!M38</f>
        <v>4000</v>
      </c>
    </row>
    <row r="702" spans="1:2" ht="14.25" customHeight="1">
      <c r="A702" s="25" t="s">
        <v>8</v>
      </c>
      <c r="B702" s="222">
        <f>'2023'!N38</f>
        <v>4000</v>
      </c>
    </row>
    <row r="703" spans="1:2" ht="14.25" customHeight="1">
      <c r="A703" s="25" t="s">
        <v>9</v>
      </c>
      <c r="B703" s="222">
        <v>3333</v>
      </c>
    </row>
    <row r="704" spans="1:2" ht="14.25" customHeight="1">
      <c r="A704" s="25" t="s">
        <v>654</v>
      </c>
      <c r="B704" s="222">
        <f>'2023'!P38</f>
        <v>3000</v>
      </c>
    </row>
    <row r="705" spans="1:26" ht="14.25" customHeight="1">
      <c r="A705" s="25" t="s">
        <v>11</v>
      </c>
      <c r="B705" s="222">
        <f>'2023'!Q38</f>
        <v>4000</v>
      </c>
    </row>
    <row r="706" spans="1:26" ht="14.25" customHeight="1">
      <c r="A706" s="25" t="s">
        <v>12</v>
      </c>
      <c r="B706" s="222">
        <f>'2023'!R38</f>
        <v>5000</v>
      </c>
    </row>
    <row r="707" spans="1:26" ht="14.25" customHeight="1">
      <c r="A707" s="25" t="s">
        <v>13</v>
      </c>
      <c r="B707" s="222">
        <v>5000</v>
      </c>
    </row>
    <row r="708" spans="1:26" ht="14.25" customHeight="1">
      <c r="A708" s="25" t="s">
        <v>14</v>
      </c>
      <c r="B708" s="222">
        <v>5000</v>
      </c>
    </row>
    <row r="709" spans="1:26" ht="14.25" customHeight="1">
      <c r="A709" s="524">
        <v>2024</v>
      </c>
      <c r="B709" s="222"/>
    </row>
    <row r="710" spans="1:26" ht="14.25" customHeight="1">
      <c r="A710" s="25" t="s">
        <v>49</v>
      </c>
      <c r="B710" s="222">
        <v>5000</v>
      </c>
    </row>
    <row r="711" spans="1:26" ht="14.25" customHeight="1">
      <c r="A711" s="25" t="s">
        <v>50</v>
      </c>
      <c r="B711" s="222">
        <v>5000</v>
      </c>
      <c r="D711" s="509"/>
      <c r="E711" s="509"/>
    </row>
    <row r="712" spans="1:26" ht="14.25" customHeight="1">
      <c r="A712" s="525" t="s">
        <v>126</v>
      </c>
      <c r="B712" s="538">
        <f>SUM(B693:B711)</f>
        <v>73833</v>
      </c>
    </row>
    <row r="713" spans="1:26" ht="14.25" customHeight="1">
      <c r="A713" s="509"/>
      <c r="B713" s="509"/>
      <c r="C713" s="509"/>
      <c r="F713" s="509"/>
      <c r="G713" s="509"/>
      <c r="H713" s="509"/>
      <c r="I713" s="509"/>
      <c r="J713" s="509"/>
      <c r="K713" s="509"/>
      <c r="L713" s="509"/>
      <c r="M713" s="509"/>
      <c r="N713" s="509"/>
      <c r="O713" s="509"/>
      <c r="P713" s="509"/>
      <c r="Q713" s="509"/>
      <c r="R713" s="509"/>
      <c r="S713" s="509"/>
      <c r="T713" s="509"/>
      <c r="U713" s="509"/>
      <c r="V713" s="509"/>
      <c r="W713" s="509"/>
      <c r="X713" s="509"/>
      <c r="Y713" s="509"/>
      <c r="Z713" s="509"/>
    </row>
    <row r="714" spans="1:26" ht="14.25" customHeight="1">
      <c r="A714" s="502" t="s">
        <v>483</v>
      </c>
    </row>
    <row r="715" spans="1:26" ht="14.25" customHeight="1"/>
    <row r="716" spans="1:26" ht="14.25" customHeight="1">
      <c r="A716" s="522" t="s">
        <v>662</v>
      </c>
      <c r="B716" s="522"/>
    </row>
    <row r="717" spans="1:26" ht="14.25" customHeight="1">
      <c r="A717" s="524">
        <v>2023</v>
      </c>
      <c r="B717" s="25"/>
    </row>
    <row r="718" spans="1:26" ht="14.25" customHeight="1">
      <c r="A718" s="25" t="s">
        <v>56</v>
      </c>
      <c r="B718" s="222" t="e">
        <f>'To beDeleted'!#REF!</f>
        <v>#REF!</v>
      </c>
    </row>
    <row r="719" spans="1:26" ht="14.25" customHeight="1">
      <c r="A719" s="25" t="s">
        <v>57</v>
      </c>
      <c r="B719" s="222" t="e">
        <f>'To beDeleted'!#REF!</f>
        <v>#REF!</v>
      </c>
    </row>
    <row r="720" spans="1:26" ht="14.25" customHeight="1">
      <c r="A720" s="25" t="s">
        <v>12</v>
      </c>
      <c r="B720" s="222" t="e">
        <f>'To beDeleted'!#REF!</f>
        <v>#REF!</v>
      </c>
      <c r="D720" s="509"/>
      <c r="E720" s="509"/>
    </row>
    <row r="721" spans="1:26" ht="14.25" customHeight="1">
      <c r="A721" s="522" t="s">
        <v>126</v>
      </c>
      <c r="B721" s="567" t="e">
        <f>SUM(B718:B720)</f>
        <v>#REF!</v>
      </c>
    </row>
    <row r="722" spans="1:26" ht="14.25" customHeight="1">
      <c r="A722" s="509"/>
      <c r="B722" s="509"/>
      <c r="C722" s="509"/>
      <c r="F722" s="509"/>
      <c r="G722" s="509"/>
      <c r="H722" s="509"/>
      <c r="I722" s="509"/>
      <c r="J722" s="509"/>
      <c r="K722" s="509"/>
      <c r="L722" s="509"/>
      <c r="M722" s="509"/>
      <c r="N722" s="509"/>
      <c r="O722" s="509"/>
      <c r="P722" s="509"/>
      <c r="Q722" s="509"/>
      <c r="R722" s="509"/>
      <c r="S722" s="509"/>
      <c r="T722" s="509"/>
      <c r="U722" s="509"/>
      <c r="V722" s="509"/>
      <c r="W722" s="509"/>
      <c r="X722" s="509"/>
      <c r="Y722" s="509"/>
      <c r="Z722" s="509"/>
    </row>
    <row r="723" spans="1:26" ht="14.25" customHeight="1">
      <c r="A723" s="502" t="s">
        <v>231</v>
      </c>
    </row>
    <row r="724" spans="1:26" ht="14.25" customHeight="1"/>
    <row r="725" spans="1:26" ht="14.25" customHeight="1">
      <c r="A725" s="522" t="s">
        <v>662</v>
      </c>
      <c r="B725" s="522"/>
    </row>
    <row r="726" spans="1:26" ht="14.25" customHeight="1">
      <c r="A726" s="524">
        <v>2023</v>
      </c>
      <c r="B726" s="25"/>
    </row>
    <row r="727" spans="1:26" ht="14.25" customHeight="1">
      <c r="A727" s="25" t="s">
        <v>56</v>
      </c>
      <c r="B727" s="222">
        <f>'2023'!P34</f>
        <v>8783</v>
      </c>
    </row>
    <row r="728" spans="1:26" ht="14.25" customHeight="1">
      <c r="A728" s="25" t="s">
        <v>57</v>
      </c>
      <c r="B728" s="222">
        <f>'2023'!Q34</f>
        <v>6000</v>
      </c>
    </row>
    <row r="729" spans="1:26" ht="14.25" customHeight="1">
      <c r="A729" s="25" t="s">
        <v>12</v>
      </c>
      <c r="B729" s="222">
        <f>'2023'!R34</f>
        <v>6000</v>
      </c>
      <c r="D729" s="509"/>
      <c r="E729" s="509"/>
    </row>
    <row r="730" spans="1:26" ht="14.25" customHeight="1">
      <c r="A730" s="522" t="s">
        <v>126</v>
      </c>
      <c r="B730" s="567">
        <f>SUM(B727:B729)</f>
        <v>20783</v>
      </c>
    </row>
    <row r="731" spans="1:26" ht="14.25" customHeight="1">
      <c r="A731" s="509"/>
      <c r="B731" s="509"/>
      <c r="C731" s="509"/>
      <c r="F731" s="509"/>
      <c r="G731" s="509"/>
      <c r="H731" s="509"/>
      <c r="I731" s="509"/>
      <c r="J731" s="509"/>
      <c r="K731" s="509"/>
      <c r="L731" s="509"/>
      <c r="M731" s="509"/>
      <c r="N731" s="509"/>
      <c r="O731" s="509"/>
      <c r="P731" s="509"/>
      <c r="Q731" s="509"/>
      <c r="R731" s="509"/>
      <c r="S731" s="509"/>
      <c r="T731" s="509"/>
      <c r="U731" s="509"/>
      <c r="V731" s="509"/>
      <c r="W731" s="509"/>
      <c r="X731" s="509"/>
      <c r="Y731" s="509"/>
      <c r="Z731" s="509"/>
    </row>
    <row r="732" spans="1:26" ht="14.25" customHeight="1">
      <c r="A732" s="502" t="s">
        <v>229</v>
      </c>
    </row>
    <row r="733" spans="1:26" ht="14.25" customHeight="1"/>
    <row r="734" spans="1:26" ht="14.25" customHeight="1">
      <c r="A734" s="522" t="s">
        <v>662</v>
      </c>
      <c r="B734" s="522"/>
    </row>
    <row r="735" spans="1:26" ht="14.25" customHeight="1">
      <c r="A735" s="524">
        <v>2023</v>
      </c>
      <c r="B735" s="25"/>
    </row>
    <row r="736" spans="1:26" ht="14.25" customHeight="1">
      <c r="A736" s="25" t="s">
        <v>56</v>
      </c>
      <c r="B736" s="222">
        <f>'2023'!P35</f>
        <v>8609</v>
      </c>
    </row>
    <row r="737" spans="1:26" ht="14.25" customHeight="1">
      <c r="A737" s="25" t="s">
        <v>57</v>
      </c>
      <c r="B737" s="222">
        <f>'2023'!Q35</f>
        <v>6000</v>
      </c>
    </row>
    <row r="738" spans="1:26" ht="14.25" customHeight="1">
      <c r="A738" s="25" t="s">
        <v>12</v>
      </c>
      <c r="B738" s="222">
        <f>'2023'!R35</f>
        <v>6000</v>
      </c>
    </row>
    <row r="739" spans="1:26" ht="14.25" customHeight="1">
      <c r="A739" s="25" t="s">
        <v>13</v>
      </c>
      <c r="B739" s="222">
        <v>6000</v>
      </c>
    </row>
    <row r="740" spans="1:26" ht="14.25" customHeight="1">
      <c r="A740" s="25" t="s">
        <v>14</v>
      </c>
      <c r="B740" s="222">
        <v>6000</v>
      </c>
    </row>
    <row r="741" spans="1:26" ht="14.25" customHeight="1">
      <c r="A741" s="524">
        <v>2024</v>
      </c>
      <c r="B741" s="222"/>
    </row>
    <row r="742" spans="1:26" ht="14.25" customHeight="1">
      <c r="A742" s="25" t="s">
        <v>49</v>
      </c>
      <c r="B742" s="222">
        <v>6000</v>
      </c>
    </row>
    <row r="743" spans="1:26" ht="14.25" customHeight="1">
      <c r="A743" s="25" t="s">
        <v>50</v>
      </c>
      <c r="B743" s="222">
        <v>6000</v>
      </c>
    </row>
    <row r="744" spans="1:26" ht="14.25" customHeight="1">
      <c r="A744" s="25" t="s">
        <v>51</v>
      </c>
      <c r="B744" s="222">
        <v>6000</v>
      </c>
    </row>
    <row r="745" spans="1:26" ht="14.25" customHeight="1">
      <c r="A745" s="25" t="s">
        <v>52</v>
      </c>
      <c r="B745" s="222">
        <v>6000</v>
      </c>
    </row>
    <row r="746" spans="1:26" ht="14.25" customHeight="1">
      <c r="A746" s="25" t="s">
        <v>53</v>
      </c>
      <c r="B746" s="222">
        <v>6000</v>
      </c>
    </row>
    <row r="747" spans="1:26" ht="14.25" customHeight="1">
      <c r="A747" s="25" t="s">
        <v>54</v>
      </c>
      <c r="B747" s="222">
        <v>6000</v>
      </c>
    </row>
    <row r="748" spans="1:26" ht="14.25" customHeight="1">
      <c r="A748" s="25" t="s">
        <v>55</v>
      </c>
      <c r="B748" s="222">
        <v>6000</v>
      </c>
    </row>
    <row r="749" spans="1:26" ht="14.25" customHeight="1">
      <c r="A749" s="25" t="s">
        <v>56</v>
      </c>
      <c r="B749" s="689">
        <v>6000</v>
      </c>
    </row>
    <row r="750" spans="1:26" ht="14.25" customHeight="1">
      <c r="A750" s="637" t="s">
        <v>57</v>
      </c>
      <c r="B750" s="690">
        <v>5864</v>
      </c>
      <c r="D750" s="509"/>
      <c r="E750" s="509"/>
    </row>
    <row r="751" spans="1:26" ht="14.25" customHeight="1">
      <c r="A751" s="522" t="s">
        <v>126</v>
      </c>
      <c r="B751" s="567">
        <f>SUM(B736:B750)</f>
        <v>86473</v>
      </c>
    </row>
    <row r="752" spans="1:26" ht="14.25" customHeight="1">
      <c r="A752" s="509"/>
      <c r="B752" s="509"/>
      <c r="C752" s="509"/>
      <c r="F752" s="509"/>
      <c r="G752" s="509"/>
      <c r="H752" s="509"/>
      <c r="I752" s="509"/>
      <c r="J752" s="509"/>
      <c r="K752" s="509"/>
      <c r="L752" s="509"/>
      <c r="M752" s="509"/>
      <c r="N752" s="509"/>
      <c r="O752" s="509"/>
      <c r="P752" s="509"/>
      <c r="Q752" s="509"/>
      <c r="R752" s="509"/>
      <c r="S752" s="509"/>
      <c r="T752" s="509"/>
      <c r="U752" s="509"/>
      <c r="V752" s="509"/>
      <c r="W752" s="509"/>
      <c r="X752" s="509"/>
      <c r="Y752" s="509"/>
      <c r="Z752" s="509"/>
    </row>
    <row r="753" spans="1:26" ht="14.25" customHeight="1">
      <c r="A753" s="502" t="s">
        <v>240</v>
      </c>
    </row>
    <row r="754" spans="1:26" ht="14.25" customHeight="1"/>
    <row r="755" spans="1:26" ht="14.25" customHeight="1">
      <c r="A755" s="522" t="s">
        <v>663</v>
      </c>
      <c r="B755" s="522"/>
    </row>
    <row r="756" spans="1:26" ht="14.25" customHeight="1">
      <c r="A756" s="524">
        <v>2023</v>
      </c>
      <c r="B756" s="25"/>
    </row>
    <row r="757" spans="1:26" ht="14.25" customHeight="1">
      <c r="A757" s="25" t="s">
        <v>9</v>
      </c>
      <c r="B757" s="222">
        <f>'2023'!O47</f>
        <v>5000</v>
      </c>
    </row>
    <row r="758" spans="1:26" ht="14.25" customHeight="1">
      <c r="A758" s="25" t="s">
        <v>10</v>
      </c>
      <c r="B758" s="222">
        <f>'2023'!P47</f>
        <v>5000</v>
      </c>
    </row>
    <row r="759" spans="1:26" ht="14.25" customHeight="1">
      <c r="A759" s="25" t="s">
        <v>591</v>
      </c>
      <c r="B759" s="222">
        <f>'2023'!Q47</f>
        <v>5000</v>
      </c>
    </row>
    <row r="760" spans="1:26" ht="14.25" customHeight="1">
      <c r="A760" s="25" t="s">
        <v>593</v>
      </c>
      <c r="B760" s="222">
        <f>'2023'!R47</f>
        <v>5000</v>
      </c>
      <c r="D760" s="509"/>
      <c r="E760" s="509"/>
    </row>
    <row r="761" spans="1:26" ht="14.25" customHeight="1">
      <c r="A761" s="522" t="s">
        <v>126</v>
      </c>
      <c r="B761" s="567">
        <f>SUM(B757:B760)</f>
        <v>20000</v>
      </c>
    </row>
    <row r="762" spans="1:26" ht="14.25" customHeight="1">
      <c r="A762" s="509"/>
      <c r="B762" s="509"/>
      <c r="C762" s="509"/>
      <c r="F762" s="509"/>
      <c r="G762" s="509"/>
      <c r="H762" s="509"/>
      <c r="I762" s="509"/>
      <c r="J762" s="509"/>
      <c r="K762" s="509"/>
      <c r="L762" s="509"/>
      <c r="M762" s="509"/>
      <c r="N762" s="509"/>
      <c r="O762" s="509"/>
      <c r="P762" s="509"/>
      <c r="Q762" s="509"/>
      <c r="R762" s="509"/>
      <c r="S762" s="509"/>
      <c r="T762" s="509"/>
      <c r="U762" s="509"/>
      <c r="V762" s="509"/>
      <c r="W762" s="509"/>
      <c r="X762" s="509"/>
      <c r="Y762" s="509"/>
      <c r="Z762" s="509"/>
    </row>
    <row r="763" spans="1:26" ht="14.25" customHeight="1">
      <c r="A763" s="502" t="s">
        <v>656</v>
      </c>
    </row>
    <row r="764" spans="1:26" ht="14.25" customHeight="1"/>
    <row r="765" spans="1:26" ht="14.25" customHeight="1">
      <c r="A765" s="522" t="s">
        <v>664</v>
      </c>
      <c r="B765" s="522"/>
    </row>
    <row r="766" spans="1:26" ht="14.25" customHeight="1">
      <c r="A766" s="524">
        <v>2023</v>
      </c>
      <c r="B766" s="25"/>
    </row>
    <row r="767" spans="1:26" ht="14.25" customHeight="1">
      <c r="A767" s="25" t="s">
        <v>49</v>
      </c>
      <c r="B767" s="25">
        <f>'2023'!I44</f>
        <v>8000</v>
      </c>
    </row>
    <row r="768" spans="1:26" ht="14.25" customHeight="1">
      <c r="A768" s="25" t="s">
        <v>50</v>
      </c>
      <c r="B768" s="53">
        <f>'2023'!J44</f>
        <v>8000</v>
      </c>
    </row>
    <row r="769" spans="1:26" ht="14.25" customHeight="1">
      <c r="A769" s="25" t="s">
        <v>51</v>
      </c>
      <c r="B769" s="53">
        <f>'2023'!K44</f>
        <v>7000</v>
      </c>
    </row>
    <row r="770" spans="1:26" ht="14.25" customHeight="1">
      <c r="A770" s="25" t="s">
        <v>52</v>
      </c>
      <c r="B770" s="53">
        <f>'2023'!L44</f>
        <v>7000</v>
      </c>
    </row>
    <row r="771" spans="1:26" ht="14.25" customHeight="1">
      <c r="A771" s="25" t="s">
        <v>53</v>
      </c>
      <c r="B771" s="53">
        <f>'2023'!M44</f>
        <v>1818.1818181818182</v>
      </c>
    </row>
    <row r="772" spans="1:26" ht="14.25" customHeight="1">
      <c r="A772" s="25" t="s">
        <v>54</v>
      </c>
      <c r="B772" s="53">
        <f>'2023'!N44</f>
        <v>5000</v>
      </c>
    </row>
    <row r="773" spans="1:26" ht="14.25" customHeight="1">
      <c r="A773" s="25" t="s">
        <v>55</v>
      </c>
      <c r="B773" s="53">
        <v>7000</v>
      </c>
    </row>
    <row r="774" spans="1:26" ht="14.25" customHeight="1">
      <c r="A774" s="25" t="s">
        <v>56</v>
      </c>
      <c r="B774" s="53">
        <f>'2023'!P44</f>
        <v>7000</v>
      </c>
    </row>
    <row r="775" spans="1:26" ht="14.25" customHeight="1">
      <c r="A775" s="25" t="s">
        <v>57</v>
      </c>
      <c r="B775" s="53">
        <f>'2023'!Q44</f>
        <v>10000</v>
      </c>
    </row>
    <row r="776" spans="1:26" ht="14.25" customHeight="1">
      <c r="A776" s="25" t="s">
        <v>12</v>
      </c>
      <c r="B776" s="25">
        <f>'2023'!R44</f>
        <v>10000</v>
      </c>
      <c r="D776" s="509"/>
      <c r="E776" s="509"/>
    </row>
    <row r="777" spans="1:26" ht="14.25" customHeight="1">
      <c r="A777" s="522" t="s">
        <v>126</v>
      </c>
      <c r="B777" s="567">
        <f>SUM(B767:B776)</f>
        <v>70818.181818181823</v>
      </c>
    </row>
    <row r="778" spans="1:26" ht="14.25" customHeight="1">
      <c r="A778" s="509"/>
      <c r="B778" s="509"/>
      <c r="C778" s="509"/>
      <c r="F778" s="509"/>
      <c r="G778" s="509"/>
      <c r="H778" s="509"/>
      <c r="I778" s="509"/>
      <c r="J778" s="509"/>
      <c r="K778" s="509"/>
      <c r="L778" s="509"/>
      <c r="M778" s="509"/>
      <c r="N778" s="509"/>
      <c r="O778" s="509"/>
      <c r="P778" s="509"/>
      <c r="Q778" s="509"/>
      <c r="R778" s="509"/>
      <c r="S778" s="509"/>
      <c r="T778" s="509"/>
      <c r="U778" s="509"/>
      <c r="V778" s="509"/>
      <c r="W778" s="509"/>
      <c r="X778" s="509"/>
      <c r="Y778" s="509"/>
      <c r="Z778" s="509"/>
    </row>
    <row r="779" spans="1:26" ht="14.25" customHeight="1">
      <c r="A779" s="502" t="s">
        <v>242</v>
      </c>
    </row>
    <row r="780" spans="1:26" ht="14.25" customHeight="1"/>
    <row r="781" spans="1:26" ht="14.25" customHeight="1">
      <c r="A781" s="522" t="s">
        <v>631</v>
      </c>
      <c r="B781" s="522"/>
    </row>
    <row r="782" spans="1:26" ht="14.25" customHeight="1">
      <c r="A782" s="524">
        <v>2023</v>
      </c>
      <c r="B782" s="25"/>
    </row>
    <row r="783" spans="1:26" ht="14.25" customHeight="1">
      <c r="A783" s="25" t="s">
        <v>53</v>
      </c>
      <c r="B783" s="53">
        <f>'2023'!M45</f>
        <v>10000</v>
      </c>
    </row>
    <row r="784" spans="1:26" ht="14.25" customHeight="1">
      <c r="A784" s="25" t="s">
        <v>8</v>
      </c>
      <c r="B784" s="53">
        <f>'2023'!N45</f>
        <v>10000</v>
      </c>
    </row>
    <row r="785" spans="1:26" ht="14.25" customHeight="1">
      <c r="A785" s="25" t="s">
        <v>9</v>
      </c>
      <c r="B785" s="53">
        <f>'2023'!O45</f>
        <v>8000</v>
      </c>
    </row>
    <row r="786" spans="1:26" ht="14.25" customHeight="1">
      <c r="A786" s="25" t="s">
        <v>10</v>
      </c>
      <c r="B786" s="53">
        <f>'2023'!P45</f>
        <v>7000</v>
      </c>
    </row>
    <row r="787" spans="1:26" ht="14.25" customHeight="1">
      <c r="A787" s="25" t="s">
        <v>591</v>
      </c>
      <c r="B787" s="53">
        <f>'2023'!Q45</f>
        <v>7000</v>
      </c>
    </row>
    <row r="788" spans="1:26" ht="14.25" customHeight="1">
      <c r="A788" s="25" t="s">
        <v>593</v>
      </c>
      <c r="B788" s="25">
        <f>'2023'!R45</f>
        <v>8000</v>
      </c>
      <c r="D788" s="509"/>
      <c r="E788" s="509"/>
    </row>
    <row r="789" spans="1:26" ht="14.25" customHeight="1">
      <c r="A789" s="525" t="s">
        <v>126</v>
      </c>
      <c r="B789" s="538">
        <f>SUM(B783:B788)</f>
        <v>50000</v>
      </c>
    </row>
    <row r="790" spans="1:26" ht="14.25" customHeight="1">
      <c r="A790" s="509"/>
      <c r="B790" s="509"/>
      <c r="C790" s="509"/>
      <c r="F790" s="509"/>
      <c r="G790" s="509"/>
      <c r="H790" s="509"/>
      <c r="I790" s="509"/>
      <c r="J790" s="509"/>
      <c r="K790" s="509"/>
      <c r="L790" s="509"/>
      <c r="M790" s="509"/>
      <c r="N790" s="509"/>
      <c r="O790" s="509"/>
      <c r="P790" s="509"/>
      <c r="Q790" s="509"/>
      <c r="R790" s="509"/>
      <c r="S790" s="509"/>
      <c r="T790" s="509"/>
      <c r="U790" s="509"/>
      <c r="V790" s="509"/>
      <c r="W790" s="509"/>
      <c r="X790" s="509"/>
      <c r="Y790" s="509"/>
      <c r="Z790" s="509"/>
    </row>
    <row r="791" spans="1:26" ht="14.25" customHeight="1">
      <c r="A791" s="502" t="s">
        <v>205</v>
      </c>
    </row>
    <row r="792" spans="1:26" ht="14.25" customHeight="1"/>
    <row r="793" spans="1:26" ht="14.25" customHeight="1">
      <c r="A793" s="522" t="s">
        <v>665</v>
      </c>
      <c r="B793" s="522"/>
    </row>
    <row r="794" spans="1:26" ht="14.25" customHeight="1">
      <c r="A794" s="524">
        <v>2022</v>
      </c>
      <c r="B794" s="25"/>
    </row>
    <row r="795" spans="1:26" ht="14.25" customHeight="1">
      <c r="A795" s="25" t="s">
        <v>12</v>
      </c>
      <c r="B795" s="269">
        <f>'2022'!P9</f>
        <v>2380.9495238095246</v>
      </c>
    </row>
    <row r="796" spans="1:26" ht="14.25" customHeight="1">
      <c r="A796" s="25" t="s">
        <v>13</v>
      </c>
      <c r="B796" s="269">
        <f>'2022'!Q9</f>
        <v>0</v>
      </c>
    </row>
    <row r="797" spans="1:26" ht="14.25" customHeight="1">
      <c r="A797" s="25" t="s">
        <v>14</v>
      </c>
      <c r="B797" s="269">
        <f>'2022'!R9</f>
        <v>5000</v>
      </c>
    </row>
    <row r="798" spans="1:26" ht="14.25" customHeight="1">
      <c r="A798" s="524">
        <v>2023</v>
      </c>
      <c r="B798" s="269"/>
    </row>
    <row r="799" spans="1:26" ht="14.25" customHeight="1">
      <c r="A799" s="25" t="s">
        <v>49</v>
      </c>
      <c r="B799" s="269">
        <f>'2023'!I15</f>
        <v>5000</v>
      </c>
    </row>
    <row r="800" spans="1:26" ht="14.25" customHeight="1">
      <c r="A800" s="25" t="s">
        <v>50</v>
      </c>
      <c r="B800" s="269">
        <f>'2023'!J15</f>
        <v>2000</v>
      </c>
    </row>
    <row r="801" spans="1:26" ht="14.25" customHeight="1">
      <c r="A801" s="25" t="s">
        <v>51</v>
      </c>
      <c r="B801" s="269" t="str">
        <f>'2023'!K15</f>
        <v>NA</v>
      </c>
    </row>
    <row r="802" spans="1:26" ht="14.25" customHeight="1">
      <c r="A802" s="25" t="s">
        <v>52</v>
      </c>
      <c r="B802" s="269" t="str">
        <f>'2023'!L15</f>
        <v>NA</v>
      </c>
    </row>
    <row r="803" spans="1:26" ht="14.25" customHeight="1">
      <c r="A803" s="25" t="s">
        <v>53</v>
      </c>
      <c r="B803" s="269" t="str">
        <f>'2023'!M15</f>
        <v>NA</v>
      </c>
    </row>
    <row r="804" spans="1:26" ht="14.25" customHeight="1">
      <c r="A804" s="25" t="s">
        <v>54</v>
      </c>
      <c r="B804" s="269" t="str">
        <f>'2023'!N15</f>
        <v>NA</v>
      </c>
    </row>
    <row r="805" spans="1:26" ht="14.25" customHeight="1">
      <c r="A805" s="25" t="s">
        <v>55</v>
      </c>
      <c r="B805" s="269" t="str">
        <f>'2023'!O15</f>
        <v>NA</v>
      </c>
    </row>
    <row r="806" spans="1:26" ht="14.25" customHeight="1">
      <c r="A806" s="25" t="s">
        <v>56</v>
      </c>
      <c r="B806" s="269" t="str">
        <f>'2023'!P15</f>
        <v>NA</v>
      </c>
    </row>
    <row r="807" spans="1:26" ht="14.25" customHeight="1">
      <c r="A807" s="25" t="s">
        <v>57</v>
      </c>
      <c r="B807" s="269" t="str">
        <f>'2023'!Q15</f>
        <v>NA</v>
      </c>
    </row>
    <row r="808" spans="1:26" ht="14.25" customHeight="1">
      <c r="A808" s="25" t="s">
        <v>12</v>
      </c>
      <c r="B808" s="269">
        <f>'2023'!R15</f>
        <v>2500</v>
      </c>
      <c r="D808" s="509"/>
      <c r="E808" s="509"/>
    </row>
    <row r="809" spans="1:26" ht="14.25" customHeight="1">
      <c r="A809" s="525" t="s">
        <v>126</v>
      </c>
      <c r="B809" s="538">
        <f>SUM(B795:B808)</f>
        <v>16880.949523809526</v>
      </c>
    </row>
    <row r="810" spans="1:26" ht="14.25" customHeight="1">
      <c r="A810" s="509"/>
      <c r="B810" s="509"/>
      <c r="C810" s="509"/>
      <c r="F810" s="509"/>
      <c r="G810" s="509"/>
      <c r="H810" s="509"/>
      <c r="I810" s="509"/>
      <c r="J810" s="509"/>
      <c r="K810" s="509"/>
      <c r="L810" s="509"/>
      <c r="M810" s="509"/>
      <c r="N810" s="509"/>
      <c r="O810" s="509"/>
      <c r="P810" s="509"/>
      <c r="Q810" s="509"/>
      <c r="R810" s="509"/>
      <c r="S810" s="509"/>
      <c r="T810" s="509"/>
      <c r="U810" s="509"/>
      <c r="V810" s="509"/>
      <c r="W810" s="509"/>
      <c r="X810" s="509"/>
      <c r="Y810" s="509"/>
      <c r="Z810" s="509"/>
    </row>
    <row r="811" spans="1:26" ht="14.25" customHeight="1">
      <c r="A811" s="502" t="s">
        <v>666</v>
      </c>
    </row>
    <row r="812" spans="1:26" ht="14.25" customHeight="1"/>
    <row r="813" spans="1:26" ht="14.25" customHeight="1">
      <c r="A813" s="522" t="s">
        <v>667</v>
      </c>
      <c r="B813" s="522"/>
    </row>
    <row r="814" spans="1:26" ht="14.25" customHeight="1">
      <c r="A814" s="524">
        <v>2023</v>
      </c>
      <c r="B814" s="269"/>
    </row>
    <row r="815" spans="1:26" ht="14.25" customHeight="1">
      <c r="A815" s="25" t="s">
        <v>57</v>
      </c>
      <c r="B815" s="269">
        <f>'2023'!Q23</f>
        <v>8000</v>
      </c>
    </row>
    <row r="816" spans="1:26" ht="14.25" customHeight="1">
      <c r="A816" s="25" t="s">
        <v>12</v>
      </c>
      <c r="B816" s="269">
        <f>'2023'!R23</f>
        <v>8000</v>
      </c>
      <c r="D816" s="509"/>
      <c r="E816" s="509"/>
    </row>
    <row r="817" spans="1:5" ht="14.25" customHeight="1">
      <c r="A817" s="25" t="s">
        <v>13</v>
      </c>
      <c r="B817" s="269"/>
      <c r="D817" s="98"/>
      <c r="E817" s="98"/>
    </row>
    <row r="818" spans="1:5" ht="14.25" customHeight="1">
      <c r="A818" s="25" t="s">
        <v>14</v>
      </c>
      <c r="B818" s="269"/>
      <c r="D818" s="98"/>
      <c r="E818" s="98"/>
    </row>
    <row r="819" spans="1:5" ht="14.25" customHeight="1">
      <c r="A819" s="524">
        <v>2024</v>
      </c>
      <c r="B819" s="269"/>
      <c r="D819" s="98"/>
      <c r="E819" s="98"/>
    </row>
    <row r="820" spans="1:5" ht="14.25" customHeight="1">
      <c r="A820" s="25" t="s">
        <v>49</v>
      </c>
      <c r="B820" s="269"/>
      <c r="D820" s="98"/>
      <c r="E820" s="98"/>
    </row>
    <row r="821" spans="1:5" ht="14.25" customHeight="1">
      <c r="A821" s="25" t="s">
        <v>50</v>
      </c>
      <c r="B821" s="269"/>
      <c r="D821" s="98"/>
      <c r="E821" s="98"/>
    </row>
    <row r="822" spans="1:5" ht="14.25" customHeight="1">
      <c r="A822" s="25" t="s">
        <v>51</v>
      </c>
      <c r="B822" s="269"/>
      <c r="D822" s="98"/>
      <c r="E822" s="98"/>
    </row>
    <row r="823" spans="1:5" ht="14.25" customHeight="1">
      <c r="A823" s="25" t="s">
        <v>52</v>
      </c>
      <c r="B823" s="269"/>
      <c r="D823" s="98"/>
      <c r="E823" s="98"/>
    </row>
    <row r="824" spans="1:5" ht="14.25" customHeight="1">
      <c r="A824" s="25" t="s">
        <v>53</v>
      </c>
      <c r="B824" s="269"/>
      <c r="D824" s="98"/>
      <c r="E824" s="98"/>
    </row>
    <row r="825" spans="1:5" ht="14.25" customHeight="1">
      <c r="A825" s="25" t="s">
        <v>54</v>
      </c>
      <c r="B825" s="269"/>
      <c r="D825" s="98"/>
      <c r="E825" s="98"/>
    </row>
    <row r="826" spans="1:5" ht="14.25" customHeight="1">
      <c r="A826" s="25" t="s">
        <v>55</v>
      </c>
      <c r="B826" s="269"/>
      <c r="D826" s="98"/>
      <c r="E826" s="98"/>
    </row>
    <row r="827" spans="1:5" ht="14.25" customHeight="1">
      <c r="A827" s="25" t="s">
        <v>56</v>
      </c>
      <c r="B827" s="269"/>
      <c r="D827" s="98"/>
      <c r="E827" s="98"/>
    </row>
    <row r="828" spans="1:5" ht="14.25" customHeight="1">
      <c r="A828" s="25" t="s">
        <v>57</v>
      </c>
      <c r="B828" s="269"/>
      <c r="D828" s="98"/>
      <c r="E828" s="98"/>
    </row>
    <row r="829" spans="1:5" ht="14.25" customHeight="1">
      <c r="A829" s="25" t="s">
        <v>12</v>
      </c>
      <c r="B829" s="269"/>
      <c r="D829" s="98"/>
      <c r="E829" s="98"/>
    </row>
    <row r="830" spans="1:5" ht="14.25" customHeight="1">
      <c r="A830" s="25" t="s">
        <v>13</v>
      </c>
      <c r="B830" s="269"/>
      <c r="D830" s="98"/>
      <c r="E830" s="98"/>
    </row>
    <row r="831" spans="1:5" ht="14.25" customHeight="1">
      <c r="A831" s="25" t="s">
        <v>14</v>
      </c>
      <c r="B831" s="269"/>
      <c r="D831" s="98"/>
      <c r="E831" s="98"/>
    </row>
    <row r="832" spans="1:5" ht="14.25" customHeight="1">
      <c r="A832" s="524">
        <v>2025</v>
      </c>
      <c r="B832" s="269"/>
      <c r="D832" s="98"/>
      <c r="E832" s="98"/>
    </row>
    <row r="833" spans="1:26" ht="14.25" customHeight="1">
      <c r="A833" s="25" t="s">
        <v>49</v>
      </c>
      <c r="B833" s="269"/>
      <c r="D833" s="98"/>
      <c r="E833" s="98"/>
    </row>
    <row r="834" spans="1:26" ht="14.25" customHeight="1">
      <c r="A834" s="25" t="s">
        <v>50</v>
      </c>
      <c r="B834" s="269"/>
      <c r="D834" s="98"/>
      <c r="E834" s="98"/>
    </row>
    <row r="835" spans="1:26" ht="14.25" customHeight="1">
      <c r="A835" s="525" t="s">
        <v>126</v>
      </c>
      <c r="B835" s="538">
        <f>SUM(B814:B816)</f>
        <v>16000</v>
      </c>
    </row>
    <row r="836" spans="1:26" ht="14.25" customHeight="1">
      <c r="A836" s="509"/>
      <c r="B836" s="509"/>
      <c r="C836" s="509"/>
      <c r="F836" s="509"/>
      <c r="G836" s="509"/>
      <c r="H836" s="509"/>
      <c r="I836" s="509"/>
      <c r="J836" s="509"/>
      <c r="K836" s="509"/>
      <c r="L836" s="509"/>
      <c r="M836" s="509"/>
      <c r="N836" s="509"/>
      <c r="O836" s="509"/>
      <c r="P836" s="509"/>
      <c r="Q836" s="509"/>
      <c r="R836" s="509"/>
      <c r="S836" s="509"/>
      <c r="T836" s="509"/>
      <c r="U836" s="509"/>
      <c r="V836" s="509"/>
      <c r="W836" s="509"/>
      <c r="X836" s="509"/>
      <c r="Y836" s="509"/>
      <c r="Z836" s="509"/>
    </row>
    <row r="837" spans="1:26" ht="14.25" customHeight="1">
      <c r="A837" s="502" t="s">
        <v>668</v>
      </c>
    </row>
    <row r="838" spans="1:26" ht="14.25" customHeight="1"/>
    <row r="839" spans="1:26" ht="14.25" customHeight="1">
      <c r="A839" s="522" t="s">
        <v>630</v>
      </c>
      <c r="B839" s="522"/>
    </row>
    <row r="840" spans="1:26" ht="14.25" customHeight="1">
      <c r="A840" s="524">
        <v>2023</v>
      </c>
      <c r="B840" s="269"/>
    </row>
    <row r="841" spans="1:26" ht="14.25" customHeight="1">
      <c r="A841" s="25" t="s">
        <v>6</v>
      </c>
      <c r="B841" s="269">
        <f>'2023'!L29</f>
        <v>4285.7142857142862</v>
      </c>
    </row>
    <row r="842" spans="1:26" ht="14.25" customHeight="1">
      <c r="A842" s="25" t="s">
        <v>53</v>
      </c>
      <c r="B842" s="269">
        <f>'2023'!M29</f>
        <v>6000</v>
      </c>
    </row>
    <row r="843" spans="1:26" ht="14.25" customHeight="1">
      <c r="A843" s="25" t="s">
        <v>8</v>
      </c>
      <c r="B843" s="269">
        <f>'2023'!N29</f>
        <v>6000</v>
      </c>
      <c r="D843" s="509"/>
      <c r="E843" s="509"/>
    </row>
    <row r="844" spans="1:26" ht="14.25" customHeight="1">
      <c r="A844" s="525" t="s">
        <v>126</v>
      </c>
      <c r="B844" s="538">
        <f>SUM(B841:B843)</f>
        <v>16285.714285714286</v>
      </c>
    </row>
    <row r="845" spans="1:26" ht="14.25" customHeight="1">
      <c r="A845" s="509"/>
      <c r="B845" s="509"/>
      <c r="C845" s="509"/>
      <c r="F845" s="509"/>
      <c r="G845" s="509"/>
      <c r="H845" s="509"/>
      <c r="I845" s="509"/>
      <c r="J845" s="509"/>
      <c r="K845" s="509"/>
      <c r="L845" s="509"/>
      <c r="M845" s="509"/>
      <c r="N845" s="509"/>
      <c r="O845" s="509"/>
      <c r="P845" s="509"/>
      <c r="Q845" s="509"/>
      <c r="R845" s="509"/>
      <c r="S845" s="509"/>
      <c r="T845" s="509"/>
      <c r="U845" s="509"/>
      <c r="V845" s="509"/>
      <c r="W845" s="509"/>
      <c r="X845" s="509"/>
      <c r="Y845" s="509"/>
      <c r="Z845" s="509"/>
    </row>
    <row r="846" spans="1:26" ht="14.25" customHeight="1">
      <c r="A846" s="502" t="s">
        <v>496</v>
      </c>
    </row>
    <row r="847" spans="1:26" ht="14.25" customHeight="1"/>
    <row r="848" spans="1:26" ht="14.25" customHeight="1">
      <c r="A848" s="522" t="s">
        <v>663</v>
      </c>
      <c r="B848" s="522"/>
    </row>
    <row r="849" spans="1:26" ht="14.25" customHeight="1">
      <c r="A849" s="524">
        <v>2023</v>
      </c>
      <c r="B849" s="269"/>
    </row>
    <row r="850" spans="1:26" ht="14.25" customHeight="1">
      <c r="A850" s="25" t="s">
        <v>9</v>
      </c>
      <c r="B850" s="269">
        <f>'To beDeleted'!O92</f>
        <v>6000</v>
      </c>
    </row>
    <row r="851" spans="1:26" ht="14.25" customHeight="1">
      <c r="A851" s="25" t="s">
        <v>10</v>
      </c>
      <c r="B851" s="269">
        <f>'To beDeleted'!P92</f>
        <v>6000</v>
      </c>
      <c r="D851" s="509"/>
      <c r="E851" s="509"/>
    </row>
    <row r="852" spans="1:26" ht="14.25" customHeight="1">
      <c r="A852" s="525" t="s">
        <v>126</v>
      </c>
      <c r="B852" s="538">
        <f>SUM(B850:B851)</f>
        <v>12000</v>
      </c>
    </row>
    <row r="853" spans="1:26" ht="14.25" customHeight="1">
      <c r="A853" s="509"/>
      <c r="B853" s="509"/>
      <c r="C853" s="509"/>
      <c r="F853" s="509"/>
      <c r="G853" s="509"/>
      <c r="H853" s="509"/>
      <c r="I853" s="509"/>
      <c r="J853" s="509"/>
      <c r="K853" s="509"/>
      <c r="L853" s="509"/>
      <c r="M853" s="509"/>
      <c r="N853" s="509"/>
      <c r="O853" s="509"/>
      <c r="P853" s="509"/>
      <c r="Q853" s="509"/>
      <c r="R853" s="509"/>
      <c r="S853" s="509"/>
      <c r="T853" s="509"/>
      <c r="U853" s="509"/>
      <c r="V853" s="509"/>
      <c r="W853" s="509"/>
      <c r="X853" s="509"/>
      <c r="Y853" s="509"/>
      <c r="Z853" s="509"/>
    </row>
    <row r="854" spans="1:26" ht="14.25" customHeight="1">
      <c r="A854" s="502" t="s">
        <v>496</v>
      </c>
    </row>
    <row r="855" spans="1:26" ht="14.25" customHeight="1"/>
    <row r="856" spans="1:26" ht="14.25" customHeight="1">
      <c r="A856" s="522" t="s">
        <v>663</v>
      </c>
      <c r="B856" s="522"/>
    </row>
    <row r="857" spans="1:26" ht="14.25" customHeight="1">
      <c r="A857" s="524">
        <v>2023</v>
      </c>
      <c r="B857" s="269"/>
    </row>
    <row r="858" spans="1:26" ht="14.25" customHeight="1">
      <c r="A858" s="25" t="s">
        <v>9</v>
      </c>
      <c r="B858" s="269">
        <f>'2023'!O38</f>
        <v>3333.3333333333335</v>
      </c>
    </row>
    <row r="859" spans="1:26" ht="14.25" customHeight="1">
      <c r="A859" s="25" t="s">
        <v>10</v>
      </c>
      <c r="B859" s="269">
        <f>'2023'!P38</f>
        <v>3000</v>
      </c>
      <c r="D859" s="509"/>
      <c r="E859" s="509"/>
    </row>
    <row r="860" spans="1:26" ht="14.25" customHeight="1">
      <c r="A860" s="525" t="s">
        <v>126</v>
      </c>
      <c r="B860" s="538">
        <f>SUM(B858:B859)</f>
        <v>6333.3333333333339</v>
      </c>
    </row>
    <row r="861" spans="1:26" ht="14.25" customHeight="1">
      <c r="A861" s="509"/>
      <c r="B861" s="509"/>
      <c r="C861" s="509"/>
      <c r="F861" s="509"/>
      <c r="G861" s="509"/>
      <c r="H861" s="509"/>
      <c r="I861" s="509"/>
      <c r="J861" s="509"/>
      <c r="K861" s="509"/>
      <c r="L861" s="509"/>
      <c r="M861" s="509"/>
      <c r="N861" s="509"/>
      <c r="O861" s="509"/>
      <c r="P861" s="509"/>
      <c r="Q861" s="509"/>
      <c r="R861" s="509"/>
      <c r="S861" s="509"/>
      <c r="T861" s="509"/>
      <c r="U861" s="509"/>
      <c r="V861" s="509"/>
      <c r="W861" s="509"/>
      <c r="X861" s="509"/>
      <c r="Y861" s="509"/>
      <c r="Z861" s="509"/>
    </row>
    <row r="862" spans="1:26" ht="14.25" customHeight="1">
      <c r="A862" s="502" t="s">
        <v>307</v>
      </c>
    </row>
    <row r="863" spans="1:26" ht="14.25" customHeight="1"/>
    <row r="864" spans="1:26" ht="14.25" customHeight="1">
      <c r="A864" s="522" t="s">
        <v>669</v>
      </c>
      <c r="B864" s="522"/>
    </row>
    <row r="865" spans="1:26" ht="14.25" customHeight="1">
      <c r="A865" s="524">
        <v>2023</v>
      </c>
      <c r="B865" s="269"/>
    </row>
    <row r="866" spans="1:26" ht="14.25" customHeight="1">
      <c r="A866" s="25" t="s">
        <v>57</v>
      </c>
      <c r="B866" s="269">
        <f>'2023'!Q40</f>
        <v>4500</v>
      </c>
    </row>
    <row r="867" spans="1:26" ht="14.25" customHeight="1">
      <c r="A867" s="25" t="s">
        <v>12</v>
      </c>
      <c r="B867" s="269">
        <f>'2023'!R40</f>
        <v>4000</v>
      </c>
    </row>
    <row r="868" spans="1:26" ht="14.25" customHeight="1">
      <c r="A868" s="25" t="s">
        <v>13</v>
      </c>
      <c r="B868" s="269">
        <f>'2023'!S40</f>
        <v>5000</v>
      </c>
    </row>
    <row r="869" spans="1:26" ht="14.25" customHeight="1">
      <c r="A869" s="25" t="s">
        <v>14</v>
      </c>
      <c r="B869" s="269">
        <f>'2023'!T40</f>
        <v>4200</v>
      </c>
      <c r="D869" s="98"/>
      <c r="E869" s="98"/>
    </row>
    <row r="870" spans="1:26" ht="14.25" customHeight="1">
      <c r="A870" s="524">
        <v>2024</v>
      </c>
      <c r="B870" s="269"/>
    </row>
    <row r="871" spans="1:26" ht="14.25" customHeight="1">
      <c r="A871" s="13" t="s">
        <v>49</v>
      </c>
      <c r="B871" s="573">
        <f>'2024'!I24</f>
        <v>10000</v>
      </c>
      <c r="C871" s="98"/>
      <c r="D871" s="509"/>
      <c r="E871" s="509"/>
      <c r="F871" s="98"/>
      <c r="G871" s="98"/>
      <c r="H871" s="98"/>
      <c r="I871" s="98"/>
      <c r="J871" s="98"/>
      <c r="K871" s="98"/>
      <c r="L871" s="98"/>
      <c r="M871" s="98"/>
      <c r="N871" s="98"/>
      <c r="O871" s="98"/>
      <c r="P871" s="98"/>
      <c r="Q871" s="98"/>
      <c r="R871" s="98"/>
      <c r="S871" s="98"/>
      <c r="T871" s="98"/>
      <c r="U871" s="98"/>
      <c r="V871" s="98"/>
      <c r="W871" s="98"/>
      <c r="X871" s="98"/>
      <c r="Y871" s="98"/>
      <c r="Z871" s="98"/>
    </row>
    <row r="872" spans="1:26" ht="14.25" customHeight="1">
      <c r="A872" s="525" t="s">
        <v>126</v>
      </c>
      <c r="B872" s="538">
        <f>SUM(B866:B871)</f>
        <v>27700</v>
      </c>
    </row>
    <row r="873" spans="1:26" ht="14.25" customHeight="1">
      <c r="A873" s="509"/>
      <c r="B873" s="509"/>
      <c r="C873" s="509"/>
      <c r="F873" s="509"/>
      <c r="G873" s="509"/>
      <c r="H873" s="509"/>
      <c r="I873" s="509"/>
      <c r="J873" s="509"/>
      <c r="K873" s="509"/>
      <c r="L873" s="509"/>
      <c r="M873" s="509"/>
      <c r="N873" s="509"/>
      <c r="O873" s="509"/>
      <c r="P873" s="509"/>
      <c r="Q873" s="509"/>
      <c r="R873" s="509"/>
      <c r="S873" s="509"/>
      <c r="T873" s="509"/>
      <c r="U873" s="509"/>
      <c r="V873" s="509"/>
      <c r="W873" s="509"/>
      <c r="X873" s="509"/>
      <c r="Y873" s="509"/>
      <c r="Z873" s="509"/>
    </row>
    <row r="874" spans="1:26" ht="14.25" customHeight="1">
      <c r="A874" s="502" t="s">
        <v>161</v>
      </c>
    </row>
    <row r="875" spans="1:26" ht="14.25" customHeight="1"/>
    <row r="876" spans="1:26" ht="14.25" customHeight="1">
      <c r="A876" s="522" t="s">
        <v>667</v>
      </c>
      <c r="B876" s="522"/>
    </row>
    <row r="877" spans="1:26" ht="14.25" customHeight="1">
      <c r="A877" s="524">
        <v>2023</v>
      </c>
      <c r="B877" s="269"/>
    </row>
    <row r="878" spans="1:26" ht="14.25" customHeight="1">
      <c r="A878" s="25" t="s">
        <v>53</v>
      </c>
      <c r="B878" s="269">
        <f>'2023'!M54</f>
        <v>2181.818181818182</v>
      </c>
    </row>
    <row r="879" spans="1:26" ht="14.25" customHeight="1">
      <c r="A879" s="25" t="s">
        <v>54</v>
      </c>
      <c r="B879" s="269">
        <f>'2023'!N54</f>
        <v>3000</v>
      </c>
    </row>
    <row r="880" spans="1:26" ht="14.25" customHeight="1">
      <c r="A880" s="25" t="s">
        <v>55</v>
      </c>
      <c r="B880" s="269">
        <f>'2023'!O54</f>
        <v>6000</v>
      </c>
    </row>
    <row r="881" spans="1:26" ht="14.25" customHeight="1">
      <c r="A881" s="25" t="s">
        <v>56</v>
      </c>
      <c r="B881" s="269">
        <f>'2023'!P54</f>
        <v>0</v>
      </c>
    </row>
    <row r="882" spans="1:26" ht="14.25" customHeight="1">
      <c r="A882" s="25" t="s">
        <v>57</v>
      </c>
      <c r="B882" s="269">
        <f>'2023'!Q54</f>
        <v>6000</v>
      </c>
    </row>
    <row r="883" spans="1:26" ht="14.25" customHeight="1">
      <c r="A883" s="25" t="s">
        <v>12</v>
      </c>
      <c r="B883" s="269">
        <f>'2023'!R54</f>
        <v>4000</v>
      </c>
      <c r="D883" s="509"/>
      <c r="E883" s="509"/>
    </row>
    <row r="884" spans="1:26" ht="14.25" customHeight="1">
      <c r="A884" s="525" t="s">
        <v>126</v>
      </c>
      <c r="B884" s="538">
        <f>SUM(B878:B883)</f>
        <v>21181.818181818184</v>
      </c>
      <c r="D884" s="98"/>
      <c r="E884" s="98"/>
    </row>
    <row r="885" spans="1:26" ht="14.25" customHeight="1">
      <c r="A885" s="509"/>
      <c r="B885" s="509"/>
      <c r="C885" s="509"/>
      <c r="F885" s="509"/>
      <c r="G885" s="509"/>
      <c r="H885" s="509"/>
      <c r="I885" s="509"/>
      <c r="J885" s="509"/>
      <c r="K885" s="509"/>
      <c r="L885" s="509"/>
      <c r="M885" s="509"/>
      <c r="N885" s="509"/>
      <c r="O885" s="509"/>
      <c r="P885" s="509"/>
      <c r="Q885" s="509"/>
      <c r="R885" s="509"/>
      <c r="S885" s="509"/>
      <c r="T885" s="509"/>
      <c r="U885" s="509"/>
      <c r="V885" s="509"/>
      <c r="W885" s="509"/>
      <c r="X885" s="509"/>
      <c r="Y885" s="509"/>
      <c r="Z885" s="509"/>
    </row>
    <row r="886" spans="1:26" ht="14.25" customHeight="1">
      <c r="A886" s="98"/>
      <c r="B886" s="98"/>
      <c r="C886" s="98"/>
      <c r="F886" s="98"/>
      <c r="G886" s="98"/>
      <c r="H886" s="98"/>
      <c r="I886" s="98"/>
      <c r="J886" s="98"/>
      <c r="K886" s="98"/>
      <c r="L886" s="98"/>
      <c r="M886" s="98"/>
      <c r="N886" s="98"/>
      <c r="O886" s="98"/>
      <c r="P886" s="98"/>
      <c r="Q886" s="98"/>
      <c r="R886" s="98"/>
      <c r="S886" s="98"/>
      <c r="T886" s="98"/>
      <c r="U886" s="98"/>
      <c r="V886" s="98"/>
      <c r="W886" s="98"/>
      <c r="X886" s="98"/>
      <c r="Y886" s="98"/>
      <c r="Z886" s="98"/>
    </row>
    <row r="887" spans="1:26" ht="14.25" customHeight="1">
      <c r="A887" s="502" t="s">
        <v>514</v>
      </c>
    </row>
    <row r="888" spans="1:26" ht="14.25" customHeight="1"/>
    <row r="889" spans="1:26" ht="14.25" customHeight="1">
      <c r="A889" s="522" t="s">
        <v>670</v>
      </c>
      <c r="B889" s="522"/>
    </row>
    <row r="890" spans="1:26" ht="14.25" customHeight="1">
      <c r="A890" s="527">
        <v>2023</v>
      </c>
    </row>
    <row r="891" spans="1:26" ht="14.25" customHeight="1">
      <c r="A891" s="25" t="s">
        <v>49</v>
      </c>
      <c r="B891" s="222">
        <f>'2023'!I28</f>
        <v>10000</v>
      </c>
    </row>
    <row r="892" spans="1:26" ht="14.25" customHeight="1">
      <c r="A892" s="25" t="s">
        <v>50</v>
      </c>
      <c r="B892" s="222">
        <f>'2023'!J28</f>
        <v>5000</v>
      </c>
    </row>
    <row r="893" spans="1:26" ht="14.25" customHeight="1">
      <c r="A893" s="25" t="s">
        <v>51</v>
      </c>
      <c r="B893" s="222">
        <f>'2023'!K28</f>
        <v>5000</v>
      </c>
    </row>
    <row r="894" spans="1:26" ht="14.25" customHeight="1">
      <c r="A894" s="25" t="s">
        <v>52</v>
      </c>
      <c r="B894" s="222">
        <f>'2023'!L28</f>
        <v>5000</v>
      </c>
    </row>
    <row r="895" spans="1:26" ht="14.25" customHeight="1">
      <c r="A895" s="25" t="s">
        <v>53</v>
      </c>
      <c r="B895" s="222">
        <f>'2023'!M28</f>
        <v>5000</v>
      </c>
    </row>
    <row r="896" spans="1:26" ht="14.25" customHeight="1">
      <c r="A896" s="25" t="s">
        <v>54</v>
      </c>
      <c r="B896" s="222">
        <f>'2023'!N28</f>
        <v>5000</v>
      </c>
    </row>
    <row r="897" spans="1:26" ht="14.25" customHeight="1">
      <c r="A897" s="25" t="s">
        <v>55</v>
      </c>
      <c r="B897" s="222">
        <f>'2023'!O28</f>
        <v>5000</v>
      </c>
    </row>
    <row r="898" spans="1:26" ht="14.25" customHeight="1">
      <c r="A898" s="25" t="s">
        <v>56</v>
      </c>
      <c r="B898" s="222">
        <f>'2023'!P28</f>
        <v>5000</v>
      </c>
    </row>
    <row r="899" spans="1:26" ht="14.25" customHeight="1">
      <c r="A899" s="25" t="s">
        <v>57</v>
      </c>
      <c r="B899" s="222">
        <f>'2023'!Q28</f>
        <v>5000</v>
      </c>
    </row>
    <row r="900" spans="1:26" ht="14.25" customHeight="1">
      <c r="A900" s="25" t="s">
        <v>12</v>
      </c>
      <c r="B900" s="222">
        <f>'2023'!R28</f>
        <v>5000</v>
      </c>
    </row>
    <row r="901" spans="1:26" ht="14.25" customHeight="1">
      <c r="A901" s="25" t="s">
        <v>13</v>
      </c>
      <c r="B901" s="222">
        <f>'2023'!S28</f>
        <v>5000</v>
      </c>
    </row>
    <row r="902" spans="1:26" ht="14.25" customHeight="1">
      <c r="A902" s="25" t="s">
        <v>14</v>
      </c>
      <c r="B902" s="222">
        <f>'2023'!T28</f>
        <v>2500</v>
      </c>
      <c r="D902" s="509"/>
      <c r="E902" s="509"/>
    </row>
    <row r="903" spans="1:26" ht="14.25" customHeight="1">
      <c r="A903" s="522" t="s">
        <v>126</v>
      </c>
      <c r="B903" s="567">
        <f>SUM(B891:B902)</f>
        <v>62500</v>
      </c>
    </row>
    <row r="904" spans="1:26" ht="14.25" customHeight="1">
      <c r="A904" s="509"/>
      <c r="B904" s="509"/>
      <c r="C904" s="509"/>
      <c r="F904" s="509"/>
      <c r="G904" s="509"/>
      <c r="H904" s="509"/>
      <c r="I904" s="509"/>
      <c r="J904" s="509"/>
      <c r="K904" s="509"/>
      <c r="L904" s="509"/>
      <c r="M904" s="509"/>
      <c r="N904" s="509"/>
      <c r="O904" s="509"/>
      <c r="P904" s="509"/>
      <c r="Q904" s="509"/>
      <c r="R904" s="509"/>
      <c r="S904" s="509"/>
      <c r="T904" s="509"/>
      <c r="U904" s="509"/>
      <c r="V904" s="509"/>
      <c r="W904" s="509"/>
      <c r="X904" s="509"/>
      <c r="Y904" s="509"/>
      <c r="Z904" s="509"/>
    </row>
    <row r="905" spans="1:26" ht="14.25" customHeight="1"/>
    <row r="906" spans="1:26" ht="14.25" customHeight="1">
      <c r="A906" s="502" t="s">
        <v>671</v>
      </c>
    </row>
    <row r="907" spans="1:26" ht="14.25" customHeight="1"/>
    <row r="908" spans="1:26" ht="14.25" customHeight="1">
      <c r="A908" s="522" t="s">
        <v>672</v>
      </c>
      <c r="B908" s="522"/>
    </row>
    <row r="909" spans="1:26" ht="14.25" customHeight="1">
      <c r="A909" s="524">
        <v>2022</v>
      </c>
      <c r="B909" s="25"/>
    </row>
    <row r="910" spans="1:26" ht="14.25" customHeight="1">
      <c r="A910" s="25" t="s">
        <v>49</v>
      </c>
      <c r="B910" s="222">
        <v>5000</v>
      </c>
    </row>
    <row r="911" spans="1:26" ht="14.25" customHeight="1">
      <c r="A911" s="25" t="s">
        <v>50</v>
      </c>
      <c r="B911" s="222">
        <v>4957</v>
      </c>
    </row>
    <row r="912" spans="1:26" ht="14.25" customHeight="1">
      <c r="A912" s="25" t="s">
        <v>589</v>
      </c>
      <c r="B912" s="222">
        <v>5500</v>
      </c>
    </row>
    <row r="913" spans="1:2" ht="14.25" customHeight="1">
      <c r="A913" s="524">
        <v>2024</v>
      </c>
      <c r="B913" s="25"/>
    </row>
    <row r="914" spans="1:2" ht="14.25" customHeight="1">
      <c r="A914" s="25" t="s">
        <v>50</v>
      </c>
      <c r="B914" s="222">
        <v>3000</v>
      </c>
    </row>
    <row r="915" spans="1:2" ht="14.25" customHeight="1">
      <c r="A915" s="525" t="s">
        <v>126</v>
      </c>
      <c r="B915" s="538">
        <f>SUM(B910:B914)</f>
        <v>18457</v>
      </c>
    </row>
    <row r="916" spans="1:2" ht="14.25" customHeight="1"/>
    <row r="917" spans="1:2" ht="14.25" customHeight="1"/>
    <row r="918" spans="1:2" ht="14.25" customHeight="1"/>
    <row r="919" spans="1:2" ht="14.25" customHeight="1"/>
    <row r="920" spans="1:2" ht="14.25" customHeight="1"/>
    <row r="921" spans="1:2" ht="14.25" customHeight="1"/>
    <row r="922" spans="1:2" ht="14.25" customHeight="1"/>
    <row r="923" spans="1:2" ht="14.25" customHeight="1"/>
    <row r="924" spans="1:2" ht="14.25" customHeight="1"/>
    <row r="925" spans="1:2" ht="14.25" customHeight="1"/>
    <row r="926" spans="1:2" ht="14.25" customHeight="1"/>
    <row r="927" spans="1:2" ht="14.25" customHeight="1"/>
    <row r="928" spans="1:2"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
    <mergeCell ref="A63:C63"/>
    <mergeCell ref="B78:F78"/>
    <mergeCell ref="A79:B79"/>
    <mergeCell ref="A162:B162"/>
    <mergeCell ref="A187:B187"/>
  </mergeCells>
  <phoneticPr fontId="62" type="noConversion"/>
  <pageMargins left="0.7" right="0.7" top="0.75" bottom="0.75" header="0" footer="0"/>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000"/>
  <sheetViews>
    <sheetView workbookViewId="0">
      <pane xSplit="3" ySplit="1" topLeftCell="D2" activePane="bottomRight" state="frozen"/>
      <selection pane="topRight"/>
      <selection pane="bottomLeft"/>
      <selection pane="bottomRight" activeCell="D2" sqref="D2"/>
    </sheetView>
  </sheetViews>
  <sheetFormatPr defaultColWidth="12.59765625" defaultRowHeight="15" customHeight="1"/>
  <cols>
    <col min="1" max="1" width="8.59765625" customWidth="1"/>
    <col min="2" max="2" width="18.5" customWidth="1"/>
    <col min="3" max="3" width="13" customWidth="1"/>
    <col min="4" max="4" width="10.59765625" customWidth="1"/>
    <col min="5" max="6" width="8.59765625" customWidth="1"/>
    <col min="7" max="7" width="42" customWidth="1"/>
    <col min="8" max="26" width="8.59765625" customWidth="1"/>
  </cols>
  <sheetData>
    <row r="1" spans="1:7" ht="13.5" customHeight="1">
      <c r="A1" s="493" t="s">
        <v>0</v>
      </c>
      <c r="B1" s="494" t="s">
        <v>1</v>
      </c>
      <c r="C1" s="495" t="s">
        <v>48</v>
      </c>
      <c r="D1" s="495" t="s">
        <v>673</v>
      </c>
      <c r="E1" s="496" t="s">
        <v>382</v>
      </c>
      <c r="F1" s="496" t="s">
        <v>16</v>
      </c>
      <c r="G1" s="496" t="s">
        <v>674</v>
      </c>
    </row>
    <row r="2" spans="1:7" ht="13.5" customHeight="1">
      <c r="A2" s="497">
        <v>1</v>
      </c>
      <c r="B2" s="25" t="s">
        <v>515</v>
      </c>
      <c r="C2" s="25" t="s">
        <v>238</v>
      </c>
      <c r="D2" s="498">
        <v>12000</v>
      </c>
      <c r="E2" s="58" t="s">
        <v>13</v>
      </c>
      <c r="F2" s="25">
        <f>12000-6000</f>
        <v>6000</v>
      </c>
      <c r="G2" s="25" t="s">
        <v>675</v>
      </c>
    </row>
    <row r="3" spans="1:7" ht="13.5" customHeight="1">
      <c r="A3" s="497">
        <v>2</v>
      </c>
      <c r="B3" s="25" t="s">
        <v>336</v>
      </c>
      <c r="C3" s="25" t="s">
        <v>150</v>
      </c>
      <c r="D3" s="498">
        <v>6000</v>
      </c>
      <c r="E3" s="58" t="s">
        <v>14</v>
      </c>
      <c r="F3" s="25">
        <v>6000</v>
      </c>
      <c r="G3" s="25" t="s">
        <v>676</v>
      </c>
    </row>
    <row r="4" spans="1:7" ht="13.5" customHeight="1">
      <c r="A4" s="499">
        <v>3</v>
      </c>
      <c r="B4" s="86" t="s">
        <v>299</v>
      </c>
      <c r="C4" s="86" t="s">
        <v>150</v>
      </c>
      <c r="D4" s="500">
        <v>3000</v>
      </c>
      <c r="E4" s="501" t="s">
        <v>14</v>
      </c>
      <c r="F4" s="86">
        <v>3000</v>
      </c>
      <c r="G4" s="374" t="s">
        <v>677</v>
      </c>
    </row>
    <row r="5" spans="1:7" ht="13.5" customHeight="1"/>
    <row r="6" spans="1:7" ht="13.5" customHeight="1"/>
    <row r="7" spans="1:7" ht="13.5" customHeight="1"/>
    <row r="8" spans="1:7" ht="13.5" customHeight="1"/>
    <row r="9" spans="1:7" ht="13.5" customHeight="1"/>
    <row r="10" spans="1:7" ht="13.5" customHeight="1"/>
    <row r="11" spans="1:7" ht="13.5" customHeight="1"/>
    <row r="12" spans="1:7" ht="13.5" customHeight="1"/>
    <row r="13" spans="1:7" ht="13.5" customHeight="1"/>
    <row r="14" spans="1:7" ht="13.5" customHeight="1"/>
    <row r="15" spans="1:7" ht="13.5" customHeight="1"/>
    <row r="16" spans="1:7"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pane xSplit="3" ySplit="1" topLeftCell="D2" activePane="bottomRight" state="frozen"/>
      <selection pane="topRight"/>
      <selection pane="bottomLeft"/>
      <selection pane="bottomRight" activeCell="D2" sqref="D2"/>
    </sheetView>
  </sheetViews>
  <sheetFormatPr defaultColWidth="12.59765625" defaultRowHeight="15" customHeight="1"/>
  <cols>
    <col min="1" max="1" width="15.09765625" customWidth="1"/>
    <col min="2" max="2" width="13.19921875" customWidth="1"/>
    <col min="3" max="3" width="11" customWidth="1"/>
    <col min="4" max="4" width="22.19921875" customWidth="1"/>
    <col min="5" max="5" width="13.19921875" customWidth="1"/>
    <col min="6" max="6" width="21.59765625" customWidth="1"/>
    <col min="7" max="7" width="11.19921875" customWidth="1"/>
    <col min="8" max="8" width="18.19921875" customWidth="1"/>
    <col min="9" max="10" width="11.19921875" customWidth="1"/>
    <col min="11" max="11" width="8" customWidth="1"/>
    <col min="12" max="12" width="9.5" customWidth="1"/>
    <col min="13" max="26" width="8.59765625" customWidth="1"/>
  </cols>
  <sheetData>
    <row r="1" spans="1:26" ht="27" customHeight="1">
      <c r="A1" s="355" t="s">
        <v>537</v>
      </c>
      <c r="B1" s="355" t="s">
        <v>538</v>
      </c>
      <c r="C1" s="355" t="s">
        <v>539</v>
      </c>
      <c r="D1" s="355" t="s">
        <v>540</v>
      </c>
      <c r="E1" s="355" t="s">
        <v>541</v>
      </c>
      <c r="F1" s="355" t="s">
        <v>565</v>
      </c>
      <c r="G1" s="355" t="s">
        <v>542</v>
      </c>
      <c r="H1" s="355" t="s">
        <v>543</v>
      </c>
      <c r="I1" s="355" t="s">
        <v>544</v>
      </c>
      <c r="J1" s="355" t="s">
        <v>318</v>
      </c>
      <c r="K1" s="355" t="s">
        <v>3</v>
      </c>
      <c r="L1" s="355" t="s">
        <v>566</v>
      </c>
      <c r="M1" s="447"/>
      <c r="N1" s="447"/>
      <c r="O1" s="447"/>
      <c r="P1" s="447"/>
      <c r="Q1" s="447"/>
      <c r="R1" s="447"/>
      <c r="S1" s="447"/>
      <c r="T1" s="447"/>
      <c r="U1" s="447"/>
      <c r="V1" s="447"/>
      <c r="W1" s="447"/>
      <c r="X1" s="447"/>
      <c r="Y1" s="447"/>
      <c r="Z1" s="447"/>
    </row>
    <row r="2" spans="1:26" ht="13.5" customHeight="1">
      <c r="A2" s="468" t="s">
        <v>525</v>
      </c>
      <c r="B2" s="468" t="s">
        <v>301</v>
      </c>
      <c r="C2" s="468" t="s">
        <v>678</v>
      </c>
      <c r="D2" s="469">
        <v>0.8</v>
      </c>
      <c r="E2" s="470">
        <v>0.85</v>
      </c>
      <c r="F2" s="468" t="s">
        <v>569</v>
      </c>
      <c r="G2" s="471">
        <v>1</v>
      </c>
      <c r="H2" s="469">
        <v>0.8</v>
      </c>
      <c r="I2" s="488">
        <v>1</v>
      </c>
      <c r="J2" s="489" t="s">
        <v>570</v>
      </c>
      <c r="K2" s="490">
        <v>0</v>
      </c>
      <c r="L2" s="490">
        <v>0</v>
      </c>
      <c r="M2" s="112"/>
      <c r="N2" s="112"/>
      <c r="O2" s="112"/>
      <c r="P2" s="112"/>
      <c r="Q2" s="112"/>
      <c r="R2" s="112"/>
      <c r="S2" s="112"/>
      <c r="T2" s="112"/>
      <c r="U2" s="112"/>
      <c r="V2" s="112"/>
      <c r="W2" s="112"/>
      <c r="X2" s="112"/>
      <c r="Y2" s="112"/>
      <c r="Z2" s="112"/>
    </row>
    <row r="3" spans="1:26" ht="13.5" customHeight="1">
      <c r="A3" s="472" t="s">
        <v>526</v>
      </c>
      <c r="B3" s="473" t="s">
        <v>567</v>
      </c>
      <c r="C3" s="473" t="s">
        <v>568</v>
      </c>
      <c r="D3" s="434">
        <v>0.8</v>
      </c>
      <c r="E3" s="474">
        <v>0.8</v>
      </c>
      <c r="F3" s="472" t="s">
        <v>569</v>
      </c>
      <c r="G3" s="475">
        <v>1</v>
      </c>
      <c r="H3" s="434">
        <v>0.8</v>
      </c>
      <c r="I3" s="491">
        <v>1</v>
      </c>
      <c r="J3" s="386" t="s">
        <v>570</v>
      </c>
      <c r="K3" s="472">
        <v>0</v>
      </c>
      <c r="L3" s="492">
        <v>0</v>
      </c>
      <c r="M3" s="112"/>
      <c r="N3" s="112"/>
      <c r="O3" s="112"/>
      <c r="P3" s="112"/>
      <c r="Q3" s="112"/>
      <c r="R3" s="112"/>
      <c r="S3" s="112"/>
      <c r="T3" s="112"/>
      <c r="U3" s="112"/>
      <c r="V3" s="112"/>
      <c r="W3" s="112"/>
      <c r="X3" s="112"/>
      <c r="Y3" s="112"/>
      <c r="Z3" s="112"/>
    </row>
    <row r="4" spans="1:26" ht="13.5" customHeight="1">
      <c r="A4" s="476" t="s">
        <v>307</v>
      </c>
      <c r="B4" s="476"/>
      <c r="C4" s="476"/>
      <c r="D4" s="454" t="s">
        <v>571</v>
      </c>
      <c r="E4" s="477"/>
      <c r="F4" s="476" t="s">
        <v>572</v>
      </c>
      <c r="G4" s="478">
        <v>1</v>
      </c>
      <c r="H4" s="479"/>
      <c r="I4" s="479" t="s">
        <v>679</v>
      </c>
      <c r="J4" s="467" t="s">
        <v>680</v>
      </c>
      <c r="K4" s="476">
        <v>6000</v>
      </c>
      <c r="L4" s="467">
        <v>5000</v>
      </c>
      <c r="M4" s="112"/>
      <c r="N4" s="112"/>
      <c r="O4" s="112"/>
      <c r="P4" s="112"/>
      <c r="Q4" s="112"/>
      <c r="R4" s="112"/>
      <c r="S4" s="112"/>
      <c r="T4" s="112"/>
      <c r="U4" s="112"/>
      <c r="V4" s="112"/>
      <c r="W4" s="112"/>
      <c r="X4" s="112"/>
      <c r="Y4" s="112"/>
      <c r="Z4" s="112"/>
    </row>
    <row r="5" spans="1:26" ht="13.5" customHeight="1">
      <c r="A5" s="480" t="s">
        <v>169</v>
      </c>
      <c r="B5" s="481"/>
      <c r="C5" s="481"/>
      <c r="D5" s="467"/>
      <c r="E5" s="467"/>
      <c r="F5" s="476" t="s">
        <v>681</v>
      </c>
      <c r="G5" s="478">
        <v>1</v>
      </c>
      <c r="H5" s="467"/>
      <c r="I5" s="479">
        <v>1</v>
      </c>
      <c r="J5" s="467" t="s">
        <v>570</v>
      </c>
      <c r="K5" s="476">
        <v>5000</v>
      </c>
      <c r="L5" s="467">
        <v>5000</v>
      </c>
      <c r="M5" s="112"/>
      <c r="N5" s="112"/>
      <c r="O5" s="112"/>
      <c r="P5" s="112"/>
      <c r="Q5" s="112"/>
      <c r="R5" s="112"/>
      <c r="S5" s="112"/>
      <c r="T5" s="112"/>
      <c r="U5" s="112"/>
      <c r="V5" s="112"/>
      <c r="W5" s="112"/>
      <c r="X5" s="112"/>
      <c r="Y5" s="112"/>
      <c r="Z5" s="112"/>
    </row>
    <row r="6" spans="1:26" ht="13.5" customHeight="1">
      <c r="A6" s="482" t="s">
        <v>449</v>
      </c>
      <c r="B6" s="481"/>
      <c r="C6" s="481"/>
      <c r="D6" s="467"/>
      <c r="E6" s="467"/>
      <c r="F6" s="476" t="s">
        <v>682</v>
      </c>
      <c r="G6" s="478">
        <v>1</v>
      </c>
      <c r="H6" s="467"/>
      <c r="I6" s="479">
        <v>1</v>
      </c>
      <c r="J6" s="467" t="s">
        <v>570</v>
      </c>
      <c r="K6" s="476">
        <v>5000</v>
      </c>
      <c r="L6" s="467">
        <v>5000</v>
      </c>
      <c r="M6" s="112"/>
      <c r="N6" s="112"/>
      <c r="O6" s="112"/>
      <c r="P6" s="112"/>
      <c r="Q6" s="112"/>
      <c r="R6" s="112"/>
      <c r="S6" s="112"/>
      <c r="T6" s="112"/>
      <c r="U6" s="112"/>
      <c r="V6" s="112"/>
      <c r="W6" s="112"/>
      <c r="X6" s="112"/>
      <c r="Y6" s="112"/>
      <c r="Z6" s="112"/>
    </row>
    <row r="7" spans="1:26" ht="13.5" customHeight="1">
      <c r="A7" s="480" t="s">
        <v>574</v>
      </c>
      <c r="B7" s="476"/>
      <c r="C7" s="476"/>
      <c r="D7" s="467"/>
      <c r="E7" s="467"/>
      <c r="F7" s="476" t="s">
        <v>683</v>
      </c>
      <c r="G7" s="479">
        <v>1</v>
      </c>
      <c r="H7" s="467"/>
      <c r="I7" s="467"/>
      <c r="J7" s="467"/>
      <c r="K7" s="480"/>
      <c r="L7" s="467"/>
      <c r="M7" s="112"/>
      <c r="N7" s="112"/>
      <c r="O7" s="112"/>
      <c r="P7" s="112"/>
      <c r="Q7" s="112"/>
      <c r="R7" s="112"/>
      <c r="S7" s="112"/>
      <c r="T7" s="112"/>
      <c r="U7" s="112"/>
      <c r="V7" s="112"/>
      <c r="W7" s="112"/>
      <c r="X7" s="112"/>
      <c r="Y7" s="112"/>
      <c r="Z7" s="112"/>
    </row>
    <row r="8" spans="1:26" ht="13.5" customHeight="1">
      <c r="A8" s="483"/>
      <c r="B8" s="473"/>
      <c r="C8" s="473"/>
      <c r="D8" s="386"/>
      <c r="E8" s="386"/>
      <c r="F8" s="386"/>
      <c r="G8" s="386"/>
      <c r="H8" s="386"/>
      <c r="I8" s="386"/>
      <c r="J8" s="386"/>
      <c r="K8" s="483"/>
      <c r="L8" s="386"/>
      <c r="M8" s="112"/>
      <c r="N8" s="112"/>
      <c r="O8" s="112"/>
      <c r="P8" s="112"/>
      <c r="Q8" s="112"/>
      <c r="R8" s="112"/>
      <c r="S8" s="112"/>
      <c r="T8" s="112"/>
      <c r="U8" s="112"/>
      <c r="V8" s="112"/>
      <c r="W8" s="112"/>
      <c r="X8" s="112"/>
      <c r="Y8" s="112"/>
      <c r="Z8" s="112"/>
    </row>
    <row r="9" spans="1:26" ht="13.5" customHeight="1">
      <c r="A9" s="483"/>
      <c r="B9" s="473"/>
      <c r="C9" s="473"/>
      <c r="D9" s="386"/>
      <c r="E9" s="386"/>
      <c r="F9" s="386"/>
      <c r="G9" s="386"/>
      <c r="H9" s="386"/>
      <c r="I9" s="386"/>
      <c r="J9" s="386"/>
      <c r="K9" s="483"/>
      <c r="L9" s="386"/>
      <c r="M9" s="112"/>
      <c r="N9" s="112"/>
      <c r="O9" s="112"/>
      <c r="P9" s="112"/>
      <c r="Q9" s="112"/>
      <c r="R9" s="112"/>
      <c r="S9" s="112"/>
      <c r="T9" s="112"/>
      <c r="U9" s="112"/>
      <c r="V9" s="112"/>
      <c r="W9" s="112"/>
      <c r="X9" s="112"/>
      <c r="Y9" s="112"/>
      <c r="Z9" s="112"/>
    </row>
    <row r="10" spans="1:26" ht="13.5" customHeight="1">
      <c r="A10" s="444"/>
      <c r="B10" s="445"/>
      <c r="C10" s="445"/>
      <c r="D10" s="445"/>
      <c r="E10" s="445"/>
      <c r="F10" s="445"/>
      <c r="G10" s="445"/>
      <c r="H10" s="445"/>
      <c r="I10" s="445"/>
      <c r="J10" s="16"/>
      <c r="K10" s="445"/>
      <c r="L10" s="16"/>
    </row>
    <row r="11" spans="1:26" ht="13.5" customHeight="1">
      <c r="A11" s="444"/>
      <c r="B11" s="445"/>
      <c r="C11" s="462" t="s">
        <v>532</v>
      </c>
      <c r="D11" s="462"/>
      <c r="E11" s="445"/>
      <c r="F11" s="445"/>
      <c r="G11" s="445"/>
      <c r="H11" s="445"/>
      <c r="I11" s="445"/>
      <c r="J11" s="16"/>
      <c r="K11" s="445"/>
      <c r="L11" s="16"/>
    </row>
    <row r="12" spans="1:26" ht="13.5" customHeight="1">
      <c r="A12" s="445"/>
      <c r="B12" s="445"/>
      <c r="C12" s="445"/>
      <c r="D12" s="445"/>
      <c r="E12" s="445"/>
      <c r="F12" s="445"/>
      <c r="G12" s="445"/>
      <c r="H12" s="445"/>
      <c r="I12" s="445"/>
      <c r="J12" s="16"/>
      <c r="K12" s="445"/>
      <c r="L12" s="16"/>
    </row>
    <row r="13" spans="1:26" ht="30" customHeight="1">
      <c r="A13" s="484" t="s">
        <v>519</v>
      </c>
      <c r="B13" s="484" t="s">
        <v>520</v>
      </c>
      <c r="C13" s="484" t="s">
        <v>509</v>
      </c>
      <c r="D13" s="484" t="s">
        <v>521</v>
      </c>
      <c r="E13" s="484" t="s">
        <v>301</v>
      </c>
      <c r="F13" s="485"/>
      <c r="G13" s="485"/>
      <c r="H13" s="485"/>
      <c r="I13" s="485"/>
      <c r="J13" s="428"/>
      <c r="K13" s="485"/>
      <c r="L13" s="428"/>
      <c r="M13" s="112"/>
      <c r="N13" s="112"/>
      <c r="O13" s="112"/>
      <c r="P13" s="112"/>
      <c r="Q13" s="112"/>
      <c r="R13" s="112"/>
      <c r="S13" s="112"/>
      <c r="T13" s="112"/>
      <c r="U13" s="112"/>
      <c r="V13" s="112"/>
      <c r="W13" s="112"/>
      <c r="X13" s="112"/>
      <c r="Y13" s="112"/>
      <c r="Z13" s="112"/>
    </row>
    <row r="14" spans="1:26" ht="13.5" customHeight="1">
      <c r="A14" s="486" t="s">
        <v>525</v>
      </c>
      <c r="B14" s="487">
        <v>0.5</v>
      </c>
      <c r="C14" s="487">
        <v>0.2</v>
      </c>
      <c r="D14" s="487">
        <v>0.2</v>
      </c>
      <c r="E14" s="487">
        <v>0.5</v>
      </c>
      <c r="F14" s="445"/>
      <c r="G14" s="445"/>
      <c r="H14" s="445"/>
      <c r="I14" s="445"/>
      <c r="J14" s="16"/>
      <c r="K14" s="445"/>
      <c r="L14" s="16"/>
    </row>
    <row r="15" spans="1:26" ht="13.5" customHeight="1">
      <c r="A15" s="465" t="s">
        <v>526</v>
      </c>
      <c r="B15" s="466">
        <v>0.3</v>
      </c>
      <c r="C15" s="466">
        <v>0.25</v>
      </c>
      <c r="D15" s="466">
        <v>0.7</v>
      </c>
      <c r="E15" s="466">
        <v>0.5</v>
      </c>
      <c r="F15" s="445"/>
      <c r="G15" s="445"/>
      <c r="H15" s="445"/>
      <c r="I15" s="445"/>
      <c r="J15" s="16"/>
      <c r="K15" s="445"/>
      <c r="L15" s="16"/>
    </row>
    <row r="16" spans="1:26" ht="13.5" customHeight="1">
      <c r="A16" s="465" t="s">
        <v>527</v>
      </c>
      <c r="B16" s="466">
        <v>0.8</v>
      </c>
      <c r="C16" s="466">
        <v>0.7</v>
      </c>
      <c r="D16" s="466">
        <v>0.7</v>
      </c>
      <c r="E16" s="466">
        <v>0.7</v>
      </c>
      <c r="F16" s="445"/>
      <c r="G16" s="445"/>
      <c r="H16" s="445"/>
      <c r="I16" s="445"/>
      <c r="J16" s="16"/>
      <c r="K16" s="445"/>
      <c r="L16" s="16"/>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pane xSplit="2" ySplit="1" topLeftCell="C2" activePane="bottomRight" state="frozen"/>
      <selection pane="topRight"/>
      <selection pane="bottomLeft"/>
      <selection pane="bottomRight" activeCell="C2" sqref="C2"/>
    </sheetView>
  </sheetViews>
  <sheetFormatPr defaultColWidth="12.59765625" defaultRowHeight="15" customHeight="1"/>
  <cols>
    <col min="1" max="1" width="15" customWidth="1"/>
    <col min="2" max="2" width="13" customWidth="1"/>
    <col min="3" max="3" width="18.69921875" customWidth="1"/>
    <col min="4" max="4" width="15.5" customWidth="1"/>
    <col min="5" max="5" width="12.69921875" customWidth="1"/>
    <col min="6" max="6" width="28.3984375" customWidth="1"/>
    <col min="7" max="7" width="10.3984375" customWidth="1"/>
    <col min="8" max="8" width="10.8984375" customWidth="1"/>
    <col min="9" max="9" width="10.5" customWidth="1"/>
    <col min="10" max="10" width="18" customWidth="1"/>
    <col min="11" max="11" width="12.5" customWidth="1"/>
    <col min="12" max="12" width="14" customWidth="1"/>
    <col min="13" max="26" width="8.59765625" customWidth="1"/>
  </cols>
  <sheetData>
    <row r="1" spans="1:26" ht="42.75" customHeight="1">
      <c r="A1" s="355" t="s">
        <v>537</v>
      </c>
      <c r="B1" s="355" t="s">
        <v>538</v>
      </c>
      <c r="C1" s="355" t="s">
        <v>539</v>
      </c>
      <c r="D1" s="355" t="s">
        <v>540</v>
      </c>
      <c r="E1" s="355" t="s">
        <v>684</v>
      </c>
      <c r="F1" s="355" t="s">
        <v>565</v>
      </c>
      <c r="G1" s="355" t="s">
        <v>542</v>
      </c>
      <c r="H1" s="355" t="s">
        <v>543</v>
      </c>
      <c r="I1" s="355" t="s">
        <v>544</v>
      </c>
      <c r="J1" s="355" t="s">
        <v>318</v>
      </c>
      <c r="K1" s="355" t="s">
        <v>3</v>
      </c>
      <c r="L1" s="355" t="s">
        <v>566</v>
      </c>
      <c r="M1" s="447"/>
      <c r="N1" s="447"/>
      <c r="O1" s="447"/>
      <c r="P1" s="447"/>
      <c r="Q1" s="447"/>
      <c r="R1" s="447"/>
      <c r="S1" s="447"/>
      <c r="T1" s="447"/>
      <c r="U1" s="447"/>
      <c r="V1" s="447"/>
      <c r="W1" s="447"/>
      <c r="X1" s="447"/>
      <c r="Y1" s="447"/>
      <c r="Z1" s="447"/>
    </row>
    <row r="2" spans="1:26" ht="13.5" customHeight="1">
      <c r="A2" s="433" t="s">
        <v>525</v>
      </c>
      <c r="B2" s="357" t="s">
        <v>301</v>
      </c>
      <c r="C2" s="357" t="s">
        <v>678</v>
      </c>
      <c r="D2" s="434">
        <v>0.4</v>
      </c>
      <c r="E2" s="435">
        <v>0.85</v>
      </c>
      <c r="F2" s="433" t="s">
        <v>569</v>
      </c>
      <c r="G2" s="436">
        <v>1</v>
      </c>
      <c r="H2" s="437">
        <v>0.5</v>
      </c>
      <c r="I2" s="437">
        <v>0.4</v>
      </c>
      <c r="J2" s="131" t="s">
        <v>685</v>
      </c>
      <c r="K2" s="449">
        <v>0</v>
      </c>
      <c r="L2" s="449">
        <v>0</v>
      </c>
    </row>
    <row r="3" spans="1:26" ht="13.5" customHeight="1">
      <c r="A3" s="433" t="s">
        <v>526</v>
      </c>
      <c r="B3" s="357" t="s">
        <v>567</v>
      </c>
      <c r="C3" s="357" t="s">
        <v>568</v>
      </c>
      <c r="D3" s="434">
        <v>0.3</v>
      </c>
      <c r="E3" s="435">
        <v>0.7</v>
      </c>
      <c r="F3" s="433" t="s">
        <v>569</v>
      </c>
      <c r="G3" s="436">
        <v>1</v>
      </c>
      <c r="H3" s="437">
        <v>0.6</v>
      </c>
      <c r="I3" s="437">
        <v>0.4</v>
      </c>
      <c r="J3" s="131" t="s">
        <v>685</v>
      </c>
      <c r="K3" s="433">
        <v>0</v>
      </c>
      <c r="L3" s="449">
        <v>0</v>
      </c>
    </row>
    <row r="4" spans="1:26" ht="13.5" customHeight="1">
      <c r="A4" s="453" t="s">
        <v>307</v>
      </c>
      <c r="B4" s="453"/>
      <c r="C4" s="453"/>
      <c r="D4" s="454"/>
      <c r="E4" s="455"/>
      <c r="F4" s="453" t="s">
        <v>686</v>
      </c>
      <c r="G4" s="456">
        <v>1</v>
      </c>
      <c r="H4" s="457"/>
      <c r="I4" s="457" t="s">
        <v>679</v>
      </c>
      <c r="J4" s="467" t="s">
        <v>687</v>
      </c>
      <c r="K4" s="453">
        <v>6000</v>
      </c>
      <c r="L4" s="460">
        <v>4000</v>
      </c>
    </row>
    <row r="5" spans="1:26" ht="13.5" customHeight="1">
      <c r="A5" s="458" t="s">
        <v>169</v>
      </c>
      <c r="B5" s="459"/>
      <c r="C5" s="459"/>
      <c r="D5" s="460"/>
      <c r="E5" s="460"/>
      <c r="F5" s="453" t="s">
        <v>681</v>
      </c>
      <c r="G5" s="456">
        <v>1</v>
      </c>
      <c r="H5" s="460"/>
      <c r="I5" s="457">
        <v>1</v>
      </c>
      <c r="J5" s="460" t="s">
        <v>570</v>
      </c>
      <c r="K5" s="453">
        <v>5000</v>
      </c>
      <c r="L5" s="460">
        <v>5000</v>
      </c>
    </row>
    <row r="6" spans="1:26" ht="13.5" customHeight="1">
      <c r="A6" s="461" t="s">
        <v>449</v>
      </c>
      <c r="B6" s="459"/>
      <c r="C6" s="459"/>
      <c r="D6" s="460"/>
      <c r="E6" s="460"/>
      <c r="F6" s="453" t="s">
        <v>682</v>
      </c>
      <c r="G6" s="456">
        <v>1</v>
      </c>
      <c r="H6" s="460"/>
      <c r="I6" s="457">
        <v>1</v>
      </c>
      <c r="J6" s="460" t="s">
        <v>570</v>
      </c>
      <c r="K6" s="453">
        <v>5000</v>
      </c>
      <c r="L6" s="460">
        <v>5000</v>
      </c>
    </row>
    <row r="7" spans="1:26" ht="13.5" customHeight="1">
      <c r="A7" s="458" t="s">
        <v>574</v>
      </c>
      <c r="B7" s="453"/>
      <c r="C7" s="453"/>
      <c r="D7" s="460"/>
      <c r="E7" s="460"/>
      <c r="F7" s="453" t="s">
        <v>683</v>
      </c>
      <c r="G7" s="457">
        <v>1</v>
      </c>
      <c r="H7" s="460"/>
      <c r="I7" s="460"/>
      <c r="J7" s="460"/>
      <c r="K7" s="458"/>
      <c r="L7" s="460"/>
    </row>
    <row r="8" spans="1:26" ht="13.5" customHeight="1">
      <c r="A8" s="443"/>
      <c r="B8" s="357"/>
      <c r="C8" s="357"/>
      <c r="D8" s="131"/>
      <c r="E8" s="131"/>
      <c r="F8" s="131"/>
      <c r="G8" s="131"/>
      <c r="H8" s="131"/>
      <c r="I8" s="131"/>
      <c r="J8" s="131"/>
      <c r="K8" s="443"/>
      <c r="L8" s="131"/>
    </row>
    <row r="9" spans="1:26" ht="13.5" customHeight="1">
      <c r="A9" s="443"/>
      <c r="B9" s="357"/>
      <c r="C9" s="357"/>
      <c r="D9" s="131"/>
      <c r="E9" s="131"/>
      <c r="F9" s="131"/>
      <c r="G9" s="131"/>
      <c r="H9" s="131"/>
      <c r="I9" s="131"/>
      <c r="J9" s="131"/>
      <c r="K9" s="443"/>
      <c r="L9" s="131"/>
    </row>
    <row r="10" spans="1:26" ht="13.5" customHeight="1">
      <c r="A10" s="444"/>
      <c r="B10" s="445"/>
      <c r="C10" s="445"/>
      <c r="D10" s="445"/>
      <c r="E10" s="445"/>
      <c r="F10" s="445"/>
      <c r="G10" s="445"/>
      <c r="H10" s="445"/>
      <c r="I10" s="445"/>
      <c r="J10" s="16"/>
      <c r="K10" s="445"/>
      <c r="L10" s="16"/>
    </row>
    <row r="11" spans="1:26" ht="13.5" customHeight="1">
      <c r="A11" s="444"/>
      <c r="B11" s="445"/>
      <c r="C11" s="462" t="s">
        <v>531</v>
      </c>
      <c r="D11" s="463"/>
      <c r="E11" s="445"/>
      <c r="F11" s="445"/>
      <c r="G11" s="445"/>
      <c r="H11" s="445"/>
      <c r="I11" s="445"/>
      <c r="J11" s="16"/>
      <c r="K11" s="445"/>
      <c r="L11" s="16"/>
    </row>
    <row r="12" spans="1:26" ht="13.5" customHeight="1">
      <c r="A12" s="445"/>
      <c r="B12" s="445"/>
      <c r="C12" s="445"/>
      <c r="D12" s="445"/>
      <c r="E12" s="445"/>
      <c r="F12" s="445"/>
      <c r="G12" s="445"/>
      <c r="H12" s="445"/>
      <c r="I12" s="445"/>
      <c r="J12" s="16"/>
      <c r="K12" s="445"/>
      <c r="L12" s="16"/>
    </row>
    <row r="13" spans="1:26" ht="13.5" customHeight="1">
      <c r="A13" s="464" t="s">
        <v>519</v>
      </c>
      <c r="B13" s="464" t="s">
        <v>520</v>
      </c>
      <c r="C13" s="464" t="s">
        <v>509</v>
      </c>
      <c r="D13" s="464" t="s">
        <v>521</v>
      </c>
      <c r="E13" s="464" t="s">
        <v>301</v>
      </c>
      <c r="F13" s="445"/>
      <c r="G13" s="445"/>
      <c r="H13" s="445"/>
      <c r="I13" s="445"/>
      <c r="J13" s="16"/>
      <c r="K13" s="445"/>
      <c r="L13" s="16"/>
    </row>
    <row r="14" spans="1:26" ht="13.5" customHeight="1">
      <c r="A14" s="465" t="s">
        <v>525</v>
      </c>
      <c r="B14" s="466">
        <v>0.5</v>
      </c>
      <c r="C14" s="466">
        <v>0.2</v>
      </c>
      <c r="D14" s="466">
        <v>0.2</v>
      </c>
      <c r="E14" s="466">
        <v>0.5</v>
      </c>
      <c r="F14" s="445"/>
      <c r="G14" s="445"/>
      <c r="H14" s="445"/>
      <c r="I14" s="445"/>
      <c r="J14" s="16"/>
      <c r="K14" s="445"/>
      <c r="L14" s="16"/>
    </row>
    <row r="15" spans="1:26" ht="13.5" customHeight="1">
      <c r="A15" s="465" t="s">
        <v>526</v>
      </c>
      <c r="B15" s="466">
        <v>0.3</v>
      </c>
      <c r="C15" s="466">
        <v>0.25</v>
      </c>
      <c r="D15" s="466">
        <v>0.6</v>
      </c>
      <c r="E15" s="466">
        <v>0.25</v>
      </c>
      <c r="F15" s="445"/>
      <c r="G15" s="445"/>
      <c r="H15" s="445"/>
      <c r="I15" s="445"/>
      <c r="J15" s="16"/>
      <c r="K15" s="445"/>
      <c r="L15" s="16"/>
    </row>
    <row r="16" spans="1:26" ht="13.5" customHeight="1">
      <c r="A16" s="465" t="s">
        <v>527</v>
      </c>
      <c r="B16" s="466">
        <v>0.7</v>
      </c>
      <c r="C16" s="466">
        <v>0.7</v>
      </c>
      <c r="D16" s="466">
        <v>0.6</v>
      </c>
      <c r="E16" s="466">
        <v>0.7</v>
      </c>
      <c r="F16" s="445"/>
      <c r="G16" s="445"/>
      <c r="H16" s="445"/>
      <c r="I16" s="445"/>
      <c r="J16" s="16"/>
      <c r="K16" s="445"/>
      <c r="L16" s="16"/>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pane xSplit="3" ySplit="1" topLeftCell="D2" activePane="bottomRight" state="frozen"/>
      <selection pane="topRight"/>
      <selection pane="bottomLeft"/>
      <selection pane="bottomRight" activeCell="D2" sqref="D2"/>
    </sheetView>
  </sheetViews>
  <sheetFormatPr defaultColWidth="12.59765625" defaultRowHeight="15" customHeight="1"/>
  <cols>
    <col min="1" max="1" width="19.8984375" customWidth="1"/>
    <col min="2" max="2" width="29.69921875" customWidth="1"/>
    <col min="3" max="3" width="14.3984375" customWidth="1"/>
    <col min="4" max="4" width="20.3984375" customWidth="1"/>
    <col min="5" max="5" width="11" customWidth="1"/>
    <col min="6" max="6" width="28.5" customWidth="1"/>
    <col min="7" max="7" width="14.09765625" customWidth="1"/>
    <col min="8" max="8" width="16" customWidth="1"/>
    <col min="9" max="9" width="18.09765625" customWidth="1"/>
    <col min="10" max="10" width="17.3984375" customWidth="1"/>
    <col min="11" max="11" width="11.69921875" customWidth="1"/>
    <col min="12" max="12" width="13.09765625" customWidth="1"/>
  </cols>
  <sheetData>
    <row r="1" spans="1:26" ht="29.25" customHeight="1">
      <c r="A1" s="355" t="s">
        <v>537</v>
      </c>
      <c r="B1" s="355" t="s">
        <v>538</v>
      </c>
      <c r="C1" s="355" t="s">
        <v>539</v>
      </c>
      <c r="D1" s="355" t="s">
        <v>540</v>
      </c>
      <c r="E1" s="355" t="s">
        <v>684</v>
      </c>
      <c r="F1" s="355" t="s">
        <v>565</v>
      </c>
      <c r="G1" s="355" t="s">
        <v>542</v>
      </c>
      <c r="H1" s="355" t="s">
        <v>543</v>
      </c>
      <c r="I1" s="355" t="s">
        <v>544</v>
      </c>
      <c r="J1" s="355" t="s">
        <v>318</v>
      </c>
      <c r="K1" s="355" t="s">
        <v>3</v>
      </c>
      <c r="L1" s="355" t="s">
        <v>566</v>
      </c>
      <c r="M1" s="447"/>
      <c r="N1" s="447"/>
      <c r="O1" s="447"/>
      <c r="P1" s="447"/>
      <c r="Q1" s="447"/>
      <c r="R1" s="447"/>
      <c r="S1" s="447"/>
      <c r="T1" s="447"/>
      <c r="U1" s="447"/>
      <c r="V1" s="447"/>
      <c r="W1" s="447"/>
      <c r="X1" s="447"/>
      <c r="Y1" s="447"/>
      <c r="Z1" s="447"/>
    </row>
    <row r="2" spans="1:26" ht="14.4">
      <c r="A2" s="429" t="s">
        <v>228</v>
      </c>
      <c r="B2" s="429" t="s">
        <v>567</v>
      </c>
      <c r="C2" s="429" t="s">
        <v>568</v>
      </c>
      <c r="D2" s="430">
        <v>0.6</v>
      </c>
      <c r="E2" s="431">
        <v>0.85</v>
      </c>
      <c r="F2" s="429" t="s">
        <v>688</v>
      </c>
      <c r="G2" s="429" t="s">
        <v>689</v>
      </c>
      <c r="H2" s="432">
        <v>0</v>
      </c>
      <c r="I2" s="432">
        <v>0</v>
      </c>
      <c r="J2" s="448" t="s">
        <v>690</v>
      </c>
      <c r="K2" s="429">
        <v>10000</v>
      </c>
      <c r="L2" s="448"/>
    </row>
    <row r="3" spans="1:26" ht="14.4">
      <c r="A3" s="429" t="s">
        <v>303</v>
      </c>
      <c r="B3" s="429" t="s">
        <v>567</v>
      </c>
      <c r="C3" s="429" t="s">
        <v>568</v>
      </c>
      <c r="D3" s="430">
        <v>0.5</v>
      </c>
      <c r="E3" s="431">
        <v>0.85</v>
      </c>
      <c r="F3" s="429" t="s">
        <v>688</v>
      </c>
      <c r="G3" s="429" t="s">
        <v>689</v>
      </c>
      <c r="H3" s="432">
        <v>0</v>
      </c>
      <c r="I3" s="432">
        <v>0</v>
      </c>
      <c r="J3" s="448" t="s">
        <v>690</v>
      </c>
      <c r="K3" s="429">
        <v>6000</v>
      </c>
      <c r="L3" s="448"/>
    </row>
    <row r="4" spans="1:26" ht="14.4">
      <c r="A4" s="429" t="s">
        <v>523</v>
      </c>
      <c r="B4" s="429" t="s">
        <v>567</v>
      </c>
      <c r="C4" s="429" t="s">
        <v>568</v>
      </c>
      <c r="D4" s="430">
        <v>0.5</v>
      </c>
      <c r="E4" s="431">
        <v>0.85</v>
      </c>
      <c r="F4" s="429" t="s">
        <v>688</v>
      </c>
      <c r="G4" s="429" t="s">
        <v>689</v>
      </c>
      <c r="H4" s="432">
        <v>0</v>
      </c>
      <c r="I4" s="432">
        <v>0</v>
      </c>
      <c r="J4" s="448" t="s">
        <v>690</v>
      </c>
      <c r="K4" s="429">
        <v>6000</v>
      </c>
      <c r="L4" s="448"/>
    </row>
    <row r="5" spans="1:26" ht="14.4">
      <c r="A5" s="433" t="s">
        <v>525</v>
      </c>
      <c r="B5" s="357" t="s">
        <v>301</v>
      </c>
      <c r="C5" s="357" t="s">
        <v>678</v>
      </c>
      <c r="D5" s="434">
        <v>0.5</v>
      </c>
      <c r="E5" s="435">
        <v>0.85</v>
      </c>
      <c r="F5" s="433" t="s">
        <v>569</v>
      </c>
      <c r="G5" s="436">
        <v>1</v>
      </c>
      <c r="H5" s="437">
        <v>0.4</v>
      </c>
      <c r="I5" s="437" t="s">
        <v>691</v>
      </c>
      <c r="J5" s="131" t="s">
        <v>692</v>
      </c>
      <c r="K5" s="449">
        <v>10000</v>
      </c>
      <c r="L5" s="131">
        <v>5000</v>
      </c>
    </row>
    <row r="6" spans="1:26" ht="14.4">
      <c r="A6" s="433" t="s">
        <v>526</v>
      </c>
      <c r="B6" s="357" t="s">
        <v>567</v>
      </c>
      <c r="C6" s="357" t="s">
        <v>693</v>
      </c>
      <c r="D6" s="434">
        <v>0.25</v>
      </c>
      <c r="E6" s="435">
        <v>0.7</v>
      </c>
      <c r="F6" s="433" t="s">
        <v>569</v>
      </c>
      <c r="G6" s="436">
        <v>1</v>
      </c>
      <c r="H6" s="437">
        <v>0.3</v>
      </c>
      <c r="I6" s="437" t="s">
        <v>691</v>
      </c>
      <c r="J6" s="131" t="s">
        <v>692</v>
      </c>
      <c r="K6" s="433" t="s">
        <v>694</v>
      </c>
      <c r="L6" s="450"/>
    </row>
    <row r="7" spans="1:26" ht="14.4">
      <c r="A7" s="433" t="s">
        <v>528</v>
      </c>
      <c r="B7" s="357" t="s">
        <v>520</v>
      </c>
      <c r="C7" s="357" t="s">
        <v>678</v>
      </c>
      <c r="D7" s="434">
        <v>0.6</v>
      </c>
      <c r="E7" s="435">
        <v>0.85</v>
      </c>
      <c r="F7" s="433" t="s">
        <v>569</v>
      </c>
      <c r="G7" s="436">
        <v>1</v>
      </c>
      <c r="H7" s="437">
        <v>0.6</v>
      </c>
      <c r="I7" s="437" t="s">
        <v>691</v>
      </c>
      <c r="J7" s="131" t="s">
        <v>692</v>
      </c>
      <c r="K7" s="433">
        <v>5000</v>
      </c>
      <c r="L7" s="131">
        <v>3000</v>
      </c>
    </row>
    <row r="8" spans="1:26" ht="14.4">
      <c r="A8" s="433" t="s">
        <v>307</v>
      </c>
      <c r="B8" s="357" t="s">
        <v>509</v>
      </c>
      <c r="C8" s="357" t="s">
        <v>693</v>
      </c>
      <c r="D8" s="434">
        <v>0.7</v>
      </c>
      <c r="E8" s="435">
        <v>0.85</v>
      </c>
      <c r="F8" s="433" t="s">
        <v>569</v>
      </c>
      <c r="G8" s="436">
        <v>1</v>
      </c>
      <c r="H8" s="437">
        <v>0.8</v>
      </c>
      <c r="I8" s="437" t="s">
        <v>695</v>
      </c>
      <c r="J8" s="131" t="s">
        <v>696</v>
      </c>
      <c r="K8" s="433">
        <v>6000</v>
      </c>
      <c r="L8" s="451">
        <v>4500</v>
      </c>
    </row>
    <row r="9" spans="1:26" ht="14.4">
      <c r="A9" s="438" t="s">
        <v>169</v>
      </c>
      <c r="B9" s="439"/>
      <c r="C9" s="439"/>
      <c r="D9" s="440"/>
      <c r="E9" s="440"/>
      <c r="F9" s="441" t="s">
        <v>681</v>
      </c>
      <c r="G9" s="442">
        <v>1</v>
      </c>
      <c r="H9" s="440"/>
      <c r="I9" s="452">
        <v>0.5</v>
      </c>
      <c r="J9" s="131" t="s">
        <v>697</v>
      </c>
      <c r="K9" s="433">
        <v>5000</v>
      </c>
      <c r="L9" s="131">
        <v>4000</v>
      </c>
    </row>
    <row r="10" spans="1:26" ht="14.4">
      <c r="A10" s="403" t="s">
        <v>449</v>
      </c>
      <c r="B10" s="439"/>
      <c r="C10" s="439"/>
      <c r="D10" s="440"/>
      <c r="E10" s="440"/>
      <c r="F10" s="441" t="s">
        <v>682</v>
      </c>
      <c r="G10" s="442">
        <v>1</v>
      </c>
      <c r="H10" s="440"/>
      <c r="I10" s="452">
        <v>0.8</v>
      </c>
      <c r="J10" s="131" t="s">
        <v>697</v>
      </c>
      <c r="K10" s="433">
        <v>5000</v>
      </c>
      <c r="L10" s="131">
        <v>4000</v>
      </c>
    </row>
    <row r="11" spans="1:26" ht="14.4">
      <c r="A11" s="443" t="s">
        <v>574</v>
      </c>
      <c r="B11" s="357"/>
      <c r="C11" s="357"/>
      <c r="D11" s="131"/>
      <c r="E11" s="131"/>
      <c r="F11" s="441" t="s">
        <v>683</v>
      </c>
      <c r="G11" s="437">
        <v>1</v>
      </c>
      <c r="H11" s="131"/>
      <c r="I11" s="131"/>
      <c r="J11" s="131"/>
      <c r="K11" s="443"/>
      <c r="L11" s="131"/>
    </row>
    <row r="12" spans="1:26" ht="6" customHeight="1">
      <c r="A12" s="444"/>
      <c r="B12" s="445"/>
      <c r="C12" s="445"/>
      <c r="D12" s="445"/>
      <c r="E12" s="445"/>
      <c r="F12" s="445"/>
      <c r="G12" s="445"/>
      <c r="H12" s="445"/>
      <c r="I12" s="445"/>
      <c r="J12" s="16"/>
      <c r="K12" s="445"/>
      <c r="L12" s="16"/>
    </row>
    <row r="13" spans="1:26" ht="22.5" customHeight="1">
      <c r="A13" s="405" t="s">
        <v>488</v>
      </c>
      <c r="B13" s="406" t="s">
        <v>698</v>
      </c>
      <c r="C13" s="406" t="s">
        <v>410</v>
      </c>
      <c r="D13" s="406" t="s">
        <v>699</v>
      </c>
    </row>
    <row r="14" spans="1:26" ht="14.25" customHeight="1">
      <c r="A14" s="413" t="s">
        <v>700</v>
      </c>
      <c r="B14" s="413" t="s">
        <v>701</v>
      </c>
      <c r="C14" s="413" t="s">
        <v>581</v>
      </c>
      <c r="D14" s="413"/>
    </row>
    <row r="15" spans="1:26" ht="21" customHeight="1">
      <c r="A15" s="413" t="s">
        <v>463</v>
      </c>
      <c r="B15" s="411" t="s">
        <v>702</v>
      </c>
      <c r="C15" s="418" t="s">
        <v>570</v>
      </c>
      <c r="D15" s="413"/>
    </row>
    <row r="16" spans="1:26" ht="14.25" customHeight="1">
      <c r="A16" s="413" t="s">
        <v>305</v>
      </c>
      <c r="B16" s="418" t="s">
        <v>703</v>
      </c>
      <c r="C16" s="413" t="s">
        <v>704</v>
      </c>
      <c r="D16" s="413"/>
    </row>
    <row r="17" spans="1:4" ht="81" customHeight="1">
      <c r="A17" s="446" t="s">
        <v>583</v>
      </c>
      <c r="B17" s="411" t="s">
        <v>705</v>
      </c>
      <c r="C17" s="418" t="s">
        <v>570</v>
      </c>
      <c r="D17" s="446"/>
    </row>
    <row r="18" spans="1:4" ht="57" customHeight="1">
      <c r="A18" s="1186" t="s">
        <v>706</v>
      </c>
      <c r="B18" s="411" t="s">
        <v>707</v>
      </c>
      <c r="C18" s="418" t="s">
        <v>570</v>
      </c>
      <c r="D18" s="418"/>
    </row>
    <row r="19" spans="1:4" ht="38.25" customHeight="1">
      <c r="A19" s="1187"/>
      <c r="B19" s="411" t="s">
        <v>708</v>
      </c>
      <c r="C19" s="418" t="s">
        <v>570</v>
      </c>
      <c r="D19" s="418"/>
    </row>
    <row r="20" spans="1:4" ht="58.5" customHeight="1">
      <c r="A20" s="1188"/>
      <c r="B20" s="411" t="s">
        <v>709</v>
      </c>
      <c r="C20" s="411" t="s">
        <v>710</v>
      </c>
      <c r="D20" s="411" t="s">
        <v>711</v>
      </c>
    </row>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A20"/>
  </mergeCell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workbookViewId="0">
      <pane xSplit="5" ySplit="1" topLeftCell="F2" activePane="bottomRight" state="frozen"/>
      <selection pane="topRight"/>
      <selection pane="bottomLeft"/>
      <selection pane="bottomRight" activeCell="F2" sqref="F2"/>
    </sheetView>
  </sheetViews>
  <sheetFormatPr defaultColWidth="12.59765625" defaultRowHeight="15" customHeight="1"/>
  <cols>
    <col min="1" max="1" width="17.19921875" customWidth="1"/>
    <col min="2" max="2" width="22" customWidth="1"/>
    <col min="3" max="3" width="14" customWidth="1"/>
    <col min="4" max="4" width="9.59765625" customWidth="1"/>
    <col min="5" max="5" width="11.69921875" customWidth="1"/>
    <col min="6" max="6" width="40.19921875" customWidth="1"/>
    <col min="7" max="7" width="13.69921875" customWidth="1"/>
    <col min="8" max="8" width="10.8984375" customWidth="1"/>
    <col min="9" max="9" width="9.5" customWidth="1"/>
    <col min="10" max="10" width="38.09765625" customWidth="1"/>
    <col min="11" max="26" width="13.3984375" customWidth="1"/>
  </cols>
  <sheetData>
    <row r="1" spans="1:26" ht="55.5" customHeight="1">
      <c r="A1" s="387" t="s">
        <v>537</v>
      </c>
      <c r="B1" s="355" t="s">
        <v>538</v>
      </c>
      <c r="C1" s="355" t="s">
        <v>539</v>
      </c>
      <c r="D1" s="355" t="s">
        <v>712</v>
      </c>
      <c r="E1" s="355" t="s">
        <v>713</v>
      </c>
      <c r="F1" s="355" t="s">
        <v>565</v>
      </c>
      <c r="G1" s="355" t="s">
        <v>542</v>
      </c>
      <c r="H1" s="355" t="s">
        <v>543</v>
      </c>
      <c r="I1" s="355" t="s">
        <v>544</v>
      </c>
      <c r="J1" s="355" t="s">
        <v>318</v>
      </c>
      <c r="K1" s="355" t="s">
        <v>3</v>
      </c>
      <c r="L1" s="355" t="s">
        <v>566</v>
      </c>
      <c r="M1" s="419"/>
      <c r="N1" s="419"/>
      <c r="O1" s="419"/>
      <c r="P1" s="419"/>
      <c r="Q1" s="419"/>
      <c r="R1" s="419"/>
      <c r="S1" s="419"/>
      <c r="T1" s="419"/>
      <c r="U1" s="419"/>
      <c r="V1" s="419"/>
      <c r="W1" s="419"/>
      <c r="X1" s="419"/>
      <c r="Y1" s="419"/>
      <c r="Z1" s="419"/>
    </row>
    <row r="2" spans="1:26" ht="54.75" customHeight="1">
      <c r="A2" s="388" t="s">
        <v>228</v>
      </c>
      <c r="B2" s="389" t="s">
        <v>567</v>
      </c>
      <c r="C2" s="389" t="s">
        <v>568</v>
      </c>
      <c r="D2" s="390">
        <v>0.5</v>
      </c>
      <c r="E2" s="391">
        <v>0.85</v>
      </c>
      <c r="F2" s="392" t="s">
        <v>714</v>
      </c>
      <c r="G2" s="392" t="s">
        <v>715</v>
      </c>
      <c r="H2" s="393">
        <v>0.6</v>
      </c>
      <c r="I2" s="393">
        <v>1</v>
      </c>
      <c r="J2" s="381" t="s">
        <v>716</v>
      </c>
      <c r="K2" s="392">
        <v>10000</v>
      </c>
      <c r="L2" s="381">
        <v>8000</v>
      </c>
      <c r="M2" s="420"/>
      <c r="N2" s="420"/>
      <c r="O2" s="420"/>
      <c r="P2" s="420"/>
      <c r="Q2" s="420"/>
      <c r="R2" s="420"/>
      <c r="S2" s="420"/>
      <c r="T2" s="420"/>
      <c r="U2" s="420"/>
      <c r="V2" s="420"/>
      <c r="W2" s="420"/>
      <c r="X2" s="420"/>
      <c r="Y2" s="420"/>
      <c r="Z2" s="420"/>
    </row>
    <row r="3" spans="1:26" ht="24.75" customHeight="1">
      <c r="A3" s="392" t="s">
        <v>522</v>
      </c>
      <c r="B3" s="389" t="s">
        <v>567</v>
      </c>
      <c r="C3" s="389" t="s">
        <v>568</v>
      </c>
      <c r="D3" s="390">
        <v>0.7</v>
      </c>
      <c r="E3" s="391">
        <v>0.9</v>
      </c>
      <c r="F3" s="392" t="s">
        <v>569</v>
      </c>
      <c r="G3" s="394">
        <v>1</v>
      </c>
      <c r="H3" s="393">
        <v>0.7</v>
      </c>
      <c r="I3" s="393">
        <v>0</v>
      </c>
      <c r="J3" s="381" t="s">
        <v>717</v>
      </c>
      <c r="K3" s="392" t="s">
        <v>694</v>
      </c>
      <c r="L3" s="421"/>
      <c r="M3" s="420"/>
      <c r="N3" s="420"/>
      <c r="O3" s="420"/>
      <c r="P3" s="420"/>
      <c r="Q3" s="420"/>
      <c r="R3" s="420"/>
      <c r="S3" s="420"/>
      <c r="T3" s="420"/>
      <c r="U3" s="420"/>
      <c r="V3" s="420"/>
      <c r="W3" s="420"/>
      <c r="X3" s="420"/>
      <c r="Y3" s="420"/>
      <c r="Z3" s="420"/>
    </row>
    <row r="4" spans="1:26" ht="26.25" customHeight="1">
      <c r="A4" s="388" t="s">
        <v>303</v>
      </c>
      <c r="B4" s="389" t="s">
        <v>567</v>
      </c>
      <c r="C4" s="389" t="s">
        <v>568</v>
      </c>
      <c r="D4" s="390">
        <v>0.3</v>
      </c>
      <c r="E4" s="391">
        <v>0.85</v>
      </c>
      <c r="F4" s="392" t="s">
        <v>569</v>
      </c>
      <c r="G4" s="394">
        <v>1</v>
      </c>
      <c r="H4" s="393">
        <v>0.5</v>
      </c>
      <c r="I4" s="393">
        <v>0.5</v>
      </c>
      <c r="J4" s="381" t="s">
        <v>718</v>
      </c>
      <c r="K4" s="392">
        <v>6000</v>
      </c>
      <c r="L4" s="381">
        <v>3000</v>
      </c>
      <c r="M4" s="420"/>
      <c r="N4" s="420"/>
      <c r="O4" s="420"/>
      <c r="P4" s="420"/>
      <c r="Q4" s="420"/>
      <c r="R4" s="420"/>
      <c r="S4" s="420"/>
      <c r="T4" s="420"/>
      <c r="U4" s="420"/>
      <c r="V4" s="420"/>
      <c r="W4" s="420"/>
      <c r="X4" s="420"/>
      <c r="Y4" s="420"/>
      <c r="Z4" s="420"/>
    </row>
    <row r="5" spans="1:26" ht="16.5" customHeight="1">
      <c r="A5" s="388" t="s">
        <v>523</v>
      </c>
      <c r="B5" s="389" t="s">
        <v>567</v>
      </c>
      <c r="C5" s="389" t="s">
        <v>568</v>
      </c>
      <c r="D5" s="390">
        <v>0.5</v>
      </c>
      <c r="E5" s="391">
        <v>0.85</v>
      </c>
      <c r="F5" s="392" t="s">
        <v>719</v>
      </c>
      <c r="G5" s="392" t="s">
        <v>689</v>
      </c>
      <c r="H5" s="393">
        <v>0.5</v>
      </c>
      <c r="I5" s="393">
        <v>0</v>
      </c>
      <c r="J5" s="381" t="s">
        <v>720</v>
      </c>
      <c r="K5" s="392">
        <v>6000</v>
      </c>
      <c r="L5" s="381">
        <v>3000</v>
      </c>
      <c r="M5" s="420"/>
      <c r="N5" s="420"/>
      <c r="O5" s="420"/>
      <c r="P5" s="420"/>
      <c r="Q5" s="420"/>
      <c r="R5" s="420"/>
      <c r="S5" s="420"/>
      <c r="T5" s="420"/>
      <c r="U5" s="420"/>
      <c r="V5" s="420"/>
      <c r="W5" s="420"/>
      <c r="X5" s="420"/>
      <c r="Y5" s="420"/>
      <c r="Z5" s="420"/>
    </row>
    <row r="6" spans="1:26" ht="16.5" customHeight="1">
      <c r="A6" s="388" t="s">
        <v>233</v>
      </c>
      <c r="B6" s="389" t="s">
        <v>509</v>
      </c>
      <c r="C6" s="389" t="s">
        <v>693</v>
      </c>
      <c r="D6" s="390">
        <v>0.2</v>
      </c>
      <c r="E6" s="391">
        <v>0.65</v>
      </c>
      <c r="F6" s="392" t="s">
        <v>569</v>
      </c>
      <c r="G6" s="394">
        <v>1</v>
      </c>
      <c r="H6" s="393">
        <v>0.65</v>
      </c>
      <c r="I6" s="393">
        <v>0.61</v>
      </c>
      <c r="J6" s="381" t="s">
        <v>720</v>
      </c>
      <c r="K6" s="392">
        <v>6000</v>
      </c>
      <c r="L6" s="381">
        <v>5000</v>
      </c>
      <c r="M6" s="420"/>
      <c r="N6" s="420"/>
      <c r="O6" s="420"/>
      <c r="P6" s="420"/>
      <c r="Q6" s="420"/>
      <c r="R6" s="420"/>
      <c r="S6" s="420"/>
      <c r="T6" s="420"/>
      <c r="U6" s="420"/>
      <c r="V6" s="420"/>
      <c r="W6" s="420"/>
      <c r="X6" s="420"/>
      <c r="Y6" s="420"/>
      <c r="Z6" s="420"/>
    </row>
    <row r="7" spans="1:26" ht="28.5" customHeight="1">
      <c r="A7" s="388" t="s">
        <v>524</v>
      </c>
      <c r="B7" s="389" t="s">
        <v>301</v>
      </c>
      <c r="C7" s="389" t="s">
        <v>693</v>
      </c>
      <c r="D7" s="390">
        <v>0.3</v>
      </c>
      <c r="E7" s="391">
        <v>0.8</v>
      </c>
      <c r="F7" s="392" t="s">
        <v>569</v>
      </c>
      <c r="G7" s="394">
        <v>1</v>
      </c>
      <c r="H7" s="393">
        <v>0.6</v>
      </c>
      <c r="I7" s="393">
        <v>0.25</v>
      </c>
      <c r="J7" s="381" t="s">
        <v>718</v>
      </c>
      <c r="K7" s="392">
        <v>10000</v>
      </c>
      <c r="L7" s="381">
        <v>5000</v>
      </c>
      <c r="M7" s="420"/>
      <c r="N7" s="420"/>
      <c r="O7" s="420"/>
      <c r="P7" s="420"/>
      <c r="Q7" s="420"/>
      <c r="R7" s="420"/>
      <c r="S7" s="420"/>
      <c r="T7" s="420"/>
      <c r="U7" s="420"/>
      <c r="V7" s="420"/>
      <c r="W7" s="420"/>
      <c r="X7" s="420"/>
      <c r="Y7" s="420"/>
      <c r="Z7" s="420"/>
    </row>
    <row r="8" spans="1:26" ht="23.25" customHeight="1">
      <c r="A8" s="388" t="s">
        <v>525</v>
      </c>
      <c r="B8" s="389" t="s">
        <v>167</v>
      </c>
      <c r="C8" s="389" t="s">
        <v>693</v>
      </c>
      <c r="D8" s="390">
        <v>0.2</v>
      </c>
      <c r="E8" s="391">
        <v>0.65</v>
      </c>
      <c r="F8" s="392" t="s">
        <v>569</v>
      </c>
      <c r="G8" s="394">
        <v>1</v>
      </c>
      <c r="H8" s="393">
        <v>0.5</v>
      </c>
      <c r="I8" s="393">
        <v>0.4</v>
      </c>
      <c r="J8" s="381" t="s">
        <v>718</v>
      </c>
      <c r="K8" s="422">
        <v>10000</v>
      </c>
      <c r="L8" s="381">
        <v>6000</v>
      </c>
      <c r="M8" s="420"/>
      <c r="N8" s="420"/>
      <c r="O8" s="420"/>
      <c r="P8" s="420"/>
      <c r="Q8" s="420"/>
      <c r="R8" s="420"/>
      <c r="S8" s="420"/>
      <c r="T8" s="420"/>
      <c r="U8" s="420"/>
      <c r="V8" s="420"/>
      <c r="W8" s="420"/>
      <c r="X8" s="420"/>
      <c r="Y8" s="420"/>
      <c r="Z8" s="420"/>
    </row>
    <row r="9" spans="1:26" ht="24.75" customHeight="1">
      <c r="A9" s="388" t="s">
        <v>526</v>
      </c>
      <c r="B9" s="389" t="s">
        <v>567</v>
      </c>
      <c r="C9" s="389" t="s">
        <v>693</v>
      </c>
      <c r="D9" s="390">
        <v>0.1</v>
      </c>
      <c r="E9" s="391">
        <v>0.5</v>
      </c>
      <c r="F9" s="392" t="s">
        <v>569</v>
      </c>
      <c r="G9" s="394">
        <v>1</v>
      </c>
      <c r="H9" s="393">
        <v>0.25</v>
      </c>
      <c r="I9" s="393">
        <v>0.69</v>
      </c>
      <c r="J9" s="381" t="s">
        <v>718</v>
      </c>
      <c r="K9" s="392" t="s">
        <v>694</v>
      </c>
      <c r="L9" s="421"/>
      <c r="M9" s="420"/>
      <c r="N9" s="420"/>
      <c r="O9" s="420"/>
      <c r="P9" s="420"/>
      <c r="Q9" s="420"/>
      <c r="R9" s="420"/>
      <c r="S9" s="420"/>
      <c r="T9" s="420"/>
      <c r="U9" s="420"/>
      <c r="V9" s="420"/>
      <c r="W9" s="420"/>
      <c r="X9" s="420"/>
      <c r="Y9" s="420"/>
      <c r="Z9" s="420"/>
    </row>
    <row r="10" spans="1:26" ht="26.25" customHeight="1">
      <c r="A10" s="388" t="s">
        <v>528</v>
      </c>
      <c r="B10" s="389" t="s">
        <v>520</v>
      </c>
      <c r="C10" s="389" t="s">
        <v>678</v>
      </c>
      <c r="D10" s="390">
        <v>0.3</v>
      </c>
      <c r="E10" s="391">
        <v>0.7</v>
      </c>
      <c r="F10" s="392" t="s">
        <v>569</v>
      </c>
      <c r="G10" s="394">
        <v>1</v>
      </c>
      <c r="H10" s="393">
        <v>0.6</v>
      </c>
      <c r="I10" s="393">
        <v>0.51</v>
      </c>
      <c r="J10" s="381" t="s">
        <v>718</v>
      </c>
      <c r="K10" s="392">
        <v>5000</v>
      </c>
      <c r="L10" s="381">
        <v>2000</v>
      </c>
      <c r="M10" s="420"/>
      <c r="N10" s="420"/>
      <c r="O10" s="420"/>
      <c r="P10" s="420"/>
      <c r="Q10" s="420"/>
      <c r="R10" s="420"/>
      <c r="S10" s="420"/>
      <c r="T10" s="420"/>
      <c r="U10" s="420"/>
      <c r="V10" s="420"/>
      <c r="W10" s="420"/>
      <c r="X10" s="420"/>
      <c r="Y10" s="420"/>
      <c r="Z10" s="420"/>
    </row>
    <row r="11" spans="1:26" ht="27" customHeight="1">
      <c r="A11" s="388" t="s">
        <v>721</v>
      </c>
      <c r="B11" s="389" t="s">
        <v>509</v>
      </c>
      <c r="C11" s="389" t="s">
        <v>693</v>
      </c>
      <c r="D11" s="390">
        <v>0.4</v>
      </c>
      <c r="E11" s="391">
        <v>0.85</v>
      </c>
      <c r="F11" s="392" t="s">
        <v>569</v>
      </c>
      <c r="G11" s="394">
        <v>1</v>
      </c>
      <c r="H11" s="393">
        <v>0.7</v>
      </c>
      <c r="I11" s="393">
        <v>0.54</v>
      </c>
      <c r="J11" s="381" t="s">
        <v>718</v>
      </c>
      <c r="K11" s="392" t="s">
        <v>694</v>
      </c>
      <c r="L11" s="421"/>
      <c r="M11" s="420"/>
      <c r="N11" s="420"/>
      <c r="O11" s="420"/>
      <c r="P11" s="420"/>
      <c r="Q11" s="420"/>
      <c r="R11" s="420"/>
      <c r="S11" s="420"/>
      <c r="T11" s="420"/>
      <c r="U11" s="420"/>
      <c r="V11" s="420"/>
      <c r="W11" s="420"/>
      <c r="X11" s="420"/>
      <c r="Y11" s="420"/>
      <c r="Z11" s="420"/>
    </row>
    <row r="12" spans="1:26" ht="42.75" customHeight="1">
      <c r="A12" s="395" t="s">
        <v>306</v>
      </c>
      <c r="B12" s="396" t="s">
        <v>509</v>
      </c>
      <c r="C12" s="396"/>
      <c r="D12" s="396"/>
      <c r="E12" s="396"/>
      <c r="F12" s="397" t="s">
        <v>569</v>
      </c>
      <c r="G12" s="398">
        <v>1</v>
      </c>
      <c r="H12" s="396" t="s">
        <v>722</v>
      </c>
      <c r="I12" s="398">
        <v>0.84</v>
      </c>
      <c r="J12" s="396"/>
      <c r="K12" s="423">
        <v>10000</v>
      </c>
      <c r="L12" s="424"/>
      <c r="M12" s="425"/>
      <c r="N12" s="425"/>
      <c r="O12" s="425"/>
      <c r="P12" s="425"/>
      <c r="Q12" s="425"/>
      <c r="R12" s="425"/>
      <c r="S12" s="425"/>
      <c r="T12" s="425"/>
      <c r="U12" s="425"/>
      <c r="V12" s="425"/>
      <c r="W12" s="425"/>
      <c r="X12" s="425"/>
      <c r="Y12" s="425"/>
      <c r="Z12" s="425"/>
    </row>
    <row r="13" spans="1:26" ht="23.25" customHeight="1">
      <c r="A13" s="399" t="s">
        <v>169</v>
      </c>
      <c r="B13" s="400"/>
      <c r="C13" s="400"/>
      <c r="D13" s="400"/>
      <c r="E13" s="400"/>
      <c r="F13" s="401" t="s">
        <v>681</v>
      </c>
      <c r="G13" s="402">
        <v>0.5</v>
      </c>
      <c r="H13" s="400"/>
      <c r="I13" s="426">
        <v>0.3</v>
      </c>
      <c r="J13" s="381" t="s">
        <v>723</v>
      </c>
      <c r="K13" s="392">
        <v>5000</v>
      </c>
      <c r="L13" s="381">
        <v>0</v>
      </c>
      <c r="M13" s="420"/>
      <c r="N13" s="420"/>
      <c r="O13" s="420"/>
      <c r="P13" s="420"/>
      <c r="Q13" s="420"/>
      <c r="R13" s="420"/>
      <c r="S13" s="420"/>
      <c r="T13" s="420"/>
      <c r="U13" s="420"/>
      <c r="V13" s="420"/>
      <c r="W13" s="420"/>
      <c r="X13" s="420"/>
      <c r="Y13" s="420"/>
      <c r="Z13" s="420"/>
    </row>
    <row r="14" spans="1:26" ht="16.5" customHeight="1">
      <c r="A14" s="403" t="s">
        <v>449</v>
      </c>
      <c r="B14" s="400"/>
      <c r="C14" s="400"/>
      <c r="D14" s="400"/>
      <c r="E14" s="400"/>
      <c r="F14" s="401" t="s">
        <v>682</v>
      </c>
      <c r="G14" s="402">
        <v>1</v>
      </c>
      <c r="H14" s="400"/>
      <c r="I14" s="426">
        <v>0.5</v>
      </c>
      <c r="J14" s="381" t="s">
        <v>724</v>
      </c>
      <c r="K14" s="392">
        <v>5000</v>
      </c>
      <c r="L14" s="381">
        <v>3000</v>
      </c>
      <c r="M14" s="420"/>
      <c r="N14" s="420"/>
      <c r="O14" s="420"/>
      <c r="P14" s="420"/>
      <c r="Q14" s="420"/>
      <c r="R14" s="420"/>
      <c r="S14" s="420"/>
      <c r="T14" s="420"/>
      <c r="U14" s="420"/>
      <c r="V14" s="420"/>
      <c r="W14" s="420"/>
      <c r="X14" s="420"/>
      <c r="Y14" s="420"/>
      <c r="Z14" s="420"/>
    </row>
    <row r="15" spans="1:26" ht="16.5" customHeight="1">
      <c r="A15" s="404" t="s">
        <v>574</v>
      </c>
      <c r="B15" s="389"/>
      <c r="C15" s="389"/>
      <c r="D15" s="381"/>
      <c r="E15" s="381"/>
      <c r="F15" s="401" t="s">
        <v>683</v>
      </c>
      <c r="G15" s="393">
        <v>1</v>
      </c>
      <c r="H15" s="381"/>
      <c r="I15" s="381"/>
      <c r="J15" s="381"/>
      <c r="K15" s="427"/>
      <c r="L15" s="381"/>
      <c r="M15" s="420"/>
      <c r="N15" s="420"/>
      <c r="O15" s="420"/>
      <c r="P15" s="420"/>
      <c r="Q15" s="420"/>
      <c r="R15" s="420"/>
      <c r="S15" s="420"/>
      <c r="T15" s="420"/>
      <c r="U15" s="420"/>
      <c r="V15" s="420"/>
      <c r="W15" s="420"/>
      <c r="X15" s="420"/>
      <c r="Y15" s="420"/>
      <c r="Z15" s="420"/>
    </row>
    <row r="16" spans="1:26" ht="16.5" customHeight="1"/>
    <row r="17" spans="1:12" ht="25.5" customHeight="1">
      <c r="A17" s="405" t="s">
        <v>488</v>
      </c>
      <c r="B17" s="406" t="s">
        <v>698</v>
      </c>
      <c r="C17" s="406" t="s">
        <v>699</v>
      </c>
      <c r="D17" s="16"/>
      <c r="E17" s="16"/>
      <c r="F17" s="16"/>
      <c r="G17" s="16"/>
      <c r="H17" s="16"/>
      <c r="I17" s="16"/>
      <c r="J17" s="428"/>
      <c r="K17" s="16"/>
      <c r="L17" s="16"/>
    </row>
    <row r="18" spans="1:12" ht="32.25" customHeight="1">
      <c r="A18" s="407" t="s">
        <v>725</v>
      </c>
      <c r="B18" s="408" t="s">
        <v>726</v>
      </c>
      <c r="C18" s="409"/>
      <c r="D18" s="16"/>
      <c r="E18" s="16"/>
      <c r="F18" s="16"/>
      <c r="G18" s="16"/>
      <c r="H18" s="16"/>
      <c r="I18" s="16"/>
      <c r="J18" s="428"/>
      <c r="K18" s="16"/>
      <c r="L18" s="16"/>
    </row>
    <row r="19" spans="1:12" ht="42" customHeight="1">
      <c r="A19" s="410" t="s">
        <v>727</v>
      </c>
      <c r="B19" s="411" t="s">
        <v>728</v>
      </c>
      <c r="C19" s="412" t="s">
        <v>718</v>
      </c>
      <c r="D19" s="16"/>
      <c r="E19" s="16"/>
      <c r="F19" s="16"/>
      <c r="G19" s="16"/>
      <c r="H19" s="16"/>
      <c r="I19" s="16"/>
      <c r="J19" s="428"/>
      <c r="K19" s="16"/>
      <c r="L19" s="16"/>
    </row>
    <row r="20" spans="1:12" ht="24.75" customHeight="1">
      <c r="A20" s="410" t="s">
        <v>700</v>
      </c>
      <c r="B20" s="411" t="s">
        <v>729</v>
      </c>
      <c r="C20" s="413" t="s">
        <v>704</v>
      </c>
      <c r="D20" s="16"/>
      <c r="E20" s="16"/>
      <c r="F20" s="16"/>
      <c r="G20" s="16"/>
      <c r="H20" s="16"/>
      <c r="I20" s="16"/>
      <c r="J20" s="428"/>
      <c r="K20" s="16"/>
      <c r="L20" s="16"/>
    </row>
    <row r="21" spans="1:12" ht="28.5" customHeight="1">
      <c r="A21" s="414" t="s">
        <v>730</v>
      </c>
      <c r="B21" s="411" t="s">
        <v>731</v>
      </c>
      <c r="C21" s="415" t="s">
        <v>732</v>
      </c>
      <c r="D21" s="16"/>
      <c r="E21" s="16"/>
      <c r="F21" s="16"/>
      <c r="G21" s="16"/>
      <c r="H21" s="16"/>
      <c r="I21" s="16"/>
      <c r="J21" s="428"/>
      <c r="K21" s="16"/>
      <c r="L21" s="16"/>
    </row>
    <row r="22" spans="1:12" ht="71.25" customHeight="1">
      <c r="A22" s="410" t="s">
        <v>463</v>
      </c>
      <c r="B22" s="411" t="s">
        <v>733</v>
      </c>
      <c r="C22" s="416" t="s">
        <v>570</v>
      </c>
      <c r="D22" s="16"/>
      <c r="E22" s="16"/>
      <c r="F22" s="16"/>
      <c r="G22" s="16"/>
      <c r="H22" s="16"/>
      <c r="I22" s="16"/>
      <c r="J22" s="428"/>
      <c r="K22" s="16"/>
      <c r="L22" s="16"/>
    </row>
    <row r="23" spans="1:12" ht="22.5" customHeight="1">
      <c r="A23" s="417" t="s">
        <v>305</v>
      </c>
      <c r="B23" s="418" t="s">
        <v>703</v>
      </c>
      <c r="C23" s="416" t="s">
        <v>570</v>
      </c>
      <c r="D23" s="16"/>
      <c r="E23" s="16"/>
      <c r="F23" s="16"/>
      <c r="G23" s="16"/>
      <c r="H23" s="16"/>
      <c r="I23" s="16"/>
      <c r="J23" s="428"/>
      <c r="K23" s="16"/>
      <c r="L23" s="16"/>
    </row>
    <row r="24" spans="1:12" ht="57" customHeight="1">
      <c r="A24" s="410" t="s">
        <v>583</v>
      </c>
      <c r="B24" s="411" t="s">
        <v>734</v>
      </c>
      <c r="C24" s="413" t="s">
        <v>570</v>
      </c>
      <c r="D24" s="16"/>
      <c r="E24" s="16"/>
      <c r="F24" s="16"/>
      <c r="G24" s="16"/>
      <c r="H24" s="16"/>
      <c r="I24" s="16"/>
      <c r="J24" s="428"/>
      <c r="K24" s="16"/>
      <c r="L24" s="16"/>
    </row>
    <row r="25" spans="1:12" ht="126.75" customHeight="1">
      <c r="A25" s="410" t="s">
        <v>706</v>
      </c>
      <c r="B25" s="411" t="s">
        <v>735</v>
      </c>
      <c r="C25" s="413" t="s">
        <v>570</v>
      </c>
      <c r="D25" s="16"/>
      <c r="E25" s="16"/>
      <c r="F25" s="16"/>
      <c r="G25" s="16"/>
      <c r="H25" s="16"/>
      <c r="I25" s="16"/>
      <c r="J25" s="428"/>
      <c r="K25" s="16"/>
      <c r="L25" s="16"/>
    </row>
    <row r="26" spans="1:12" ht="16.5" customHeight="1">
      <c r="A26" s="16"/>
      <c r="B26" s="16"/>
      <c r="C26" s="16"/>
      <c r="D26" s="16"/>
      <c r="E26" s="16"/>
      <c r="F26" s="16"/>
      <c r="G26" s="16"/>
      <c r="H26" s="16"/>
      <c r="I26" s="16"/>
      <c r="J26" s="428"/>
      <c r="K26" s="16"/>
      <c r="L26" s="16"/>
    </row>
    <row r="27" spans="1:12" ht="16.5" customHeight="1">
      <c r="A27" s="16"/>
      <c r="B27" s="16"/>
      <c r="C27" s="16"/>
      <c r="D27" s="16"/>
      <c r="E27" s="16"/>
      <c r="F27" s="16"/>
      <c r="G27" s="16"/>
      <c r="H27" s="16"/>
      <c r="I27" s="16"/>
      <c r="J27" s="428"/>
      <c r="K27" s="16"/>
      <c r="L27" s="16"/>
    </row>
    <row r="28" spans="1:12" ht="16.5" customHeight="1">
      <c r="A28" s="16"/>
      <c r="B28" s="16"/>
      <c r="C28" s="16"/>
      <c r="D28" s="16"/>
      <c r="E28" s="16"/>
      <c r="F28" s="16"/>
      <c r="G28" s="16"/>
      <c r="H28" s="16"/>
      <c r="I28" s="16"/>
      <c r="J28" s="428"/>
      <c r="K28" s="16"/>
      <c r="L28" s="16"/>
    </row>
    <row r="29" spans="1:12" ht="16.5" customHeight="1">
      <c r="A29" s="16"/>
      <c r="B29" s="16"/>
      <c r="C29" s="16"/>
      <c r="D29" s="16"/>
      <c r="E29" s="16"/>
      <c r="F29" s="16"/>
      <c r="G29" s="16"/>
      <c r="H29" s="16"/>
      <c r="I29" s="16"/>
      <c r="J29" s="428"/>
      <c r="K29" s="16"/>
      <c r="L29" s="16"/>
    </row>
    <row r="30" spans="1:12" ht="16.5" customHeight="1">
      <c r="A30" s="16"/>
      <c r="B30" s="16"/>
      <c r="C30" s="16"/>
      <c r="D30" s="16"/>
      <c r="E30" s="16"/>
      <c r="F30" s="16"/>
      <c r="G30" s="16"/>
      <c r="H30" s="16"/>
      <c r="I30" s="16"/>
      <c r="J30" s="428"/>
      <c r="K30" s="16"/>
      <c r="L30" s="16"/>
    </row>
    <row r="31" spans="1:12" ht="16.5" customHeight="1">
      <c r="A31" s="16"/>
      <c r="B31" s="16"/>
      <c r="C31" s="16"/>
      <c r="D31" s="16"/>
      <c r="E31" s="16"/>
      <c r="F31" s="16"/>
      <c r="G31" s="16"/>
      <c r="H31" s="16"/>
      <c r="I31" s="16"/>
      <c r="J31" s="428"/>
      <c r="K31" s="16"/>
      <c r="L31" s="16"/>
    </row>
    <row r="32" spans="1:12" ht="16.5" customHeight="1">
      <c r="A32" s="16"/>
      <c r="B32" s="16"/>
      <c r="C32" s="16"/>
      <c r="D32" s="16"/>
      <c r="E32" s="16"/>
      <c r="F32" s="16"/>
      <c r="G32" s="16"/>
      <c r="H32" s="16"/>
      <c r="I32" s="16"/>
      <c r="J32" s="428"/>
      <c r="K32" s="16"/>
      <c r="L32" s="16"/>
    </row>
    <row r="33" spans="1:12" ht="16.5" customHeight="1">
      <c r="A33" s="16"/>
      <c r="B33" s="16"/>
      <c r="C33" s="16"/>
      <c r="D33" s="16"/>
      <c r="E33" s="16"/>
      <c r="F33" s="16"/>
      <c r="G33" s="16"/>
      <c r="H33" s="16"/>
      <c r="I33" s="16"/>
      <c r="J33" s="428"/>
      <c r="K33" s="16"/>
      <c r="L33" s="16"/>
    </row>
    <row r="34" spans="1:12" ht="16.5" customHeight="1">
      <c r="A34" s="16"/>
      <c r="B34" s="16"/>
      <c r="C34" s="16"/>
      <c r="D34" s="16"/>
      <c r="E34" s="16"/>
      <c r="F34" s="16"/>
      <c r="G34" s="16"/>
      <c r="H34" s="16"/>
      <c r="I34" s="16"/>
      <c r="J34" s="428"/>
      <c r="K34" s="16"/>
      <c r="L34" s="16"/>
    </row>
    <row r="35" spans="1:12" ht="16.5" customHeight="1">
      <c r="A35" s="16"/>
      <c r="B35" s="16"/>
      <c r="C35" s="16"/>
      <c r="D35" s="16"/>
      <c r="E35" s="16"/>
      <c r="F35" s="16"/>
      <c r="G35" s="16"/>
      <c r="H35" s="16"/>
      <c r="I35" s="16"/>
      <c r="J35" s="428"/>
      <c r="K35" s="16"/>
      <c r="L35" s="16"/>
    </row>
    <row r="36" spans="1:12" ht="16.5" customHeight="1">
      <c r="A36" s="16"/>
      <c r="B36" s="16"/>
      <c r="C36" s="16"/>
      <c r="D36" s="16"/>
      <c r="E36" s="16"/>
      <c r="F36" s="16"/>
      <c r="G36" s="16"/>
      <c r="H36" s="16"/>
      <c r="I36" s="16"/>
      <c r="J36" s="428"/>
      <c r="K36" s="16"/>
      <c r="L36" s="16"/>
    </row>
    <row r="37" spans="1:12" ht="16.5" customHeight="1">
      <c r="A37" s="16"/>
      <c r="B37" s="16"/>
      <c r="C37" s="16"/>
      <c r="D37" s="16"/>
      <c r="E37" s="16"/>
      <c r="F37" s="16"/>
      <c r="G37" s="16"/>
      <c r="H37" s="16"/>
      <c r="I37" s="16"/>
      <c r="J37" s="428"/>
      <c r="K37" s="16"/>
      <c r="L37" s="16"/>
    </row>
    <row r="38" spans="1:12" ht="16.5" customHeight="1">
      <c r="A38" s="16"/>
      <c r="B38" s="16"/>
      <c r="C38" s="16"/>
      <c r="D38" s="16"/>
      <c r="E38" s="16"/>
      <c r="F38" s="16"/>
      <c r="G38" s="16"/>
      <c r="H38" s="16"/>
      <c r="I38" s="16"/>
      <c r="J38" s="428"/>
      <c r="K38" s="16"/>
      <c r="L38" s="16"/>
    </row>
    <row r="39" spans="1:12" ht="16.5" customHeight="1">
      <c r="A39" s="16"/>
      <c r="B39" s="16"/>
      <c r="C39" s="16"/>
      <c r="D39" s="16"/>
      <c r="E39" s="16"/>
      <c r="F39" s="16"/>
      <c r="G39" s="16"/>
      <c r="H39" s="16"/>
      <c r="I39" s="16"/>
      <c r="J39" s="428"/>
      <c r="K39" s="16"/>
      <c r="L39" s="16"/>
    </row>
    <row r="40" spans="1:12" ht="16.5" customHeight="1">
      <c r="A40" s="16"/>
      <c r="B40" s="16"/>
      <c r="C40" s="16"/>
      <c r="D40" s="16"/>
      <c r="E40" s="16"/>
      <c r="F40" s="16"/>
      <c r="G40" s="16"/>
      <c r="H40" s="16"/>
      <c r="I40" s="16"/>
      <c r="J40" s="428"/>
      <c r="K40" s="16"/>
      <c r="L40" s="16"/>
    </row>
    <row r="41" spans="1:12" ht="16.5" customHeight="1">
      <c r="A41" s="16"/>
      <c r="B41" s="16"/>
      <c r="C41" s="16"/>
      <c r="D41" s="16"/>
      <c r="E41" s="16"/>
      <c r="F41" s="16"/>
      <c r="G41" s="16"/>
      <c r="H41" s="16"/>
      <c r="I41" s="16"/>
      <c r="J41" s="428"/>
      <c r="K41" s="16"/>
      <c r="L41" s="16"/>
    </row>
    <row r="42" spans="1:12" ht="16.5" customHeight="1">
      <c r="A42" s="16"/>
      <c r="B42" s="16"/>
      <c r="C42" s="16"/>
      <c r="D42" s="16"/>
      <c r="E42" s="16"/>
      <c r="F42" s="16"/>
      <c r="G42" s="16"/>
      <c r="H42" s="16"/>
      <c r="I42" s="16"/>
      <c r="J42" s="428"/>
      <c r="K42" s="16"/>
      <c r="L42" s="16"/>
    </row>
    <row r="43" spans="1:12" ht="16.5" customHeight="1">
      <c r="A43" s="16"/>
      <c r="B43" s="16"/>
      <c r="C43" s="16"/>
      <c r="D43" s="16"/>
      <c r="E43" s="16"/>
      <c r="F43" s="16"/>
      <c r="G43" s="16"/>
      <c r="H43" s="16"/>
      <c r="I43" s="16"/>
      <c r="J43" s="428"/>
      <c r="K43" s="16"/>
      <c r="L43" s="16"/>
    </row>
    <row r="44" spans="1:12" ht="16.5" customHeight="1">
      <c r="A44" s="16"/>
      <c r="B44" s="16"/>
      <c r="C44" s="16"/>
      <c r="D44" s="16"/>
      <c r="E44" s="16"/>
      <c r="F44" s="16"/>
      <c r="G44" s="16"/>
      <c r="H44" s="16"/>
      <c r="I44" s="16"/>
      <c r="J44" s="428"/>
      <c r="K44" s="16"/>
      <c r="L44" s="16"/>
    </row>
    <row r="45" spans="1:12" ht="16.5" customHeight="1">
      <c r="A45" s="16"/>
      <c r="B45" s="16"/>
      <c r="C45" s="16"/>
      <c r="D45" s="16"/>
      <c r="E45" s="16"/>
      <c r="F45" s="16"/>
      <c r="G45" s="16"/>
      <c r="H45" s="16"/>
      <c r="I45" s="16"/>
      <c r="J45" s="428"/>
      <c r="K45" s="16"/>
      <c r="L45" s="16"/>
    </row>
    <row r="46" spans="1:12" ht="16.5" customHeight="1">
      <c r="A46" s="16"/>
      <c r="B46" s="16"/>
      <c r="C46" s="16"/>
      <c r="D46" s="16"/>
      <c r="E46" s="16"/>
      <c r="F46" s="16"/>
      <c r="G46" s="16"/>
      <c r="H46" s="16"/>
      <c r="I46" s="16"/>
      <c r="J46" s="428"/>
      <c r="K46" s="16"/>
      <c r="L46" s="16"/>
    </row>
    <row r="47" spans="1:12" ht="16.5" customHeight="1">
      <c r="A47" s="16"/>
      <c r="B47" s="16"/>
      <c r="C47" s="16"/>
      <c r="D47" s="16"/>
      <c r="E47" s="16"/>
      <c r="F47" s="16"/>
      <c r="G47" s="16"/>
      <c r="H47" s="16"/>
      <c r="I47" s="16"/>
      <c r="J47" s="428"/>
      <c r="K47" s="16"/>
      <c r="L47" s="16"/>
    </row>
    <row r="48" spans="1:12" ht="16.5" customHeight="1">
      <c r="A48" s="16"/>
      <c r="B48" s="16"/>
      <c r="C48" s="16"/>
      <c r="D48" s="16"/>
      <c r="E48" s="16"/>
      <c r="F48" s="16"/>
      <c r="G48" s="16"/>
      <c r="H48" s="16"/>
      <c r="I48" s="16"/>
      <c r="J48" s="428"/>
      <c r="K48" s="16"/>
      <c r="L48" s="16"/>
    </row>
    <row r="49" spans="1:12" ht="16.5" customHeight="1">
      <c r="A49" s="16"/>
      <c r="B49" s="16"/>
      <c r="C49" s="16"/>
      <c r="D49" s="16"/>
      <c r="E49" s="16"/>
      <c r="F49" s="16"/>
      <c r="G49" s="16"/>
      <c r="H49" s="16"/>
      <c r="I49" s="16"/>
      <c r="J49" s="428"/>
      <c r="K49" s="16"/>
      <c r="L49" s="16"/>
    </row>
    <row r="50" spans="1:12" ht="16.5" customHeight="1">
      <c r="A50" s="16"/>
      <c r="B50" s="16"/>
      <c r="C50" s="16"/>
      <c r="D50" s="16"/>
      <c r="E50" s="16"/>
      <c r="F50" s="16"/>
      <c r="G50" s="16"/>
      <c r="H50" s="16"/>
      <c r="I50" s="16"/>
      <c r="J50" s="428"/>
      <c r="K50" s="16"/>
      <c r="L50" s="16"/>
    </row>
    <row r="51" spans="1:12" ht="16.5" customHeight="1">
      <c r="A51" s="16"/>
      <c r="B51" s="16"/>
      <c r="C51" s="16"/>
      <c r="D51" s="16"/>
      <c r="E51" s="16"/>
      <c r="F51" s="16"/>
      <c r="G51" s="16"/>
      <c r="H51" s="16"/>
      <c r="I51" s="16"/>
      <c r="J51" s="428"/>
      <c r="K51" s="16"/>
      <c r="L51" s="16"/>
    </row>
    <row r="52" spans="1:12" ht="16.5" customHeight="1">
      <c r="A52" s="16"/>
      <c r="B52" s="16"/>
      <c r="C52" s="16"/>
      <c r="D52" s="16"/>
      <c r="E52" s="16"/>
      <c r="F52" s="16"/>
      <c r="G52" s="16"/>
      <c r="H52" s="16"/>
      <c r="I52" s="16"/>
      <c r="J52" s="428"/>
      <c r="K52" s="16"/>
      <c r="L52" s="16"/>
    </row>
    <row r="53" spans="1:12" ht="16.5" customHeight="1">
      <c r="A53" s="16"/>
      <c r="B53" s="16"/>
      <c r="C53" s="16"/>
      <c r="D53" s="16"/>
      <c r="E53" s="16"/>
      <c r="F53" s="16"/>
      <c r="G53" s="16"/>
      <c r="H53" s="16"/>
      <c r="I53" s="16"/>
      <c r="J53" s="428"/>
      <c r="K53" s="16"/>
      <c r="L53" s="16"/>
    </row>
    <row r="54" spans="1:12" ht="16.5" customHeight="1">
      <c r="A54" s="16"/>
      <c r="B54" s="16"/>
      <c r="C54" s="16"/>
      <c r="D54" s="16"/>
      <c r="E54" s="16"/>
      <c r="F54" s="16"/>
      <c r="G54" s="16"/>
      <c r="H54" s="16"/>
      <c r="I54" s="16"/>
      <c r="J54" s="428"/>
      <c r="K54" s="16"/>
      <c r="L54" s="16"/>
    </row>
    <row r="55" spans="1:12" ht="16.5" customHeight="1">
      <c r="A55" s="16"/>
      <c r="B55" s="16"/>
      <c r="C55" s="16"/>
      <c r="D55" s="16"/>
      <c r="E55" s="16"/>
      <c r="F55" s="16"/>
      <c r="G55" s="16"/>
      <c r="H55" s="16"/>
      <c r="I55" s="16"/>
      <c r="J55" s="428"/>
      <c r="K55" s="16"/>
      <c r="L55" s="16"/>
    </row>
    <row r="56" spans="1:12" ht="16.5" customHeight="1">
      <c r="A56" s="16"/>
      <c r="B56" s="16"/>
      <c r="C56" s="16"/>
      <c r="D56" s="16"/>
      <c r="E56" s="16"/>
      <c r="F56" s="16"/>
      <c r="G56" s="16"/>
      <c r="H56" s="16"/>
      <c r="I56" s="16"/>
      <c r="J56" s="428"/>
      <c r="K56" s="16"/>
      <c r="L56" s="16"/>
    </row>
    <row r="57" spans="1:12" ht="16.5" customHeight="1">
      <c r="A57" s="16"/>
      <c r="B57" s="16"/>
      <c r="C57" s="16"/>
      <c r="D57" s="16"/>
      <c r="E57" s="16"/>
      <c r="F57" s="16"/>
      <c r="G57" s="16"/>
      <c r="H57" s="16"/>
      <c r="I57" s="16"/>
      <c r="J57" s="428"/>
      <c r="K57" s="16"/>
      <c r="L57" s="16"/>
    </row>
    <row r="58" spans="1:12" ht="16.5" customHeight="1">
      <c r="A58" s="16"/>
      <c r="B58" s="16"/>
      <c r="C58" s="16"/>
      <c r="D58" s="16"/>
      <c r="E58" s="16"/>
      <c r="F58" s="16"/>
      <c r="G58" s="16"/>
      <c r="H58" s="16"/>
      <c r="I58" s="16"/>
      <c r="J58" s="428"/>
      <c r="K58" s="16"/>
      <c r="L58" s="16"/>
    </row>
    <row r="59" spans="1:12" ht="16.5" customHeight="1">
      <c r="A59" s="16"/>
      <c r="B59" s="16"/>
      <c r="C59" s="16"/>
      <c r="D59" s="16"/>
      <c r="E59" s="16"/>
      <c r="F59" s="16"/>
      <c r="G59" s="16"/>
      <c r="H59" s="16"/>
      <c r="I59" s="16"/>
      <c r="J59" s="428"/>
      <c r="K59" s="16"/>
      <c r="L59" s="16"/>
    </row>
    <row r="60" spans="1:12" ht="16.5" customHeight="1">
      <c r="A60" s="16"/>
      <c r="B60" s="16"/>
      <c r="C60" s="16"/>
      <c r="D60" s="16"/>
      <c r="E60" s="16"/>
      <c r="F60" s="16"/>
      <c r="G60" s="16"/>
      <c r="H60" s="16"/>
      <c r="I60" s="16"/>
      <c r="J60" s="428"/>
      <c r="K60" s="16"/>
      <c r="L60" s="16"/>
    </row>
    <row r="61" spans="1:12" ht="16.5" customHeight="1">
      <c r="A61" s="16"/>
      <c r="B61" s="16"/>
      <c r="C61" s="16"/>
      <c r="D61" s="16"/>
      <c r="E61" s="16"/>
      <c r="F61" s="16"/>
      <c r="G61" s="16"/>
      <c r="H61" s="16"/>
      <c r="I61" s="16"/>
      <c r="J61" s="428"/>
      <c r="K61" s="16"/>
      <c r="L61" s="16"/>
    </row>
    <row r="62" spans="1:12" ht="16.5" customHeight="1">
      <c r="A62" s="16"/>
      <c r="B62" s="16"/>
      <c r="C62" s="16"/>
      <c r="D62" s="16"/>
      <c r="E62" s="16"/>
      <c r="F62" s="16"/>
      <c r="G62" s="16"/>
      <c r="H62" s="16"/>
      <c r="I62" s="16"/>
      <c r="J62" s="428"/>
      <c r="K62" s="16"/>
      <c r="L62" s="16"/>
    </row>
    <row r="63" spans="1:12" ht="16.5" customHeight="1">
      <c r="A63" s="16"/>
      <c r="B63" s="16"/>
      <c r="C63" s="16"/>
      <c r="D63" s="16"/>
      <c r="E63" s="16"/>
      <c r="F63" s="16"/>
      <c r="G63" s="16"/>
      <c r="H63" s="16"/>
      <c r="I63" s="16"/>
      <c r="J63" s="428"/>
      <c r="K63" s="16"/>
      <c r="L63" s="16"/>
    </row>
    <row r="64" spans="1:12" ht="16.5" customHeight="1">
      <c r="A64" s="16"/>
      <c r="B64" s="16"/>
      <c r="C64" s="16"/>
      <c r="D64" s="16"/>
      <c r="E64" s="16"/>
      <c r="F64" s="16"/>
      <c r="G64" s="16"/>
      <c r="H64" s="16"/>
      <c r="I64" s="16"/>
      <c r="J64" s="428"/>
      <c r="K64" s="16"/>
      <c r="L64" s="16"/>
    </row>
    <row r="65" spans="1:12" ht="16.5" customHeight="1">
      <c r="A65" s="16"/>
      <c r="B65" s="16"/>
      <c r="C65" s="16"/>
      <c r="D65" s="16"/>
      <c r="E65" s="16"/>
      <c r="F65" s="16"/>
      <c r="G65" s="16"/>
      <c r="H65" s="16"/>
      <c r="I65" s="16"/>
      <c r="J65" s="428"/>
      <c r="K65" s="16"/>
      <c r="L65" s="16"/>
    </row>
    <row r="66" spans="1:12" ht="16.5" customHeight="1">
      <c r="A66" s="16"/>
      <c r="B66" s="16"/>
      <c r="C66" s="16"/>
      <c r="D66" s="16"/>
      <c r="E66" s="16"/>
      <c r="F66" s="16"/>
      <c r="G66" s="16"/>
      <c r="H66" s="16"/>
      <c r="I66" s="16"/>
      <c r="J66" s="428"/>
      <c r="K66" s="16"/>
      <c r="L66" s="16"/>
    </row>
    <row r="67" spans="1:12" ht="16.5" customHeight="1">
      <c r="A67" s="16"/>
      <c r="B67" s="16"/>
      <c r="C67" s="16"/>
      <c r="D67" s="16"/>
      <c r="E67" s="16"/>
      <c r="F67" s="16"/>
      <c r="G67" s="16"/>
      <c r="H67" s="16"/>
      <c r="I67" s="16"/>
      <c r="J67" s="428"/>
      <c r="K67" s="16"/>
      <c r="L67" s="16"/>
    </row>
    <row r="68" spans="1:12" ht="16.5" customHeight="1">
      <c r="A68" s="16"/>
      <c r="B68" s="16"/>
      <c r="C68" s="16"/>
      <c r="D68" s="16"/>
      <c r="E68" s="16"/>
      <c r="F68" s="16"/>
      <c r="G68" s="16"/>
      <c r="H68" s="16"/>
      <c r="I68" s="16"/>
      <c r="J68" s="428"/>
      <c r="K68" s="16"/>
      <c r="L68" s="16"/>
    </row>
    <row r="69" spans="1:12" ht="16.5" customHeight="1">
      <c r="A69" s="16"/>
      <c r="B69" s="16"/>
      <c r="C69" s="16"/>
      <c r="D69" s="16"/>
      <c r="E69" s="16"/>
      <c r="F69" s="16"/>
      <c r="G69" s="16"/>
      <c r="H69" s="16"/>
      <c r="I69" s="16"/>
      <c r="J69" s="428"/>
      <c r="K69" s="16"/>
      <c r="L69" s="16"/>
    </row>
    <row r="70" spans="1:12" ht="16.5" customHeight="1">
      <c r="A70" s="16"/>
      <c r="B70" s="16"/>
      <c r="C70" s="16"/>
      <c r="D70" s="16"/>
      <c r="E70" s="16"/>
      <c r="F70" s="16"/>
      <c r="G70" s="16"/>
      <c r="H70" s="16"/>
      <c r="I70" s="16"/>
      <c r="J70" s="428"/>
      <c r="K70" s="16"/>
      <c r="L70" s="16"/>
    </row>
    <row r="71" spans="1:12" ht="16.5" customHeight="1">
      <c r="A71" s="16"/>
      <c r="B71" s="16"/>
      <c r="C71" s="16"/>
      <c r="D71" s="16"/>
      <c r="E71" s="16"/>
      <c r="F71" s="16"/>
      <c r="G71" s="16"/>
      <c r="H71" s="16"/>
      <c r="I71" s="16"/>
      <c r="J71" s="428"/>
      <c r="K71" s="16"/>
      <c r="L71" s="16"/>
    </row>
    <row r="72" spans="1:12" ht="16.5" customHeight="1">
      <c r="A72" s="16"/>
      <c r="B72" s="16"/>
      <c r="C72" s="16"/>
      <c r="D72" s="16"/>
      <c r="E72" s="16"/>
      <c r="F72" s="16"/>
      <c r="G72" s="16"/>
      <c r="H72" s="16"/>
      <c r="I72" s="16"/>
      <c r="J72" s="428"/>
      <c r="K72" s="16"/>
      <c r="L72" s="16"/>
    </row>
    <row r="73" spans="1:12" ht="16.5" customHeight="1">
      <c r="A73" s="16"/>
      <c r="B73" s="16"/>
      <c r="C73" s="16"/>
      <c r="D73" s="16"/>
      <c r="E73" s="16"/>
      <c r="F73" s="16"/>
      <c r="G73" s="16"/>
      <c r="H73" s="16"/>
      <c r="I73" s="16"/>
      <c r="J73" s="428"/>
      <c r="K73" s="16"/>
      <c r="L73" s="16"/>
    </row>
    <row r="74" spans="1:12" ht="16.5" customHeight="1">
      <c r="A74" s="16"/>
      <c r="B74" s="16"/>
      <c r="C74" s="16"/>
      <c r="D74" s="16"/>
      <c r="E74" s="16"/>
      <c r="F74" s="16"/>
      <c r="G74" s="16"/>
      <c r="H74" s="16"/>
      <c r="I74" s="16"/>
      <c r="J74" s="428"/>
      <c r="K74" s="16"/>
      <c r="L74" s="16"/>
    </row>
    <row r="75" spans="1:12" ht="16.5" customHeight="1">
      <c r="A75" s="16"/>
      <c r="B75" s="16"/>
      <c r="C75" s="16"/>
      <c r="D75" s="16"/>
      <c r="E75" s="16"/>
      <c r="F75" s="16"/>
      <c r="G75" s="16"/>
      <c r="H75" s="16"/>
      <c r="I75" s="16"/>
      <c r="J75" s="428"/>
      <c r="K75" s="16"/>
      <c r="L75" s="16"/>
    </row>
    <row r="76" spans="1:12" ht="16.5" customHeight="1">
      <c r="A76" s="16"/>
      <c r="B76" s="16"/>
      <c r="C76" s="16"/>
      <c r="D76" s="16"/>
      <c r="E76" s="16"/>
      <c r="F76" s="16"/>
      <c r="G76" s="16"/>
      <c r="H76" s="16"/>
      <c r="I76" s="16"/>
      <c r="J76" s="428"/>
      <c r="K76" s="16"/>
      <c r="L76" s="16"/>
    </row>
    <row r="77" spans="1:12" ht="16.5" customHeight="1">
      <c r="A77" s="16"/>
      <c r="B77" s="16"/>
      <c r="C77" s="16"/>
      <c r="D77" s="16"/>
      <c r="E77" s="16"/>
      <c r="F77" s="16"/>
      <c r="G77" s="16"/>
      <c r="H77" s="16"/>
      <c r="I77" s="16"/>
      <c r="J77" s="428"/>
      <c r="K77" s="16"/>
      <c r="L77" s="16"/>
    </row>
    <row r="78" spans="1:12" ht="16.5" customHeight="1">
      <c r="A78" s="16"/>
      <c r="B78" s="16"/>
      <c r="C78" s="16"/>
      <c r="D78" s="16"/>
      <c r="E78" s="16"/>
      <c r="F78" s="16"/>
      <c r="G78" s="16"/>
      <c r="H78" s="16"/>
      <c r="I78" s="16"/>
      <c r="J78" s="428"/>
      <c r="K78" s="16"/>
      <c r="L78" s="16"/>
    </row>
    <row r="79" spans="1:12" ht="16.5" customHeight="1">
      <c r="A79" s="16"/>
      <c r="B79" s="16"/>
      <c r="C79" s="16"/>
      <c r="D79" s="16"/>
      <c r="E79" s="16"/>
      <c r="F79" s="16"/>
      <c r="G79" s="16"/>
      <c r="H79" s="16"/>
      <c r="I79" s="16"/>
      <c r="J79" s="428"/>
      <c r="K79" s="16"/>
      <c r="L79" s="16"/>
    </row>
    <row r="80" spans="1:12" ht="16.5" customHeight="1">
      <c r="A80" s="16"/>
      <c r="B80" s="16"/>
      <c r="C80" s="16"/>
      <c r="D80" s="16"/>
      <c r="E80" s="16"/>
      <c r="F80" s="16"/>
      <c r="G80" s="16"/>
      <c r="H80" s="16"/>
      <c r="I80" s="16"/>
      <c r="J80" s="428"/>
      <c r="K80" s="16"/>
      <c r="L80" s="16"/>
    </row>
    <row r="81" spans="1:12" ht="16.5" customHeight="1">
      <c r="A81" s="16"/>
      <c r="B81" s="16"/>
      <c r="C81" s="16"/>
      <c r="D81" s="16"/>
      <c r="E81" s="16"/>
      <c r="F81" s="16"/>
      <c r="G81" s="16"/>
      <c r="H81" s="16"/>
      <c r="I81" s="16"/>
      <c r="J81" s="428"/>
      <c r="K81" s="16"/>
      <c r="L81" s="16"/>
    </row>
    <row r="82" spans="1:12" ht="16.5" customHeight="1">
      <c r="A82" s="16"/>
      <c r="B82" s="16"/>
      <c r="C82" s="16"/>
      <c r="D82" s="16"/>
      <c r="E82" s="16"/>
      <c r="F82" s="16"/>
      <c r="G82" s="16"/>
      <c r="H82" s="16"/>
      <c r="I82" s="16"/>
      <c r="J82" s="428"/>
      <c r="K82" s="16"/>
      <c r="L82" s="16"/>
    </row>
    <row r="83" spans="1:12" ht="16.5" customHeight="1">
      <c r="A83" s="16"/>
      <c r="B83" s="16"/>
      <c r="C83" s="16"/>
      <c r="D83" s="16"/>
      <c r="E83" s="16"/>
      <c r="F83" s="16"/>
      <c r="G83" s="16"/>
      <c r="H83" s="16"/>
      <c r="I83" s="16"/>
      <c r="J83" s="428"/>
      <c r="K83" s="16"/>
      <c r="L83" s="16"/>
    </row>
    <row r="84" spans="1:12" ht="16.5" customHeight="1">
      <c r="A84" s="16"/>
      <c r="B84" s="16"/>
      <c r="C84" s="16"/>
      <c r="D84" s="16"/>
      <c r="E84" s="16"/>
      <c r="F84" s="16"/>
      <c r="G84" s="16"/>
      <c r="H84" s="16"/>
      <c r="I84" s="16"/>
      <c r="J84" s="428"/>
      <c r="K84" s="16"/>
      <c r="L84" s="16"/>
    </row>
    <row r="85" spans="1:12" ht="16.5" customHeight="1">
      <c r="A85" s="16"/>
      <c r="B85" s="16"/>
      <c r="C85" s="16"/>
      <c r="D85" s="16"/>
      <c r="E85" s="16"/>
      <c r="F85" s="16"/>
      <c r="G85" s="16"/>
      <c r="H85" s="16"/>
      <c r="I85" s="16"/>
      <c r="J85" s="428"/>
      <c r="K85" s="16"/>
      <c r="L85" s="16"/>
    </row>
    <row r="86" spans="1:12" ht="16.5" customHeight="1">
      <c r="A86" s="16"/>
      <c r="B86" s="16"/>
      <c r="C86" s="16"/>
      <c r="D86" s="16"/>
      <c r="E86" s="16"/>
      <c r="F86" s="16"/>
      <c r="G86" s="16"/>
      <c r="H86" s="16"/>
      <c r="I86" s="16"/>
      <c r="J86" s="428"/>
      <c r="K86" s="16"/>
      <c r="L86" s="16"/>
    </row>
    <row r="87" spans="1:12" ht="16.5" customHeight="1">
      <c r="A87" s="16"/>
      <c r="B87" s="16"/>
      <c r="C87" s="16"/>
      <c r="D87" s="16"/>
      <c r="E87" s="16"/>
      <c r="F87" s="16"/>
      <c r="G87" s="16"/>
      <c r="H87" s="16"/>
      <c r="I87" s="16"/>
      <c r="J87" s="428"/>
      <c r="K87" s="16"/>
      <c r="L87" s="16"/>
    </row>
    <row r="88" spans="1:12" ht="16.5" customHeight="1">
      <c r="A88" s="16"/>
      <c r="B88" s="16"/>
      <c r="C88" s="16"/>
      <c r="D88" s="16"/>
      <c r="E88" s="16"/>
      <c r="F88" s="16"/>
      <c r="G88" s="16"/>
      <c r="H88" s="16"/>
      <c r="I88" s="16"/>
      <c r="J88" s="428"/>
      <c r="K88" s="16"/>
      <c r="L88" s="16"/>
    </row>
    <row r="89" spans="1:12" ht="16.5" customHeight="1">
      <c r="A89" s="16"/>
      <c r="B89" s="16"/>
      <c r="C89" s="16"/>
      <c r="D89" s="16"/>
      <c r="E89" s="16"/>
      <c r="F89" s="16"/>
      <c r="G89" s="16"/>
      <c r="H89" s="16"/>
      <c r="I89" s="16"/>
      <c r="J89" s="428"/>
      <c r="K89" s="16"/>
      <c r="L89" s="16"/>
    </row>
    <row r="90" spans="1:12" ht="16.5" customHeight="1">
      <c r="A90" s="16"/>
      <c r="B90" s="16"/>
      <c r="C90" s="16"/>
      <c r="D90" s="16"/>
      <c r="E90" s="16"/>
      <c r="F90" s="16"/>
      <c r="G90" s="16"/>
      <c r="H90" s="16"/>
      <c r="I90" s="16"/>
      <c r="J90" s="428"/>
      <c r="K90" s="16"/>
      <c r="L90" s="16"/>
    </row>
    <row r="91" spans="1:12" ht="16.5" customHeight="1">
      <c r="A91" s="16"/>
      <c r="B91" s="16"/>
      <c r="C91" s="16"/>
      <c r="D91" s="16"/>
      <c r="E91" s="16"/>
      <c r="F91" s="16"/>
      <c r="G91" s="16"/>
      <c r="H91" s="16"/>
      <c r="I91" s="16"/>
      <c r="J91" s="428"/>
      <c r="K91" s="16"/>
      <c r="L91" s="16"/>
    </row>
    <row r="92" spans="1:12" ht="16.5" customHeight="1">
      <c r="A92" s="16"/>
      <c r="B92" s="16"/>
      <c r="C92" s="16"/>
      <c r="D92" s="16"/>
      <c r="E92" s="16"/>
      <c r="F92" s="16"/>
      <c r="G92" s="16"/>
      <c r="H92" s="16"/>
      <c r="I92" s="16"/>
      <c r="J92" s="428"/>
      <c r="K92" s="16"/>
      <c r="L92" s="16"/>
    </row>
    <row r="93" spans="1:12" ht="16.5" customHeight="1">
      <c r="A93" s="16"/>
      <c r="B93" s="16"/>
      <c r="C93" s="16"/>
      <c r="D93" s="16"/>
      <c r="E93" s="16"/>
      <c r="F93" s="16"/>
      <c r="G93" s="16"/>
      <c r="H93" s="16"/>
      <c r="I93" s="16"/>
      <c r="J93" s="428"/>
      <c r="K93" s="16"/>
      <c r="L93" s="16"/>
    </row>
    <row r="94" spans="1:12" ht="16.5" customHeight="1">
      <c r="A94" s="16"/>
      <c r="B94" s="16"/>
      <c r="C94" s="16"/>
      <c r="D94" s="16"/>
      <c r="E94" s="16"/>
      <c r="F94" s="16"/>
      <c r="G94" s="16"/>
      <c r="H94" s="16"/>
      <c r="I94" s="16"/>
      <c r="J94" s="428"/>
      <c r="K94" s="16"/>
      <c r="L94" s="16"/>
    </row>
    <row r="95" spans="1:12" ht="16.5" customHeight="1">
      <c r="A95" s="16"/>
      <c r="B95" s="16"/>
      <c r="C95" s="16"/>
      <c r="D95" s="16"/>
      <c r="E95" s="16"/>
      <c r="F95" s="16"/>
      <c r="G95" s="16"/>
      <c r="H95" s="16"/>
      <c r="I95" s="16"/>
      <c r="J95" s="428"/>
      <c r="K95" s="16"/>
      <c r="L95" s="16"/>
    </row>
    <row r="96" spans="1:12" ht="16.5" customHeight="1">
      <c r="A96" s="16"/>
      <c r="B96" s="16"/>
      <c r="C96" s="16"/>
      <c r="D96" s="16"/>
      <c r="E96" s="16"/>
      <c r="F96" s="16"/>
      <c r="G96" s="16"/>
      <c r="H96" s="16"/>
      <c r="I96" s="16"/>
      <c r="J96" s="428"/>
      <c r="K96" s="16"/>
      <c r="L96" s="16"/>
    </row>
    <row r="97" spans="1:12" ht="16.5" customHeight="1">
      <c r="A97" s="16"/>
      <c r="B97" s="16"/>
      <c r="C97" s="16"/>
      <c r="D97" s="16"/>
      <c r="E97" s="16"/>
      <c r="F97" s="16"/>
      <c r="G97" s="16"/>
      <c r="H97" s="16"/>
      <c r="I97" s="16"/>
      <c r="J97" s="428"/>
      <c r="K97" s="16"/>
      <c r="L97" s="16"/>
    </row>
    <row r="98" spans="1:12" ht="16.5" customHeight="1">
      <c r="A98" s="16"/>
      <c r="B98" s="16"/>
      <c r="C98" s="16"/>
      <c r="D98" s="16"/>
      <c r="E98" s="16"/>
      <c r="F98" s="16"/>
      <c r="G98" s="16"/>
      <c r="H98" s="16"/>
      <c r="I98" s="16"/>
      <c r="J98" s="428"/>
      <c r="K98" s="16"/>
      <c r="L98" s="16"/>
    </row>
    <row r="99" spans="1:12" ht="16.5" customHeight="1">
      <c r="A99" s="16"/>
      <c r="B99" s="16"/>
      <c r="C99" s="16"/>
      <c r="D99" s="16"/>
      <c r="E99" s="16"/>
      <c r="F99" s="16"/>
      <c r="G99" s="16"/>
      <c r="H99" s="16"/>
      <c r="I99" s="16"/>
      <c r="J99" s="428"/>
      <c r="K99" s="16"/>
      <c r="L99" s="16"/>
    </row>
    <row r="100" spans="1:12" ht="16.5" customHeight="1">
      <c r="A100" s="16"/>
      <c r="B100" s="16"/>
      <c r="C100" s="16"/>
      <c r="D100" s="16"/>
      <c r="E100" s="16"/>
      <c r="F100" s="16"/>
      <c r="G100" s="16"/>
      <c r="H100" s="16"/>
      <c r="I100" s="16"/>
      <c r="J100" s="428"/>
      <c r="K100" s="16"/>
      <c r="L100" s="16"/>
    </row>
    <row r="101" spans="1:12" ht="16.5" customHeight="1">
      <c r="A101" s="16"/>
      <c r="B101" s="16"/>
      <c r="C101" s="16"/>
      <c r="D101" s="16"/>
      <c r="E101" s="16"/>
      <c r="F101" s="16"/>
      <c r="G101" s="16"/>
      <c r="H101" s="16"/>
      <c r="I101" s="16"/>
      <c r="J101" s="428"/>
      <c r="K101" s="16"/>
      <c r="L101" s="16"/>
    </row>
    <row r="102" spans="1:12" ht="16.5" customHeight="1">
      <c r="A102" s="16"/>
      <c r="B102" s="16"/>
      <c r="C102" s="16"/>
      <c r="D102" s="16"/>
      <c r="E102" s="16"/>
      <c r="F102" s="16"/>
      <c r="G102" s="16"/>
      <c r="H102" s="16"/>
      <c r="I102" s="16"/>
      <c r="J102" s="428"/>
      <c r="K102" s="16"/>
      <c r="L102" s="16"/>
    </row>
    <row r="103" spans="1:12" ht="16.5" customHeight="1">
      <c r="A103" s="16"/>
      <c r="B103" s="16"/>
      <c r="C103" s="16"/>
      <c r="D103" s="16"/>
      <c r="E103" s="16"/>
      <c r="F103" s="16"/>
      <c r="G103" s="16"/>
      <c r="H103" s="16"/>
      <c r="I103" s="16"/>
      <c r="J103" s="428"/>
      <c r="K103" s="16"/>
      <c r="L103" s="16"/>
    </row>
    <row r="104" spans="1:12" ht="16.5" customHeight="1">
      <c r="A104" s="16"/>
      <c r="B104" s="16"/>
      <c r="C104" s="16"/>
      <c r="D104" s="16"/>
      <c r="E104" s="16"/>
      <c r="F104" s="16"/>
      <c r="G104" s="16"/>
      <c r="H104" s="16"/>
      <c r="I104" s="16"/>
      <c r="J104" s="428"/>
      <c r="K104" s="16"/>
      <c r="L104" s="16"/>
    </row>
    <row r="105" spans="1:12" ht="16.5" customHeight="1">
      <c r="A105" s="16"/>
      <c r="B105" s="16"/>
      <c r="C105" s="16"/>
      <c r="D105" s="16"/>
      <c r="E105" s="16"/>
      <c r="F105" s="16"/>
      <c r="G105" s="16"/>
      <c r="H105" s="16"/>
      <c r="I105" s="16"/>
      <c r="J105" s="428"/>
      <c r="K105" s="16"/>
      <c r="L105" s="16"/>
    </row>
    <row r="106" spans="1:12" ht="16.5" customHeight="1">
      <c r="A106" s="16"/>
      <c r="B106" s="16"/>
      <c r="C106" s="16"/>
      <c r="D106" s="16"/>
      <c r="E106" s="16"/>
      <c r="F106" s="16"/>
      <c r="G106" s="16"/>
      <c r="H106" s="16"/>
      <c r="I106" s="16"/>
      <c r="J106" s="428"/>
      <c r="K106" s="16"/>
      <c r="L106" s="16"/>
    </row>
    <row r="107" spans="1:12" ht="16.5" customHeight="1">
      <c r="A107" s="16"/>
      <c r="B107" s="16"/>
      <c r="C107" s="16"/>
      <c r="D107" s="16"/>
      <c r="E107" s="16"/>
      <c r="F107" s="16"/>
      <c r="G107" s="16"/>
      <c r="H107" s="16"/>
      <c r="I107" s="16"/>
      <c r="J107" s="428"/>
      <c r="K107" s="16"/>
      <c r="L107" s="16"/>
    </row>
    <row r="108" spans="1:12" ht="16.5" customHeight="1">
      <c r="A108" s="16"/>
      <c r="B108" s="16"/>
      <c r="C108" s="16"/>
      <c r="D108" s="16"/>
      <c r="E108" s="16"/>
      <c r="F108" s="16"/>
      <c r="G108" s="16"/>
      <c r="H108" s="16"/>
      <c r="I108" s="16"/>
      <c r="J108" s="428"/>
      <c r="K108" s="16"/>
      <c r="L108" s="16"/>
    </row>
    <row r="109" spans="1:12" ht="16.5" customHeight="1">
      <c r="A109" s="16"/>
      <c r="B109" s="16"/>
      <c r="C109" s="16"/>
      <c r="D109" s="16"/>
      <c r="E109" s="16"/>
      <c r="F109" s="16"/>
      <c r="G109" s="16"/>
      <c r="H109" s="16"/>
      <c r="I109" s="16"/>
      <c r="J109" s="428"/>
      <c r="K109" s="16"/>
      <c r="L109" s="16"/>
    </row>
    <row r="110" spans="1:12" ht="16.5" customHeight="1">
      <c r="A110" s="16"/>
      <c r="B110" s="16"/>
      <c r="C110" s="16"/>
      <c r="D110" s="16"/>
      <c r="E110" s="16"/>
      <c r="F110" s="16"/>
      <c r="G110" s="16"/>
      <c r="H110" s="16"/>
      <c r="I110" s="16"/>
      <c r="J110" s="428"/>
      <c r="K110" s="16"/>
      <c r="L110" s="16"/>
    </row>
    <row r="111" spans="1:12" ht="16.5" customHeight="1">
      <c r="A111" s="16"/>
      <c r="B111" s="16"/>
      <c r="C111" s="16"/>
      <c r="D111" s="16"/>
      <c r="E111" s="16"/>
      <c r="F111" s="16"/>
      <c r="G111" s="16"/>
      <c r="H111" s="16"/>
      <c r="I111" s="16"/>
      <c r="J111" s="428"/>
      <c r="K111" s="16"/>
      <c r="L111" s="16"/>
    </row>
    <row r="112" spans="1:12" ht="16.5" customHeight="1">
      <c r="A112" s="16"/>
      <c r="B112" s="16"/>
      <c r="C112" s="16"/>
      <c r="D112" s="16"/>
      <c r="E112" s="16"/>
      <c r="F112" s="16"/>
      <c r="G112" s="16"/>
      <c r="H112" s="16"/>
      <c r="I112" s="16"/>
      <c r="J112" s="428"/>
      <c r="K112" s="16"/>
      <c r="L112" s="16"/>
    </row>
    <row r="113" spans="1:12" ht="16.5" customHeight="1">
      <c r="A113" s="16"/>
      <c r="B113" s="16"/>
      <c r="C113" s="16"/>
      <c r="D113" s="16"/>
      <c r="E113" s="16"/>
      <c r="F113" s="16"/>
      <c r="G113" s="16"/>
      <c r="H113" s="16"/>
      <c r="I113" s="16"/>
      <c r="J113" s="428"/>
      <c r="K113" s="16"/>
      <c r="L113" s="16"/>
    </row>
    <row r="114" spans="1:12" ht="16.5" customHeight="1">
      <c r="A114" s="16"/>
      <c r="B114" s="16"/>
      <c r="C114" s="16"/>
      <c r="D114" s="16"/>
      <c r="E114" s="16"/>
      <c r="F114" s="16"/>
      <c r="G114" s="16"/>
      <c r="H114" s="16"/>
      <c r="I114" s="16"/>
      <c r="J114" s="428"/>
      <c r="K114" s="16"/>
      <c r="L114" s="16"/>
    </row>
    <row r="115" spans="1:12" ht="16.5" customHeight="1">
      <c r="A115" s="16"/>
      <c r="B115" s="16"/>
      <c r="C115" s="16"/>
      <c r="D115" s="16"/>
      <c r="E115" s="16"/>
      <c r="F115" s="16"/>
      <c r="G115" s="16"/>
      <c r="H115" s="16"/>
      <c r="I115" s="16"/>
      <c r="J115" s="428"/>
      <c r="K115" s="16"/>
      <c r="L115" s="16"/>
    </row>
    <row r="116" spans="1:12" ht="16.5" customHeight="1">
      <c r="A116" s="16"/>
      <c r="B116" s="16"/>
      <c r="C116" s="16"/>
      <c r="D116" s="16"/>
      <c r="E116" s="16"/>
      <c r="F116" s="16"/>
      <c r="G116" s="16"/>
      <c r="H116" s="16"/>
      <c r="I116" s="16"/>
      <c r="J116" s="428"/>
      <c r="K116" s="16"/>
      <c r="L116" s="16"/>
    </row>
    <row r="117" spans="1:12" ht="16.5" customHeight="1">
      <c r="A117" s="16"/>
      <c r="B117" s="16"/>
      <c r="C117" s="16"/>
      <c r="D117" s="16"/>
      <c r="E117" s="16"/>
      <c r="F117" s="16"/>
      <c r="G117" s="16"/>
      <c r="H117" s="16"/>
      <c r="I117" s="16"/>
      <c r="J117" s="428"/>
      <c r="K117" s="16"/>
      <c r="L117" s="16"/>
    </row>
    <row r="118" spans="1:12" ht="16.5" customHeight="1">
      <c r="A118" s="16"/>
      <c r="B118" s="16"/>
      <c r="C118" s="16"/>
      <c r="D118" s="16"/>
      <c r="E118" s="16"/>
      <c r="F118" s="16"/>
      <c r="G118" s="16"/>
      <c r="H118" s="16"/>
      <c r="I118" s="16"/>
      <c r="J118" s="428"/>
      <c r="K118" s="16"/>
      <c r="L118" s="16"/>
    </row>
    <row r="119" spans="1:12" ht="16.5" customHeight="1">
      <c r="A119" s="16"/>
      <c r="B119" s="16"/>
      <c r="C119" s="16"/>
      <c r="D119" s="16"/>
      <c r="E119" s="16"/>
      <c r="F119" s="16"/>
      <c r="G119" s="16"/>
      <c r="H119" s="16"/>
      <c r="I119" s="16"/>
      <c r="J119" s="428"/>
      <c r="K119" s="16"/>
      <c r="L119" s="16"/>
    </row>
    <row r="120" spans="1:12" ht="16.5" customHeight="1">
      <c r="A120" s="16"/>
      <c r="B120" s="16"/>
      <c r="C120" s="16"/>
      <c r="D120" s="16"/>
      <c r="E120" s="16"/>
      <c r="F120" s="16"/>
      <c r="G120" s="16"/>
      <c r="H120" s="16"/>
      <c r="I120" s="16"/>
      <c r="J120" s="428"/>
      <c r="K120" s="16"/>
      <c r="L120" s="16"/>
    </row>
    <row r="121" spans="1:12" ht="16.5" customHeight="1">
      <c r="A121" s="16"/>
      <c r="B121" s="16"/>
      <c r="C121" s="16"/>
      <c r="D121" s="16"/>
      <c r="E121" s="16"/>
      <c r="F121" s="16"/>
      <c r="G121" s="16"/>
      <c r="H121" s="16"/>
      <c r="I121" s="16"/>
      <c r="J121" s="428"/>
      <c r="K121" s="16"/>
      <c r="L121" s="16"/>
    </row>
    <row r="122" spans="1:12" ht="16.5" customHeight="1">
      <c r="A122" s="16"/>
      <c r="B122" s="16"/>
      <c r="C122" s="16"/>
      <c r="D122" s="16"/>
      <c r="E122" s="16"/>
      <c r="F122" s="16"/>
      <c r="G122" s="16"/>
      <c r="H122" s="16"/>
      <c r="I122" s="16"/>
      <c r="J122" s="428"/>
      <c r="K122" s="16"/>
      <c r="L122" s="16"/>
    </row>
    <row r="123" spans="1:12" ht="16.5" customHeight="1">
      <c r="A123" s="16"/>
      <c r="B123" s="16"/>
      <c r="C123" s="16"/>
      <c r="D123" s="16"/>
      <c r="E123" s="16"/>
      <c r="F123" s="16"/>
      <c r="G123" s="16"/>
      <c r="H123" s="16"/>
      <c r="I123" s="16"/>
      <c r="J123" s="428"/>
      <c r="K123" s="16"/>
      <c r="L123" s="16"/>
    </row>
    <row r="124" spans="1:12" ht="16.5" customHeight="1">
      <c r="A124" s="16"/>
      <c r="B124" s="16"/>
      <c r="C124" s="16"/>
      <c r="D124" s="16"/>
      <c r="E124" s="16"/>
      <c r="F124" s="16"/>
      <c r="G124" s="16"/>
      <c r="H124" s="16"/>
      <c r="I124" s="16"/>
      <c r="J124" s="428"/>
      <c r="K124" s="16"/>
      <c r="L124" s="16"/>
    </row>
    <row r="125" spans="1:12" ht="16.5" customHeight="1">
      <c r="A125" s="16"/>
      <c r="B125" s="16"/>
      <c r="C125" s="16"/>
      <c r="D125" s="16"/>
      <c r="E125" s="16"/>
      <c r="F125" s="16"/>
      <c r="G125" s="16"/>
      <c r="H125" s="16"/>
      <c r="I125" s="16"/>
      <c r="J125" s="428"/>
      <c r="K125" s="16"/>
      <c r="L125" s="16"/>
    </row>
    <row r="126" spans="1:12" ht="16.5" customHeight="1">
      <c r="A126" s="16"/>
      <c r="B126" s="16"/>
      <c r="C126" s="16"/>
      <c r="D126" s="16"/>
      <c r="E126" s="16"/>
      <c r="F126" s="16"/>
      <c r="G126" s="16"/>
      <c r="H126" s="16"/>
      <c r="I126" s="16"/>
      <c r="J126" s="428"/>
      <c r="K126" s="16"/>
      <c r="L126" s="16"/>
    </row>
    <row r="127" spans="1:12" ht="16.5" customHeight="1">
      <c r="A127" s="16"/>
      <c r="B127" s="16"/>
      <c r="C127" s="16"/>
      <c r="D127" s="16"/>
      <c r="E127" s="16"/>
      <c r="F127" s="16"/>
      <c r="G127" s="16"/>
      <c r="H127" s="16"/>
      <c r="I127" s="16"/>
      <c r="J127" s="428"/>
      <c r="K127" s="16"/>
      <c r="L127" s="16"/>
    </row>
    <row r="128" spans="1:12" ht="16.5" customHeight="1">
      <c r="A128" s="16"/>
      <c r="B128" s="16"/>
      <c r="C128" s="16"/>
      <c r="D128" s="16"/>
      <c r="E128" s="16"/>
      <c r="F128" s="16"/>
      <c r="G128" s="16"/>
      <c r="H128" s="16"/>
      <c r="I128" s="16"/>
      <c r="J128" s="428"/>
      <c r="K128" s="16"/>
      <c r="L128" s="16"/>
    </row>
    <row r="129" spans="1:12" ht="16.5" customHeight="1">
      <c r="A129" s="16"/>
      <c r="B129" s="16"/>
      <c r="C129" s="16"/>
      <c r="D129" s="16"/>
      <c r="E129" s="16"/>
      <c r="F129" s="16"/>
      <c r="G129" s="16"/>
      <c r="H129" s="16"/>
      <c r="I129" s="16"/>
      <c r="J129" s="428"/>
      <c r="K129" s="16"/>
      <c r="L129" s="16"/>
    </row>
    <row r="130" spans="1:12" ht="16.5" customHeight="1">
      <c r="A130" s="16"/>
      <c r="B130" s="16"/>
      <c r="C130" s="16"/>
      <c r="D130" s="16"/>
      <c r="E130" s="16"/>
      <c r="F130" s="16"/>
      <c r="G130" s="16"/>
      <c r="H130" s="16"/>
      <c r="I130" s="16"/>
      <c r="J130" s="428"/>
      <c r="K130" s="16"/>
      <c r="L130" s="16"/>
    </row>
    <row r="131" spans="1:12" ht="16.5" customHeight="1">
      <c r="A131" s="16"/>
      <c r="B131" s="16"/>
      <c r="C131" s="16"/>
      <c r="D131" s="16"/>
      <c r="E131" s="16"/>
      <c r="F131" s="16"/>
      <c r="G131" s="16"/>
      <c r="H131" s="16"/>
      <c r="I131" s="16"/>
      <c r="J131" s="428"/>
      <c r="K131" s="16"/>
      <c r="L131" s="16"/>
    </row>
    <row r="132" spans="1:12" ht="16.5" customHeight="1">
      <c r="A132" s="16"/>
      <c r="B132" s="16"/>
      <c r="C132" s="16"/>
      <c r="D132" s="16"/>
      <c r="E132" s="16"/>
      <c r="F132" s="16"/>
      <c r="G132" s="16"/>
      <c r="H132" s="16"/>
      <c r="I132" s="16"/>
      <c r="J132" s="428"/>
      <c r="K132" s="16"/>
      <c r="L132" s="16"/>
    </row>
    <row r="133" spans="1:12" ht="16.5" customHeight="1">
      <c r="A133" s="16"/>
      <c r="B133" s="16"/>
      <c r="C133" s="16"/>
      <c r="D133" s="16"/>
      <c r="E133" s="16"/>
      <c r="F133" s="16"/>
      <c r="G133" s="16"/>
      <c r="H133" s="16"/>
      <c r="I133" s="16"/>
      <c r="J133" s="428"/>
      <c r="K133" s="16"/>
      <c r="L133" s="16"/>
    </row>
    <row r="134" spans="1:12" ht="16.5" customHeight="1">
      <c r="A134" s="16"/>
      <c r="B134" s="16"/>
      <c r="C134" s="16"/>
      <c r="D134" s="16"/>
      <c r="E134" s="16"/>
      <c r="F134" s="16"/>
      <c r="G134" s="16"/>
      <c r="H134" s="16"/>
      <c r="I134" s="16"/>
      <c r="J134" s="428"/>
      <c r="K134" s="16"/>
      <c r="L134" s="16"/>
    </row>
    <row r="135" spans="1:12" ht="16.5" customHeight="1">
      <c r="A135" s="16"/>
      <c r="B135" s="16"/>
      <c r="C135" s="16"/>
      <c r="D135" s="16"/>
      <c r="E135" s="16"/>
      <c r="F135" s="16"/>
      <c r="G135" s="16"/>
      <c r="H135" s="16"/>
      <c r="I135" s="16"/>
      <c r="J135" s="428"/>
      <c r="K135" s="16"/>
      <c r="L135" s="16"/>
    </row>
    <row r="136" spans="1:12" ht="16.5" customHeight="1">
      <c r="A136" s="16"/>
      <c r="B136" s="16"/>
      <c r="C136" s="16"/>
      <c r="D136" s="16"/>
      <c r="E136" s="16"/>
      <c r="F136" s="16"/>
      <c r="G136" s="16"/>
      <c r="H136" s="16"/>
      <c r="I136" s="16"/>
      <c r="J136" s="428"/>
      <c r="K136" s="16"/>
      <c r="L136" s="16"/>
    </row>
    <row r="137" spans="1:12" ht="16.5" customHeight="1">
      <c r="A137" s="16"/>
      <c r="B137" s="16"/>
      <c r="C137" s="16"/>
      <c r="D137" s="16"/>
      <c r="E137" s="16"/>
      <c r="F137" s="16"/>
      <c r="G137" s="16"/>
      <c r="H137" s="16"/>
      <c r="I137" s="16"/>
      <c r="J137" s="428"/>
      <c r="K137" s="16"/>
      <c r="L137" s="16"/>
    </row>
    <row r="138" spans="1:12" ht="16.5" customHeight="1">
      <c r="A138" s="16"/>
      <c r="B138" s="16"/>
      <c r="C138" s="16"/>
      <c r="D138" s="16"/>
      <c r="E138" s="16"/>
      <c r="F138" s="16"/>
      <c r="G138" s="16"/>
      <c r="H138" s="16"/>
      <c r="I138" s="16"/>
      <c r="J138" s="428"/>
      <c r="K138" s="16"/>
      <c r="L138" s="16"/>
    </row>
    <row r="139" spans="1:12" ht="16.5" customHeight="1">
      <c r="A139" s="16"/>
      <c r="B139" s="16"/>
      <c r="C139" s="16"/>
      <c r="D139" s="16"/>
      <c r="E139" s="16"/>
      <c r="F139" s="16"/>
      <c r="G139" s="16"/>
      <c r="H139" s="16"/>
      <c r="I139" s="16"/>
      <c r="J139" s="428"/>
      <c r="K139" s="16"/>
      <c r="L139" s="16"/>
    </row>
    <row r="140" spans="1:12" ht="16.5" customHeight="1">
      <c r="A140" s="16"/>
      <c r="B140" s="16"/>
      <c r="C140" s="16"/>
      <c r="D140" s="16"/>
      <c r="E140" s="16"/>
      <c r="F140" s="16"/>
      <c r="G140" s="16"/>
      <c r="H140" s="16"/>
      <c r="I140" s="16"/>
      <c r="J140" s="428"/>
      <c r="K140" s="16"/>
      <c r="L140" s="16"/>
    </row>
    <row r="141" spans="1:12" ht="16.5" customHeight="1">
      <c r="A141" s="16"/>
      <c r="B141" s="16"/>
      <c r="C141" s="16"/>
      <c r="D141" s="16"/>
      <c r="E141" s="16"/>
      <c r="F141" s="16"/>
      <c r="G141" s="16"/>
      <c r="H141" s="16"/>
      <c r="I141" s="16"/>
      <c r="J141" s="428"/>
      <c r="K141" s="16"/>
      <c r="L141" s="16"/>
    </row>
    <row r="142" spans="1:12" ht="16.5" customHeight="1">
      <c r="A142" s="16"/>
      <c r="B142" s="16"/>
      <c r="C142" s="16"/>
      <c r="D142" s="16"/>
      <c r="E142" s="16"/>
      <c r="F142" s="16"/>
      <c r="G142" s="16"/>
      <c r="H142" s="16"/>
      <c r="I142" s="16"/>
      <c r="J142" s="428"/>
      <c r="K142" s="16"/>
      <c r="L142" s="16"/>
    </row>
    <row r="143" spans="1:12" ht="16.5" customHeight="1">
      <c r="A143" s="16"/>
      <c r="B143" s="16"/>
      <c r="C143" s="16"/>
      <c r="D143" s="16"/>
      <c r="E143" s="16"/>
      <c r="F143" s="16"/>
      <c r="G143" s="16"/>
      <c r="H143" s="16"/>
      <c r="I143" s="16"/>
      <c r="J143" s="428"/>
      <c r="K143" s="16"/>
      <c r="L143" s="16"/>
    </row>
    <row r="144" spans="1:12" ht="16.5" customHeight="1">
      <c r="A144" s="16"/>
      <c r="B144" s="16"/>
      <c r="C144" s="16"/>
      <c r="D144" s="16"/>
      <c r="E144" s="16"/>
      <c r="F144" s="16"/>
      <c r="G144" s="16"/>
      <c r="H144" s="16"/>
      <c r="I144" s="16"/>
      <c r="J144" s="428"/>
      <c r="K144" s="16"/>
      <c r="L144" s="16"/>
    </row>
    <row r="145" spans="1:12" ht="16.5" customHeight="1">
      <c r="A145" s="16"/>
      <c r="B145" s="16"/>
      <c r="C145" s="16"/>
      <c r="D145" s="16"/>
      <c r="E145" s="16"/>
      <c r="F145" s="16"/>
      <c r="G145" s="16"/>
      <c r="H145" s="16"/>
      <c r="I145" s="16"/>
      <c r="J145" s="428"/>
      <c r="K145" s="16"/>
      <c r="L145" s="16"/>
    </row>
    <row r="146" spans="1:12" ht="16.5" customHeight="1">
      <c r="A146" s="16"/>
      <c r="B146" s="16"/>
      <c r="C146" s="16"/>
      <c r="D146" s="16"/>
      <c r="E146" s="16"/>
      <c r="F146" s="16"/>
      <c r="G146" s="16"/>
      <c r="H146" s="16"/>
      <c r="I146" s="16"/>
      <c r="J146" s="428"/>
      <c r="K146" s="16"/>
      <c r="L146" s="16"/>
    </row>
    <row r="147" spans="1:12" ht="16.5" customHeight="1">
      <c r="A147" s="16"/>
      <c r="B147" s="16"/>
      <c r="C147" s="16"/>
      <c r="D147" s="16"/>
      <c r="E147" s="16"/>
      <c r="F147" s="16"/>
      <c r="G147" s="16"/>
      <c r="H147" s="16"/>
      <c r="I147" s="16"/>
      <c r="J147" s="428"/>
      <c r="K147" s="16"/>
      <c r="L147" s="16"/>
    </row>
    <row r="148" spans="1:12" ht="16.5" customHeight="1">
      <c r="A148" s="16"/>
      <c r="B148" s="16"/>
      <c r="C148" s="16"/>
      <c r="D148" s="16"/>
      <c r="E148" s="16"/>
      <c r="F148" s="16"/>
      <c r="G148" s="16"/>
      <c r="H148" s="16"/>
      <c r="I148" s="16"/>
      <c r="J148" s="428"/>
      <c r="K148" s="16"/>
      <c r="L148" s="16"/>
    </row>
    <row r="149" spans="1:12" ht="16.5" customHeight="1">
      <c r="A149" s="16"/>
      <c r="B149" s="16"/>
      <c r="C149" s="16"/>
      <c r="D149" s="16"/>
      <c r="E149" s="16"/>
      <c r="F149" s="16"/>
      <c r="G149" s="16"/>
      <c r="H149" s="16"/>
      <c r="I149" s="16"/>
      <c r="J149" s="428"/>
      <c r="K149" s="16"/>
      <c r="L149" s="16"/>
    </row>
    <row r="150" spans="1:12" ht="16.5" customHeight="1">
      <c r="A150" s="16"/>
      <c r="B150" s="16"/>
      <c r="C150" s="16"/>
      <c r="D150" s="16"/>
      <c r="E150" s="16"/>
      <c r="F150" s="16"/>
      <c r="G150" s="16"/>
      <c r="H150" s="16"/>
      <c r="I150" s="16"/>
      <c r="J150" s="428"/>
      <c r="K150" s="16"/>
      <c r="L150" s="16"/>
    </row>
    <row r="151" spans="1:12" ht="16.5" customHeight="1">
      <c r="A151" s="16"/>
      <c r="B151" s="16"/>
      <c r="C151" s="16"/>
      <c r="D151" s="16"/>
      <c r="E151" s="16"/>
      <c r="F151" s="16"/>
      <c r="G151" s="16"/>
      <c r="H151" s="16"/>
      <c r="I151" s="16"/>
      <c r="J151" s="428"/>
      <c r="K151" s="16"/>
      <c r="L151" s="16"/>
    </row>
    <row r="152" spans="1:12" ht="16.5" customHeight="1">
      <c r="A152" s="16"/>
      <c r="B152" s="16"/>
      <c r="C152" s="16"/>
      <c r="D152" s="16"/>
      <c r="E152" s="16"/>
      <c r="F152" s="16"/>
      <c r="G152" s="16"/>
      <c r="H152" s="16"/>
      <c r="I152" s="16"/>
      <c r="J152" s="428"/>
      <c r="K152" s="16"/>
      <c r="L152" s="16"/>
    </row>
    <row r="153" spans="1:12" ht="16.5" customHeight="1">
      <c r="A153" s="16"/>
      <c r="B153" s="16"/>
      <c r="C153" s="16"/>
      <c r="D153" s="16"/>
      <c r="E153" s="16"/>
      <c r="F153" s="16"/>
      <c r="G153" s="16"/>
      <c r="H153" s="16"/>
      <c r="I153" s="16"/>
      <c r="J153" s="428"/>
      <c r="K153" s="16"/>
      <c r="L153" s="16"/>
    </row>
    <row r="154" spans="1:12" ht="16.5" customHeight="1">
      <c r="A154" s="16"/>
      <c r="B154" s="16"/>
      <c r="C154" s="16"/>
      <c r="D154" s="16"/>
      <c r="E154" s="16"/>
      <c r="F154" s="16"/>
      <c r="G154" s="16"/>
      <c r="H154" s="16"/>
      <c r="I154" s="16"/>
      <c r="J154" s="428"/>
      <c r="K154" s="16"/>
      <c r="L154" s="16"/>
    </row>
    <row r="155" spans="1:12" ht="16.5" customHeight="1">
      <c r="A155" s="16"/>
      <c r="B155" s="16"/>
      <c r="C155" s="16"/>
      <c r="D155" s="16"/>
      <c r="E155" s="16"/>
      <c r="F155" s="16"/>
      <c r="G155" s="16"/>
      <c r="H155" s="16"/>
      <c r="I155" s="16"/>
      <c r="J155" s="428"/>
      <c r="K155" s="16"/>
      <c r="L155" s="16"/>
    </row>
    <row r="156" spans="1:12" ht="16.5" customHeight="1">
      <c r="A156" s="16"/>
      <c r="B156" s="16"/>
      <c r="C156" s="16"/>
      <c r="D156" s="16"/>
      <c r="E156" s="16"/>
      <c r="F156" s="16"/>
      <c r="G156" s="16"/>
      <c r="H156" s="16"/>
      <c r="I156" s="16"/>
      <c r="J156" s="428"/>
      <c r="K156" s="16"/>
      <c r="L156" s="16"/>
    </row>
    <row r="157" spans="1:12" ht="16.5" customHeight="1">
      <c r="A157" s="16"/>
      <c r="B157" s="16"/>
      <c r="C157" s="16"/>
      <c r="D157" s="16"/>
      <c r="E157" s="16"/>
      <c r="F157" s="16"/>
      <c r="G157" s="16"/>
      <c r="H157" s="16"/>
      <c r="I157" s="16"/>
      <c r="J157" s="428"/>
      <c r="K157" s="16"/>
      <c r="L157" s="16"/>
    </row>
    <row r="158" spans="1:12" ht="16.5" customHeight="1">
      <c r="A158" s="16"/>
      <c r="B158" s="16"/>
      <c r="C158" s="16"/>
      <c r="D158" s="16"/>
      <c r="E158" s="16"/>
      <c r="F158" s="16"/>
      <c r="G158" s="16"/>
      <c r="H158" s="16"/>
      <c r="I158" s="16"/>
      <c r="J158" s="428"/>
      <c r="K158" s="16"/>
      <c r="L158" s="16"/>
    </row>
    <row r="159" spans="1:12" ht="16.5" customHeight="1">
      <c r="A159" s="16"/>
      <c r="B159" s="16"/>
      <c r="C159" s="16"/>
      <c r="D159" s="16"/>
      <c r="E159" s="16"/>
      <c r="F159" s="16"/>
      <c r="G159" s="16"/>
      <c r="H159" s="16"/>
      <c r="I159" s="16"/>
      <c r="J159" s="428"/>
      <c r="K159" s="16"/>
      <c r="L159" s="16"/>
    </row>
    <row r="160" spans="1:12" ht="16.5" customHeight="1">
      <c r="A160" s="16"/>
      <c r="B160" s="16"/>
      <c r="C160" s="16"/>
      <c r="D160" s="16"/>
      <c r="E160" s="16"/>
      <c r="F160" s="16"/>
      <c r="G160" s="16"/>
      <c r="H160" s="16"/>
      <c r="I160" s="16"/>
      <c r="J160" s="428"/>
      <c r="K160" s="16"/>
      <c r="L160" s="16"/>
    </row>
    <row r="161" spans="1:12" ht="16.5" customHeight="1">
      <c r="A161" s="16"/>
      <c r="B161" s="16"/>
      <c r="C161" s="16"/>
      <c r="D161" s="16"/>
      <c r="E161" s="16"/>
      <c r="F161" s="16"/>
      <c r="G161" s="16"/>
      <c r="H161" s="16"/>
      <c r="I161" s="16"/>
      <c r="J161" s="428"/>
      <c r="K161" s="16"/>
      <c r="L161" s="16"/>
    </row>
    <row r="162" spans="1:12" ht="16.5" customHeight="1">
      <c r="A162" s="16"/>
      <c r="B162" s="16"/>
      <c r="C162" s="16"/>
      <c r="D162" s="16"/>
      <c r="E162" s="16"/>
      <c r="F162" s="16"/>
      <c r="G162" s="16"/>
      <c r="H162" s="16"/>
      <c r="I162" s="16"/>
      <c r="J162" s="428"/>
      <c r="K162" s="16"/>
      <c r="L162" s="16"/>
    </row>
    <row r="163" spans="1:12" ht="16.5" customHeight="1">
      <c r="A163" s="16"/>
      <c r="B163" s="16"/>
      <c r="C163" s="16"/>
      <c r="D163" s="16"/>
      <c r="E163" s="16"/>
      <c r="F163" s="16"/>
      <c r="G163" s="16"/>
      <c r="H163" s="16"/>
      <c r="I163" s="16"/>
      <c r="J163" s="428"/>
      <c r="K163" s="16"/>
      <c r="L163" s="16"/>
    </row>
    <row r="164" spans="1:12" ht="16.5" customHeight="1">
      <c r="A164" s="16"/>
      <c r="B164" s="16"/>
      <c r="C164" s="16"/>
      <c r="D164" s="16"/>
      <c r="E164" s="16"/>
      <c r="F164" s="16"/>
      <c r="G164" s="16"/>
      <c r="H164" s="16"/>
      <c r="I164" s="16"/>
      <c r="J164" s="428"/>
      <c r="K164" s="16"/>
      <c r="L164" s="16"/>
    </row>
    <row r="165" spans="1:12" ht="16.5" customHeight="1">
      <c r="A165" s="16"/>
      <c r="B165" s="16"/>
      <c r="C165" s="16"/>
      <c r="D165" s="16"/>
      <c r="E165" s="16"/>
      <c r="F165" s="16"/>
      <c r="G165" s="16"/>
      <c r="H165" s="16"/>
      <c r="I165" s="16"/>
      <c r="J165" s="428"/>
      <c r="K165" s="16"/>
      <c r="L165" s="16"/>
    </row>
    <row r="166" spans="1:12" ht="16.5" customHeight="1">
      <c r="A166" s="16"/>
      <c r="B166" s="16"/>
      <c r="C166" s="16"/>
      <c r="D166" s="16"/>
      <c r="E166" s="16"/>
      <c r="F166" s="16"/>
      <c r="G166" s="16"/>
      <c r="H166" s="16"/>
      <c r="I166" s="16"/>
      <c r="J166" s="428"/>
      <c r="K166" s="16"/>
      <c r="L166" s="16"/>
    </row>
    <row r="167" spans="1:12" ht="16.5" customHeight="1">
      <c r="A167" s="16"/>
      <c r="B167" s="16"/>
      <c r="C167" s="16"/>
      <c r="D167" s="16"/>
      <c r="E167" s="16"/>
      <c r="F167" s="16"/>
      <c r="G167" s="16"/>
      <c r="H167" s="16"/>
      <c r="I167" s="16"/>
      <c r="J167" s="428"/>
      <c r="K167" s="16"/>
      <c r="L167" s="16"/>
    </row>
    <row r="168" spans="1:12" ht="16.5" customHeight="1">
      <c r="A168" s="16"/>
      <c r="B168" s="16"/>
      <c r="C168" s="16"/>
      <c r="D168" s="16"/>
      <c r="E168" s="16"/>
      <c r="F168" s="16"/>
      <c r="G168" s="16"/>
      <c r="H168" s="16"/>
      <c r="I168" s="16"/>
      <c r="J168" s="428"/>
      <c r="K168" s="16"/>
      <c r="L168" s="16"/>
    </row>
    <row r="169" spans="1:12" ht="16.5" customHeight="1">
      <c r="A169" s="16"/>
      <c r="B169" s="16"/>
      <c r="C169" s="16"/>
      <c r="D169" s="16"/>
      <c r="E169" s="16"/>
      <c r="F169" s="16"/>
      <c r="G169" s="16"/>
      <c r="H169" s="16"/>
      <c r="I169" s="16"/>
      <c r="J169" s="428"/>
      <c r="K169" s="16"/>
      <c r="L169" s="16"/>
    </row>
    <row r="170" spans="1:12" ht="16.5" customHeight="1">
      <c r="A170" s="16"/>
      <c r="B170" s="16"/>
      <c r="C170" s="16"/>
      <c r="D170" s="16"/>
      <c r="E170" s="16"/>
      <c r="F170" s="16"/>
      <c r="G170" s="16"/>
      <c r="H170" s="16"/>
      <c r="I170" s="16"/>
      <c r="J170" s="428"/>
      <c r="K170" s="16"/>
      <c r="L170" s="16"/>
    </row>
    <row r="171" spans="1:12" ht="16.5" customHeight="1">
      <c r="A171" s="16"/>
      <c r="B171" s="16"/>
      <c r="C171" s="16"/>
      <c r="D171" s="16"/>
      <c r="E171" s="16"/>
      <c r="F171" s="16"/>
      <c r="G171" s="16"/>
      <c r="H171" s="16"/>
      <c r="I171" s="16"/>
      <c r="J171" s="428"/>
      <c r="K171" s="16"/>
      <c r="L171" s="16"/>
    </row>
    <row r="172" spans="1:12" ht="16.5" customHeight="1">
      <c r="A172" s="16"/>
      <c r="B172" s="16"/>
      <c r="C172" s="16"/>
      <c r="D172" s="16"/>
      <c r="E172" s="16"/>
      <c r="F172" s="16"/>
      <c r="G172" s="16"/>
      <c r="H172" s="16"/>
      <c r="I172" s="16"/>
      <c r="J172" s="428"/>
      <c r="K172" s="16"/>
      <c r="L172" s="16"/>
    </row>
    <row r="173" spans="1:12" ht="16.5" customHeight="1">
      <c r="A173" s="16"/>
      <c r="B173" s="16"/>
      <c r="C173" s="16"/>
      <c r="D173" s="16"/>
      <c r="E173" s="16"/>
      <c r="F173" s="16"/>
      <c r="G173" s="16"/>
      <c r="H173" s="16"/>
      <c r="I173" s="16"/>
      <c r="J173" s="428"/>
      <c r="K173" s="16"/>
      <c r="L173" s="16"/>
    </row>
    <row r="174" spans="1:12" ht="16.5" customHeight="1">
      <c r="A174" s="16"/>
      <c r="B174" s="16"/>
      <c r="C174" s="16"/>
      <c r="D174" s="16"/>
      <c r="E174" s="16"/>
      <c r="F174" s="16"/>
      <c r="G174" s="16"/>
      <c r="H174" s="16"/>
      <c r="I174" s="16"/>
      <c r="J174" s="428"/>
      <c r="K174" s="16"/>
      <c r="L174" s="16"/>
    </row>
    <row r="175" spans="1:12" ht="16.5" customHeight="1">
      <c r="A175" s="16"/>
      <c r="B175" s="16"/>
      <c r="C175" s="16"/>
      <c r="D175" s="16"/>
      <c r="E175" s="16"/>
      <c r="F175" s="16"/>
      <c r="G175" s="16"/>
      <c r="H175" s="16"/>
      <c r="I175" s="16"/>
      <c r="J175" s="428"/>
      <c r="K175" s="16"/>
      <c r="L175" s="16"/>
    </row>
    <row r="176" spans="1:12" ht="16.5" customHeight="1">
      <c r="A176" s="16"/>
      <c r="B176" s="16"/>
      <c r="C176" s="16"/>
      <c r="D176" s="16"/>
      <c r="E176" s="16"/>
      <c r="F176" s="16"/>
      <c r="G176" s="16"/>
      <c r="H176" s="16"/>
      <c r="I176" s="16"/>
      <c r="J176" s="428"/>
      <c r="K176" s="16"/>
      <c r="L176" s="16"/>
    </row>
    <row r="177" spans="1:12" ht="16.5" customHeight="1">
      <c r="A177" s="16"/>
      <c r="B177" s="16"/>
      <c r="C177" s="16"/>
      <c r="D177" s="16"/>
      <c r="E177" s="16"/>
      <c r="F177" s="16"/>
      <c r="G177" s="16"/>
      <c r="H177" s="16"/>
      <c r="I177" s="16"/>
      <c r="J177" s="428"/>
      <c r="K177" s="16"/>
      <c r="L177" s="16"/>
    </row>
    <row r="178" spans="1:12" ht="16.5" customHeight="1">
      <c r="A178" s="16"/>
      <c r="B178" s="16"/>
      <c r="C178" s="16"/>
      <c r="D178" s="16"/>
      <c r="E178" s="16"/>
      <c r="F178" s="16"/>
      <c r="G178" s="16"/>
      <c r="H178" s="16"/>
      <c r="I178" s="16"/>
      <c r="J178" s="428"/>
      <c r="K178" s="16"/>
      <c r="L178" s="16"/>
    </row>
    <row r="179" spans="1:12" ht="16.5" customHeight="1">
      <c r="A179" s="16"/>
      <c r="B179" s="16"/>
      <c r="C179" s="16"/>
      <c r="D179" s="16"/>
      <c r="E179" s="16"/>
      <c r="F179" s="16"/>
      <c r="G179" s="16"/>
      <c r="H179" s="16"/>
      <c r="I179" s="16"/>
      <c r="J179" s="428"/>
      <c r="K179" s="16"/>
      <c r="L179" s="16"/>
    </row>
    <row r="180" spans="1:12" ht="16.5" customHeight="1">
      <c r="A180" s="16"/>
      <c r="B180" s="16"/>
      <c r="C180" s="16"/>
      <c r="D180" s="16"/>
      <c r="E180" s="16"/>
      <c r="F180" s="16"/>
      <c r="G180" s="16"/>
      <c r="H180" s="16"/>
      <c r="I180" s="16"/>
      <c r="J180" s="428"/>
      <c r="K180" s="16"/>
      <c r="L180" s="16"/>
    </row>
    <row r="181" spans="1:12" ht="16.5" customHeight="1">
      <c r="A181" s="16"/>
      <c r="B181" s="16"/>
      <c r="C181" s="16"/>
      <c r="D181" s="16"/>
      <c r="E181" s="16"/>
      <c r="F181" s="16"/>
      <c r="G181" s="16"/>
      <c r="H181" s="16"/>
      <c r="I181" s="16"/>
      <c r="J181" s="428"/>
      <c r="K181" s="16"/>
      <c r="L181" s="16"/>
    </row>
    <row r="182" spans="1:12" ht="16.5" customHeight="1">
      <c r="A182" s="16"/>
      <c r="B182" s="16"/>
      <c r="C182" s="16"/>
      <c r="D182" s="16"/>
      <c r="E182" s="16"/>
      <c r="F182" s="16"/>
      <c r="G182" s="16"/>
      <c r="H182" s="16"/>
      <c r="I182" s="16"/>
      <c r="J182" s="428"/>
      <c r="K182" s="16"/>
      <c r="L182" s="16"/>
    </row>
    <row r="183" spans="1:12" ht="16.5" customHeight="1">
      <c r="A183" s="16"/>
      <c r="B183" s="16"/>
      <c r="C183" s="16"/>
      <c r="D183" s="16"/>
      <c r="E183" s="16"/>
      <c r="F183" s="16"/>
      <c r="G183" s="16"/>
      <c r="H183" s="16"/>
      <c r="I183" s="16"/>
      <c r="J183" s="428"/>
      <c r="K183" s="16"/>
      <c r="L183" s="16"/>
    </row>
    <row r="184" spans="1:12" ht="16.5" customHeight="1">
      <c r="A184" s="16"/>
      <c r="B184" s="16"/>
      <c r="C184" s="16"/>
      <c r="D184" s="16"/>
      <c r="E184" s="16"/>
      <c r="F184" s="16"/>
      <c r="G184" s="16"/>
      <c r="H184" s="16"/>
      <c r="I184" s="16"/>
      <c r="J184" s="428"/>
      <c r="K184" s="16"/>
      <c r="L184" s="16"/>
    </row>
    <row r="185" spans="1:12" ht="16.5" customHeight="1">
      <c r="A185" s="16"/>
      <c r="B185" s="16"/>
      <c r="C185" s="16"/>
      <c r="D185" s="16"/>
      <c r="E185" s="16"/>
      <c r="F185" s="16"/>
      <c r="G185" s="16"/>
      <c r="H185" s="16"/>
      <c r="I185" s="16"/>
      <c r="J185" s="428"/>
      <c r="K185" s="16"/>
      <c r="L185" s="16"/>
    </row>
    <row r="186" spans="1:12" ht="16.5" customHeight="1">
      <c r="A186" s="16"/>
      <c r="B186" s="16"/>
      <c r="C186" s="16"/>
      <c r="D186" s="16"/>
      <c r="E186" s="16"/>
      <c r="F186" s="16"/>
      <c r="G186" s="16"/>
      <c r="H186" s="16"/>
      <c r="I186" s="16"/>
      <c r="J186" s="428"/>
      <c r="K186" s="16"/>
      <c r="L186" s="16"/>
    </row>
    <row r="187" spans="1:12" ht="16.5" customHeight="1">
      <c r="A187" s="16"/>
      <c r="B187" s="16"/>
      <c r="C187" s="16"/>
      <c r="D187" s="16"/>
      <c r="E187" s="16"/>
      <c r="F187" s="16"/>
      <c r="G187" s="16"/>
      <c r="H187" s="16"/>
      <c r="I187" s="16"/>
      <c r="J187" s="428"/>
      <c r="K187" s="16"/>
      <c r="L187" s="16"/>
    </row>
    <row r="188" spans="1:12" ht="16.5" customHeight="1">
      <c r="A188" s="16"/>
      <c r="B188" s="16"/>
      <c r="C188" s="16"/>
      <c r="D188" s="16"/>
      <c r="E188" s="16"/>
      <c r="F188" s="16"/>
      <c r="G188" s="16"/>
      <c r="H188" s="16"/>
      <c r="I188" s="16"/>
      <c r="J188" s="428"/>
      <c r="K188" s="16"/>
      <c r="L188" s="16"/>
    </row>
    <row r="189" spans="1:12" ht="16.5" customHeight="1">
      <c r="A189" s="16"/>
      <c r="B189" s="16"/>
      <c r="C189" s="16"/>
      <c r="D189" s="16"/>
      <c r="E189" s="16"/>
      <c r="F189" s="16"/>
      <c r="G189" s="16"/>
      <c r="H189" s="16"/>
      <c r="I189" s="16"/>
      <c r="J189" s="428"/>
      <c r="K189" s="16"/>
      <c r="L189" s="16"/>
    </row>
    <row r="190" spans="1:12" ht="16.5" customHeight="1">
      <c r="A190" s="16"/>
      <c r="B190" s="16"/>
      <c r="C190" s="16"/>
      <c r="D190" s="16"/>
      <c r="E190" s="16"/>
      <c r="F190" s="16"/>
      <c r="G190" s="16"/>
      <c r="H190" s="16"/>
      <c r="I190" s="16"/>
      <c r="J190" s="428"/>
      <c r="K190" s="16"/>
      <c r="L190" s="16"/>
    </row>
    <row r="191" spans="1:12" ht="16.5" customHeight="1">
      <c r="A191" s="16"/>
      <c r="B191" s="16"/>
      <c r="C191" s="16"/>
      <c r="D191" s="16"/>
      <c r="E191" s="16"/>
      <c r="F191" s="16"/>
      <c r="G191" s="16"/>
      <c r="H191" s="16"/>
      <c r="I191" s="16"/>
      <c r="J191" s="428"/>
      <c r="K191" s="16"/>
      <c r="L191" s="16"/>
    </row>
    <row r="192" spans="1:12" ht="16.5" customHeight="1">
      <c r="A192" s="16"/>
      <c r="B192" s="16"/>
      <c r="C192" s="16"/>
      <c r="D192" s="16"/>
      <c r="E192" s="16"/>
      <c r="F192" s="16"/>
      <c r="G192" s="16"/>
      <c r="H192" s="16"/>
      <c r="I192" s="16"/>
      <c r="J192" s="428"/>
      <c r="K192" s="16"/>
      <c r="L192" s="16"/>
    </row>
    <row r="193" spans="1:12" ht="16.5" customHeight="1">
      <c r="A193" s="16"/>
      <c r="B193" s="16"/>
      <c r="C193" s="16"/>
      <c r="D193" s="16"/>
      <c r="E193" s="16"/>
      <c r="F193" s="16"/>
      <c r="G193" s="16"/>
      <c r="H193" s="16"/>
      <c r="I193" s="16"/>
      <c r="J193" s="428"/>
      <c r="K193" s="16"/>
      <c r="L193" s="16"/>
    </row>
    <row r="194" spans="1:12" ht="16.5" customHeight="1">
      <c r="A194" s="16"/>
      <c r="B194" s="16"/>
      <c r="C194" s="16"/>
      <c r="D194" s="16"/>
      <c r="E194" s="16"/>
      <c r="F194" s="16"/>
      <c r="G194" s="16"/>
      <c r="H194" s="16"/>
      <c r="I194" s="16"/>
      <c r="J194" s="428"/>
      <c r="K194" s="16"/>
      <c r="L194" s="16"/>
    </row>
    <row r="195" spans="1:12" ht="16.5" customHeight="1">
      <c r="A195" s="16"/>
      <c r="B195" s="16"/>
      <c r="C195" s="16"/>
      <c r="D195" s="16"/>
      <c r="E195" s="16"/>
      <c r="F195" s="16"/>
      <c r="G195" s="16"/>
      <c r="H195" s="16"/>
      <c r="I195" s="16"/>
      <c r="J195" s="428"/>
      <c r="K195" s="16"/>
      <c r="L195" s="16"/>
    </row>
    <row r="196" spans="1:12" ht="16.5" customHeight="1">
      <c r="A196" s="16"/>
      <c r="B196" s="16"/>
      <c r="C196" s="16"/>
      <c r="D196" s="16"/>
      <c r="E196" s="16"/>
      <c r="F196" s="16"/>
      <c r="G196" s="16"/>
      <c r="H196" s="16"/>
      <c r="I196" s="16"/>
      <c r="J196" s="428"/>
      <c r="K196" s="16"/>
      <c r="L196" s="16"/>
    </row>
    <row r="197" spans="1:12" ht="16.5" customHeight="1">
      <c r="A197" s="16"/>
      <c r="B197" s="16"/>
      <c r="C197" s="16"/>
      <c r="D197" s="16"/>
      <c r="E197" s="16"/>
      <c r="F197" s="16"/>
      <c r="G197" s="16"/>
      <c r="H197" s="16"/>
      <c r="I197" s="16"/>
      <c r="J197" s="428"/>
      <c r="K197" s="16"/>
      <c r="L197" s="16"/>
    </row>
    <row r="198" spans="1:12" ht="16.5" customHeight="1">
      <c r="A198" s="16"/>
      <c r="B198" s="16"/>
      <c r="C198" s="16"/>
      <c r="D198" s="16"/>
      <c r="E198" s="16"/>
      <c r="F198" s="16"/>
      <c r="G198" s="16"/>
      <c r="H198" s="16"/>
      <c r="I198" s="16"/>
      <c r="J198" s="428"/>
      <c r="K198" s="16"/>
      <c r="L198" s="16"/>
    </row>
    <row r="199" spans="1:12" ht="16.5" customHeight="1">
      <c r="A199" s="16"/>
      <c r="B199" s="16"/>
      <c r="C199" s="16"/>
      <c r="D199" s="16"/>
      <c r="E199" s="16"/>
      <c r="F199" s="16"/>
      <c r="G199" s="16"/>
      <c r="H199" s="16"/>
      <c r="I199" s="16"/>
      <c r="J199" s="428"/>
      <c r="K199" s="16"/>
      <c r="L199" s="16"/>
    </row>
    <row r="200" spans="1:12" ht="16.5" customHeight="1">
      <c r="A200" s="16"/>
      <c r="B200" s="16"/>
      <c r="C200" s="16"/>
      <c r="D200" s="16"/>
      <c r="E200" s="16"/>
      <c r="F200" s="16"/>
      <c r="G200" s="16"/>
      <c r="H200" s="16"/>
      <c r="I200" s="16"/>
      <c r="J200" s="428"/>
      <c r="K200" s="16"/>
      <c r="L200" s="16"/>
    </row>
    <row r="201" spans="1:12" ht="16.5" customHeight="1">
      <c r="A201" s="16"/>
      <c r="B201" s="16"/>
      <c r="C201" s="16"/>
      <c r="D201" s="16"/>
      <c r="E201" s="16"/>
      <c r="F201" s="16"/>
      <c r="G201" s="16"/>
      <c r="H201" s="16"/>
      <c r="I201" s="16"/>
      <c r="J201" s="428"/>
      <c r="K201" s="16"/>
      <c r="L201" s="16"/>
    </row>
    <row r="202" spans="1:12" ht="16.5" customHeight="1">
      <c r="A202" s="16"/>
      <c r="B202" s="16"/>
      <c r="C202" s="16"/>
      <c r="D202" s="16"/>
      <c r="E202" s="16"/>
      <c r="F202" s="16"/>
      <c r="G202" s="16"/>
      <c r="H202" s="16"/>
      <c r="I202" s="16"/>
      <c r="J202" s="428"/>
      <c r="K202" s="16"/>
      <c r="L202" s="16"/>
    </row>
    <row r="203" spans="1:12" ht="16.5" customHeight="1">
      <c r="A203" s="16"/>
      <c r="B203" s="16"/>
      <c r="C203" s="16"/>
      <c r="D203" s="16"/>
      <c r="E203" s="16"/>
      <c r="F203" s="16"/>
      <c r="G203" s="16"/>
      <c r="H203" s="16"/>
      <c r="I203" s="16"/>
      <c r="J203" s="428"/>
      <c r="K203" s="16"/>
      <c r="L203" s="16"/>
    </row>
    <row r="204" spans="1:12" ht="16.5" customHeight="1">
      <c r="A204" s="16"/>
      <c r="B204" s="16"/>
      <c r="C204" s="16"/>
      <c r="D204" s="16"/>
      <c r="E204" s="16"/>
      <c r="F204" s="16"/>
      <c r="G204" s="16"/>
      <c r="H204" s="16"/>
      <c r="I204" s="16"/>
      <c r="J204" s="428"/>
      <c r="K204" s="16"/>
      <c r="L204" s="16"/>
    </row>
    <row r="205" spans="1:12" ht="16.5" customHeight="1">
      <c r="A205" s="16"/>
      <c r="B205" s="16"/>
      <c r="C205" s="16"/>
      <c r="D205" s="16"/>
      <c r="E205" s="16"/>
      <c r="F205" s="16"/>
      <c r="G205" s="16"/>
      <c r="H205" s="16"/>
      <c r="I205" s="16"/>
      <c r="J205" s="428"/>
      <c r="K205" s="16"/>
      <c r="L205" s="16"/>
    </row>
    <row r="206" spans="1:12" ht="16.5" customHeight="1">
      <c r="A206" s="16"/>
      <c r="B206" s="16"/>
      <c r="C206" s="16"/>
      <c r="D206" s="16"/>
      <c r="E206" s="16"/>
      <c r="F206" s="16"/>
      <c r="G206" s="16"/>
      <c r="H206" s="16"/>
      <c r="I206" s="16"/>
      <c r="J206" s="428"/>
      <c r="K206" s="16"/>
      <c r="L206" s="16"/>
    </row>
    <row r="207" spans="1:12" ht="16.5" customHeight="1">
      <c r="A207" s="16"/>
      <c r="B207" s="16"/>
      <c r="C207" s="16"/>
      <c r="D207" s="16"/>
      <c r="E207" s="16"/>
      <c r="F207" s="16"/>
      <c r="G207" s="16"/>
      <c r="H207" s="16"/>
      <c r="I207" s="16"/>
      <c r="J207" s="428"/>
      <c r="K207" s="16"/>
      <c r="L207" s="16"/>
    </row>
    <row r="208" spans="1:12" ht="16.5" customHeight="1">
      <c r="A208" s="16"/>
      <c r="B208" s="16"/>
      <c r="C208" s="16"/>
      <c r="D208" s="16"/>
      <c r="E208" s="16"/>
      <c r="F208" s="16"/>
      <c r="G208" s="16"/>
      <c r="H208" s="16"/>
      <c r="I208" s="16"/>
      <c r="J208" s="428"/>
      <c r="K208" s="16"/>
      <c r="L208" s="16"/>
    </row>
    <row r="209" spans="1:12" ht="16.5" customHeight="1">
      <c r="A209" s="16"/>
      <c r="B209" s="16"/>
      <c r="C209" s="16"/>
      <c r="D209" s="16"/>
      <c r="E209" s="16"/>
      <c r="F209" s="16"/>
      <c r="G209" s="16"/>
      <c r="H209" s="16"/>
      <c r="I209" s="16"/>
      <c r="J209" s="428"/>
      <c r="K209" s="16"/>
      <c r="L209" s="16"/>
    </row>
    <row r="210" spans="1:12" ht="16.5" customHeight="1">
      <c r="A210" s="16"/>
      <c r="B210" s="16"/>
      <c r="C210" s="16"/>
      <c r="D210" s="16"/>
      <c r="E210" s="16"/>
      <c r="F210" s="16"/>
      <c r="G210" s="16"/>
      <c r="H210" s="16"/>
      <c r="I210" s="16"/>
      <c r="J210" s="428"/>
      <c r="K210" s="16"/>
      <c r="L210" s="16"/>
    </row>
    <row r="211" spans="1:12" ht="16.5" customHeight="1">
      <c r="A211" s="16"/>
      <c r="B211" s="16"/>
      <c r="C211" s="16"/>
      <c r="D211" s="16"/>
      <c r="E211" s="16"/>
      <c r="F211" s="16"/>
      <c r="G211" s="16"/>
      <c r="H211" s="16"/>
      <c r="I211" s="16"/>
      <c r="J211" s="428"/>
      <c r="K211" s="16"/>
      <c r="L211" s="16"/>
    </row>
    <row r="212" spans="1:12" ht="16.5" customHeight="1">
      <c r="A212" s="16"/>
      <c r="B212" s="16"/>
      <c r="C212" s="16"/>
      <c r="D212" s="16"/>
      <c r="E212" s="16"/>
      <c r="F212" s="16"/>
      <c r="G212" s="16"/>
      <c r="H212" s="16"/>
      <c r="I212" s="16"/>
      <c r="J212" s="428"/>
      <c r="K212" s="16"/>
      <c r="L212" s="16"/>
    </row>
    <row r="213" spans="1:12" ht="16.5" customHeight="1">
      <c r="A213" s="16"/>
      <c r="B213" s="16"/>
      <c r="C213" s="16"/>
      <c r="D213" s="16"/>
      <c r="E213" s="16"/>
      <c r="F213" s="16"/>
      <c r="G213" s="16"/>
      <c r="H213" s="16"/>
      <c r="I213" s="16"/>
      <c r="J213" s="428"/>
      <c r="K213" s="16"/>
      <c r="L213" s="16"/>
    </row>
    <row r="214" spans="1:12" ht="16.5" customHeight="1">
      <c r="A214" s="16"/>
      <c r="B214" s="16"/>
      <c r="C214" s="16"/>
      <c r="D214" s="16"/>
      <c r="E214" s="16"/>
      <c r="F214" s="16"/>
      <c r="G214" s="16"/>
      <c r="H214" s="16"/>
      <c r="I214" s="16"/>
      <c r="J214" s="428"/>
      <c r="K214" s="16"/>
      <c r="L214" s="16"/>
    </row>
    <row r="215" spans="1:12" ht="16.5" customHeight="1">
      <c r="A215" s="16"/>
      <c r="B215" s="16"/>
      <c r="C215" s="16"/>
      <c r="D215" s="16"/>
      <c r="E215" s="16"/>
      <c r="F215" s="16"/>
      <c r="G215" s="16"/>
      <c r="H215" s="16"/>
      <c r="I215" s="16"/>
      <c r="J215" s="428"/>
      <c r="K215" s="16"/>
      <c r="L215" s="16"/>
    </row>
    <row r="216" spans="1:12" ht="16.5" customHeight="1">
      <c r="A216" s="16"/>
      <c r="B216" s="16"/>
      <c r="C216" s="16"/>
      <c r="D216" s="16"/>
      <c r="E216" s="16"/>
      <c r="F216" s="16"/>
      <c r="G216" s="16"/>
      <c r="H216" s="16"/>
      <c r="I216" s="16"/>
      <c r="J216" s="428"/>
      <c r="K216" s="16"/>
      <c r="L216" s="16"/>
    </row>
    <row r="217" spans="1:12" ht="16.5" customHeight="1">
      <c r="A217" s="16"/>
      <c r="B217" s="16"/>
      <c r="C217" s="16"/>
      <c r="D217" s="16"/>
      <c r="E217" s="16"/>
      <c r="F217" s="16"/>
      <c r="G217" s="16"/>
      <c r="H217" s="16"/>
      <c r="I217" s="16"/>
      <c r="J217" s="428"/>
      <c r="K217" s="16"/>
      <c r="L217" s="16"/>
    </row>
    <row r="218" spans="1:12" ht="16.5" customHeight="1">
      <c r="A218" s="16"/>
      <c r="B218" s="16"/>
      <c r="C218" s="16"/>
      <c r="D218" s="16"/>
      <c r="E218" s="16"/>
      <c r="F218" s="16"/>
      <c r="G218" s="16"/>
      <c r="H218" s="16"/>
      <c r="I218" s="16"/>
      <c r="J218" s="428"/>
      <c r="K218" s="16"/>
      <c r="L218" s="16"/>
    </row>
    <row r="219" spans="1:12" ht="16.5" customHeight="1">
      <c r="A219" s="16"/>
      <c r="B219" s="16"/>
      <c r="C219" s="16"/>
      <c r="D219" s="16"/>
      <c r="E219" s="16"/>
      <c r="F219" s="16"/>
      <c r="G219" s="16"/>
      <c r="H219" s="16"/>
      <c r="I219" s="16"/>
      <c r="J219" s="428"/>
      <c r="K219" s="16"/>
      <c r="L219" s="16"/>
    </row>
    <row r="220" spans="1:12" ht="16.5" customHeight="1">
      <c r="A220" s="16"/>
      <c r="B220" s="16"/>
      <c r="C220" s="16"/>
      <c r="D220" s="16"/>
      <c r="E220" s="16"/>
      <c r="F220" s="16"/>
      <c r="G220" s="16"/>
      <c r="H220" s="16"/>
      <c r="I220" s="16"/>
      <c r="J220" s="428"/>
      <c r="K220" s="16"/>
      <c r="L220" s="16"/>
    </row>
    <row r="221" spans="1:12" ht="16.5" customHeight="1">
      <c r="A221" s="16"/>
      <c r="B221" s="16"/>
      <c r="C221" s="16"/>
      <c r="D221" s="16"/>
      <c r="E221" s="16"/>
      <c r="F221" s="16"/>
      <c r="G221" s="16"/>
      <c r="H221" s="16"/>
      <c r="I221" s="16"/>
      <c r="J221" s="428"/>
      <c r="K221" s="16"/>
      <c r="L221" s="16"/>
    </row>
    <row r="222" spans="1:12" ht="16.5" customHeight="1">
      <c r="A222" s="16"/>
      <c r="B222" s="16"/>
      <c r="C222" s="16"/>
      <c r="D222" s="16"/>
      <c r="E222" s="16"/>
      <c r="F222" s="16"/>
      <c r="G222" s="16"/>
      <c r="H222" s="16"/>
      <c r="I222" s="16"/>
      <c r="J222" s="428"/>
      <c r="K222" s="16"/>
      <c r="L222" s="16"/>
    </row>
    <row r="223" spans="1:12" ht="16.5" customHeight="1">
      <c r="A223" s="16"/>
      <c r="B223" s="16"/>
      <c r="C223" s="16"/>
      <c r="D223" s="16"/>
      <c r="E223" s="16"/>
      <c r="F223" s="16"/>
      <c r="G223" s="16"/>
      <c r="H223" s="16"/>
      <c r="I223" s="16"/>
      <c r="J223" s="428"/>
      <c r="K223" s="16"/>
      <c r="L223" s="16"/>
    </row>
    <row r="224" spans="1:12" ht="16.5" customHeight="1">
      <c r="A224" s="16"/>
      <c r="B224" s="16"/>
      <c r="C224" s="16"/>
      <c r="D224" s="16"/>
      <c r="E224" s="16"/>
      <c r="F224" s="16"/>
      <c r="G224" s="16"/>
      <c r="H224" s="16"/>
      <c r="I224" s="16"/>
      <c r="J224" s="428"/>
      <c r="K224" s="16"/>
      <c r="L224" s="16"/>
    </row>
    <row r="225" spans="1:12" ht="16.5" customHeight="1">
      <c r="A225" s="16"/>
      <c r="B225" s="16"/>
      <c r="C225" s="16"/>
      <c r="D225" s="16"/>
      <c r="E225" s="16"/>
      <c r="F225" s="16"/>
      <c r="G225" s="16"/>
      <c r="H225" s="16"/>
      <c r="I225" s="16"/>
      <c r="J225" s="428"/>
      <c r="K225" s="16"/>
      <c r="L225" s="16"/>
    </row>
    <row r="226" spans="1:12" ht="15.75" customHeight="1"/>
    <row r="227" spans="1:12" ht="15.75" customHeight="1"/>
    <row r="228" spans="1:12" ht="15.75" customHeight="1"/>
    <row r="229" spans="1:12" ht="15.75" customHeight="1"/>
    <row r="230" spans="1:12" ht="15.75" customHeight="1"/>
    <row r="231" spans="1:12" ht="15.75" customHeight="1"/>
    <row r="232" spans="1:12" ht="15.75" customHeight="1"/>
    <row r="233" spans="1:12" ht="15.75" customHeight="1"/>
    <row r="234" spans="1:12" ht="15.75" customHeight="1"/>
    <row r="235" spans="1:12" ht="15.75" customHeight="1"/>
    <row r="236" spans="1:12" ht="15.75" customHeight="1"/>
    <row r="237" spans="1:12" ht="15.75" customHeight="1"/>
    <row r="238" spans="1:12" ht="15.75" customHeight="1"/>
    <row r="239" spans="1:12" ht="15.75" customHeight="1"/>
    <row r="240" spans="1: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pane xSplit="2" ySplit="1" topLeftCell="C2" activePane="bottomRight" state="frozen"/>
      <selection pane="topRight"/>
      <selection pane="bottomLeft"/>
      <selection pane="bottomRight" activeCell="C2" sqref="C2"/>
    </sheetView>
  </sheetViews>
  <sheetFormatPr defaultColWidth="12.59765625" defaultRowHeight="15" customHeight="1"/>
  <cols>
    <col min="1" max="1" width="17.3984375" customWidth="1"/>
    <col min="2" max="3" width="20" customWidth="1"/>
    <col min="4" max="4" width="6.09765625" customWidth="1"/>
    <col min="5" max="5" width="13.5" customWidth="1"/>
    <col min="6" max="6" width="8.5" customWidth="1"/>
    <col min="7" max="7" width="30.3984375" customWidth="1"/>
    <col min="8" max="8" width="8.19921875" customWidth="1"/>
    <col min="9" max="9" width="15.3984375" customWidth="1"/>
    <col min="10" max="10" width="7.3984375" customWidth="1"/>
    <col min="11" max="11" width="24.59765625" customWidth="1"/>
    <col min="12" max="26" width="8.59765625" customWidth="1"/>
  </cols>
  <sheetData>
    <row r="1" spans="1:26" ht="43.5" customHeight="1">
      <c r="A1" s="355" t="s">
        <v>537</v>
      </c>
      <c r="B1" s="355" t="s">
        <v>3</v>
      </c>
      <c r="C1" s="355" t="s">
        <v>538</v>
      </c>
      <c r="D1" s="355" t="s">
        <v>539</v>
      </c>
      <c r="E1" s="355" t="s">
        <v>712</v>
      </c>
      <c r="F1" s="355" t="s">
        <v>736</v>
      </c>
      <c r="G1" s="355" t="s">
        <v>565</v>
      </c>
      <c r="H1" s="355" t="s">
        <v>737</v>
      </c>
      <c r="I1" s="355" t="s">
        <v>542</v>
      </c>
      <c r="J1" s="355" t="s">
        <v>738</v>
      </c>
      <c r="K1" s="355" t="s">
        <v>739</v>
      </c>
      <c r="L1" s="380"/>
      <c r="M1" s="380"/>
      <c r="N1" s="380"/>
      <c r="O1" s="380"/>
      <c r="P1" s="380"/>
      <c r="Q1" s="380"/>
      <c r="R1" s="380"/>
      <c r="S1" s="380"/>
      <c r="T1" s="380"/>
      <c r="U1" s="380"/>
      <c r="V1" s="380"/>
      <c r="W1" s="380"/>
      <c r="X1" s="380"/>
      <c r="Y1" s="380"/>
      <c r="Z1" s="380"/>
    </row>
    <row r="2" spans="1:26" ht="14.25" customHeight="1">
      <c r="A2" s="356" t="s">
        <v>228</v>
      </c>
      <c r="B2" s="357">
        <v>10000</v>
      </c>
      <c r="C2" s="357" t="s">
        <v>740</v>
      </c>
      <c r="D2" s="357" t="s">
        <v>568</v>
      </c>
      <c r="E2" s="358">
        <v>0.5</v>
      </c>
      <c r="F2" s="358">
        <v>0.75</v>
      </c>
      <c r="G2" s="357" t="s">
        <v>741</v>
      </c>
      <c r="H2" s="358" t="s">
        <v>742</v>
      </c>
      <c r="I2" s="381" t="s">
        <v>743</v>
      </c>
      <c r="J2" s="382">
        <v>9000</v>
      </c>
      <c r="K2" s="377"/>
      <c r="L2" s="344"/>
      <c r="M2" s="344"/>
      <c r="N2" s="344"/>
      <c r="O2" s="344"/>
      <c r="P2" s="344"/>
      <c r="Q2" s="344"/>
      <c r="R2" s="344"/>
      <c r="S2" s="344"/>
      <c r="T2" s="344"/>
      <c r="U2" s="344"/>
      <c r="V2" s="344"/>
      <c r="W2" s="344"/>
      <c r="X2" s="344"/>
      <c r="Y2" s="344"/>
      <c r="Z2" s="344"/>
    </row>
    <row r="3" spans="1:26" ht="14.25" customHeight="1">
      <c r="A3" s="356" t="s">
        <v>522</v>
      </c>
      <c r="B3" s="357" t="s">
        <v>744</v>
      </c>
      <c r="C3" s="357" t="s">
        <v>567</v>
      </c>
      <c r="D3" s="357" t="s">
        <v>568</v>
      </c>
      <c r="E3" s="358">
        <v>0.6</v>
      </c>
      <c r="F3" s="358">
        <v>0.75</v>
      </c>
      <c r="G3" s="357" t="s">
        <v>569</v>
      </c>
      <c r="H3" s="358" t="s">
        <v>742</v>
      </c>
      <c r="I3" s="381" t="s">
        <v>745</v>
      </c>
      <c r="J3" s="382"/>
      <c r="K3" s="377"/>
      <c r="L3" s="344"/>
      <c r="M3" s="344"/>
      <c r="N3" s="344"/>
      <c r="O3" s="344"/>
      <c r="P3" s="344"/>
      <c r="Q3" s="344"/>
      <c r="R3" s="344"/>
      <c r="S3" s="344"/>
      <c r="T3" s="344"/>
      <c r="U3" s="344"/>
      <c r="V3" s="344"/>
      <c r="W3" s="344"/>
      <c r="X3" s="344"/>
      <c r="Y3" s="344"/>
      <c r="Z3" s="344"/>
    </row>
    <row r="4" spans="1:26" ht="14.25" customHeight="1">
      <c r="A4" s="356" t="s">
        <v>303</v>
      </c>
      <c r="B4" s="357">
        <v>10000</v>
      </c>
      <c r="C4" s="357" t="s">
        <v>509</v>
      </c>
      <c r="D4" s="357" t="s">
        <v>568</v>
      </c>
      <c r="E4" s="358">
        <v>0.6</v>
      </c>
      <c r="F4" s="358">
        <v>0.75</v>
      </c>
      <c r="G4" s="357" t="s">
        <v>569</v>
      </c>
      <c r="H4" s="358" t="s">
        <v>746</v>
      </c>
      <c r="I4" s="381" t="s">
        <v>745</v>
      </c>
      <c r="J4" s="382">
        <v>9000</v>
      </c>
      <c r="K4" s="377"/>
      <c r="L4" s="344"/>
      <c r="M4" s="344"/>
      <c r="N4" s="344"/>
      <c r="O4" s="344"/>
      <c r="P4" s="344"/>
      <c r="Q4" s="344"/>
      <c r="R4" s="344"/>
      <c r="S4" s="344"/>
      <c r="T4" s="344"/>
      <c r="U4" s="344"/>
      <c r="V4" s="344"/>
      <c r="W4" s="344"/>
      <c r="X4" s="344"/>
      <c r="Y4" s="344"/>
      <c r="Z4" s="344"/>
    </row>
    <row r="5" spans="1:26" ht="14.25" customHeight="1">
      <c r="A5" s="356" t="s">
        <v>523</v>
      </c>
      <c r="B5" s="357">
        <v>10000</v>
      </c>
      <c r="C5" s="357" t="s">
        <v>301</v>
      </c>
      <c r="D5" s="357" t="s">
        <v>568</v>
      </c>
      <c r="E5" s="358">
        <v>0.5</v>
      </c>
      <c r="F5" s="358">
        <v>0.75</v>
      </c>
      <c r="G5" s="357" t="s">
        <v>747</v>
      </c>
      <c r="H5" s="358" t="s">
        <v>746</v>
      </c>
      <c r="I5" s="381" t="s">
        <v>748</v>
      </c>
      <c r="J5" s="382">
        <v>8000</v>
      </c>
      <c r="K5" s="377"/>
      <c r="L5" s="344"/>
      <c r="M5" s="344"/>
      <c r="N5" s="344"/>
      <c r="O5" s="344"/>
      <c r="P5" s="344"/>
      <c r="Q5" s="344"/>
      <c r="R5" s="344"/>
      <c r="S5" s="344"/>
      <c r="T5" s="344"/>
      <c r="U5" s="344"/>
      <c r="V5" s="344"/>
      <c r="W5" s="344"/>
      <c r="X5" s="344"/>
      <c r="Y5" s="344"/>
      <c r="Z5" s="344"/>
    </row>
    <row r="6" spans="1:26" ht="14.25" customHeight="1">
      <c r="A6" s="359" t="s">
        <v>259</v>
      </c>
      <c r="B6" s="359">
        <v>10000</v>
      </c>
      <c r="C6" s="359" t="s">
        <v>749</v>
      </c>
      <c r="D6" s="359" t="s">
        <v>568</v>
      </c>
      <c r="E6" s="360">
        <v>0.6</v>
      </c>
      <c r="F6" s="360">
        <v>0.75</v>
      </c>
      <c r="G6" s="359" t="s">
        <v>569</v>
      </c>
      <c r="H6" s="360"/>
      <c r="I6" s="383" t="s">
        <v>745</v>
      </c>
      <c r="J6" s="359"/>
      <c r="K6" s="384" t="s">
        <v>750</v>
      </c>
      <c r="L6" s="344"/>
      <c r="M6" s="344"/>
      <c r="N6" s="344"/>
      <c r="O6" s="344"/>
      <c r="P6" s="344"/>
      <c r="Q6" s="344"/>
      <c r="R6" s="344"/>
      <c r="S6" s="344"/>
      <c r="T6" s="344"/>
      <c r="U6" s="344"/>
      <c r="V6" s="344"/>
      <c r="W6" s="344"/>
      <c r="X6" s="344"/>
      <c r="Y6" s="344"/>
      <c r="Z6" s="344"/>
    </row>
    <row r="7" spans="1:26" ht="14.25" customHeight="1">
      <c r="A7" s="356" t="s">
        <v>233</v>
      </c>
      <c r="B7" s="357">
        <v>6000</v>
      </c>
      <c r="C7" s="357" t="s">
        <v>740</v>
      </c>
      <c r="D7" s="357" t="s">
        <v>693</v>
      </c>
      <c r="E7" s="358">
        <v>0.6</v>
      </c>
      <c r="F7" s="358">
        <v>0.75</v>
      </c>
      <c r="G7" s="357" t="s">
        <v>569</v>
      </c>
      <c r="H7" s="358">
        <v>0.7</v>
      </c>
      <c r="I7" s="381" t="s">
        <v>745</v>
      </c>
      <c r="J7" s="382">
        <v>5000</v>
      </c>
      <c r="K7" s="377"/>
      <c r="L7" s="344"/>
      <c r="M7" s="344"/>
      <c r="N7" s="344"/>
      <c r="O7" s="344"/>
      <c r="P7" s="344"/>
      <c r="Q7" s="344"/>
      <c r="R7" s="344"/>
      <c r="S7" s="344"/>
      <c r="T7" s="344"/>
      <c r="U7" s="344"/>
      <c r="V7" s="344"/>
      <c r="W7" s="344"/>
      <c r="X7" s="344"/>
      <c r="Y7" s="344"/>
      <c r="Z7" s="344"/>
    </row>
    <row r="8" spans="1:26" ht="14.25" customHeight="1">
      <c r="A8" s="356" t="s">
        <v>524</v>
      </c>
      <c r="B8" s="357">
        <v>10000</v>
      </c>
      <c r="C8" s="357" t="s">
        <v>301</v>
      </c>
      <c r="D8" s="357" t="s">
        <v>693</v>
      </c>
      <c r="E8" s="358">
        <v>0</v>
      </c>
      <c r="F8" s="358">
        <v>0.5</v>
      </c>
      <c r="G8" s="357" t="s">
        <v>569</v>
      </c>
      <c r="H8" s="358">
        <v>0.3</v>
      </c>
      <c r="I8" s="381" t="s">
        <v>745</v>
      </c>
      <c r="J8" s="382">
        <v>6000</v>
      </c>
      <c r="K8" s="377" t="s">
        <v>751</v>
      </c>
      <c r="L8" s="344"/>
      <c r="M8" s="344"/>
      <c r="N8" s="344"/>
      <c r="O8" s="344"/>
      <c r="P8" s="344"/>
      <c r="Q8" s="344"/>
      <c r="R8" s="344"/>
      <c r="S8" s="344"/>
      <c r="T8" s="344"/>
      <c r="U8" s="344"/>
      <c r="V8" s="344"/>
      <c r="W8" s="344"/>
      <c r="X8" s="344"/>
      <c r="Y8" s="344"/>
      <c r="Z8" s="344"/>
    </row>
    <row r="9" spans="1:26" ht="14.25" customHeight="1">
      <c r="A9" s="361" t="s">
        <v>525</v>
      </c>
      <c r="B9" s="357">
        <v>10000</v>
      </c>
      <c r="C9" s="357" t="s">
        <v>749</v>
      </c>
      <c r="D9" s="357" t="s">
        <v>693</v>
      </c>
      <c r="E9" s="358">
        <v>0.4</v>
      </c>
      <c r="F9" s="358">
        <v>0.6</v>
      </c>
      <c r="G9" s="357" t="s">
        <v>569</v>
      </c>
      <c r="H9" s="358">
        <v>0.5</v>
      </c>
      <c r="I9" s="381" t="s">
        <v>745</v>
      </c>
      <c r="J9" s="382">
        <v>9000</v>
      </c>
      <c r="K9" s="377"/>
      <c r="L9" s="344"/>
      <c r="M9" s="344"/>
      <c r="N9" s="344"/>
      <c r="O9" s="344"/>
      <c r="P9" s="344"/>
      <c r="Q9" s="344"/>
      <c r="R9" s="344"/>
      <c r="S9" s="344"/>
      <c r="T9" s="344"/>
      <c r="U9" s="344"/>
      <c r="V9" s="344"/>
      <c r="W9" s="344"/>
      <c r="X9" s="344"/>
      <c r="Y9" s="344"/>
      <c r="Z9" s="344"/>
    </row>
    <row r="10" spans="1:26" ht="14.25" customHeight="1">
      <c r="A10" s="362" t="s">
        <v>526</v>
      </c>
      <c r="B10" s="357">
        <v>0</v>
      </c>
      <c r="C10" s="357" t="s">
        <v>567</v>
      </c>
      <c r="D10" s="357" t="s">
        <v>693</v>
      </c>
      <c r="E10" s="358">
        <v>0.1</v>
      </c>
      <c r="F10" s="358">
        <v>0.5</v>
      </c>
      <c r="G10" s="357" t="s">
        <v>569</v>
      </c>
      <c r="H10" s="358">
        <v>0.25</v>
      </c>
      <c r="I10" s="381" t="s">
        <v>745</v>
      </c>
      <c r="J10" s="382">
        <v>0</v>
      </c>
      <c r="K10" s="377"/>
      <c r="L10" s="344"/>
      <c r="M10" s="344"/>
      <c r="N10" s="344"/>
      <c r="O10" s="344"/>
      <c r="P10" s="344"/>
      <c r="Q10" s="344"/>
      <c r="R10" s="344"/>
      <c r="S10" s="344"/>
      <c r="T10" s="344"/>
      <c r="U10" s="344"/>
      <c r="V10" s="344"/>
      <c r="W10" s="344"/>
      <c r="X10" s="344"/>
      <c r="Y10" s="344"/>
      <c r="Z10" s="344"/>
    </row>
    <row r="11" spans="1:26" ht="14.25" customHeight="1">
      <c r="A11" s="362" t="s">
        <v>527</v>
      </c>
      <c r="B11" s="357">
        <v>0</v>
      </c>
      <c r="C11" s="357" t="s">
        <v>509</v>
      </c>
      <c r="D11" s="357" t="s">
        <v>693</v>
      </c>
      <c r="E11" s="358">
        <v>0.3</v>
      </c>
      <c r="F11" s="358">
        <v>0.5</v>
      </c>
      <c r="G11" s="357" t="s">
        <v>569</v>
      </c>
      <c r="H11" s="358">
        <v>0.4</v>
      </c>
      <c r="I11" s="381" t="s">
        <v>745</v>
      </c>
      <c r="J11" s="382">
        <v>0</v>
      </c>
      <c r="K11" s="377"/>
      <c r="L11" s="344"/>
      <c r="M11" s="344"/>
      <c r="N11" s="344"/>
      <c r="O11" s="344"/>
      <c r="P11" s="344"/>
      <c r="Q11" s="344"/>
      <c r="R11" s="344"/>
      <c r="S11" s="344"/>
      <c r="T11" s="344"/>
      <c r="U11" s="344"/>
      <c r="V11" s="344"/>
      <c r="W11" s="344"/>
      <c r="X11" s="344"/>
      <c r="Y11" s="344"/>
      <c r="Z11" s="344"/>
    </row>
    <row r="12" spans="1:26" ht="14.25" customHeight="1">
      <c r="A12" s="363"/>
      <c r="B12" s="363"/>
      <c r="C12" s="363"/>
      <c r="D12" s="363"/>
      <c r="E12" s="363"/>
      <c r="F12" s="363"/>
      <c r="G12" s="363"/>
      <c r="H12" s="363"/>
      <c r="I12" s="363"/>
      <c r="J12" s="363"/>
      <c r="K12" s="363"/>
    </row>
    <row r="13" spans="1:26" ht="14.25" customHeight="1">
      <c r="A13" s="364" t="s">
        <v>752</v>
      </c>
      <c r="B13" s="357">
        <v>6000</v>
      </c>
      <c r="C13" s="357"/>
      <c r="D13" s="357"/>
      <c r="E13" s="358"/>
      <c r="F13" s="358"/>
      <c r="G13" s="357"/>
      <c r="H13" s="358"/>
      <c r="I13" s="381"/>
      <c r="J13" s="385">
        <f>B13/21*15</f>
        <v>4285.7142857142862</v>
      </c>
      <c r="K13" s="386" t="s">
        <v>753</v>
      </c>
      <c r="L13" s="253"/>
      <c r="M13" s="253"/>
      <c r="N13" s="253"/>
      <c r="O13" s="253"/>
      <c r="P13" s="253"/>
      <c r="Q13" s="253"/>
      <c r="R13" s="253"/>
      <c r="S13" s="253"/>
      <c r="T13" s="253"/>
      <c r="U13" s="253"/>
      <c r="V13" s="253"/>
      <c r="W13" s="253"/>
      <c r="X13" s="253"/>
      <c r="Y13" s="253"/>
      <c r="Z13" s="253"/>
    </row>
    <row r="14" spans="1:26" ht="14.25" customHeight="1">
      <c r="A14" s="364" t="s">
        <v>169</v>
      </c>
      <c r="B14" s="357">
        <v>5000</v>
      </c>
      <c r="C14" s="357"/>
      <c r="D14" s="357"/>
      <c r="E14" s="358"/>
      <c r="F14" s="358"/>
      <c r="G14" s="357"/>
      <c r="H14" s="358"/>
      <c r="I14" s="381"/>
      <c r="J14" s="385">
        <v>5000</v>
      </c>
      <c r="K14" s="386" t="s">
        <v>754</v>
      </c>
      <c r="L14" s="253"/>
      <c r="M14" s="253"/>
      <c r="N14" s="253"/>
      <c r="O14" s="253"/>
      <c r="P14" s="253"/>
      <c r="Q14" s="253"/>
      <c r="R14" s="253"/>
      <c r="S14" s="253"/>
      <c r="T14" s="253"/>
      <c r="U14" s="253"/>
      <c r="V14" s="253"/>
      <c r="W14" s="253"/>
      <c r="X14" s="253"/>
      <c r="Y14" s="253"/>
      <c r="Z14" s="253"/>
    </row>
    <row r="15" spans="1:26" ht="14.25" customHeight="1">
      <c r="A15" s="364" t="s">
        <v>449</v>
      </c>
      <c r="B15" s="357">
        <v>5000</v>
      </c>
      <c r="C15" s="357"/>
      <c r="D15" s="357"/>
      <c r="E15" s="358"/>
      <c r="F15" s="358"/>
      <c r="G15" s="357"/>
      <c r="H15" s="358"/>
      <c r="I15" s="381"/>
      <c r="J15" s="385">
        <f>B15/21*13</f>
        <v>3095.2380952380954</v>
      </c>
      <c r="K15" s="386" t="s">
        <v>755</v>
      </c>
      <c r="L15" s="253"/>
      <c r="M15" s="253"/>
      <c r="N15" s="253"/>
      <c r="O15" s="253"/>
      <c r="P15" s="253"/>
      <c r="Q15" s="253"/>
      <c r="R15" s="253"/>
      <c r="S15" s="253"/>
      <c r="T15" s="253"/>
      <c r="U15" s="253"/>
      <c r="V15" s="253"/>
      <c r="W15" s="253"/>
      <c r="X15" s="253"/>
      <c r="Y15" s="253"/>
      <c r="Z15" s="253"/>
    </row>
    <row r="16" spans="1:26" ht="14.25" customHeight="1"/>
    <row r="17" spans="1:11" ht="14.25" customHeight="1"/>
    <row r="18" spans="1:11" ht="14.25" customHeight="1">
      <c r="A18" s="365"/>
      <c r="B18" s="366" t="s">
        <v>756</v>
      </c>
      <c r="K18" s="112"/>
    </row>
    <row r="19" spans="1:11" ht="14.25" customHeight="1">
      <c r="A19" s="367"/>
      <c r="B19" s="366" t="s">
        <v>757</v>
      </c>
      <c r="K19" s="112"/>
    </row>
    <row r="20" spans="1:11" ht="14.25" customHeight="1">
      <c r="A20" s="368"/>
      <c r="B20" s="366" t="s">
        <v>758</v>
      </c>
      <c r="K20" s="112"/>
    </row>
    <row r="21" spans="1:11" ht="14.25" customHeight="1">
      <c r="A21" s="369"/>
      <c r="B21" s="366" t="s">
        <v>759</v>
      </c>
      <c r="K21" s="112"/>
    </row>
    <row r="22" spans="1:11" ht="14.25" customHeight="1">
      <c r="A22" s="332"/>
      <c r="B22" s="332"/>
      <c r="C22" s="332"/>
      <c r="D22" s="332"/>
      <c r="E22" s="332"/>
      <c r="F22" s="332"/>
      <c r="G22" s="332"/>
      <c r="H22" s="332"/>
      <c r="I22" s="332"/>
      <c r="K22" s="112"/>
    </row>
    <row r="23" spans="1:11" ht="14.25" customHeight="1">
      <c r="I23" s="112"/>
      <c r="K23" s="112"/>
    </row>
    <row r="24" spans="1:11" ht="14.25" customHeight="1">
      <c r="A24" s="370" t="s">
        <v>488</v>
      </c>
      <c r="B24" s="371" t="s">
        <v>698</v>
      </c>
      <c r="C24" s="372" t="s">
        <v>699</v>
      </c>
      <c r="I24" s="112"/>
      <c r="K24" s="112"/>
    </row>
    <row r="25" spans="1:11" ht="14.25" customHeight="1">
      <c r="A25" s="373" t="s">
        <v>725</v>
      </c>
      <c r="B25" s="374" t="s">
        <v>760</v>
      </c>
      <c r="C25" s="375"/>
      <c r="I25" s="112"/>
      <c r="K25" s="112"/>
    </row>
    <row r="26" spans="1:11" ht="14.25" customHeight="1">
      <c r="A26" s="376" t="s">
        <v>727</v>
      </c>
      <c r="B26" s="374" t="s">
        <v>761</v>
      </c>
      <c r="C26" s="25"/>
      <c r="I26" s="112"/>
      <c r="K26" s="112"/>
    </row>
    <row r="27" spans="1:11" ht="14.25" customHeight="1">
      <c r="A27" s="86" t="s">
        <v>700</v>
      </c>
      <c r="B27" s="377" t="s">
        <v>762</v>
      </c>
      <c r="C27" s="25"/>
      <c r="I27" s="112"/>
      <c r="K27" s="112"/>
    </row>
    <row r="28" spans="1:11" ht="14.25" customHeight="1">
      <c r="A28" s="378" t="s">
        <v>730</v>
      </c>
      <c r="B28" s="377" t="s">
        <v>763</v>
      </c>
      <c r="C28" s="379"/>
      <c r="I28" s="112"/>
      <c r="K28" s="112"/>
    </row>
    <row r="29" spans="1:11" ht="14.25" customHeight="1">
      <c r="A29" s="25" t="s">
        <v>463</v>
      </c>
      <c r="B29" s="374" t="s">
        <v>764</v>
      </c>
      <c r="C29" s="25"/>
      <c r="I29" s="112"/>
      <c r="K29" s="112"/>
    </row>
    <row r="30" spans="1:11" ht="14.25" customHeight="1">
      <c r="A30" s="86" t="s">
        <v>305</v>
      </c>
      <c r="B30" s="374" t="s">
        <v>765</v>
      </c>
      <c r="C30" s="25"/>
      <c r="I30" s="112"/>
      <c r="K30" s="112"/>
    </row>
    <row r="31" spans="1:11" ht="14.25" customHeight="1">
      <c r="I31" s="112"/>
      <c r="K31" s="112"/>
    </row>
    <row r="32" spans="1:11" ht="14.25" customHeight="1">
      <c r="I32" s="112"/>
      <c r="K32" s="112"/>
    </row>
    <row r="33" spans="9:11" ht="14.25" customHeight="1">
      <c r="I33" s="112"/>
      <c r="K33" s="112"/>
    </row>
    <row r="34" spans="9:11" ht="14.25" customHeight="1">
      <c r="I34" s="112"/>
      <c r="K34" s="112"/>
    </row>
    <row r="35" spans="9:11" ht="14.25" customHeight="1">
      <c r="I35" s="112"/>
      <c r="K35" s="112"/>
    </row>
    <row r="36" spans="9:11" ht="14.25" customHeight="1">
      <c r="I36" s="112"/>
      <c r="K36" s="112"/>
    </row>
    <row r="37" spans="9:11" ht="14.25" customHeight="1">
      <c r="I37" s="112"/>
      <c r="K37" s="112"/>
    </row>
    <row r="38" spans="9:11" ht="14.25" customHeight="1">
      <c r="I38" s="112"/>
      <c r="K38" s="112"/>
    </row>
    <row r="39" spans="9:11" ht="14.25" customHeight="1">
      <c r="I39" s="112"/>
      <c r="K39" s="112"/>
    </row>
    <row r="40" spans="9:11" ht="14.25" customHeight="1">
      <c r="I40" s="112"/>
      <c r="K40" s="112"/>
    </row>
    <row r="41" spans="9:11" ht="14.25" customHeight="1">
      <c r="I41" s="112"/>
      <c r="K41" s="112"/>
    </row>
    <row r="42" spans="9:11" ht="14.25" customHeight="1">
      <c r="I42" s="112"/>
      <c r="K42" s="112"/>
    </row>
    <row r="43" spans="9:11" ht="14.25" customHeight="1">
      <c r="I43" s="112"/>
      <c r="K43" s="112"/>
    </row>
    <row r="44" spans="9:11" ht="14.25" customHeight="1">
      <c r="I44" s="112"/>
      <c r="K44" s="112"/>
    </row>
    <row r="45" spans="9:11" ht="14.25" customHeight="1">
      <c r="I45" s="112"/>
      <c r="K45" s="112"/>
    </row>
    <row r="46" spans="9:11" ht="14.25" customHeight="1">
      <c r="I46" s="112"/>
      <c r="K46" s="112"/>
    </row>
    <row r="47" spans="9:11" ht="14.25" customHeight="1">
      <c r="I47" s="112"/>
      <c r="K47" s="112"/>
    </row>
    <row r="48" spans="9:11" ht="14.25" customHeight="1">
      <c r="I48" s="112"/>
      <c r="K48" s="112"/>
    </row>
    <row r="49" spans="9:11" ht="14.25" customHeight="1">
      <c r="I49" s="112"/>
      <c r="K49" s="112"/>
    </row>
    <row r="50" spans="9:11" ht="14.25" customHeight="1">
      <c r="I50" s="112"/>
      <c r="K50" s="112"/>
    </row>
    <row r="51" spans="9:11" ht="14.25" customHeight="1">
      <c r="I51" s="112"/>
      <c r="K51" s="112"/>
    </row>
    <row r="52" spans="9:11" ht="14.25" customHeight="1">
      <c r="I52" s="112"/>
      <c r="K52" s="112"/>
    </row>
    <row r="53" spans="9:11" ht="14.25" customHeight="1">
      <c r="I53" s="112"/>
      <c r="K53" s="112"/>
    </row>
    <row r="54" spans="9:11" ht="14.25" customHeight="1">
      <c r="I54" s="112"/>
      <c r="K54" s="112"/>
    </row>
    <row r="55" spans="9:11" ht="14.25" customHeight="1">
      <c r="I55" s="112"/>
      <c r="K55" s="112"/>
    </row>
    <row r="56" spans="9:11" ht="14.25" customHeight="1">
      <c r="I56" s="112"/>
      <c r="K56" s="112"/>
    </row>
    <row r="57" spans="9:11" ht="14.25" customHeight="1">
      <c r="I57" s="112"/>
      <c r="K57" s="112"/>
    </row>
    <row r="58" spans="9:11" ht="14.25" customHeight="1">
      <c r="I58" s="112"/>
      <c r="K58" s="112"/>
    </row>
    <row r="59" spans="9:11" ht="14.25" customHeight="1">
      <c r="I59" s="112"/>
      <c r="K59" s="112"/>
    </row>
    <row r="60" spans="9:11" ht="14.25" customHeight="1">
      <c r="I60" s="112"/>
      <c r="K60" s="112"/>
    </row>
    <row r="61" spans="9:11" ht="14.25" customHeight="1">
      <c r="I61" s="112"/>
      <c r="K61" s="112"/>
    </row>
    <row r="62" spans="9:11" ht="14.25" customHeight="1">
      <c r="I62" s="112"/>
      <c r="K62" s="112"/>
    </row>
    <row r="63" spans="9:11" ht="14.25" customHeight="1">
      <c r="I63" s="112"/>
      <c r="K63" s="112"/>
    </row>
    <row r="64" spans="9:11" ht="14.25" customHeight="1">
      <c r="I64" s="112"/>
      <c r="K64" s="112"/>
    </row>
    <row r="65" spans="9:11" ht="14.25" customHeight="1">
      <c r="I65" s="112"/>
      <c r="K65" s="112"/>
    </row>
    <row r="66" spans="9:11" ht="14.25" customHeight="1">
      <c r="I66" s="112"/>
      <c r="K66" s="112"/>
    </row>
    <row r="67" spans="9:11" ht="14.25" customHeight="1">
      <c r="I67" s="112"/>
      <c r="K67" s="112"/>
    </row>
    <row r="68" spans="9:11" ht="14.25" customHeight="1">
      <c r="I68" s="112"/>
      <c r="K68" s="112"/>
    </row>
    <row r="69" spans="9:11" ht="14.25" customHeight="1">
      <c r="I69" s="112"/>
      <c r="K69" s="112"/>
    </row>
    <row r="70" spans="9:11" ht="14.25" customHeight="1">
      <c r="I70" s="112"/>
      <c r="K70" s="112"/>
    </row>
    <row r="71" spans="9:11" ht="14.25" customHeight="1">
      <c r="I71" s="112"/>
      <c r="K71" s="112"/>
    </row>
    <row r="72" spans="9:11" ht="14.25" customHeight="1">
      <c r="I72" s="112"/>
      <c r="K72" s="112"/>
    </row>
    <row r="73" spans="9:11" ht="14.25" customHeight="1">
      <c r="I73" s="112"/>
      <c r="K73" s="112"/>
    </row>
    <row r="74" spans="9:11" ht="14.25" customHeight="1">
      <c r="I74" s="112"/>
      <c r="K74" s="112"/>
    </row>
    <row r="75" spans="9:11" ht="14.25" customHeight="1">
      <c r="I75" s="112"/>
      <c r="K75" s="112"/>
    </row>
    <row r="76" spans="9:11" ht="14.25" customHeight="1">
      <c r="I76" s="112"/>
      <c r="K76" s="112"/>
    </row>
    <row r="77" spans="9:11" ht="14.25" customHeight="1">
      <c r="I77" s="112"/>
      <c r="K77" s="112"/>
    </row>
    <row r="78" spans="9:11" ht="14.25" customHeight="1">
      <c r="I78" s="112"/>
      <c r="K78" s="112"/>
    </row>
    <row r="79" spans="9:11" ht="14.25" customHeight="1">
      <c r="I79" s="112"/>
      <c r="K79" s="112"/>
    </row>
    <row r="80" spans="9:11" ht="14.25" customHeight="1">
      <c r="I80" s="112"/>
      <c r="K80" s="112"/>
    </row>
    <row r="81" spans="9:11" ht="14.25" customHeight="1">
      <c r="I81" s="112"/>
      <c r="K81" s="112"/>
    </row>
    <row r="82" spans="9:11" ht="14.25" customHeight="1">
      <c r="I82" s="112"/>
      <c r="K82" s="112"/>
    </row>
    <row r="83" spans="9:11" ht="14.25" customHeight="1">
      <c r="I83" s="112"/>
      <c r="K83" s="112"/>
    </row>
    <row r="84" spans="9:11" ht="14.25" customHeight="1">
      <c r="I84" s="112"/>
      <c r="K84" s="112"/>
    </row>
    <row r="85" spans="9:11" ht="14.25" customHeight="1">
      <c r="I85" s="112"/>
      <c r="K85" s="112"/>
    </row>
    <row r="86" spans="9:11" ht="14.25" customHeight="1">
      <c r="I86" s="112"/>
      <c r="K86" s="112"/>
    </row>
    <row r="87" spans="9:11" ht="14.25" customHeight="1">
      <c r="I87" s="112"/>
      <c r="K87" s="112"/>
    </row>
    <row r="88" spans="9:11" ht="14.25" customHeight="1">
      <c r="I88" s="112"/>
      <c r="K88" s="112"/>
    </row>
    <row r="89" spans="9:11" ht="14.25" customHeight="1">
      <c r="I89" s="112"/>
      <c r="K89" s="112"/>
    </row>
    <row r="90" spans="9:11" ht="14.25" customHeight="1">
      <c r="I90" s="112"/>
      <c r="K90" s="112"/>
    </row>
    <row r="91" spans="9:11" ht="14.25" customHeight="1">
      <c r="I91" s="112"/>
      <c r="K91" s="112"/>
    </row>
    <row r="92" spans="9:11" ht="14.25" customHeight="1">
      <c r="I92" s="112"/>
      <c r="K92" s="112"/>
    </row>
    <row r="93" spans="9:11" ht="14.25" customHeight="1">
      <c r="I93" s="112"/>
      <c r="K93" s="112"/>
    </row>
    <row r="94" spans="9:11" ht="14.25" customHeight="1">
      <c r="I94" s="112"/>
      <c r="K94" s="112"/>
    </row>
    <row r="95" spans="9:11" ht="14.25" customHeight="1">
      <c r="I95" s="112"/>
      <c r="K95" s="112"/>
    </row>
    <row r="96" spans="9:11" ht="14.25" customHeight="1">
      <c r="I96" s="112"/>
      <c r="K96" s="112"/>
    </row>
    <row r="97" spans="9:11" ht="14.25" customHeight="1">
      <c r="I97" s="112"/>
      <c r="K97" s="112"/>
    </row>
    <row r="98" spans="9:11" ht="14.25" customHeight="1">
      <c r="I98" s="112"/>
      <c r="K98" s="112"/>
    </row>
    <row r="99" spans="9:11" ht="14.25" customHeight="1">
      <c r="I99" s="112"/>
      <c r="K99" s="112"/>
    </row>
    <row r="100" spans="9:11" ht="14.25" customHeight="1">
      <c r="I100" s="112"/>
      <c r="K100" s="112"/>
    </row>
    <row r="101" spans="9:11" ht="14.25" customHeight="1">
      <c r="I101" s="112"/>
      <c r="K101" s="112"/>
    </row>
    <row r="102" spans="9:11" ht="14.25" customHeight="1">
      <c r="I102" s="112"/>
      <c r="K102" s="112"/>
    </row>
    <row r="103" spans="9:11" ht="14.25" customHeight="1">
      <c r="I103" s="112"/>
      <c r="K103" s="112"/>
    </row>
    <row r="104" spans="9:11" ht="14.25" customHeight="1">
      <c r="I104" s="112"/>
      <c r="K104" s="112"/>
    </row>
    <row r="105" spans="9:11" ht="14.25" customHeight="1">
      <c r="I105" s="112"/>
      <c r="K105" s="112"/>
    </row>
    <row r="106" spans="9:11" ht="14.25" customHeight="1">
      <c r="I106" s="112"/>
      <c r="K106" s="112"/>
    </row>
    <row r="107" spans="9:11" ht="14.25" customHeight="1">
      <c r="I107" s="112"/>
      <c r="K107" s="112"/>
    </row>
    <row r="108" spans="9:11" ht="14.25" customHeight="1">
      <c r="I108" s="112"/>
      <c r="K108" s="112"/>
    </row>
    <row r="109" spans="9:11" ht="14.25" customHeight="1">
      <c r="I109" s="112"/>
      <c r="K109" s="112"/>
    </row>
    <row r="110" spans="9:11" ht="14.25" customHeight="1">
      <c r="I110" s="112"/>
      <c r="K110" s="112"/>
    </row>
    <row r="111" spans="9:11" ht="14.25" customHeight="1">
      <c r="I111" s="112"/>
      <c r="K111" s="112"/>
    </row>
    <row r="112" spans="9:11" ht="14.25" customHeight="1">
      <c r="I112" s="112"/>
      <c r="K112" s="112"/>
    </row>
    <row r="113" spans="9:11" ht="14.25" customHeight="1">
      <c r="I113" s="112"/>
      <c r="K113" s="112"/>
    </row>
    <row r="114" spans="9:11" ht="14.25" customHeight="1">
      <c r="I114" s="112"/>
      <c r="K114" s="112"/>
    </row>
    <row r="115" spans="9:11" ht="14.25" customHeight="1">
      <c r="I115" s="112"/>
      <c r="K115" s="112"/>
    </row>
    <row r="116" spans="9:11" ht="14.25" customHeight="1">
      <c r="I116" s="112"/>
      <c r="K116" s="112"/>
    </row>
    <row r="117" spans="9:11" ht="14.25" customHeight="1">
      <c r="I117" s="112"/>
      <c r="K117" s="112"/>
    </row>
    <row r="118" spans="9:11" ht="14.25" customHeight="1">
      <c r="I118" s="112"/>
      <c r="K118" s="112"/>
    </row>
    <row r="119" spans="9:11" ht="14.25" customHeight="1">
      <c r="I119" s="112"/>
      <c r="K119" s="112"/>
    </row>
    <row r="120" spans="9:11" ht="14.25" customHeight="1">
      <c r="I120" s="112"/>
      <c r="K120" s="112"/>
    </row>
    <row r="121" spans="9:11" ht="14.25" customHeight="1">
      <c r="I121" s="112"/>
      <c r="K121" s="112"/>
    </row>
    <row r="122" spans="9:11" ht="14.25" customHeight="1">
      <c r="I122" s="112"/>
      <c r="K122" s="112"/>
    </row>
    <row r="123" spans="9:11" ht="14.25" customHeight="1">
      <c r="I123" s="112"/>
      <c r="K123" s="112"/>
    </row>
    <row r="124" spans="9:11" ht="14.25" customHeight="1">
      <c r="I124" s="112"/>
      <c r="K124" s="112"/>
    </row>
    <row r="125" spans="9:11" ht="14.25" customHeight="1">
      <c r="I125" s="112"/>
      <c r="K125" s="112"/>
    </row>
    <row r="126" spans="9:11" ht="14.25" customHeight="1">
      <c r="I126" s="112"/>
      <c r="K126" s="112"/>
    </row>
    <row r="127" spans="9:11" ht="14.25" customHeight="1">
      <c r="I127" s="112"/>
      <c r="K127" s="112"/>
    </row>
    <row r="128" spans="9:11" ht="14.25" customHeight="1">
      <c r="I128" s="112"/>
      <c r="K128" s="112"/>
    </row>
    <row r="129" spans="9:11" ht="14.25" customHeight="1">
      <c r="I129" s="112"/>
      <c r="K129" s="112"/>
    </row>
    <row r="130" spans="9:11" ht="14.25" customHeight="1">
      <c r="I130" s="112"/>
      <c r="K130" s="112"/>
    </row>
    <row r="131" spans="9:11" ht="14.25" customHeight="1">
      <c r="I131" s="112"/>
      <c r="K131" s="112"/>
    </row>
    <row r="132" spans="9:11" ht="14.25" customHeight="1">
      <c r="I132" s="112"/>
      <c r="K132" s="112"/>
    </row>
    <row r="133" spans="9:11" ht="14.25" customHeight="1">
      <c r="I133" s="112"/>
      <c r="K133" s="112"/>
    </row>
    <row r="134" spans="9:11" ht="14.25" customHeight="1">
      <c r="I134" s="112"/>
      <c r="K134" s="112"/>
    </row>
    <row r="135" spans="9:11" ht="14.25" customHeight="1">
      <c r="I135" s="112"/>
      <c r="K135" s="112"/>
    </row>
    <row r="136" spans="9:11" ht="14.25" customHeight="1">
      <c r="I136" s="112"/>
      <c r="K136" s="112"/>
    </row>
    <row r="137" spans="9:11" ht="14.25" customHeight="1">
      <c r="I137" s="112"/>
      <c r="K137" s="112"/>
    </row>
    <row r="138" spans="9:11" ht="14.25" customHeight="1">
      <c r="I138" s="112"/>
      <c r="K138" s="112"/>
    </row>
    <row r="139" spans="9:11" ht="14.25" customHeight="1">
      <c r="I139" s="112"/>
      <c r="K139" s="112"/>
    </row>
    <row r="140" spans="9:11" ht="14.25" customHeight="1">
      <c r="I140" s="112"/>
      <c r="K140" s="112"/>
    </row>
    <row r="141" spans="9:11" ht="14.25" customHeight="1">
      <c r="I141" s="112"/>
      <c r="K141" s="112"/>
    </row>
    <row r="142" spans="9:11" ht="14.25" customHeight="1">
      <c r="I142" s="112"/>
      <c r="K142" s="112"/>
    </row>
    <row r="143" spans="9:11" ht="14.25" customHeight="1">
      <c r="I143" s="112"/>
      <c r="K143" s="112"/>
    </row>
    <row r="144" spans="9:11" ht="14.25" customHeight="1">
      <c r="I144" s="112"/>
      <c r="K144" s="112"/>
    </row>
    <row r="145" spans="9:11" ht="14.25" customHeight="1">
      <c r="I145" s="112"/>
      <c r="K145" s="112"/>
    </row>
    <row r="146" spans="9:11" ht="14.25" customHeight="1">
      <c r="I146" s="112"/>
      <c r="K146" s="112"/>
    </row>
    <row r="147" spans="9:11" ht="14.25" customHeight="1">
      <c r="I147" s="112"/>
      <c r="K147" s="112"/>
    </row>
    <row r="148" spans="9:11" ht="14.25" customHeight="1">
      <c r="I148" s="112"/>
      <c r="K148" s="112"/>
    </row>
    <row r="149" spans="9:11" ht="14.25" customHeight="1">
      <c r="I149" s="112"/>
      <c r="K149" s="112"/>
    </row>
    <row r="150" spans="9:11" ht="14.25" customHeight="1">
      <c r="I150" s="112"/>
      <c r="K150" s="112"/>
    </row>
    <row r="151" spans="9:11" ht="14.25" customHeight="1">
      <c r="I151" s="112"/>
      <c r="K151" s="112"/>
    </row>
    <row r="152" spans="9:11" ht="14.25" customHeight="1">
      <c r="I152" s="112"/>
      <c r="K152" s="112"/>
    </row>
    <row r="153" spans="9:11" ht="14.25" customHeight="1">
      <c r="I153" s="112"/>
      <c r="K153" s="112"/>
    </row>
    <row r="154" spans="9:11" ht="14.25" customHeight="1">
      <c r="I154" s="112"/>
      <c r="K154" s="112"/>
    </row>
    <row r="155" spans="9:11" ht="14.25" customHeight="1">
      <c r="I155" s="112"/>
      <c r="K155" s="112"/>
    </row>
    <row r="156" spans="9:11" ht="14.25" customHeight="1">
      <c r="I156" s="112"/>
      <c r="K156" s="112"/>
    </row>
    <row r="157" spans="9:11" ht="14.25" customHeight="1">
      <c r="I157" s="112"/>
      <c r="K157" s="112"/>
    </row>
    <row r="158" spans="9:11" ht="14.25" customHeight="1">
      <c r="I158" s="112"/>
      <c r="K158" s="112"/>
    </row>
    <row r="159" spans="9:11" ht="14.25" customHeight="1">
      <c r="I159" s="112"/>
      <c r="K159" s="112"/>
    </row>
    <row r="160" spans="9:11" ht="14.25" customHeight="1">
      <c r="I160" s="112"/>
      <c r="K160" s="112"/>
    </row>
    <row r="161" spans="9:11" ht="14.25" customHeight="1">
      <c r="I161" s="112"/>
      <c r="K161" s="112"/>
    </row>
    <row r="162" spans="9:11" ht="14.25" customHeight="1">
      <c r="I162" s="112"/>
      <c r="K162" s="112"/>
    </row>
    <row r="163" spans="9:11" ht="14.25" customHeight="1">
      <c r="I163" s="112"/>
      <c r="K163" s="112"/>
    </row>
    <row r="164" spans="9:11" ht="14.25" customHeight="1">
      <c r="I164" s="112"/>
      <c r="K164" s="112"/>
    </row>
    <row r="165" spans="9:11" ht="14.25" customHeight="1">
      <c r="I165" s="112"/>
      <c r="K165" s="112"/>
    </row>
    <row r="166" spans="9:11" ht="14.25" customHeight="1">
      <c r="I166" s="112"/>
      <c r="K166" s="112"/>
    </row>
    <row r="167" spans="9:11" ht="14.25" customHeight="1">
      <c r="I167" s="112"/>
      <c r="K167" s="112"/>
    </row>
    <row r="168" spans="9:11" ht="14.25" customHeight="1">
      <c r="I168" s="112"/>
      <c r="K168" s="112"/>
    </row>
    <row r="169" spans="9:11" ht="14.25" customHeight="1">
      <c r="I169" s="112"/>
      <c r="K169" s="112"/>
    </row>
    <row r="170" spans="9:11" ht="14.25" customHeight="1">
      <c r="I170" s="112"/>
      <c r="K170" s="112"/>
    </row>
    <row r="171" spans="9:11" ht="14.25" customHeight="1">
      <c r="I171" s="112"/>
      <c r="K171" s="112"/>
    </row>
    <row r="172" spans="9:11" ht="14.25" customHeight="1">
      <c r="I172" s="112"/>
      <c r="K172" s="112"/>
    </row>
    <row r="173" spans="9:11" ht="14.25" customHeight="1">
      <c r="I173" s="112"/>
      <c r="K173" s="112"/>
    </row>
    <row r="174" spans="9:11" ht="14.25" customHeight="1">
      <c r="I174" s="112"/>
      <c r="K174" s="112"/>
    </row>
    <row r="175" spans="9:11" ht="14.25" customHeight="1">
      <c r="I175" s="112"/>
      <c r="K175" s="112"/>
    </row>
    <row r="176" spans="9:11" ht="14.25" customHeight="1">
      <c r="I176" s="112"/>
      <c r="K176" s="112"/>
    </row>
    <row r="177" spans="9:11" ht="14.25" customHeight="1">
      <c r="I177" s="112"/>
      <c r="K177" s="112"/>
    </row>
    <row r="178" spans="9:11" ht="14.25" customHeight="1">
      <c r="I178" s="112"/>
      <c r="K178" s="112"/>
    </row>
    <row r="179" spans="9:11" ht="14.25" customHeight="1">
      <c r="I179" s="112"/>
      <c r="K179" s="112"/>
    </row>
    <row r="180" spans="9:11" ht="14.25" customHeight="1">
      <c r="I180" s="112"/>
      <c r="K180" s="112"/>
    </row>
    <row r="181" spans="9:11" ht="14.25" customHeight="1">
      <c r="I181" s="112"/>
      <c r="K181" s="112"/>
    </row>
    <row r="182" spans="9:11" ht="14.25" customHeight="1">
      <c r="I182" s="112"/>
      <c r="K182" s="112"/>
    </row>
    <row r="183" spans="9:11" ht="14.25" customHeight="1">
      <c r="I183" s="112"/>
      <c r="K183" s="112"/>
    </row>
    <row r="184" spans="9:11" ht="14.25" customHeight="1">
      <c r="I184" s="112"/>
      <c r="K184" s="112"/>
    </row>
    <row r="185" spans="9:11" ht="14.25" customHeight="1">
      <c r="I185" s="112"/>
      <c r="K185" s="112"/>
    </row>
    <row r="186" spans="9:11" ht="14.25" customHeight="1">
      <c r="I186" s="112"/>
      <c r="K186" s="112"/>
    </row>
    <row r="187" spans="9:11" ht="14.25" customHeight="1">
      <c r="I187" s="112"/>
      <c r="K187" s="112"/>
    </row>
    <row r="188" spans="9:11" ht="14.25" customHeight="1">
      <c r="I188" s="112"/>
      <c r="K188" s="112"/>
    </row>
    <row r="189" spans="9:11" ht="14.25" customHeight="1">
      <c r="I189" s="112"/>
      <c r="K189" s="112"/>
    </row>
    <row r="190" spans="9:11" ht="14.25" customHeight="1">
      <c r="I190" s="112"/>
      <c r="K190" s="112"/>
    </row>
    <row r="191" spans="9:11" ht="14.25" customHeight="1">
      <c r="I191" s="112"/>
      <c r="K191" s="112"/>
    </row>
    <row r="192" spans="9:11" ht="14.25" customHeight="1">
      <c r="I192" s="112"/>
      <c r="K192" s="112"/>
    </row>
    <row r="193" spans="9:11" ht="14.25" customHeight="1">
      <c r="I193" s="112"/>
      <c r="K193" s="112"/>
    </row>
    <row r="194" spans="9:11" ht="14.25" customHeight="1">
      <c r="I194" s="112"/>
      <c r="K194" s="112"/>
    </row>
    <row r="195" spans="9:11" ht="14.25" customHeight="1">
      <c r="I195" s="112"/>
      <c r="K195" s="112"/>
    </row>
    <row r="196" spans="9:11" ht="14.25" customHeight="1">
      <c r="I196" s="112"/>
      <c r="K196" s="112"/>
    </row>
    <row r="197" spans="9:11" ht="14.25" customHeight="1">
      <c r="I197" s="112"/>
      <c r="K197" s="112"/>
    </row>
    <row r="198" spans="9:11" ht="14.25" customHeight="1">
      <c r="I198" s="112"/>
      <c r="K198" s="112"/>
    </row>
    <row r="199" spans="9:11" ht="14.25" customHeight="1">
      <c r="I199" s="112"/>
      <c r="K199" s="112"/>
    </row>
    <row r="200" spans="9:11" ht="14.25" customHeight="1">
      <c r="I200" s="112"/>
      <c r="K200" s="112"/>
    </row>
    <row r="201" spans="9:11" ht="14.25" customHeight="1">
      <c r="I201" s="112"/>
      <c r="K201" s="112"/>
    </row>
    <row r="202" spans="9:11" ht="14.25" customHeight="1">
      <c r="I202" s="112"/>
      <c r="K202" s="112"/>
    </row>
    <row r="203" spans="9:11" ht="14.25" customHeight="1">
      <c r="I203" s="112"/>
      <c r="K203" s="112"/>
    </row>
    <row r="204" spans="9:11" ht="14.25" customHeight="1">
      <c r="I204" s="112"/>
      <c r="K204" s="112"/>
    </row>
    <row r="205" spans="9:11" ht="14.25" customHeight="1">
      <c r="I205" s="112"/>
      <c r="K205" s="112"/>
    </row>
    <row r="206" spans="9:11" ht="14.25" customHeight="1">
      <c r="I206" s="112"/>
      <c r="K206" s="112"/>
    </row>
    <row r="207" spans="9:11" ht="14.25" customHeight="1">
      <c r="I207" s="112"/>
      <c r="K207" s="112"/>
    </row>
    <row r="208" spans="9:11" ht="14.25" customHeight="1">
      <c r="I208" s="112"/>
      <c r="K208" s="112"/>
    </row>
    <row r="209" spans="9:11" ht="14.25" customHeight="1">
      <c r="I209" s="112"/>
      <c r="K209" s="112"/>
    </row>
    <row r="210" spans="9:11" ht="14.25" customHeight="1">
      <c r="I210" s="112"/>
      <c r="K210" s="112"/>
    </row>
    <row r="211" spans="9:11" ht="14.25" customHeight="1">
      <c r="I211" s="112"/>
      <c r="K211" s="112"/>
    </row>
    <row r="212" spans="9:11" ht="14.25" customHeight="1">
      <c r="I212" s="112"/>
      <c r="K212" s="112"/>
    </row>
    <row r="213" spans="9:11" ht="14.25" customHeight="1">
      <c r="I213" s="112"/>
      <c r="K213" s="112"/>
    </row>
    <row r="214" spans="9:11" ht="14.25" customHeight="1">
      <c r="I214" s="112"/>
      <c r="K214" s="112"/>
    </row>
    <row r="215" spans="9:11" ht="14.25" customHeight="1">
      <c r="I215" s="112"/>
      <c r="K215" s="112"/>
    </row>
    <row r="216" spans="9:11" ht="14.25" customHeight="1">
      <c r="I216" s="112"/>
      <c r="K216" s="112"/>
    </row>
    <row r="217" spans="9:11" ht="14.25" customHeight="1">
      <c r="I217" s="112"/>
      <c r="K217" s="112"/>
    </row>
    <row r="218" spans="9:11" ht="14.25" customHeight="1">
      <c r="I218" s="112"/>
      <c r="K218" s="112"/>
    </row>
    <row r="219" spans="9:11" ht="14.25" customHeight="1">
      <c r="I219" s="112"/>
      <c r="K219" s="112"/>
    </row>
    <row r="220" spans="9:11" ht="14.25" customHeight="1">
      <c r="I220" s="112"/>
      <c r="K220" s="112"/>
    </row>
    <row r="221" spans="9:11" ht="14.25" customHeight="1">
      <c r="I221" s="112"/>
      <c r="K221" s="112"/>
    </row>
    <row r="222" spans="9:11" ht="14.25" customHeight="1">
      <c r="I222" s="112"/>
      <c r="K222" s="112"/>
    </row>
    <row r="223" spans="9:11" ht="14.25" customHeight="1">
      <c r="I223" s="112"/>
      <c r="K223" s="112"/>
    </row>
    <row r="224" spans="9:11" ht="14.25" customHeight="1">
      <c r="I224" s="112"/>
      <c r="K224" s="112"/>
    </row>
    <row r="225" spans="9:11" ht="14.25" customHeight="1">
      <c r="I225" s="112"/>
      <c r="K225" s="112"/>
    </row>
    <row r="226" spans="9:11" ht="14.25" customHeight="1">
      <c r="I226" s="112"/>
      <c r="K226" s="112"/>
    </row>
    <row r="227" spans="9:11" ht="14.25" customHeight="1">
      <c r="I227" s="112"/>
      <c r="K227" s="112"/>
    </row>
    <row r="228" spans="9:11" ht="14.25" customHeight="1">
      <c r="I228" s="112"/>
      <c r="K228" s="112"/>
    </row>
    <row r="229" spans="9:11" ht="14.25" customHeight="1">
      <c r="I229" s="112"/>
      <c r="K229" s="112"/>
    </row>
    <row r="230" spans="9:11" ht="14.25" customHeight="1">
      <c r="I230" s="112"/>
      <c r="K230" s="112"/>
    </row>
    <row r="231" spans="9:11" ht="15.75" customHeight="1"/>
    <row r="232" spans="9:11" ht="15.75" customHeight="1"/>
    <row r="233" spans="9:11" ht="15.75" customHeight="1"/>
    <row r="234" spans="9:11" ht="15.75" customHeight="1"/>
    <row r="235" spans="9:11" ht="15.75" customHeight="1"/>
    <row r="236" spans="9:11" ht="15.75" customHeight="1"/>
    <row r="237" spans="9:11" ht="15.75" customHeight="1"/>
    <row r="238" spans="9:11" ht="15.75" customHeight="1"/>
    <row r="239" spans="9:11" ht="15.75" customHeight="1"/>
    <row r="240" spans="9:1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pane xSplit="3" ySplit="1" topLeftCell="D2" activePane="bottomRight" state="frozen"/>
      <selection pane="topRight"/>
      <selection pane="bottomLeft"/>
      <selection pane="bottomRight" activeCell="D2" sqref="D2"/>
    </sheetView>
  </sheetViews>
  <sheetFormatPr defaultColWidth="12.59765625" defaultRowHeight="15" customHeight="1"/>
  <cols>
    <col min="1" max="2" width="15" customWidth="1"/>
    <col min="3" max="3" width="39.59765625" customWidth="1"/>
    <col min="4" max="4" width="18.5" customWidth="1"/>
    <col min="5" max="5" width="24" customWidth="1"/>
    <col min="6" max="6" width="10" customWidth="1"/>
    <col min="7" max="7" width="21.5" customWidth="1"/>
    <col min="8" max="8" width="18.09765625" customWidth="1"/>
    <col min="9" max="9" width="25.69921875" customWidth="1"/>
    <col min="10" max="10" width="95.3984375" customWidth="1"/>
    <col min="11" max="26" width="8.59765625" customWidth="1"/>
  </cols>
  <sheetData>
    <row r="1" spans="1:26" ht="14.25" customHeight="1">
      <c r="A1" s="315" t="s">
        <v>537</v>
      </c>
      <c r="B1" s="315" t="s">
        <v>489</v>
      </c>
      <c r="C1" s="315" t="s">
        <v>538</v>
      </c>
      <c r="D1" s="315" t="s">
        <v>539</v>
      </c>
      <c r="E1" s="315" t="s">
        <v>712</v>
      </c>
      <c r="F1" s="315" t="s">
        <v>766</v>
      </c>
      <c r="G1" s="315" t="s">
        <v>565</v>
      </c>
      <c r="H1" s="315" t="s">
        <v>767</v>
      </c>
      <c r="I1" s="315" t="s">
        <v>768</v>
      </c>
      <c r="J1" s="315" t="s">
        <v>739</v>
      </c>
    </row>
    <row r="2" spans="1:26" ht="14.25" customHeight="1">
      <c r="A2" s="316" t="s">
        <v>228</v>
      </c>
      <c r="B2" s="34">
        <v>10000</v>
      </c>
      <c r="C2" s="34" t="s">
        <v>740</v>
      </c>
      <c r="D2" s="34" t="s">
        <v>568</v>
      </c>
      <c r="E2" s="317">
        <v>0.5</v>
      </c>
      <c r="F2" s="317">
        <v>0.5</v>
      </c>
      <c r="G2" s="34" t="s">
        <v>769</v>
      </c>
      <c r="H2" s="317">
        <v>0.5</v>
      </c>
      <c r="I2" s="323">
        <v>10000</v>
      </c>
      <c r="J2" s="353" t="s">
        <v>770</v>
      </c>
    </row>
    <row r="3" spans="1:26" ht="14.25" customHeight="1">
      <c r="A3" s="318" t="s">
        <v>522</v>
      </c>
      <c r="B3" s="34">
        <v>10000</v>
      </c>
      <c r="C3" s="319" t="s">
        <v>567</v>
      </c>
      <c r="D3" s="319" t="s">
        <v>568</v>
      </c>
      <c r="E3" s="320"/>
      <c r="F3" s="321">
        <v>0</v>
      </c>
      <c r="G3" s="320"/>
      <c r="H3" s="321">
        <v>0.6</v>
      </c>
      <c r="I3" s="320">
        <v>8000</v>
      </c>
      <c r="J3" s="319" t="s">
        <v>771</v>
      </c>
      <c r="K3" s="297"/>
      <c r="L3" s="297"/>
      <c r="M3" s="297"/>
      <c r="N3" s="297"/>
      <c r="O3" s="297"/>
      <c r="P3" s="297"/>
      <c r="Q3" s="297"/>
      <c r="R3" s="297"/>
      <c r="S3" s="297"/>
      <c r="T3" s="297"/>
      <c r="U3" s="297"/>
      <c r="V3" s="297"/>
      <c r="W3" s="297"/>
      <c r="X3" s="297"/>
      <c r="Y3" s="297"/>
      <c r="Z3" s="297"/>
    </row>
    <row r="4" spans="1:26" ht="14.25" customHeight="1">
      <c r="A4" s="322" t="s">
        <v>303</v>
      </c>
      <c r="B4" s="34">
        <v>10000</v>
      </c>
      <c r="C4" s="34" t="s">
        <v>509</v>
      </c>
      <c r="D4" s="34" t="s">
        <v>568</v>
      </c>
      <c r="E4" s="323"/>
      <c r="F4" s="317">
        <v>0.7</v>
      </c>
      <c r="G4" s="323"/>
      <c r="H4" s="317">
        <v>0.6</v>
      </c>
      <c r="I4" s="323">
        <v>8000</v>
      </c>
      <c r="J4" s="34" t="s">
        <v>772</v>
      </c>
    </row>
    <row r="5" spans="1:26" ht="14.25" customHeight="1">
      <c r="A5" s="322" t="s">
        <v>523</v>
      </c>
      <c r="B5" s="34">
        <v>10000</v>
      </c>
      <c r="C5" s="34" t="s">
        <v>301</v>
      </c>
      <c r="D5" s="34" t="s">
        <v>568</v>
      </c>
      <c r="E5" s="317">
        <v>0.5</v>
      </c>
      <c r="F5" s="317">
        <v>0.5</v>
      </c>
      <c r="G5" s="323"/>
      <c r="H5" s="317">
        <v>0.5</v>
      </c>
      <c r="I5" s="354" t="s">
        <v>773</v>
      </c>
      <c r="J5" s="34" t="s">
        <v>774</v>
      </c>
    </row>
    <row r="6" spans="1:26" ht="14.25" customHeight="1">
      <c r="A6" s="324" t="s">
        <v>259</v>
      </c>
      <c r="B6" s="34">
        <v>10000</v>
      </c>
      <c r="C6" s="34" t="s">
        <v>749</v>
      </c>
      <c r="D6" s="34" t="s">
        <v>568</v>
      </c>
      <c r="E6" s="323"/>
      <c r="F6" s="317">
        <v>0.7</v>
      </c>
      <c r="G6" s="323"/>
      <c r="H6" s="317">
        <v>0.6</v>
      </c>
      <c r="I6" s="323">
        <v>8000</v>
      </c>
      <c r="J6" s="34" t="s">
        <v>775</v>
      </c>
    </row>
    <row r="7" spans="1:26" ht="14.25" customHeight="1">
      <c r="A7" s="324" t="s">
        <v>233</v>
      </c>
      <c r="B7" s="34">
        <v>6000</v>
      </c>
      <c r="C7" s="34" t="s">
        <v>740</v>
      </c>
      <c r="D7" s="34" t="s">
        <v>693</v>
      </c>
      <c r="E7" s="317">
        <v>0.5</v>
      </c>
      <c r="F7" s="317">
        <v>0.7</v>
      </c>
      <c r="G7" s="323"/>
      <c r="H7" s="317">
        <v>0.6</v>
      </c>
      <c r="I7" s="323">
        <v>4000</v>
      </c>
      <c r="J7" s="34" t="s">
        <v>776</v>
      </c>
    </row>
    <row r="8" spans="1:26" ht="14.25" customHeight="1">
      <c r="A8" s="324" t="s">
        <v>524</v>
      </c>
      <c r="B8" s="34">
        <v>10000</v>
      </c>
      <c r="C8" s="34" t="s">
        <v>301</v>
      </c>
      <c r="D8" s="34" t="s">
        <v>693</v>
      </c>
      <c r="E8" s="34" t="s">
        <v>777</v>
      </c>
      <c r="F8" s="317">
        <v>0.7</v>
      </c>
      <c r="G8" s="323"/>
      <c r="H8" s="34">
        <v>0</v>
      </c>
      <c r="I8" s="323">
        <v>0</v>
      </c>
      <c r="J8" s="34" t="s">
        <v>778</v>
      </c>
    </row>
    <row r="9" spans="1:26" ht="14.25" customHeight="1">
      <c r="A9" s="325" t="s">
        <v>525</v>
      </c>
      <c r="B9" s="34">
        <v>10000</v>
      </c>
      <c r="C9" s="34" t="s">
        <v>749</v>
      </c>
      <c r="D9" s="34" t="s">
        <v>693</v>
      </c>
      <c r="E9" s="323"/>
      <c r="F9" s="317">
        <v>0.5</v>
      </c>
      <c r="G9" s="323"/>
      <c r="H9" s="317">
        <v>0.4</v>
      </c>
      <c r="I9" s="323">
        <v>7000</v>
      </c>
      <c r="J9" s="34" t="s">
        <v>779</v>
      </c>
    </row>
    <row r="10" spans="1:26" ht="14.25" customHeight="1">
      <c r="A10" s="326" t="s">
        <v>526</v>
      </c>
      <c r="B10" s="34">
        <v>0</v>
      </c>
      <c r="C10" s="34" t="s">
        <v>567</v>
      </c>
      <c r="D10" s="34" t="s">
        <v>693</v>
      </c>
      <c r="E10" s="323"/>
      <c r="F10" s="317">
        <v>0.5</v>
      </c>
      <c r="G10" s="323"/>
      <c r="H10" s="317">
        <v>0.1</v>
      </c>
      <c r="I10" s="323">
        <v>0</v>
      </c>
      <c r="J10" s="34" t="s">
        <v>780</v>
      </c>
    </row>
    <row r="11" spans="1:26" ht="14.25" customHeight="1">
      <c r="A11" s="326" t="s">
        <v>527</v>
      </c>
      <c r="B11" s="34">
        <v>0</v>
      </c>
      <c r="C11" s="34" t="s">
        <v>509</v>
      </c>
      <c r="D11" s="34" t="s">
        <v>693</v>
      </c>
      <c r="E11" s="323"/>
      <c r="F11" s="317">
        <v>0.5</v>
      </c>
      <c r="G11" s="323"/>
      <c r="H11" s="317">
        <v>0.3</v>
      </c>
      <c r="I11" s="323">
        <v>0</v>
      </c>
      <c r="J11" s="34" t="s">
        <v>772</v>
      </c>
    </row>
    <row r="12" spans="1:26" ht="14.25" customHeight="1">
      <c r="A12" s="34"/>
      <c r="B12" s="34"/>
      <c r="C12" s="323"/>
      <c r="D12" s="323"/>
      <c r="E12" s="323"/>
      <c r="F12" s="323"/>
      <c r="G12" s="323"/>
      <c r="H12" s="323"/>
      <c r="I12" s="323"/>
      <c r="J12" s="323"/>
    </row>
    <row r="13" spans="1:26" ht="14.25" customHeight="1">
      <c r="A13" s="34"/>
      <c r="B13" s="34"/>
      <c r="C13" s="323"/>
      <c r="D13" s="323"/>
      <c r="E13" s="323"/>
      <c r="F13" s="323"/>
      <c r="G13" s="323"/>
      <c r="H13" s="323"/>
      <c r="I13" s="323"/>
      <c r="J13" s="323"/>
    </row>
    <row r="14" spans="1:26" ht="14.25" customHeight="1">
      <c r="A14" s="323"/>
      <c r="B14" s="323"/>
      <c r="C14" s="323"/>
      <c r="D14" s="323"/>
      <c r="E14" s="323"/>
      <c r="F14" s="323"/>
      <c r="G14" s="323"/>
      <c r="H14" s="323"/>
      <c r="I14" s="323"/>
      <c r="J14" s="323"/>
    </row>
    <row r="15" spans="1:26" ht="14.25" customHeight="1">
      <c r="A15" s="327" t="s">
        <v>752</v>
      </c>
      <c r="B15" s="34">
        <v>6000</v>
      </c>
      <c r="C15" s="34" t="s">
        <v>781</v>
      </c>
      <c r="D15" s="34" t="s">
        <v>782</v>
      </c>
      <c r="E15" s="323"/>
      <c r="F15" s="323"/>
      <c r="G15" s="323"/>
      <c r="H15" s="323"/>
      <c r="I15" s="323">
        <v>4000</v>
      </c>
      <c r="J15" s="323"/>
    </row>
    <row r="16" spans="1:26" ht="14.25" customHeight="1">
      <c r="A16" s="327" t="s">
        <v>169</v>
      </c>
      <c r="B16" s="34">
        <v>5000</v>
      </c>
      <c r="C16" s="34" t="s">
        <v>783</v>
      </c>
      <c r="D16" s="34" t="s">
        <v>784</v>
      </c>
      <c r="E16" s="323"/>
      <c r="F16" s="323"/>
      <c r="G16" s="323"/>
      <c r="H16" s="323"/>
      <c r="I16" s="323">
        <v>3000</v>
      </c>
      <c r="J16" s="323"/>
    </row>
    <row r="17" spans="1:10" ht="14.25" customHeight="1">
      <c r="A17" s="327" t="s">
        <v>449</v>
      </c>
      <c r="B17" s="34">
        <v>5000</v>
      </c>
      <c r="C17" s="34" t="s">
        <v>785</v>
      </c>
      <c r="D17" s="34" t="s">
        <v>786</v>
      </c>
      <c r="E17" s="323"/>
      <c r="F17" s="323"/>
      <c r="G17" s="323"/>
      <c r="H17" s="323"/>
      <c r="I17" s="323">
        <v>4000</v>
      </c>
      <c r="J17" s="323"/>
    </row>
    <row r="18" spans="1:10" ht="14.25" customHeight="1">
      <c r="A18" s="323"/>
      <c r="B18" s="323"/>
      <c r="C18" s="323"/>
      <c r="D18" s="323"/>
      <c r="E18" s="323"/>
      <c r="F18" s="323"/>
      <c r="G18" s="323"/>
      <c r="H18" s="323"/>
      <c r="I18" s="323"/>
      <c r="J18" s="323"/>
    </row>
    <row r="19" spans="1:10" ht="14.25" customHeight="1">
      <c r="A19" s="323"/>
      <c r="B19" s="323"/>
      <c r="C19" s="323"/>
      <c r="D19" s="323"/>
      <c r="E19" s="323"/>
      <c r="F19" s="323"/>
      <c r="G19" s="323"/>
      <c r="H19" s="323"/>
      <c r="I19" s="323"/>
      <c r="J19" s="323"/>
    </row>
    <row r="20" spans="1:10" ht="14.25" customHeight="1">
      <c r="A20" s="323"/>
      <c r="B20" s="323"/>
      <c r="C20" s="323"/>
      <c r="D20" s="323"/>
      <c r="E20" s="323"/>
      <c r="F20" s="323"/>
      <c r="G20" s="323"/>
      <c r="H20" s="323"/>
      <c r="I20" s="323"/>
      <c r="J20" s="323"/>
    </row>
    <row r="21" spans="1:10" ht="14.25" customHeight="1">
      <c r="A21" s="323"/>
      <c r="B21" s="323"/>
      <c r="C21" s="323"/>
      <c r="D21" s="323"/>
      <c r="E21" s="323"/>
      <c r="F21" s="323"/>
      <c r="G21" s="323"/>
      <c r="H21" s="323"/>
      <c r="I21" s="323"/>
      <c r="J21" s="323"/>
    </row>
    <row r="22" spans="1:10" ht="14.25" customHeight="1">
      <c r="A22" s="328"/>
      <c r="B22" s="328"/>
      <c r="C22" s="323" t="s">
        <v>756</v>
      </c>
      <c r="D22" s="323"/>
      <c r="E22" s="323"/>
      <c r="F22" s="323"/>
      <c r="G22" s="323"/>
      <c r="H22" s="323"/>
      <c r="I22" s="323"/>
      <c r="J22" s="323"/>
    </row>
    <row r="23" spans="1:10" ht="14.25" customHeight="1">
      <c r="A23" s="329"/>
      <c r="B23" s="329"/>
      <c r="C23" s="323" t="s">
        <v>757</v>
      </c>
      <c r="D23" s="323"/>
      <c r="E23" s="323"/>
      <c r="F23" s="323"/>
      <c r="G23" s="323"/>
      <c r="H23" s="323"/>
      <c r="I23" s="323"/>
      <c r="J23" s="323"/>
    </row>
    <row r="24" spans="1:10" ht="14.25" customHeight="1">
      <c r="A24" s="330"/>
      <c r="B24" s="330"/>
      <c r="C24" s="323" t="s">
        <v>758</v>
      </c>
      <c r="D24" s="323"/>
      <c r="E24" s="323"/>
      <c r="F24" s="323"/>
      <c r="G24" s="323"/>
      <c r="H24" s="323"/>
      <c r="I24" s="323"/>
      <c r="J24" s="323"/>
    </row>
    <row r="25" spans="1:10" ht="14.25" customHeight="1">
      <c r="A25" s="331"/>
      <c r="B25" s="331"/>
      <c r="C25" s="323" t="s">
        <v>759</v>
      </c>
      <c r="D25" s="323"/>
      <c r="E25" s="323"/>
      <c r="F25" s="323"/>
      <c r="G25" s="323"/>
      <c r="H25" s="323"/>
      <c r="I25" s="323"/>
      <c r="J25" s="323"/>
    </row>
    <row r="26" spans="1:10" ht="14.25" customHeight="1">
      <c r="A26" s="332"/>
      <c r="B26" s="332"/>
      <c r="C26" s="332"/>
      <c r="D26" s="332"/>
      <c r="E26" s="332"/>
      <c r="F26" s="332"/>
      <c r="G26" s="332"/>
      <c r="H26" s="332"/>
      <c r="I26" s="332"/>
      <c r="J26" s="332"/>
    </row>
    <row r="27" spans="1:10" ht="14.25" customHeight="1"/>
    <row r="28" spans="1:10" ht="14.25" customHeight="1">
      <c r="A28" s="333" t="s">
        <v>488</v>
      </c>
      <c r="B28" s="334"/>
      <c r="C28" s="335" t="s">
        <v>698</v>
      </c>
      <c r="D28" s="336" t="s">
        <v>699</v>
      </c>
    </row>
    <row r="29" spans="1:10" ht="14.25" customHeight="1">
      <c r="A29" s="337" t="s">
        <v>725</v>
      </c>
      <c r="B29" s="338"/>
      <c r="C29" s="339" t="s">
        <v>787</v>
      </c>
      <c r="D29" s="98" t="s">
        <v>788</v>
      </c>
    </row>
    <row r="30" spans="1:10" ht="14.25" customHeight="1">
      <c r="A30" s="340" t="s">
        <v>727</v>
      </c>
      <c r="B30" s="341"/>
      <c r="C30" s="342" t="s">
        <v>789</v>
      </c>
      <c r="D30" s="98" t="s">
        <v>790</v>
      </c>
    </row>
    <row r="31" spans="1:10" ht="14.25" customHeight="1">
      <c r="A31" s="343" t="s">
        <v>700</v>
      </c>
      <c r="B31" s="344"/>
      <c r="C31" s="345" t="s">
        <v>791</v>
      </c>
      <c r="D31" s="98" t="s">
        <v>792</v>
      </c>
    </row>
    <row r="32" spans="1:10" ht="14.25" customHeight="1">
      <c r="A32" s="346" t="s">
        <v>730</v>
      </c>
      <c r="B32" s="347"/>
      <c r="C32" s="348" t="s">
        <v>793</v>
      </c>
      <c r="D32" s="349" t="s">
        <v>794</v>
      </c>
    </row>
    <row r="33" spans="1:3" ht="14.25" customHeight="1">
      <c r="A33" s="350" t="s">
        <v>795</v>
      </c>
      <c r="B33" s="351"/>
      <c r="C33" s="352" t="s">
        <v>796</v>
      </c>
    </row>
    <row r="34" spans="1:3" ht="14.25" customHeight="1"/>
    <row r="35" spans="1:3" ht="14.25" customHeight="1"/>
    <row r="36" spans="1:3" ht="14.25" customHeight="1"/>
    <row r="37" spans="1:3" ht="14.25" customHeight="1"/>
    <row r="38" spans="1:3" ht="14.25" customHeight="1"/>
    <row r="39" spans="1:3" ht="14.25" customHeight="1"/>
    <row r="40" spans="1:3" ht="14.25" customHeight="1"/>
    <row r="41" spans="1:3" ht="14.25" customHeight="1"/>
    <row r="42" spans="1:3" ht="14.25" customHeight="1"/>
    <row r="43" spans="1:3" ht="14.25" customHeight="1"/>
    <row r="44" spans="1:3" ht="14.25" customHeight="1"/>
    <row r="45" spans="1:3" ht="14.25" customHeight="1"/>
    <row r="46" spans="1:3" ht="14.25" customHeight="1"/>
    <row r="47" spans="1:3" ht="14.25" customHeight="1"/>
    <row r="48" spans="1: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workbookViewId="0"/>
  </sheetViews>
  <sheetFormatPr defaultColWidth="12.59765625" defaultRowHeight="15" customHeight="1"/>
  <cols>
    <col min="1" max="1" width="18.69921875" customWidth="1"/>
    <col min="2" max="2" width="12" customWidth="1"/>
    <col min="3" max="6" width="8.59765625" customWidth="1"/>
  </cols>
  <sheetData>
    <row r="1" spans="1:26" ht="13.5" customHeight="1">
      <c r="A1" s="311" t="s">
        <v>408</v>
      </c>
      <c r="B1" s="311" t="s">
        <v>48</v>
      </c>
      <c r="C1" s="311" t="s">
        <v>489</v>
      </c>
      <c r="D1" s="311" t="s">
        <v>797</v>
      </c>
      <c r="E1" s="312"/>
      <c r="F1" s="312"/>
      <c r="G1" s="312"/>
      <c r="H1" s="312"/>
      <c r="I1" s="312"/>
      <c r="J1" s="312"/>
      <c r="K1" s="312"/>
      <c r="L1" s="312"/>
      <c r="M1" s="312"/>
      <c r="N1" s="312"/>
      <c r="O1" s="312"/>
      <c r="P1" s="312"/>
      <c r="Q1" s="312"/>
      <c r="R1" s="312"/>
      <c r="S1" s="312"/>
      <c r="T1" s="312"/>
      <c r="U1" s="312"/>
      <c r="V1" s="312"/>
      <c r="W1" s="312"/>
      <c r="X1" s="312"/>
      <c r="Y1" s="312"/>
      <c r="Z1" s="312"/>
    </row>
    <row r="2" spans="1:26" ht="13.5" customHeight="1">
      <c r="A2" s="36" t="s">
        <v>135</v>
      </c>
      <c r="B2" s="36" t="s">
        <v>798</v>
      </c>
      <c r="C2" s="36">
        <v>10000</v>
      </c>
      <c r="D2" s="313">
        <v>44531</v>
      </c>
    </row>
    <row r="3" spans="1:26" ht="13.5" customHeight="1">
      <c r="A3" s="36" t="s">
        <v>799</v>
      </c>
      <c r="B3" s="36" t="s">
        <v>798</v>
      </c>
      <c r="C3" s="36">
        <v>10000</v>
      </c>
      <c r="D3" s="313">
        <v>44531</v>
      </c>
    </row>
    <row r="4" spans="1:26" ht="13.5" customHeight="1">
      <c r="A4" s="36" t="s">
        <v>134</v>
      </c>
      <c r="B4" s="36" t="s">
        <v>798</v>
      </c>
      <c r="C4" s="36">
        <v>10000</v>
      </c>
      <c r="D4" s="313">
        <v>44531</v>
      </c>
    </row>
    <row r="5" spans="1:26" ht="13.5" customHeight="1">
      <c r="A5" s="36" t="s">
        <v>800</v>
      </c>
      <c r="B5" s="36" t="s">
        <v>798</v>
      </c>
      <c r="C5" s="36">
        <v>10000</v>
      </c>
      <c r="D5" s="313">
        <v>44531</v>
      </c>
    </row>
    <row r="6" spans="1:26" ht="13.5" customHeight="1">
      <c r="A6" s="303" t="s">
        <v>378</v>
      </c>
      <c r="B6" s="314"/>
      <c r="C6" s="303">
        <f>SUM(C2:C5)</f>
        <v>40000</v>
      </c>
      <c r="D6" s="314"/>
      <c r="E6" s="312"/>
      <c r="F6" s="312"/>
      <c r="G6" s="312"/>
      <c r="H6" s="312"/>
      <c r="I6" s="312"/>
      <c r="J6" s="312"/>
      <c r="K6" s="312"/>
      <c r="L6" s="312"/>
      <c r="M6" s="312"/>
      <c r="N6" s="312"/>
      <c r="O6" s="312"/>
      <c r="P6" s="312"/>
      <c r="Q6" s="312"/>
      <c r="R6" s="312"/>
      <c r="S6" s="312"/>
      <c r="T6" s="312"/>
      <c r="U6" s="312"/>
      <c r="V6" s="312"/>
      <c r="W6" s="312"/>
      <c r="X6" s="312"/>
      <c r="Y6" s="312"/>
      <c r="Z6" s="312"/>
    </row>
    <row r="7" spans="1:26" ht="13.5" customHeight="1"/>
    <row r="8" spans="1:26" ht="13.5" customHeight="1"/>
    <row r="9" spans="1:26" ht="13.5" customHeight="1"/>
    <row r="10" spans="1:26" ht="13.5" customHeight="1"/>
    <row r="11" spans="1:26" ht="13.5" customHeight="1"/>
    <row r="12" spans="1:26" ht="13.5" customHeight="1"/>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0"/>
  <sheetViews>
    <sheetView workbookViewId="0">
      <pane xSplit="3" ySplit="1" topLeftCell="D2" activePane="bottomRight" state="frozen"/>
      <selection pane="topRight"/>
      <selection pane="bottomLeft"/>
      <selection pane="bottomRight" activeCell="D2" sqref="D2"/>
    </sheetView>
  </sheetViews>
  <sheetFormatPr defaultColWidth="12.59765625" defaultRowHeight="15" customHeight="1"/>
  <cols>
    <col min="1" max="1" width="23.69921875" customWidth="1"/>
    <col min="2" max="2" width="17.69921875" customWidth="1"/>
    <col min="3" max="26" width="7.59765625" customWidth="1"/>
  </cols>
  <sheetData>
    <row r="1" spans="1:26" ht="18">
      <c r="A1" s="305" t="s">
        <v>801</v>
      </c>
      <c r="B1" s="305" t="s">
        <v>48</v>
      </c>
      <c r="C1" s="306" t="s">
        <v>802</v>
      </c>
      <c r="D1" s="306" t="s">
        <v>56</v>
      </c>
      <c r="E1" s="306" t="s">
        <v>57</v>
      </c>
      <c r="F1" s="306" t="s">
        <v>12</v>
      </c>
      <c r="G1" s="306"/>
      <c r="H1" s="306"/>
      <c r="I1" s="306"/>
      <c r="J1" s="306"/>
      <c r="K1" s="306"/>
      <c r="L1" s="310"/>
      <c r="M1" s="310"/>
      <c r="N1" s="310"/>
      <c r="O1" s="310"/>
      <c r="P1" s="310"/>
      <c r="Q1" s="310"/>
      <c r="R1" s="310"/>
      <c r="S1" s="310"/>
      <c r="T1" s="310"/>
      <c r="U1" s="310"/>
      <c r="V1" s="310"/>
      <c r="W1" s="310"/>
      <c r="X1" s="310"/>
      <c r="Y1" s="310"/>
      <c r="Z1" s="310"/>
    </row>
    <row r="2" spans="1:26" ht="14.4">
      <c r="A2" s="36" t="s">
        <v>803</v>
      </c>
      <c r="B2" s="307" t="s">
        <v>804</v>
      </c>
      <c r="C2" s="36">
        <v>5000</v>
      </c>
      <c r="D2" s="36">
        <v>5000</v>
      </c>
      <c r="E2" s="36">
        <v>5000</v>
      </c>
      <c r="F2" s="36">
        <v>5000</v>
      </c>
      <c r="G2" s="36"/>
      <c r="H2" s="36"/>
      <c r="I2" s="36"/>
      <c r="J2" s="36"/>
      <c r="K2" s="36"/>
    </row>
    <row r="3" spans="1:26" ht="14.4">
      <c r="A3" s="36" t="s">
        <v>805</v>
      </c>
      <c r="B3" s="307" t="s">
        <v>79</v>
      </c>
      <c r="C3" s="36">
        <v>5000</v>
      </c>
      <c r="D3" s="36">
        <v>0</v>
      </c>
      <c r="E3" s="36">
        <v>0</v>
      </c>
      <c r="F3" s="36"/>
      <c r="G3" s="36"/>
      <c r="H3" s="36"/>
      <c r="I3" s="36"/>
      <c r="J3" s="36"/>
      <c r="K3" s="36"/>
    </row>
    <row r="4" spans="1:26" ht="15.6">
      <c r="A4" s="308" t="s">
        <v>806</v>
      </c>
      <c r="B4" s="307" t="s">
        <v>86</v>
      </c>
      <c r="C4" s="36">
        <v>5000</v>
      </c>
      <c r="D4" s="36">
        <v>0</v>
      </c>
      <c r="E4" s="36">
        <v>0</v>
      </c>
      <c r="F4" s="36"/>
      <c r="G4" s="36"/>
      <c r="H4" s="36"/>
      <c r="I4" s="36"/>
      <c r="J4" s="36"/>
      <c r="K4" s="36"/>
    </row>
    <row r="5" spans="1:26" ht="14.4">
      <c r="A5" s="36" t="s">
        <v>20</v>
      </c>
      <c r="B5" s="307" t="s">
        <v>79</v>
      </c>
      <c r="C5" s="36">
        <v>5000</v>
      </c>
      <c r="D5" s="36">
        <v>5000</v>
      </c>
      <c r="E5" s="36">
        <v>5000</v>
      </c>
      <c r="F5" s="36"/>
      <c r="G5" s="36"/>
      <c r="H5" s="36"/>
      <c r="I5" s="36"/>
      <c r="J5" s="36"/>
      <c r="K5" s="36"/>
    </row>
    <row r="6" spans="1:26" ht="15.6">
      <c r="A6" s="308" t="s">
        <v>807</v>
      </c>
      <c r="B6" s="307" t="s">
        <v>74</v>
      </c>
      <c r="C6" s="36">
        <v>5000</v>
      </c>
      <c r="D6" s="36">
        <v>5000</v>
      </c>
      <c r="E6" s="36">
        <v>5000</v>
      </c>
      <c r="F6" s="36"/>
      <c r="G6" s="36"/>
      <c r="H6" s="36"/>
      <c r="I6" s="36"/>
      <c r="J6" s="36"/>
      <c r="K6" s="36"/>
    </row>
    <row r="7" spans="1:26" ht="15.6">
      <c r="A7" s="308" t="s">
        <v>808</v>
      </c>
      <c r="B7" s="307" t="s">
        <v>79</v>
      </c>
      <c r="C7" s="36">
        <v>5000</v>
      </c>
      <c r="D7" s="36">
        <v>0</v>
      </c>
      <c r="E7" s="36">
        <v>0</v>
      </c>
      <c r="F7" s="36"/>
      <c r="G7" s="36"/>
      <c r="H7" s="36"/>
      <c r="I7" s="36"/>
      <c r="J7" s="36"/>
      <c r="K7" s="36"/>
    </row>
    <row r="8" spans="1:26" ht="14.4">
      <c r="A8" s="36" t="s">
        <v>809</v>
      </c>
      <c r="B8" s="307" t="s">
        <v>86</v>
      </c>
      <c r="C8" s="36">
        <v>5000</v>
      </c>
      <c r="D8" s="36">
        <v>5000</v>
      </c>
      <c r="E8" s="36">
        <v>5000</v>
      </c>
      <c r="F8" s="36"/>
      <c r="G8" s="36"/>
      <c r="H8" s="36"/>
      <c r="I8" s="36"/>
      <c r="J8" s="36"/>
      <c r="K8" s="36"/>
    </row>
    <row r="9" spans="1:26" ht="15.6">
      <c r="A9" s="308" t="s">
        <v>810</v>
      </c>
      <c r="B9" s="309" t="s">
        <v>212</v>
      </c>
      <c r="C9" s="36">
        <v>5000</v>
      </c>
      <c r="D9" s="36">
        <v>5000</v>
      </c>
      <c r="E9" s="36">
        <v>5000</v>
      </c>
      <c r="F9" s="36"/>
      <c r="G9" s="36"/>
      <c r="H9" s="36"/>
      <c r="I9" s="36"/>
      <c r="J9" s="36"/>
      <c r="K9" s="36"/>
    </row>
    <row r="10" spans="1:26" ht="15.6">
      <c r="A10" s="308" t="s">
        <v>811</v>
      </c>
      <c r="B10" s="307" t="s">
        <v>150</v>
      </c>
      <c r="C10" s="36">
        <v>5000</v>
      </c>
      <c r="D10" s="36">
        <v>0</v>
      </c>
      <c r="E10" s="36">
        <v>5000</v>
      </c>
      <c r="F10" s="36"/>
      <c r="G10" s="36"/>
      <c r="H10" s="36"/>
      <c r="I10" s="36"/>
      <c r="J10" s="36"/>
      <c r="K10" s="36"/>
    </row>
    <row r="11" spans="1:26" ht="15.6">
      <c r="A11" s="308" t="s">
        <v>419</v>
      </c>
      <c r="B11" s="307" t="s">
        <v>812</v>
      </c>
      <c r="C11" s="36">
        <v>5000</v>
      </c>
      <c r="D11" s="36">
        <v>0</v>
      </c>
      <c r="E11" s="36">
        <v>0</v>
      </c>
      <c r="F11" s="36">
        <v>5000</v>
      </c>
      <c r="G11" s="36"/>
      <c r="H11" s="36"/>
      <c r="I11" s="36"/>
      <c r="J11" s="36"/>
      <c r="K11" s="36"/>
    </row>
    <row r="12" spans="1:26" ht="14.4">
      <c r="A12" s="36"/>
      <c r="B12" s="36"/>
      <c r="C12" s="36"/>
      <c r="D12" s="36"/>
      <c r="E12" s="36"/>
      <c r="F12" s="36"/>
      <c r="G12" s="36"/>
      <c r="H12" s="36"/>
      <c r="I12" s="36"/>
      <c r="J12" s="36"/>
      <c r="K12"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1000"/>
  <sheetViews>
    <sheetView workbookViewId="0">
      <pane xSplit="4" ySplit="1" topLeftCell="E2" activePane="bottomRight" state="frozen"/>
      <selection pane="topRight"/>
      <selection pane="bottomLeft"/>
      <selection pane="bottomRight" activeCell="E2" sqref="E2"/>
    </sheetView>
  </sheetViews>
  <sheetFormatPr defaultColWidth="12.59765625" defaultRowHeight="15" customHeight="1"/>
  <cols>
    <col min="1" max="1" width="16.69921875" customWidth="1"/>
    <col min="2" max="2" width="10.19921875" customWidth="1"/>
    <col min="3" max="3" width="18.19921875" customWidth="1"/>
    <col min="4" max="4" width="9.19921875" customWidth="1"/>
    <col min="5" max="5" width="7.69921875" customWidth="1"/>
    <col min="6" max="25" width="7.59765625" customWidth="1"/>
  </cols>
  <sheetData>
    <row r="1" spans="1:25" ht="14.4">
      <c r="A1" s="298" t="s">
        <v>408</v>
      </c>
      <c r="B1" s="298" t="s">
        <v>813</v>
      </c>
      <c r="C1" s="298" t="s">
        <v>48</v>
      </c>
      <c r="D1" s="298" t="s">
        <v>673</v>
      </c>
      <c r="E1" s="298" t="s">
        <v>49</v>
      </c>
      <c r="F1" s="298"/>
      <c r="G1" s="298"/>
      <c r="H1" s="298"/>
      <c r="I1" s="298"/>
      <c r="J1" s="298"/>
      <c r="K1" s="298"/>
      <c r="L1" s="298"/>
      <c r="M1" s="298"/>
      <c r="N1" s="298"/>
      <c r="O1" s="298"/>
      <c r="P1" s="298"/>
      <c r="Q1" s="298"/>
      <c r="R1" s="304"/>
      <c r="S1" s="304"/>
      <c r="T1" s="304"/>
      <c r="U1" s="304"/>
      <c r="V1" s="304"/>
      <c r="W1" s="304"/>
      <c r="X1" s="304"/>
      <c r="Y1" s="304"/>
    </row>
    <row r="2" spans="1:25" ht="14.4">
      <c r="A2" s="36" t="s">
        <v>814</v>
      </c>
      <c r="B2" s="299">
        <v>44216</v>
      </c>
      <c r="C2" s="36" t="s">
        <v>804</v>
      </c>
      <c r="D2" s="36">
        <v>5000</v>
      </c>
      <c r="E2" s="36">
        <v>5000</v>
      </c>
      <c r="F2" s="36"/>
      <c r="G2" s="36"/>
      <c r="H2" s="36"/>
      <c r="I2" s="36"/>
      <c r="J2" s="36"/>
      <c r="K2" s="36"/>
      <c r="L2" s="36"/>
      <c r="M2" s="36"/>
      <c r="N2" s="36"/>
      <c r="O2" s="36"/>
      <c r="P2" s="36"/>
      <c r="Q2" s="36"/>
    </row>
    <row r="3" spans="1:25" ht="14.4">
      <c r="A3" s="36" t="s">
        <v>805</v>
      </c>
      <c r="B3" s="299">
        <v>44216</v>
      </c>
      <c r="C3" s="36" t="s">
        <v>804</v>
      </c>
      <c r="D3" s="36">
        <v>5000</v>
      </c>
      <c r="E3" s="36">
        <v>5000</v>
      </c>
      <c r="F3" s="36"/>
      <c r="G3" s="36"/>
      <c r="H3" s="36"/>
      <c r="I3" s="36"/>
      <c r="J3" s="36"/>
      <c r="K3" s="36"/>
      <c r="L3" s="36"/>
      <c r="M3" s="36"/>
      <c r="N3" s="36"/>
      <c r="O3" s="36"/>
      <c r="P3" s="36"/>
      <c r="Q3" s="36"/>
    </row>
    <row r="4" spans="1:25" ht="14.4">
      <c r="A4" s="36" t="s">
        <v>148</v>
      </c>
      <c r="B4" s="299">
        <v>44216</v>
      </c>
      <c r="C4" s="36" t="s">
        <v>804</v>
      </c>
      <c r="D4" s="36">
        <v>5000</v>
      </c>
      <c r="E4" s="36">
        <v>5000</v>
      </c>
      <c r="F4" s="36"/>
      <c r="G4" s="36"/>
      <c r="H4" s="36"/>
      <c r="I4" s="36"/>
      <c r="J4" s="36"/>
      <c r="K4" s="36"/>
      <c r="L4" s="36"/>
      <c r="M4" s="36"/>
      <c r="N4" s="36"/>
      <c r="O4" s="36"/>
      <c r="P4" s="36"/>
      <c r="Q4" s="36"/>
    </row>
    <row r="5" spans="1:25" ht="14.4">
      <c r="A5" s="300" t="s">
        <v>815</v>
      </c>
      <c r="B5" s="301">
        <v>44216</v>
      </c>
      <c r="C5" s="300" t="s">
        <v>804</v>
      </c>
      <c r="D5" s="300">
        <v>5000</v>
      </c>
      <c r="E5" s="300">
        <v>5000</v>
      </c>
      <c r="F5" s="300"/>
      <c r="G5" s="36"/>
      <c r="H5" s="36"/>
      <c r="I5" s="36"/>
      <c r="J5" s="36"/>
      <c r="K5" s="36"/>
      <c r="L5" s="36"/>
      <c r="M5" s="36"/>
      <c r="N5" s="36"/>
      <c r="O5" s="36"/>
      <c r="P5" s="36"/>
      <c r="Q5" s="36"/>
    </row>
    <row r="6" spans="1:25" ht="14.4">
      <c r="A6" s="36" t="s">
        <v>816</v>
      </c>
      <c r="B6" s="299">
        <v>44216</v>
      </c>
      <c r="C6" s="36" t="s">
        <v>804</v>
      </c>
      <c r="D6" s="36">
        <v>5000</v>
      </c>
      <c r="E6" s="36">
        <v>5000</v>
      </c>
      <c r="F6" s="36"/>
      <c r="G6" s="97"/>
      <c r="H6" s="36"/>
      <c r="I6" s="36"/>
      <c r="J6" s="36"/>
      <c r="K6" s="36"/>
      <c r="L6" s="36"/>
      <c r="M6" s="36"/>
      <c r="N6" s="36"/>
      <c r="O6" s="36"/>
      <c r="P6" s="36"/>
      <c r="Q6" s="36"/>
    </row>
    <row r="7" spans="1:25" ht="14.4">
      <c r="A7" s="25" t="s">
        <v>817</v>
      </c>
      <c r="B7" s="302">
        <v>44440</v>
      </c>
      <c r="C7" s="36" t="s">
        <v>804</v>
      </c>
      <c r="D7" s="25">
        <v>5000</v>
      </c>
      <c r="E7" s="36"/>
      <c r="F7" s="36"/>
      <c r="G7" s="97"/>
      <c r="H7" s="36"/>
      <c r="I7" s="36"/>
      <c r="J7" s="36"/>
      <c r="K7" s="36"/>
      <c r="L7" s="36"/>
      <c r="M7" s="36"/>
      <c r="N7" s="36"/>
      <c r="O7" s="36"/>
      <c r="P7" s="36"/>
      <c r="Q7" s="36"/>
    </row>
    <row r="8" spans="1:25" ht="14.4">
      <c r="A8" s="25" t="s">
        <v>290</v>
      </c>
      <c r="B8" s="302">
        <v>44440</v>
      </c>
      <c r="C8" s="36" t="s">
        <v>804</v>
      </c>
      <c r="D8" s="25">
        <v>5000</v>
      </c>
      <c r="E8" s="36"/>
      <c r="F8" s="36"/>
      <c r="G8" s="97"/>
      <c r="H8" s="36"/>
      <c r="I8" s="36"/>
      <c r="J8" s="36"/>
      <c r="K8" s="36"/>
      <c r="L8" s="36"/>
      <c r="M8" s="36"/>
      <c r="N8" s="36"/>
      <c r="O8" s="36"/>
      <c r="P8" s="36"/>
      <c r="Q8" s="36"/>
    </row>
    <row r="9" spans="1:25" ht="14.4">
      <c r="A9" s="25" t="s">
        <v>818</v>
      </c>
      <c r="B9" s="302">
        <v>44440</v>
      </c>
      <c r="C9" s="36" t="s">
        <v>804</v>
      </c>
      <c r="D9" s="25">
        <v>5000</v>
      </c>
      <c r="E9" s="36"/>
      <c r="F9" s="36"/>
      <c r="G9" s="97"/>
      <c r="H9" s="36"/>
      <c r="I9" s="36"/>
      <c r="J9" s="36"/>
      <c r="K9" s="36"/>
      <c r="L9" s="36"/>
      <c r="M9" s="36"/>
      <c r="N9" s="36"/>
      <c r="O9" s="36"/>
      <c r="P9" s="36"/>
      <c r="Q9" s="36"/>
    </row>
    <row r="10" spans="1:25" ht="14.4">
      <c r="A10" s="303" t="s">
        <v>126</v>
      </c>
      <c r="B10" s="303"/>
      <c r="C10" s="303"/>
      <c r="D10" s="303">
        <f t="shared" ref="D10:E10" si="0">SUM(D2:D9)</f>
        <v>40000</v>
      </c>
      <c r="E10" s="303">
        <f t="shared" si="0"/>
        <v>25000</v>
      </c>
      <c r="F10" s="303"/>
      <c r="G10" s="303"/>
      <c r="H10" s="303"/>
      <c r="I10" s="303"/>
      <c r="J10" s="303"/>
      <c r="K10" s="303"/>
      <c r="L10" s="303"/>
      <c r="M10" s="303"/>
      <c r="N10" s="303"/>
      <c r="O10" s="303"/>
      <c r="P10" s="303"/>
      <c r="Q10" s="303"/>
      <c r="R10" s="304"/>
      <c r="S10" s="304"/>
      <c r="T10" s="304"/>
      <c r="U10" s="304"/>
      <c r="V10" s="304"/>
      <c r="W10" s="304"/>
      <c r="X10" s="304"/>
      <c r="Y10" s="304"/>
    </row>
    <row r="11" spans="1:25" ht="15.75" customHeight="1"/>
    <row r="12" spans="1:25" ht="15.75" customHeight="1"/>
    <row r="13" spans="1:25" ht="15.75" customHeight="1"/>
    <row r="14" spans="1:25" ht="15.75" customHeight="1"/>
    <row r="15" spans="1:25" ht="15.75" customHeight="1"/>
    <row r="16" spans="1: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000"/>
  <sheetViews>
    <sheetView workbookViewId="0">
      <pane xSplit="3" ySplit="1" topLeftCell="D2" activePane="bottomRight" state="frozen"/>
      <selection pane="topRight"/>
      <selection pane="bottomLeft"/>
      <selection pane="bottomRight" activeCell="D2" sqref="D2"/>
    </sheetView>
  </sheetViews>
  <sheetFormatPr defaultColWidth="12.59765625" defaultRowHeight="15" customHeight="1"/>
  <cols>
    <col min="1" max="1" width="15.09765625" customWidth="1"/>
    <col min="2" max="6" width="8.59765625" customWidth="1"/>
  </cols>
  <sheetData>
    <row r="1" spans="1:4" ht="14.25" customHeight="1">
      <c r="A1" s="23" t="s">
        <v>408</v>
      </c>
      <c r="B1" s="23" t="s">
        <v>584</v>
      </c>
      <c r="C1" s="23" t="s">
        <v>673</v>
      </c>
      <c r="D1" s="23" t="s">
        <v>410</v>
      </c>
    </row>
    <row r="2" spans="1:4" ht="14.25" customHeight="1">
      <c r="A2" s="24" t="s">
        <v>204</v>
      </c>
      <c r="B2" s="25">
        <v>2022</v>
      </c>
      <c r="C2" s="25">
        <v>24000</v>
      </c>
      <c r="D2" s="25" t="s">
        <v>379</v>
      </c>
    </row>
    <row r="3" spans="1:4" ht="14.25" customHeight="1">
      <c r="A3" s="25" t="s">
        <v>169</v>
      </c>
      <c r="B3" s="25">
        <v>2022</v>
      </c>
      <c r="C3" s="26">
        <v>26100</v>
      </c>
      <c r="D3" s="25" t="s">
        <v>379</v>
      </c>
    </row>
    <row r="4" spans="1:4" ht="14.25" customHeight="1">
      <c r="A4" s="25" t="s">
        <v>901</v>
      </c>
      <c r="B4" s="25">
        <v>2022</v>
      </c>
      <c r="C4" s="26">
        <v>63454</v>
      </c>
      <c r="D4" s="25" t="s">
        <v>379</v>
      </c>
    </row>
    <row r="5" spans="1:4" ht="14.25" customHeight="1">
      <c r="A5" s="25" t="s">
        <v>143</v>
      </c>
      <c r="B5" s="25">
        <v>2022</v>
      </c>
      <c r="C5" s="26">
        <v>43250</v>
      </c>
      <c r="D5" s="25" t="s">
        <v>379</v>
      </c>
    </row>
    <row r="6" spans="1:4" ht="14.25" customHeight="1">
      <c r="A6" s="25" t="s">
        <v>434</v>
      </c>
      <c r="B6" s="25">
        <v>2022</v>
      </c>
      <c r="C6" s="26">
        <v>57478</v>
      </c>
      <c r="D6" s="25" t="s">
        <v>379</v>
      </c>
    </row>
    <row r="7" spans="1:4" ht="14.25" customHeight="1">
      <c r="A7" s="25" t="s">
        <v>597</v>
      </c>
      <c r="B7" s="25">
        <v>2022</v>
      </c>
      <c r="C7" s="26">
        <v>54090</v>
      </c>
      <c r="D7" s="25" t="s">
        <v>379</v>
      </c>
    </row>
    <row r="8" spans="1:4" ht="14.25" customHeight="1">
      <c r="A8" s="25" t="s">
        <v>902</v>
      </c>
      <c r="B8" s="25">
        <v>2022</v>
      </c>
      <c r="C8" s="25">
        <v>40909</v>
      </c>
      <c r="D8" s="25" t="s">
        <v>379</v>
      </c>
    </row>
    <row r="9" spans="1:4" ht="14.25" customHeight="1">
      <c r="A9" s="25" t="s">
        <v>134</v>
      </c>
      <c r="B9" s="25">
        <v>2022</v>
      </c>
      <c r="C9" s="25">
        <v>37909</v>
      </c>
      <c r="D9" s="25" t="s">
        <v>379</v>
      </c>
    </row>
    <row r="10" spans="1:4" ht="14.25" customHeight="1">
      <c r="A10" s="25" t="s">
        <v>135</v>
      </c>
      <c r="B10" s="25">
        <v>2022</v>
      </c>
      <c r="C10" s="25">
        <v>24000</v>
      </c>
      <c r="D10" s="25" t="s">
        <v>379</v>
      </c>
    </row>
    <row r="11" spans="1:4" ht="14.25" customHeight="1">
      <c r="A11" s="25" t="s">
        <v>903</v>
      </c>
      <c r="B11" s="25">
        <v>2022</v>
      </c>
      <c r="C11" s="25">
        <v>66000</v>
      </c>
      <c r="D11" s="25" t="s">
        <v>379</v>
      </c>
    </row>
    <row r="12" spans="1:4" ht="14.25" customHeight="1">
      <c r="A12" s="25" t="s">
        <v>240</v>
      </c>
      <c r="B12" s="25">
        <v>2022</v>
      </c>
      <c r="C12" s="25">
        <v>32000</v>
      </c>
      <c r="D12" s="25" t="s">
        <v>379</v>
      </c>
    </row>
    <row r="13" spans="1:4" ht="14.25" customHeight="1">
      <c r="A13" s="27" t="s">
        <v>455</v>
      </c>
      <c r="B13" s="25">
        <v>2022</v>
      </c>
      <c r="C13" s="27">
        <f>28500-6000</f>
        <v>22500</v>
      </c>
      <c r="D13" s="25" t="s">
        <v>379</v>
      </c>
    </row>
    <row r="14" spans="1:4" ht="14.25" customHeight="1">
      <c r="A14" s="25" t="s">
        <v>904</v>
      </c>
      <c r="B14" s="25">
        <v>2022</v>
      </c>
      <c r="C14" s="25">
        <v>34000</v>
      </c>
      <c r="D14" s="25" t="s">
        <v>379</v>
      </c>
    </row>
    <row r="15" spans="1:4" ht="14.25" customHeight="1">
      <c r="A15" s="25" t="s">
        <v>471</v>
      </c>
      <c r="B15" s="25">
        <v>2022</v>
      </c>
      <c r="C15" s="25">
        <v>12000</v>
      </c>
      <c r="D15" s="25" t="s">
        <v>379</v>
      </c>
    </row>
    <row r="16" spans="1:4" ht="14.25" customHeight="1">
      <c r="A16" s="25" t="s">
        <v>171</v>
      </c>
      <c r="B16" s="25">
        <v>2022</v>
      </c>
      <c r="C16" s="25">
        <v>24000</v>
      </c>
      <c r="D16" s="25" t="s">
        <v>379</v>
      </c>
    </row>
    <row r="17" spans="1:4" ht="14.25" customHeight="1">
      <c r="A17" s="25" t="s">
        <v>462</v>
      </c>
      <c r="B17" s="25">
        <v>2022</v>
      </c>
      <c r="C17" s="25">
        <v>15000</v>
      </c>
      <c r="D17" s="25" t="s">
        <v>379</v>
      </c>
    </row>
    <row r="18" spans="1:4" ht="14.25" customHeight="1">
      <c r="A18" s="27" t="s">
        <v>175</v>
      </c>
      <c r="B18" s="27">
        <v>2022</v>
      </c>
      <c r="C18" s="27">
        <v>12000</v>
      </c>
      <c r="D18" s="27" t="s">
        <v>379</v>
      </c>
    </row>
    <row r="19" spans="1:4" ht="14.25" customHeight="1">
      <c r="A19" s="25" t="s">
        <v>437</v>
      </c>
      <c r="B19" s="27">
        <v>2022</v>
      </c>
      <c r="C19" s="25">
        <v>29000</v>
      </c>
      <c r="D19" s="27" t="s">
        <v>379</v>
      </c>
    </row>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00"/>
  <sheetViews>
    <sheetView workbookViewId="0">
      <pane ySplit="1" topLeftCell="A2" activePane="bottomLeft" state="frozen"/>
      <selection pane="bottomLeft" activeCell="B3" sqref="B3"/>
    </sheetView>
  </sheetViews>
  <sheetFormatPr defaultColWidth="12.59765625" defaultRowHeight="15" customHeight="1"/>
  <cols>
    <col min="1" max="1" width="19.59765625" customWidth="1"/>
    <col min="2" max="2" width="19.19921875" customWidth="1"/>
    <col min="3" max="4" width="8.59765625" hidden="1" customWidth="1"/>
    <col min="5" max="26" width="8.59765625" customWidth="1"/>
  </cols>
  <sheetData>
    <row r="1" spans="1:26" ht="27" customHeight="1">
      <c r="A1" s="1" t="s">
        <v>356</v>
      </c>
      <c r="B1" s="1" t="s">
        <v>48</v>
      </c>
      <c r="C1" s="1" t="s">
        <v>2</v>
      </c>
      <c r="D1" s="1" t="s">
        <v>357</v>
      </c>
      <c r="E1" s="2" t="s">
        <v>358</v>
      </c>
      <c r="F1" s="3">
        <v>44531</v>
      </c>
      <c r="G1" s="3">
        <v>44562</v>
      </c>
      <c r="H1" s="3">
        <v>44593</v>
      </c>
      <c r="I1" s="3">
        <v>44621</v>
      </c>
      <c r="J1" s="3">
        <v>44652</v>
      </c>
      <c r="K1" s="3">
        <v>44682</v>
      </c>
      <c r="L1" s="3">
        <v>44713</v>
      </c>
      <c r="M1" s="3">
        <v>44743</v>
      </c>
      <c r="N1" s="3">
        <v>44774</v>
      </c>
      <c r="O1" s="3">
        <v>44805</v>
      </c>
      <c r="P1" s="3">
        <v>44835</v>
      </c>
      <c r="Q1" s="3">
        <v>44866</v>
      </c>
      <c r="R1" s="3">
        <v>44896</v>
      </c>
      <c r="S1" s="20" t="s">
        <v>360</v>
      </c>
      <c r="T1" s="21"/>
      <c r="U1" s="21"/>
      <c r="V1" s="21"/>
      <c r="W1" s="21"/>
      <c r="X1" s="21"/>
      <c r="Y1" s="21"/>
      <c r="Z1" s="21"/>
    </row>
    <row r="2" spans="1:26" ht="27" customHeight="1">
      <c r="A2" s="4" t="s">
        <v>429</v>
      </c>
      <c r="B2" s="5" t="s">
        <v>247</v>
      </c>
      <c r="C2" s="6">
        <v>20000</v>
      </c>
      <c r="D2" s="6">
        <v>5000</v>
      </c>
      <c r="E2" s="6">
        <v>9000</v>
      </c>
      <c r="F2" s="7">
        <v>9000</v>
      </c>
      <c r="G2" s="7">
        <v>9000</v>
      </c>
      <c r="H2" s="8">
        <f>E2/23*16</f>
        <v>6260.869565217391</v>
      </c>
      <c r="I2" s="7">
        <v>4500</v>
      </c>
      <c r="J2" s="7">
        <v>9000</v>
      </c>
      <c r="K2" s="7">
        <v>12000</v>
      </c>
      <c r="L2" s="7">
        <v>9000</v>
      </c>
      <c r="M2" s="4">
        <v>9000</v>
      </c>
      <c r="N2" s="4">
        <v>9000</v>
      </c>
      <c r="O2" s="4">
        <v>9000</v>
      </c>
      <c r="P2" s="4">
        <v>7500</v>
      </c>
      <c r="Q2" s="4">
        <v>5000</v>
      </c>
      <c r="R2" s="4">
        <v>5000</v>
      </c>
      <c r="S2" s="18">
        <f t="shared" ref="S2:S5" si="0">SUM(F2:R2)</f>
        <v>103260.86956521739</v>
      </c>
      <c r="T2" s="16"/>
      <c r="U2" s="16"/>
      <c r="V2" s="16"/>
      <c r="W2" s="16"/>
      <c r="X2" s="16"/>
      <c r="Y2" s="16"/>
      <c r="Z2" s="16"/>
    </row>
    <row r="3" spans="1:26" ht="27" customHeight="1">
      <c r="A3" s="4" t="s">
        <v>905</v>
      </c>
      <c r="B3" s="4" t="s">
        <v>86</v>
      </c>
      <c r="C3" s="4">
        <v>12000</v>
      </c>
      <c r="D3" s="4">
        <v>4000</v>
      </c>
      <c r="E3" s="4">
        <v>9000</v>
      </c>
      <c r="F3" s="4" t="s">
        <v>30</v>
      </c>
      <c r="G3" s="4" t="s">
        <v>30</v>
      </c>
      <c r="H3" s="4" t="s">
        <v>30</v>
      </c>
      <c r="I3" s="4" t="s">
        <v>30</v>
      </c>
      <c r="J3" s="4" t="s">
        <v>30</v>
      </c>
      <c r="K3" s="4">
        <v>9000</v>
      </c>
      <c r="L3" s="18">
        <f>E3/23*15</f>
        <v>5869.565217391304</v>
      </c>
      <c r="M3" s="4">
        <v>9000</v>
      </c>
      <c r="N3" s="4">
        <v>9000</v>
      </c>
      <c r="O3" s="4">
        <v>0</v>
      </c>
      <c r="P3" s="4">
        <v>0</v>
      </c>
      <c r="Q3" s="18">
        <f>E3/23*15</f>
        <v>5869.565217391304</v>
      </c>
      <c r="R3" s="4">
        <v>0</v>
      </c>
      <c r="S3" s="18">
        <f t="shared" si="0"/>
        <v>38739.130434782608</v>
      </c>
      <c r="T3" s="4"/>
      <c r="U3" s="4"/>
      <c r="V3" s="4"/>
      <c r="W3" s="4"/>
      <c r="X3" s="4"/>
      <c r="Y3" s="4"/>
      <c r="Z3" s="4"/>
    </row>
    <row r="4" spans="1:26" ht="33.75" customHeight="1">
      <c r="A4" s="9" t="s">
        <v>234</v>
      </c>
      <c r="B4" s="4" t="s">
        <v>235</v>
      </c>
      <c r="C4" s="4">
        <v>20000</v>
      </c>
      <c r="D4" s="4">
        <v>5000</v>
      </c>
      <c r="E4" s="4">
        <v>9000</v>
      </c>
      <c r="F4" s="4" t="s">
        <v>30</v>
      </c>
      <c r="G4" s="4" t="s">
        <v>30</v>
      </c>
      <c r="H4" s="4" t="s">
        <v>30</v>
      </c>
      <c r="I4" s="4" t="s">
        <v>30</v>
      </c>
      <c r="J4" s="4">
        <v>9000</v>
      </c>
      <c r="K4" s="4">
        <v>9000</v>
      </c>
      <c r="L4" s="4">
        <v>9000</v>
      </c>
      <c r="M4" s="4">
        <v>9000</v>
      </c>
      <c r="N4" s="4">
        <v>9000</v>
      </c>
      <c r="O4" s="4">
        <v>9000</v>
      </c>
      <c r="P4" s="4" t="s">
        <v>30</v>
      </c>
      <c r="Q4" s="4" t="s">
        <v>30</v>
      </c>
      <c r="R4" s="4" t="s">
        <v>30</v>
      </c>
      <c r="S4" s="4">
        <f t="shared" si="0"/>
        <v>54000</v>
      </c>
      <c r="T4" s="4"/>
      <c r="U4" s="4"/>
      <c r="V4" s="4"/>
      <c r="W4" s="4"/>
      <c r="X4" s="4"/>
      <c r="Y4" s="4"/>
      <c r="Z4" s="4"/>
    </row>
    <row r="5" spans="1:26" ht="27" customHeight="1">
      <c r="A5" s="10" t="s">
        <v>361</v>
      </c>
      <c r="B5" s="4" t="s">
        <v>362</v>
      </c>
      <c r="C5" s="4">
        <v>17000</v>
      </c>
      <c r="D5" s="4">
        <v>10000</v>
      </c>
      <c r="E5" s="10">
        <v>15000</v>
      </c>
      <c r="F5" s="4" t="s">
        <v>30</v>
      </c>
      <c r="G5" s="4" t="s">
        <v>30</v>
      </c>
      <c r="H5" s="4" t="s">
        <v>30</v>
      </c>
      <c r="I5" s="4" t="s">
        <v>30</v>
      </c>
      <c r="J5" s="4" t="s">
        <v>30</v>
      </c>
      <c r="K5" s="4" t="s">
        <v>30</v>
      </c>
      <c r="L5" s="4" t="s">
        <v>30</v>
      </c>
      <c r="M5" s="4" t="s">
        <v>30</v>
      </c>
      <c r="N5" s="7">
        <v>15000</v>
      </c>
      <c r="O5" s="7">
        <v>15000</v>
      </c>
      <c r="P5" s="7">
        <v>15000</v>
      </c>
      <c r="Q5" s="7">
        <v>15000</v>
      </c>
      <c r="R5" s="7">
        <v>15000</v>
      </c>
      <c r="S5" s="10">
        <f t="shared" si="0"/>
        <v>75000</v>
      </c>
      <c r="T5" s="16"/>
      <c r="U5" s="16"/>
      <c r="V5" s="16"/>
      <c r="W5" s="16"/>
      <c r="X5" s="16"/>
      <c r="Y5" s="16"/>
      <c r="Z5" s="16"/>
    </row>
    <row r="6" spans="1:26" ht="27" hidden="1" customHeight="1">
      <c r="A6" s="4"/>
      <c r="B6" s="4"/>
      <c r="C6" s="4"/>
      <c r="D6" s="4"/>
      <c r="E6" s="4"/>
      <c r="F6" s="4" t="s">
        <v>30</v>
      </c>
      <c r="G6" s="4"/>
      <c r="H6" s="4"/>
      <c r="I6" s="4"/>
      <c r="J6" s="4"/>
      <c r="K6" s="4"/>
      <c r="L6" s="4"/>
      <c r="M6" s="4"/>
      <c r="N6" s="4" t="s">
        <v>30</v>
      </c>
      <c r="O6" s="4"/>
      <c r="P6" s="4"/>
      <c r="Q6" s="4"/>
      <c r="R6" s="4"/>
      <c r="S6" s="4">
        <f t="shared" ref="S6:S26" si="1">SUM(F6:O6)</f>
        <v>0</v>
      </c>
      <c r="T6" s="16"/>
      <c r="U6" s="16"/>
      <c r="V6" s="16"/>
      <c r="W6" s="16"/>
      <c r="X6" s="16"/>
      <c r="Y6" s="16"/>
      <c r="Z6" s="16"/>
    </row>
    <row r="7" spans="1:26" ht="27" hidden="1" customHeight="1">
      <c r="A7" s="4"/>
      <c r="B7" s="4"/>
      <c r="C7" s="4"/>
      <c r="D7" s="4"/>
      <c r="E7" s="4"/>
      <c r="F7" s="4" t="s">
        <v>30</v>
      </c>
      <c r="G7" s="4"/>
      <c r="H7" s="4"/>
      <c r="I7" s="4"/>
      <c r="J7" s="4"/>
      <c r="K7" s="4"/>
      <c r="L7" s="4"/>
      <c r="M7" s="4"/>
      <c r="N7" s="4" t="s">
        <v>30</v>
      </c>
      <c r="O7" s="4"/>
      <c r="P7" s="4"/>
      <c r="Q7" s="4"/>
      <c r="R7" s="4"/>
      <c r="S7" s="4">
        <f t="shared" si="1"/>
        <v>0</v>
      </c>
      <c r="T7" s="16"/>
      <c r="U7" s="16"/>
      <c r="V7" s="16"/>
      <c r="W7" s="16"/>
      <c r="X7" s="16"/>
      <c r="Y7" s="16"/>
      <c r="Z7" s="16"/>
    </row>
    <row r="8" spans="1:26" ht="27" hidden="1" customHeight="1">
      <c r="A8" s="4"/>
      <c r="B8" s="4"/>
      <c r="C8" s="4"/>
      <c r="D8" s="4"/>
      <c r="E8" s="4"/>
      <c r="F8" s="4" t="s">
        <v>30</v>
      </c>
      <c r="G8" s="4"/>
      <c r="H8" s="4"/>
      <c r="I8" s="4"/>
      <c r="J8" s="4"/>
      <c r="K8" s="4"/>
      <c r="L8" s="4"/>
      <c r="M8" s="4"/>
      <c r="N8" s="4" t="s">
        <v>30</v>
      </c>
      <c r="O8" s="4"/>
      <c r="P8" s="4"/>
      <c r="Q8" s="4"/>
      <c r="R8" s="4"/>
      <c r="S8" s="4">
        <f t="shared" si="1"/>
        <v>0</v>
      </c>
      <c r="T8" s="16"/>
      <c r="U8" s="16"/>
      <c r="V8" s="16"/>
      <c r="W8" s="16"/>
      <c r="X8" s="16"/>
      <c r="Y8" s="16"/>
      <c r="Z8" s="16"/>
    </row>
    <row r="9" spans="1:26" ht="27" hidden="1" customHeight="1">
      <c r="A9" s="4"/>
      <c r="B9" s="4"/>
      <c r="C9" s="4"/>
      <c r="D9" s="4"/>
      <c r="E9" s="4"/>
      <c r="F9" s="4" t="s">
        <v>30</v>
      </c>
      <c r="G9" s="4"/>
      <c r="H9" s="4"/>
      <c r="I9" s="4"/>
      <c r="J9" s="4"/>
      <c r="K9" s="4"/>
      <c r="L9" s="4"/>
      <c r="M9" s="4"/>
      <c r="N9" s="4" t="s">
        <v>30</v>
      </c>
      <c r="O9" s="4"/>
      <c r="P9" s="4"/>
      <c r="Q9" s="4"/>
      <c r="R9" s="4"/>
      <c r="S9" s="4">
        <f t="shared" si="1"/>
        <v>0</v>
      </c>
      <c r="T9" s="16"/>
      <c r="U9" s="16"/>
      <c r="V9" s="16"/>
      <c r="W9" s="16"/>
      <c r="X9" s="16"/>
      <c r="Y9" s="16"/>
      <c r="Z9" s="16"/>
    </row>
    <row r="10" spans="1:26" ht="27" hidden="1" customHeight="1">
      <c r="A10" s="4"/>
      <c r="B10" s="4"/>
      <c r="C10" s="4"/>
      <c r="D10" s="4"/>
      <c r="E10" s="4"/>
      <c r="F10" s="4" t="s">
        <v>30</v>
      </c>
      <c r="G10" s="4"/>
      <c r="H10" s="4"/>
      <c r="I10" s="4"/>
      <c r="J10" s="4"/>
      <c r="K10" s="4"/>
      <c r="L10" s="4"/>
      <c r="M10" s="4"/>
      <c r="N10" s="4" t="s">
        <v>30</v>
      </c>
      <c r="O10" s="4"/>
      <c r="P10" s="4"/>
      <c r="Q10" s="4"/>
      <c r="R10" s="4"/>
      <c r="S10" s="4">
        <f t="shared" si="1"/>
        <v>0</v>
      </c>
      <c r="T10" s="16"/>
      <c r="U10" s="16"/>
      <c r="V10" s="16"/>
      <c r="W10" s="16"/>
      <c r="X10" s="16"/>
      <c r="Y10" s="16"/>
      <c r="Z10" s="16"/>
    </row>
    <row r="11" spans="1:26" ht="27" hidden="1" customHeight="1">
      <c r="A11" s="4"/>
      <c r="B11" s="4"/>
      <c r="C11" s="4"/>
      <c r="D11" s="4"/>
      <c r="E11" s="4"/>
      <c r="F11" s="4" t="s">
        <v>30</v>
      </c>
      <c r="G11" s="4"/>
      <c r="H11" s="4"/>
      <c r="I11" s="4"/>
      <c r="J11" s="4"/>
      <c r="K11" s="4"/>
      <c r="L11" s="4"/>
      <c r="M11" s="4"/>
      <c r="N11" s="4" t="s">
        <v>30</v>
      </c>
      <c r="O11" s="4"/>
      <c r="P11" s="4"/>
      <c r="Q11" s="4"/>
      <c r="R11" s="4"/>
      <c r="S11" s="4">
        <f t="shared" si="1"/>
        <v>0</v>
      </c>
      <c r="T11" s="16"/>
      <c r="U11" s="16"/>
      <c r="V11" s="16"/>
      <c r="W11" s="16"/>
      <c r="X11" s="16"/>
      <c r="Y11" s="16"/>
      <c r="Z11" s="16"/>
    </row>
    <row r="12" spans="1:26" ht="27" hidden="1" customHeight="1">
      <c r="A12" s="4"/>
      <c r="B12" s="4"/>
      <c r="C12" s="4"/>
      <c r="D12" s="4"/>
      <c r="E12" s="4"/>
      <c r="F12" s="4" t="s">
        <v>30</v>
      </c>
      <c r="G12" s="4"/>
      <c r="H12" s="4"/>
      <c r="I12" s="4"/>
      <c r="J12" s="4"/>
      <c r="K12" s="4"/>
      <c r="L12" s="4"/>
      <c r="M12" s="4"/>
      <c r="N12" s="4" t="s">
        <v>30</v>
      </c>
      <c r="O12" s="4"/>
      <c r="P12" s="4"/>
      <c r="Q12" s="4"/>
      <c r="R12" s="4"/>
      <c r="S12" s="4">
        <f t="shared" si="1"/>
        <v>0</v>
      </c>
      <c r="T12" s="16"/>
      <c r="U12" s="16"/>
      <c r="V12" s="16"/>
      <c r="W12" s="16"/>
      <c r="X12" s="16"/>
      <c r="Y12" s="16"/>
      <c r="Z12" s="16"/>
    </row>
    <row r="13" spans="1:26" ht="27" hidden="1" customHeight="1">
      <c r="A13" s="4"/>
      <c r="B13" s="4"/>
      <c r="C13" s="4"/>
      <c r="D13" s="4"/>
      <c r="E13" s="4"/>
      <c r="F13" s="4" t="s">
        <v>30</v>
      </c>
      <c r="G13" s="4"/>
      <c r="H13" s="4"/>
      <c r="I13" s="4"/>
      <c r="J13" s="4"/>
      <c r="K13" s="4"/>
      <c r="L13" s="4"/>
      <c r="M13" s="4"/>
      <c r="N13" s="4" t="s">
        <v>30</v>
      </c>
      <c r="O13" s="4"/>
      <c r="P13" s="4"/>
      <c r="Q13" s="4"/>
      <c r="R13" s="4"/>
      <c r="S13" s="4">
        <f t="shared" si="1"/>
        <v>0</v>
      </c>
      <c r="T13" s="16"/>
      <c r="U13" s="16"/>
      <c r="V13" s="16"/>
      <c r="W13" s="16"/>
      <c r="X13" s="16"/>
      <c r="Y13" s="16"/>
      <c r="Z13" s="16"/>
    </row>
    <row r="14" spans="1:26" ht="27" hidden="1" customHeight="1">
      <c r="A14" s="4"/>
      <c r="B14" s="4"/>
      <c r="C14" s="4"/>
      <c r="D14" s="4"/>
      <c r="E14" s="4"/>
      <c r="F14" s="4" t="s">
        <v>30</v>
      </c>
      <c r="G14" s="4"/>
      <c r="H14" s="4"/>
      <c r="I14" s="4"/>
      <c r="J14" s="4"/>
      <c r="K14" s="4"/>
      <c r="L14" s="4"/>
      <c r="M14" s="4"/>
      <c r="N14" s="4" t="s">
        <v>30</v>
      </c>
      <c r="O14" s="4"/>
      <c r="P14" s="4"/>
      <c r="Q14" s="4"/>
      <c r="R14" s="4"/>
      <c r="S14" s="4">
        <f t="shared" si="1"/>
        <v>0</v>
      </c>
      <c r="T14" s="16"/>
      <c r="U14" s="16"/>
      <c r="V14" s="16"/>
      <c r="W14" s="16"/>
      <c r="X14" s="16"/>
      <c r="Y14" s="16"/>
      <c r="Z14" s="16"/>
    </row>
    <row r="15" spans="1:26" ht="27" hidden="1" customHeight="1">
      <c r="A15" s="4"/>
      <c r="B15" s="4"/>
      <c r="C15" s="4"/>
      <c r="D15" s="4"/>
      <c r="E15" s="4"/>
      <c r="F15" s="4" t="s">
        <v>30</v>
      </c>
      <c r="G15" s="4"/>
      <c r="H15" s="4"/>
      <c r="I15" s="4"/>
      <c r="J15" s="4"/>
      <c r="K15" s="4"/>
      <c r="L15" s="4"/>
      <c r="M15" s="4"/>
      <c r="N15" s="4" t="s">
        <v>30</v>
      </c>
      <c r="O15" s="4"/>
      <c r="P15" s="4"/>
      <c r="Q15" s="4"/>
      <c r="R15" s="4"/>
      <c r="S15" s="4">
        <f t="shared" si="1"/>
        <v>0</v>
      </c>
      <c r="T15" s="16"/>
      <c r="U15" s="16"/>
      <c r="V15" s="16"/>
      <c r="W15" s="16"/>
      <c r="X15" s="16"/>
      <c r="Y15" s="16"/>
      <c r="Z15" s="16"/>
    </row>
    <row r="16" spans="1:26" ht="27" hidden="1" customHeight="1">
      <c r="A16" s="4"/>
      <c r="B16" s="4"/>
      <c r="C16" s="4"/>
      <c r="D16" s="4"/>
      <c r="E16" s="4"/>
      <c r="F16" s="4" t="s">
        <v>30</v>
      </c>
      <c r="G16" s="4"/>
      <c r="H16" s="4"/>
      <c r="I16" s="4"/>
      <c r="J16" s="4"/>
      <c r="K16" s="4"/>
      <c r="L16" s="4"/>
      <c r="M16" s="4"/>
      <c r="N16" s="4" t="s">
        <v>30</v>
      </c>
      <c r="O16" s="4"/>
      <c r="P16" s="4"/>
      <c r="Q16" s="4"/>
      <c r="R16" s="4"/>
      <c r="S16" s="4">
        <f t="shared" si="1"/>
        <v>0</v>
      </c>
      <c r="T16" s="16"/>
      <c r="U16" s="16"/>
      <c r="V16" s="16"/>
      <c r="W16" s="16"/>
      <c r="X16" s="16"/>
      <c r="Y16" s="16"/>
      <c r="Z16" s="16"/>
    </row>
    <row r="17" spans="1:26" ht="27" hidden="1" customHeight="1">
      <c r="A17" s="4"/>
      <c r="B17" s="4"/>
      <c r="C17" s="4"/>
      <c r="D17" s="4"/>
      <c r="E17" s="4"/>
      <c r="F17" s="4" t="s">
        <v>30</v>
      </c>
      <c r="G17" s="4"/>
      <c r="H17" s="4"/>
      <c r="I17" s="4"/>
      <c r="J17" s="4"/>
      <c r="K17" s="4"/>
      <c r="L17" s="4"/>
      <c r="M17" s="4"/>
      <c r="N17" s="4" t="s">
        <v>30</v>
      </c>
      <c r="O17" s="4"/>
      <c r="P17" s="4"/>
      <c r="Q17" s="4"/>
      <c r="R17" s="4"/>
      <c r="S17" s="4">
        <f t="shared" si="1"/>
        <v>0</v>
      </c>
      <c r="T17" s="16"/>
      <c r="U17" s="16"/>
      <c r="V17" s="16"/>
      <c r="W17" s="16"/>
      <c r="X17" s="16"/>
      <c r="Y17" s="16"/>
      <c r="Z17" s="16"/>
    </row>
    <row r="18" spans="1:26" ht="27" hidden="1" customHeight="1">
      <c r="A18" s="4"/>
      <c r="B18" s="4"/>
      <c r="C18" s="4"/>
      <c r="D18" s="4"/>
      <c r="E18" s="4"/>
      <c r="F18" s="4" t="s">
        <v>30</v>
      </c>
      <c r="G18" s="4"/>
      <c r="H18" s="4"/>
      <c r="I18" s="4"/>
      <c r="J18" s="4"/>
      <c r="K18" s="4"/>
      <c r="L18" s="4"/>
      <c r="M18" s="4"/>
      <c r="N18" s="4" t="s">
        <v>30</v>
      </c>
      <c r="O18" s="4"/>
      <c r="P18" s="4"/>
      <c r="Q18" s="4"/>
      <c r="R18" s="4"/>
      <c r="S18" s="4">
        <f t="shared" si="1"/>
        <v>0</v>
      </c>
      <c r="T18" s="16"/>
      <c r="U18" s="16"/>
      <c r="V18" s="16"/>
      <c r="W18" s="16"/>
      <c r="X18" s="16"/>
      <c r="Y18" s="16"/>
      <c r="Z18" s="16"/>
    </row>
    <row r="19" spans="1:26" ht="27" hidden="1" customHeight="1">
      <c r="A19" s="4"/>
      <c r="B19" s="4"/>
      <c r="C19" s="4"/>
      <c r="D19" s="4"/>
      <c r="E19" s="4"/>
      <c r="F19" s="4" t="s">
        <v>30</v>
      </c>
      <c r="G19" s="4"/>
      <c r="H19" s="4"/>
      <c r="I19" s="4"/>
      <c r="J19" s="4"/>
      <c r="K19" s="4"/>
      <c r="L19" s="4"/>
      <c r="M19" s="4"/>
      <c r="N19" s="4" t="s">
        <v>30</v>
      </c>
      <c r="O19" s="4"/>
      <c r="P19" s="4"/>
      <c r="Q19" s="4"/>
      <c r="R19" s="4"/>
      <c r="S19" s="4">
        <f t="shared" si="1"/>
        <v>0</v>
      </c>
      <c r="T19" s="16"/>
      <c r="U19" s="16"/>
      <c r="V19" s="16"/>
      <c r="W19" s="16"/>
      <c r="X19" s="16"/>
      <c r="Y19" s="16"/>
      <c r="Z19" s="16"/>
    </row>
    <row r="20" spans="1:26" ht="27" hidden="1" customHeight="1">
      <c r="A20" s="4"/>
      <c r="B20" s="4"/>
      <c r="C20" s="4"/>
      <c r="D20" s="4"/>
      <c r="E20" s="4"/>
      <c r="F20" s="4" t="s">
        <v>30</v>
      </c>
      <c r="G20" s="4"/>
      <c r="H20" s="4"/>
      <c r="I20" s="4"/>
      <c r="J20" s="4"/>
      <c r="K20" s="4"/>
      <c r="L20" s="4"/>
      <c r="M20" s="4"/>
      <c r="N20" s="4" t="s">
        <v>30</v>
      </c>
      <c r="O20" s="4"/>
      <c r="P20" s="4"/>
      <c r="Q20" s="4"/>
      <c r="R20" s="4"/>
      <c r="S20" s="4">
        <f t="shared" si="1"/>
        <v>0</v>
      </c>
      <c r="T20" s="16"/>
      <c r="U20" s="16"/>
      <c r="V20" s="16"/>
      <c r="W20" s="16"/>
      <c r="X20" s="16"/>
      <c r="Y20" s="16"/>
      <c r="Z20" s="16"/>
    </row>
    <row r="21" spans="1:26" ht="27" hidden="1" customHeight="1">
      <c r="A21" s="4"/>
      <c r="B21" s="4"/>
      <c r="C21" s="4"/>
      <c r="D21" s="4"/>
      <c r="E21" s="4"/>
      <c r="F21" s="4" t="s">
        <v>30</v>
      </c>
      <c r="G21" s="4"/>
      <c r="H21" s="4"/>
      <c r="I21" s="4"/>
      <c r="J21" s="4"/>
      <c r="K21" s="4"/>
      <c r="L21" s="4"/>
      <c r="M21" s="4"/>
      <c r="N21" s="4" t="s">
        <v>30</v>
      </c>
      <c r="O21" s="4"/>
      <c r="P21" s="4"/>
      <c r="Q21" s="4"/>
      <c r="R21" s="4"/>
      <c r="S21" s="4">
        <f t="shared" si="1"/>
        <v>0</v>
      </c>
      <c r="T21" s="16"/>
      <c r="U21" s="16"/>
      <c r="V21" s="16"/>
      <c r="W21" s="16"/>
      <c r="X21" s="16"/>
      <c r="Y21" s="16"/>
      <c r="Z21" s="16"/>
    </row>
    <row r="22" spans="1:26" ht="27" hidden="1" customHeight="1">
      <c r="A22" s="4"/>
      <c r="B22" s="4"/>
      <c r="C22" s="4"/>
      <c r="D22" s="4"/>
      <c r="E22" s="4"/>
      <c r="F22" s="4" t="s">
        <v>30</v>
      </c>
      <c r="G22" s="4"/>
      <c r="H22" s="4"/>
      <c r="I22" s="4"/>
      <c r="J22" s="4"/>
      <c r="K22" s="4"/>
      <c r="L22" s="4"/>
      <c r="M22" s="4"/>
      <c r="N22" s="4" t="s">
        <v>30</v>
      </c>
      <c r="O22" s="4"/>
      <c r="P22" s="4"/>
      <c r="Q22" s="4"/>
      <c r="R22" s="4"/>
      <c r="S22" s="4">
        <f t="shared" si="1"/>
        <v>0</v>
      </c>
      <c r="T22" s="16"/>
      <c r="U22" s="16"/>
      <c r="V22" s="16"/>
      <c r="W22" s="16"/>
      <c r="X22" s="16"/>
      <c r="Y22" s="16"/>
      <c r="Z22" s="16"/>
    </row>
    <row r="23" spans="1:26" ht="27" hidden="1" customHeight="1">
      <c r="A23" s="4"/>
      <c r="B23" s="4"/>
      <c r="C23" s="4"/>
      <c r="D23" s="4"/>
      <c r="E23" s="4"/>
      <c r="F23" s="4" t="s">
        <v>30</v>
      </c>
      <c r="G23" s="4"/>
      <c r="H23" s="4"/>
      <c r="I23" s="4"/>
      <c r="J23" s="4"/>
      <c r="K23" s="4"/>
      <c r="L23" s="4"/>
      <c r="M23" s="4"/>
      <c r="N23" s="4" t="s">
        <v>30</v>
      </c>
      <c r="O23" s="4"/>
      <c r="P23" s="4"/>
      <c r="Q23" s="4"/>
      <c r="R23" s="4"/>
      <c r="S23" s="4">
        <f t="shared" si="1"/>
        <v>0</v>
      </c>
      <c r="T23" s="16"/>
      <c r="U23" s="16"/>
      <c r="V23" s="16"/>
      <c r="W23" s="16"/>
      <c r="X23" s="16"/>
      <c r="Y23" s="16"/>
      <c r="Z23" s="16"/>
    </row>
    <row r="24" spans="1:26" ht="27" hidden="1" customHeight="1">
      <c r="A24" s="4"/>
      <c r="B24" s="4"/>
      <c r="C24" s="4"/>
      <c r="D24" s="4"/>
      <c r="E24" s="4"/>
      <c r="F24" s="4" t="s">
        <v>30</v>
      </c>
      <c r="G24" s="4"/>
      <c r="H24" s="4"/>
      <c r="I24" s="4"/>
      <c r="J24" s="4"/>
      <c r="K24" s="4"/>
      <c r="L24" s="4"/>
      <c r="M24" s="4"/>
      <c r="N24" s="4" t="s">
        <v>30</v>
      </c>
      <c r="O24" s="4"/>
      <c r="P24" s="4"/>
      <c r="Q24" s="4"/>
      <c r="R24" s="4"/>
      <c r="S24" s="4">
        <f t="shared" si="1"/>
        <v>0</v>
      </c>
      <c r="T24" s="16"/>
      <c r="U24" s="16"/>
      <c r="V24" s="16"/>
      <c r="W24" s="16"/>
      <c r="X24" s="16"/>
      <c r="Y24" s="16"/>
      <c r="Z24" s="16"/>
    </row>
    <row r="25" spans="1:26" ht="27" hidden="1" customHeight="1">
      <c r="A25" s="4"/>
      <c r="B25" s="4"/>
      <c r="C25" s="4"/>
      <c r="D25" s="4"/>
      <c r="E25" s="4"/>
      <c r="F25" s="4" t="s">
        <v>30</v>
      </c>
      <c r="G25" s="4"/>
      <c r="H25" s="4"/>
      <c r="I25" s="4"/>
      <c r="J25" s="4"/>
      <c r="K25" s="4"/>
      <c r="L25" s="4"/>
      <c r="M25" s="4"/>
      <c r="N25" s="4" t="s">
        <v>30</v>
      </c>
      <c r="O25" s="4"/>
      <c r="P25" s="4"/>
      <c r="Q25" s="4"/>
      <c r="R25" s="4"/>
      <c r="S25" s="4">
        <f t="shared" si="1"/>
        <v>0</v>
      </c>
      <c r="T25" s="16"/>
      <c r="U25" s="16"/>
      <c r="V25" s="16"/>
      <c r="W25" s="16"/>
      <c r="X25" s="16"/>
      <c r="Y25" s="16"/>
      <c r="Z25" s="16"/>
    </row>
    <row r="26" spans="1:26" ht="27" customHeight="1">
      <c r="A26" s="4" t="s">
        <v>366</v>
      </c>
      <c r="B26" s="4" t="s">
        <v>235</v>
      </c>
      <c r="C26" s="4">
        <v>25000</v>
      </c>
      <c r="D26" s="4">
        <v>5000</v>
      </c>
      <c r="E26" s="4">
        <v>9000</v>
      </c>
      <c r="F26" s="4" t="s">
        <v>30</v>
      </c>
      <c r="G26" s="4" t="s">
        <v>30</v>
      </c>
      <c r="H26" s="4" t="s">
        <v>30</v>
      </c>
      <c r="I26" s="4" t="s">
        <v>30</v>
      </c>
      <c r="J26" s="4" t="s">
        <v>30</v>
      </c>
      <c r="K26" s="4" t="s">
        <v>30</v>
      </c>
      <c r="L26" s="4" t="s">
        <v>30</v>
      </c>
      <c r="M26" s="4" t="s">
        <v>30</v>
      </c>
      <c r="N26" s="4" t="s">
        <v>30</v>
      </c>
      <c r="O26" s="4" t="s">
        <v>30</v>
      </c>
      <c r="P26" s="19">
        <v>9000</v>
      </c>
      <c r="Q26" s="19">
        <v>9000</v>
      </c>
      <c r="R26" s="19">
        <v>9000</v>
      </c>
      <c r="S26" s="4">
        <f t="shared" si="1"/>
        <v>0</v>
      </c>
      <c r="T26" s="16"/>
      <c r="U26" s="16"/>
      <c r="V26" s="16"/>
      <c r="W26" s="16"/>
      <c r="X26" s="16"/>
      <c r="Y26" s="16"/>
      <c r="Z26" s="16"/>
    </row>
    <row r="27" spans="1:26" ht="27" customHeight="1">
      <c r="A27" s="11" t="s">
        <v>378</v>
      </c>
      <c r="B27" s="11"/>
      <c r="C27" s="11">
        <f t="shared" ref="C27:S27" si="2">SUM(C2:C26)</f>
        <v>94000</v>
      </c>
      <c r="D27" s="11">
        <f t="shared" si="2"/>
        <v>29000</v>
      </c>
      <c r="E27" s="11">
        <f t="shared" si="2"/>
        <v>51000</v>
      </c>
      <c r="F27" s="11">
        <f t="shared" si="2"/>
        <v>9000</v>
      </c>
      <c r="G27" s="11">
        <f t="shared" si="2"/>
        <v>9000</v>
      </c>
      <c r="H27" s="12">
        <f t="shared" si="2"/>
        <v>6260.869565217391</v>
      </c>
      <c r="I27" s="11">
        <f t="shared" si="2"/>
        <v>4500</v>
      </c>
      <c r="J27" s="11">
        <f t="shared" si="2"/>
        <v>18000</v>
      </c>
      <c r="K27" s="11">
        <f t="shared" si="2"/>
        <v>30000</v>
      </c>
      <c r="L27" s="12">
        <f t="shared" si="2"/>
        <v>23869.565217391304</v>
      </c>
      <c r="M27" s="11">
        <f t="shared" si="2"/>
        <v>27000</v>
      </c>
      <c r="N27" s="11">
        <f t="shared" si="2"/>
        <v>42000</v>
      </c>
      <c r="O27" s="11">
        <f t="shared" si="2"/>
        <v>33000</v>
      </c>
      <c r="P27" s="11">
        <f t="shared" si="2"/>
        <v>31500</v>
      </c>
      <c r="Q27" s="11">
        <f t="shared" si="2"/>
        <v>34869.565217391304</v>
      </c>
      <c r="R27" s="11">
        <f t="shared" si="2"/>
        <v>29000</v>
      </c>
      <c r="S27" s="12">
        <f t="shared" si="2"/>
        <v>271000</v>
      </c>
      <c r="T27" s="22"/>
      <c r="U27" s="22"/>
      <c r="V27" s="22"/>
      <c r="W27" s="22"/>
      <c r="X27" s="22"/>
      <c r="Y27" s="22"/>
      <c r="Z27" s="22"/>
    </row>
    <row r="28" spans="1:26" ht="27" customHeight="1">
      <c r="A28" s="13" t="s">
        <v>906</v>
      </c>
      <c r="B28" s="14" t="s">
        <v>247</v>
      </c>
      <c r="C28" s="15">
        <v>27000</v>
      </c>
      <c r="D28" s="15">
        <v>4000</v>
      </c>
      <c r="E28" s="15">
        <v>9000</v>
      </c>
      <c r="F28" s="15"/>
      <c r="G28" s="13">
        <v>9000</v>
      </c>
      <c r="H28" s="13">
        <v>9000</v>
      </c>
      <c r="I28" s="13">
        <v>9000</v>
      </c>
      <c r="J28" s="13">
        <v>9000</v>
      </c>
      <c r="K28" s="13">
        <v>9000</v>
      </c>
      <c r="L28" s="13">
        <v>9000</v>
      </c>
      <c r="M28" s="13">
        <v>9000</v>
      </c>
      <c r="N28" s="13">
        <v>9000</v>
      </c>
      <c r="O28" s="13">
        <v>9000</v>
      </c>
      <c r="P28" s="13"/>
      <c r="Q28" s="13"/>
      <c r="R28" s="13"/>
      <c r="S28" s="18">
        <f>SUM(G28:R28)</f>
        <v>81000</v>
      </c>
      <c r="T28" s="16"/>
      <c r="U28" s="16"/>
      <c r="V28" s="16"/>
      <c r="W28" s="16"/>
      <c r="X28" s="16"/>
      <c r="Y28" s="16"/>
      <c r="Z28" s="16"/>
    </row>
    <row r="29" spans="1:26" ht="27"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27" customHeight="1">
      <c r="A30" s="16"/>
      <c r="B30" s="17"/>
      <c r="C30" s="16" t="s">
        <v>379</v>
      </c>
      <c r="D30" s="16"/>
      <c r="E30" s="16" t="s">
        <v>379</v>
      </c>
      <c r="F30" s="16"/>
      <c r="G30" s="16"/>
      <c r="H30" s="16"/>
      <c r="I30" s="16"/>
      <c r="J30" s="16"/>
      <c r="K30" s="16"/>
      <c r="L30" s="16"/>
      <c r="M30" s="16"/>
      <c r="N30" s="16"/>
      <c r="O30" s="16"/>
      <c r="P30" s="16"/>
      <c r="Q30" s="16"/>
      <c r="R30" s="16"/>
      <c r="S30" s="16"/>
      <c r="T30" s="16"/>
      <c r="U30" s="16"/>
      <c r="V30" s="16"/>
      <c r="W30" s="16"/>
      <c r="X30" s="16"/>
      <c r="Y30" s="16"/>
      <c r="Z30" s="16"/>
    </row>
    <row r="31" spans="1:26" ht="27"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27"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27"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27"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27"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27" customHeight="1">
      <c r="A36" s="13" t="s">
        <v>906</v>
      </c>
      <c r="B36" s="14" t="s">
        <v>247</v>
      </c>
      <c r="C36" s="15">
        <v>27000</v>
      </c>
      <c r="D36" s="15">
        <v>4000</v>
      </c>
      <c r="E36" s="15">
        <v>9000</v>
      </c>
      <c r="F36" s="13">
        <v>9000</v>
      </c>
      <c r="G36" s="13">
        <v>9000</v>
      </c>
      <c r="H36" s="13">
        <v>9000</v>
      </c>
      <c r="I36" s="13">
        <v>9000</v>
      </c>
      <c r="J36" s="13">
        <v>9000</v>
      </c>
      <c r="K36" s="13">
        <v>9000</v>
      </c>
      <c r="L36" s="13">
        <v>9000</v>
      </c>
      <c r="M36" s="13">
        <v>9000</v>
      </c>
      <c r="N36" s="13">
        <v>9000</v>
      </c>
      <c r="O36" s="13"/>
      <c r="P36" s="13"/>
      <c r="Q36" s="13"/>
      <c r="R36" s="13"/>
      <c r="S36" s="18">
        <f>SUM(F36:R36)</f>
        <v>81000</v>
      </c>
      <c r="T36" s="16"/>
      <c r="U36" s="16"/>
      <c r="V36" s="16"/>
      <c r="W36" s="16"/>
      <c r="X36" s="16"/>
      <c r="Y36" s="16"/>
      <c r="Z36" s="16"/>
    </row>
    <row r="37" spans="1:26" ht="27"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27"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27"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27"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27"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27"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27"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27"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27"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27"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27"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27"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27"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27"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27"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27"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27"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27"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27"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27"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27"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27"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27"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27"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27"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27"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27"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27"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27"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27"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27"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27"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27"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27"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27"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27"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27"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27"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27"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27"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27"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27"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27"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27"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27"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27"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27"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27"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27"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27"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27"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27"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27"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27"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27"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27"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27"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27"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27"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27"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27"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27"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27"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27"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27"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27"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27"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27"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27"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27"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27"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27"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27"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27"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27"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27"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27"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27"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27"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27"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27"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27"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27"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27"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27"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27"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27"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27"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27"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27"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27"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27"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27"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27"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27"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27"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27"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27"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27"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27"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27"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27"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27"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27"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27"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27"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27"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27"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27"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27"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27"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27"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27"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27"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27"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27"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27"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27"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27"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27"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27"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27"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27"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27"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27"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27"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27"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27"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27"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27"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27"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27"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27"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27"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27"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27"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27"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27"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27"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27"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27"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27"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27"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27"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27"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27"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27"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27"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27"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27"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27"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27"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27"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27"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27"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27"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27"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27"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27"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27"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27"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27"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27"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27"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27"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27"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27"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27"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27"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27"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27"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27"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27"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27"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27"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27"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27"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27"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27"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27"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27"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27"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27"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27"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27"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27"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27"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27"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27"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27"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27"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27"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27"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27"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27"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27"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27"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27"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27"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27"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
    <cfRule type="cellIs" dxfId="1" priority="1" operator="equal">
      <formula>"YL"</formula>
    </cfRule>
    <cfRule type="cellIs" dxfId="0" priority="2" operator="equal">
      <formula>"YL"</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2019</vt:lpstr>
      <vt:lpstr>2020</vt:lpstr>
      <vt:lpstr>2021</vt:lpstr>
      <vt:lpstr>2022</vt:lpstr>
      <vt:lpstr>2023</vt:lpstr>
      <vt:lpstr>2024</vt:lpstr>
      <vt:lpstr>2025</vt:lpstr>
      <vt:lpstr>Client Facing Bonus 2025</vt:lpstr>
      <vt:lpstr>Hold Bonus updated Feb 2025</vt:lpstr>
      <vt:lpstr>One time bonus sheet march 2025</vt:lpstr>
      <vt:lpstr>On hold bonus</vt:lpstr>
      <vt:lpstr>To beDeleted</vt:lpstr>
      <vt:lpstr>Marketing Bouns sheet</vt:lpstr>
      <vt:lpstr>Sales Bonus Rule</vt:lpstr>
      <vt:lpstr>Deposited-Hold Bonus</vt:lpstr>
      <vt:lpstr>Shahed Summary Sheet</vt:lpstr>
      <vt:lpstr>March Target</vt:lpstr>
      <vt:lpstr>Feb Target</vt:lpstr>
      <vt:lpstr>Marketing Bonus Rule</vt:lpstr>
      <vt:lpstr>Client facing Bonus 2023</vt:lpstr>
      <vt:lpstr>Client Facing Bonus 2024</vt:lpstr>
      <vt:lpstr>Dec Target</vt:lpstr>
      <vt:lpstr>Jan Target</vt:lpstr>
      <vt:lpstr>Calculation</vt:lpstr>
      <vt:lpstr>One Time Bonus</vt:lpstr>
      <vt:lpstr>Nov Target</vt:lpstr>
      <vt:lpstr>Oct Target</vt:lpstr>
      <vt:lpstr>Sep Target</vt:lpstr>
      <vt:lpstr>Aug Target</vt:lpstr>
      <vt:lpstr>July Target</vt:lpstr>
      <vt:lpstr>June Target</vt:lpstr>
      <vt:lpstr>1 time bonus </vt:lpstr>
      <vt:lpstr>Target Bonus</vt:lpstr>
      <vt:lpstr>Sql Bonus</vt:lpstr>
      <vt:lpstr>Hold bonus paid sheet</vt:lpstr>
      <vt:lpstr>Client facing Bonus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Ajida Samani</cp:lastModifiedBy>
  <dcterms:created xsi:type="dcterms:W3CDTF">2006-09-16T00:00:00Z</dcterms:created>
  <dcterms:modified xsi:type="dcterms:W3CDTF">2025-04-23T11:17:02Z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2024-05-10T12:40:25Z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6a0ddb0e-68ae-4d27-aec0-b96612400cc0</vt:lpwstr>
  </property>
  <property fmtid="{D5CDD505-2E9C-101B-9397-08002B2CF9AE}" pid="7" name="MSIP_Label_defa4170-0d19-0005-0004-bc88714345d2_ActionId">
    <vt:lpwstr>8ea7c2a8-393b-4c0d-b6f8-361396695c05</vt:lpwstr>
  </property>
  <property fmtid="{D5CDD505-2E9C-101B-9397-08002B2CF9AE}" pid="8" name="MSIP_Label_defa4170-0d19-0005-0004-bc88714345d2_ContentBits">
    <vt:lpwstr>0</vt:lpwstr>
  </property>
  <property fmtid="{D5CDD505-2E9C-101B-9397-08002B2CF9AE}" pid="9" name="ICV">
    <vt:lpwstr>CAE1D9C7878647A4A09187BCA9E05A72_12</vt:lpwstr>
  </property>
  <property fmtid="{D5CDD505-2E9C-101B-9397-08002B2CF9AE}" pid="10" name="KSOProductBuildVer">
    <vt:lpwstr>1033-12.2.0.17562</vt:lpwstr>
  </property>
</Properties>
</file>